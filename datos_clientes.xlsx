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do\Desktop\"/>
    </mc:Choice>
  </mc:AlternateContent>
  <xr:revisionPtr revIDLastSave="0" documentId="13_ncr:1_{DF7EEFAB-A573-4DE6-9710-D88BF82BA6DC}" xr6:coauthVersionLast="47" xr6:coauthVersionMax="47" xr10:uidLastSave="{00000000-0000-0000-0000-000000000000}"/>
  <bookViews>
    <workbookView xWindow="-120" yWindow="-120" windowWidth="20730" windowHeight="11040" xr2:uid="{E99DF36D-9DBB-48FB-8E71-6388D44A06F9}"/>
  </bookViews>
  <sheets>
    <sheet name="planilla" sheetId="1" r:id="rId1"/>
    <sheet name="55" sheetId="9" r:id="rId2"/>
    <sheet name="72" sheetId="2" r:id="rId3"/>
    <sheet name="110" sheetId="3" r:id="rId4"/>
    <sheet name="q" sheetId="4" r:id="rId5"/>
    <sheet name="mens" sheetId="5" r:id="rId6"/>
    <sheet name="prest.canc." sheetId="6" r:id="rId7"/>
    <sheet name="estadistica" sheetId="7" r:id="rId8"/>
    <sheet name="tabla de prestamos" sheetId="13" r:id="rId9"/>
    <sheet name="120" sheetId="8" r:id="rId10"/>
    <sheet name="Hoja1" sheetId="14" r:id="rId11"/>
    <sheet name="75" sheetId="10" r:id="rId12"/>
    <sheet name="80" sheetId="11" r:id="rId13"/>
    <sheet name="90" sheetId="12" r:id="rId14"/>
  </sheets>
  <externalReferences>
    <externalReference r:id="rId15"/>
  </externalReferences>
  <definedNames>
    <definedName name="_xlnm._FilterDatabase" localSheetId="7" hidden="1">estadistica!$A$1:$L$270</definedName>
    <definedName name="_xlnm._FilterDatabase" localSheetId="0" hidden="1">planilla!$A$1:$GA$261</definedName>
    <definedName name="_xlnm._FilterDatabase" localSheetId="6" hidden="1">'prest.canc.'!$A$1:$XDA$1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2" i="1" l="1"/>
  <c r="F176" i="1"/>
  <c r="F169" i="1"/>
  <c r="F49" i="1"/>
  <c r="F47" i="1"/>
  <c r="F46" i="1"/>
  <c r="F223" i="1"/>
  <c r="F131" i="1"/>
  <c r="F82" i="1"/>
  <c r="F235" i="1"/>
  <c r="F213" i="1"/>
  <c r="F211" i="1"/>
  <c r="F243" i="1"/>
  <c r="F242" i="1"/>
  <c r="F239" i="1"/>
  <c r="F226" i="1"/>
  <c r="F221" i="1"/>
  <c r="F208" i="1"/>
  <c r="F205" i="1"/>
  <c r="F200" i="1"/>
  <c r="F199" i="1"/>
  <c r="F193" i="1"/>
  <c r="F143" i="1"/>
  <c r="F138" i="1"/>
  <c r="F126" i="1"/>
  <c r="F114" i="1"/>
  <c r="F113" i="1"/>
  <c r="F100" i="1"/>
  <c r="F99" i="1"/>
  <c r="F86" i="1"/>
  <c r="F85" i="1"/>
  <c r="F73" i="1"/>
  <c r="F70" i="1"/>
  <c r="F69" i="1"/>
  <c r="F58" i="1"/>
  <c r="F57" i="1"/>
  <c r="F55" i="1"/>
  <c r="F53" i="1"/>
  <c r="F44" i="1"/>
  <c r="F42" i="1"/>
  <c r="F37" i="1"/>
  <c r="F32" i="1"/>
  <c r="F21" i="1"/>
  <c r="F18" i="1"/>
  <c r="F250" i="1"/>
  <c r="F249" i="1"/>
  <c r="F248" i="1"/>
  <c r="F240" i="1"/>
  <c r="F236" i="1"/>
  <c r="F207" i="1"/>
  <c r="F202" i="1"/>
  <c r="F188" i="1"/>
  <c r="F175" i="1"/>
  <c r="F174" i="1"/>
  <c r="F173" i="1"/>
  <c r="F171" i="1"/>
  <c r="F170" i="1"/>
  <c r="F168" i="1"/>
  <c r="F165" i="1"/>
  <c r="F152" i="1"/>
  <c r="F150" i="1"/>
  <c r="F142" i="1"/>
  <c r="F141" i="1"/>
  <c r="F140" i="1"/>
  <c r="F133" i="1"/>
  <c r="F130" i="1"/>
  <c r="F129" i="1"/>
  <c r="F127" i="1"/>
  <c r="F117" i="1"/>
  <c r="F112" i="1"/>
  <c r="F111" i="1"/>
  <c r="F110" i="1"/>
  <c r="F98" i="1"/>
  <c r="F93" i="1"/>
  <c r="F92" i="1"/>
  <c r="F84" i="1"/>
  <c r="F83" i="1"/>
  <c r="F65" i="1"/>
  <c r="F61" i="1"/>
  <c r="F59" i="1"/>
  <c r="F54" i="1"/>
  <c r="F41" i="1"/>
  <c r="F31" i="1"/>
  <c r="F23" i="1"/>
  <c r="F247" i="1"/>
  <c r="F245" i="1"/>
  <c r="F234" i="1"/>
  <c r="F228" i="1"/>
  <c r="F217" i="1"/>
  <c r="F216" i="1"/>
  <c r="F215" i="1"/>
  <c r="F214" i="1"/>
  <c r="F212" i="1"/>
  <c r="F210" i="1"/>
  <c r="F209" i="1"/>
  <c r="F203" i="1"/>
  <c r="F192" i="1"/>
  <c r="F190" i="1"/>
  <c r="F183" i="1"/>
  <c r="F163" i="1"/>
  <c r="F151" i="1"/>
  <c r="F147" i="1"/>
  <c r="F146" i="1"/>
  <c r="F139" i="1"/>
  <c r="F135" i="1"/>
  <c r="F134" i="1"/>
  <c r="F121" i="1"/>
  <c r="F90" i="1"/>
  <c r="F78" i="1"/>
  <c r="F77" i="1"/>
  <c r="F72" i="1"/>
  <c r="F71" i="1"/>
  <c r="F68" i="1"/>
  <c r="F56" i="1"/>
  <c r="F38" i="1"/>
  <c r="F29" i="1"/>
  <c r="F25" i="1"/>
  <c r="F254" i="1"/>
  <c r="F252" i="1"/>
  <c r="F251" i="1"/>
  <c r="F246" i="1"/>
  <c r="F230" i="1"/>
  <c r="F229" i="1"/>
  <c r="F227" i="1"/>
  <c r="F201" i="1"/>
  <c r="F177" i="1"/>
  <c r="F167" i="1"/>
  <c r="F166" i="1"/>
  <c r="F155" i="1"/>
  <c r="F128" i="1"/>
  <c r="F119" i="1"/>
  <c r="F116" i="1"/>
  <c r="F115" i="1"/>
  <c r="F108" i="1"/>
  <c r="F107" i="1"/>
  <c r="F104" i="1"/>
  <c r="F97" i="1"/>
  <c r="F96" i="1"/>
  <c r="F95" i="1"/>
  <c r="F94" i="1"/>
  <c r="F88" i="1"/>
  <c r="F75" i="1"/>
  <c r="F74" i="1"/>
  <c r="F66" i="1"/>
  <c r="F64" i="1"/>
  <c r="F63" i="1"/>
  <c r="F62" i="1"/>
  <c r="F60" i="1"/>
  <c r="F50" i="1"/>
  <c r="F48" i="1"/>
  <c r="F36" i="1"/>
  <c r="F34" i="1"/>
  <c r="F33" i="1"/>
  <c r="F30" i="1"/>
  <c r="F8" i="1"/>
  <c r="F7" i="1"/>
  <c r="F6" i="1"/>
  <c r="F238" i="1"/>
  <c r="F237" i="1"/>
  <c r="F232" i="1"/>
  <c r="F231" i="1"/>
  <c r="F224" i="1"/>
  <c r="F219" i="1"/>
  <c r="F204" i="1"/>
  <c r="F189" i="1"/>
  <c r="F187" i="1"/>
  <c r="F186" i="1"/>
  <c r="F185" i="1"/>
  <c r="F184" i="1"/>
  <c r="F182" i="1"/>
  <c r="F181" i="1"/>
  <c r="F180" i="1"/>
  <c r="F179" i="1"/>
  <c r="F178" i="1"/>
  <c r="F154" i="1"/>
  <c r="F144" i="1"/>
  <c r="F136" i="1"/>
  <c r="F132" i="1"/>
  <c r="F124" i="1"/>
  <c r="F123" i="1"/>
  <c r="F122" i="1"/>
  <c r="F118" i="1"/>
  <c r="F103" i="1"/>
  <c r="F102" i="1"/>
  <c r="F91" i="1"/>
  <c r="F89" i="1"/>
  <c r="F87" i="1"/>
  <c r="F76" i="1"/>
  <c r="F40" i="1"/>
  <c r="F28" i="1"/>
  <c r="F27" i="1"/>
  <c r="F24" i="1"/>
  <c r="F16" i="1"/>
  <c r="F15" i="1"/>
  <c r="F14" i="1"/>
  <c r="F13" i="1"/>
  <c r="F10" i="1"/>
  <c r="F5" i="1"/>
  <c r="F125" i="1"/>
  <c r="F105" i="1"/>
  <c r="F67" i="1"/>
  <c r="F43" i="1"/>
  <c r="F26" i="1"/>
  <c r="F101" i="1"/>
  <c r="F161" i="1"/>
  <c r="F160" i="1"/>
  <c r="F157" i="1"/>
  <c r="F149" i="1"/>
  <c r="M254" i="1"/>
  <c r="FW256" i="1"/>
  <c r="FY256" i="1" s="1"/>
  <c r="FV256" i="1"/>
  <c r="FX256" i="1" s="1"/>
  <c r="FT256" i="1"/>
  <c r="FU256" i="1" s="1"/>
  <c r="FW255" i="1"/>
  <c r="FY255" i="1" s="1"/>
  <c r="FV255" i="1"/>
  <c r="FX255" i="1" s="1"/>
  <c r="FT255" i="1"/>
  <c r="FU255" i="1" s="1"/>
  <c r="FW257" i="1"/>
  <c r="FY257" i="1" s="1"/>
  <c r="FV257" i="1"/>
  <c r="FX257" i="1" s="1"/>
  <c r="FT257" i="1"/>
  <c r="FU257" i="1" s="1"/>
  <c r="E293" i="7"/>
  <c r="H293" i="7"/>
  <c r="I293" i="7" s="1"/>
  <c r="F253" i="1"/>
  <c r="D4" i="13"/>
  <c r="E4" i="13" s="1"/>
  <c r="M252" i="1"/>
  <c r="FT253" i="1"/>
  <c r="FU253" i="1" s="1"/>
  <c r="FT252" i="1"/>
  <c r="FU252" i="1" s="1"/>
  <c r="FT254" i="1"/>
  <c r="FU254" i="1" s="1"/>
  <c r="M117" i="1"/>
  <c r="L266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BM259" i="1"/>
  <c r="BN259" i="1"/>
  <c r="BO259" i="1"/>
  <c r="BP259" i="1"/>
  <c r="BQ259" i="1"/>
  <c r="BR259" i="1"/>
  <c r="BS259" i="1"/>
  <c r="BT259" i="1"/>
  <c r="BU259" i="1"/>
  <c r="BV259" i="1"/>
  <c r="BW259" i="1"/>
  <c r="BX259" i="1"/>
  <c r="BY259" i="1"/>
  <c r="BZ259" i="1"/>
  <c r="CA259" i="1"/>
  <c r="CB259" i="1"/>
  <c r="CC259" i="1"/>
  <c r="CD259" i="1"/>
  <c r="CE259" i="1"/>
  <c r="CF259" i="1"/>
  <c r="CG259" i="1"/>
  <c r="CH259" i="1"/>
  <c r="CI259" i="1"/>
  <c r="CJ259" i="1"/>
  <c r="CK259" i="1"/>
  <c r="CL259" i="1"/>
  <c r="CM259" i="1"/>
  <c r="CN259" i="1"/>
  <c r="CO259" i="1"/>
  <c r="CP259" i="1"/>
  <c r="CQ259" i="1"/>
  <c r="CR259" i="1"/>
  <c r="CS259" i="1"/>
  <c r="CT259" i="1"/>
  <c r="CU259" i="1"/>
  <c r="CV259" i="1"/>
  <c r="CW259" i="1"/>
  <c r="CX259" i="1"/>
  <c r="CY259" i="1"/>
  <c r="CZ259" i="1"/>
  <c r="DA259" i="1"/>
  <c r="DB259" i="1"/>
  <c r="DC259" i="1"/>
  <c r="DD259" i="1"/>
  <c r="DE259" i="1"/>
  <c r="DF259" i="1"/>
  <c r="DG259" i="1"/>
  <c r="DH259" i="1"/>
  <c r="DI259" i="1"/>
  <c r="DJ259" i="1"/>
  <c r="DK259" i="1"/>
  <c r="DL259" i="1"/>
  <c r="DM259" i="1"/>
  <c r="DN259" i="1"/>
  <c r="DO259" i="1"/>
  <c r="DP259" i="1"/>
  <c r="DQ259" i="1"/>
  <c r="DR259" i="1"/>
  <c r="DS259" i="1"/>
  <c r="DT259" i="1"/>
  <c r="DU259" i="1"/>
  <c r="DV259" i="1"/>
  <c r="DW259" i="1"/>
  <c r="DX259" i="1"/>
  <c r="DY259" i="1"/>
  <c r="DZ259" i="1"/>
  <c r="EA259" i="1"/>
  <c r="EB259" i="1"/>
  <c r="EC259" i="1"/>
  <c r="ED259" i="1"/>
  <c r="EE259" i="1"/>
  <c r="EF259" i="1"/>
  <c r="EG259" i="1"/>
  <c r="EH259" i="1"/>
  <c r="EI259" i="1"/>
  <c r="EJ259" i="1"/>
  <c r="EK259" i="1"/>
  <c r="EL259" i="1"/>
  <c r="EM259" i="1"/>
  <c r="EN259" i="1"/>
  <c r="EO259" i="1"/>
  <c r="EP259" i="1"/>
  <c r="EQ259" i="1"/>
  <c r="ER259" i="1"/>
  <c r="ES259" i="1"/>
  <c r="ET259" i="1"/>
  <c r="EU259" i="1"/>
  <c r="EV259" i="1"/>
  <c r="EW259" i="1"/>
  <c r="EX259" i="1"/>
  <c r="EY259" i="1"/>
  <c r="EZ259" i="1"/>
  <c r="FA259" i="1"/>
  <c r="FB259" i="1"/>
  <c r="FC259" i="1"/>
  <c r="FD259" i="1"/>
  <c r="FE259" i="1"/>
  <c r="FF259" i="1"/>
  <c r="FG259" i="1"/>
  <c r="FH259" i="1"/>
  <c r="FI259" i="1"/>
  <c r="FJ259" i="1"/>
  <c r="FK259" i="1"/>
  <c r="FL259" i="1"/>
  <c r="FM259" i="1"/>
  <c r="FN259" i="1"/>
  <c r="FO259" i="1"/>
  <c r="FP259" i="1"/>
  <c r="FQ259" i="1"/>
  <c r="FR259" i="1"/>
  <c r="FS259" i="1"/>
  <c r="L267" i="1" s="1"/>
  <c r="FT3" i="1"/>
  <c r="FT4" i="1"/>
  <c r="FU4" i="1" s="1"/>
  <c r="FT5" i="1"/>
  <c r="FT6" i="1"/>
  <c r="FU6" i="1" s="1"/>
  <c r="FT7" i="1"/>
  <c r="FU7" i="1" s="1"/>
  <c r="FT8" i="1"/>
  <c r="FT9" i="1"/>
  <c r="FU9" i="1" s="1"/>
  <c r="FT10" i="1"/>
  <c r="FT11" i="1"/>
  <c r="FT12" i="1"/>
  <c r="FT13" i="1"/>
  <c r="FU13" i="1" s="1"/>
  <c r="FT14" i="1"/>
  <c r="FT15" i="1"/>
  <c r="FU15" i="1" s="1"/>
  <c r="FT17" i="1"/>
  <c r="FT18" i="1"/>
  <c r="FT19" i="1"/>
  <c r="FT20" i="1"/>
  <c r="FT21" i="1"/>
  <c r="FT22" i="1"/>
  <c r="FT23" i="1"/>
  <c r="FT24" i="1"/>
  <c r="FU24" i="1" s="1"/>
  <c r="FT25" i="1"/>
  <c r="FT26" i="1"/>
  <c r="FU26" i="1" s="1"/>
  <c r="FT27" i="1"/>
  <c r="FT28" i="1"/>
  <c r="FU28" i="1" s="1"/>
  <c r="FT29" i="1"/>
  <c r="FT30" i="1"/>
  <c r="FU30" i="1" s="1"/>
  <c r="FT32" i="1"/>
  <c r="FU32" i="1" s="1"/>
  <c r="FT33" i="1"/>
  <c r="FT34" i="1"/>
  <c r="FU34" i="1" s="1"/>
  <c r="FT35" i="1"/>
  <c r="FU35" i="1" s="1"/>
  <c r="FT36" i="1"/>
  <c r="FT37" i="1"/>
  <c r="FT38" i="1"/>
  <c r="FT39" i="1"/>
  <c r="FU39" i="1" s="1"/>
  <c r="FT40" i="1"/>
  <c r="FT41" i="1"/>
  <c r="FU41" i="1" s="1"/>
  <c r="FT42" i="1"/>
  <c r="FT43" i="1"/>
  <c r="FT44" i="1"/>
  <c r="FT45" i="1"/>
  <c r="FT46" i="1"/>
  <c r="FT47" i="1"/>
  <c r="FT48" i="1"/>
  <c r="FT49" i="1"/>
  <c r="FT50" i="1"/>
  <c r="FT51" i="1"/>
  <c r="FT52" i="1"/>
  <c r="FT53" i="1"/>
  <c r="FT54" i="1"/>
  <c r="FT55" i="1"/>
  <c r="FU55" i="1" s="1"/>
  <c r="FT56" i="1"/>
  <c r="FT57" i="1"/>
  <c r="FU57" i="1" s="1"/>
  <c r="FT58" i="1"/>
  <c r="FT59" i="1"/>
  <c r="FT60" i="1"/>
  <c r="FT61" i="1"/>
  <c r="FT62" i="1"/>
  <c r="FT63" i="1"/>
  <c r="FU63" i="1" s="1"/>
  <c r="FT64" i="1"/>
  <c r="FT65" i="1"/>
  <c r="FU65" i="1" s="1"/>
  <c r="FT66" i="1"/>
  <c r="FU66" i="1" s="1"/>
  <c r="FT67" i="1"/>
  <c r="FT68" i="1"/>
  <c r="FT69" i="1"/>
  <c r="FT70" i="1"/>
  <c r="FT71" i="1"/>
  <c r="FT72" i="1"/>
  <c r="FT73" i="1"/>
  <c r="FT74" i="1"/>
  <c r="FU74" i="1" s="1"/>
  <c r="FT75" i="1"/>
  <c r="FT77" i="1"/>
  <c r="FT79" i="1"/>
  <c r="FT80" i="1"/>
  <c r="FT81" i="1"/>
  <c r="FT82" i="1"/>
  <c r="FT83" i="1"/>
  <c r="FT84" i="1"/>
  <c r="FT85" i="1"/>
  <c r="FT86" i="1"/>
  <c r="FT87" i="1"/>
  <c r="FT88" i="1"/>
  <c r="FT89" i="1"/>
  <c r="FU89" i="1" s="1"/>
  <c r="FT90" i="1"/>
  <c r="FT91" i="1"/>
  <c r="FU91" i="1" s="1"/>
  <c r="FT92" i="1"/>
  <c r="FT93" i="1"/>
  <c r="FT94" i="1"/>
  <c r="FT95" i="1"/>
  <c r="FT96" i="1"/>
  <c r="FT97" i="1"/>
  <c r="FT98" i="1"/>
  <c r="FT99" i="1"/>
  <c r="FT100" i="1"/>
  <c r="FT102" i="1"/>
  <c r="FT103" i="1"/>
  <c r="FU103" i="1" s="1"/>
  <c r="FT104" i="1"/>
  <c r="FT105" i="1"/>
  <c r="FU105" i="1" s="1"/>
  <c r="FT106" i="1"/>
  <c r="FT107" i="1"/>
  <c r="FU107" i="1" s="1"/>
  <c r="FT109" i="1"/>
  <c r="FU109" i="1" s="1"/>
  <c r="FT110" i="1"/>
  <c r="FT111" i="1"/>
  <c r="FT112" i="1"/>
  <c r="FT113" i="1"/>
  <c r="FT114" i="1"/>
  <c r="FT115" i="1"/>
  <c r="FU115" i="1" s="1"/>
  <c r="FT116" i="1"/>
  <c r="FU116" i="1" s="1"/>
  <c r="FT118" i="1"/>
  <c r="FT119" i="1"/>
  <c r="FU119" i="1" s="1"/>
  <c r="FT120" i="1"/>
  <c r="FT121" i="1"/>
  <c r="FT122" i="1"/>
  <c r="FT123" i="1"/>
  <c r="FU123" i="1" s="1"/>
  <c r="FT124" i="1"/>
  <c r="FT125" i="1"/>
  <c r="FU125" i="1" s="1"/>
  <c r="FT126" i="1"/>
  <c r="FT127" i="1"/>
  <c r="FT128" i="1"/>
  <c r="FU128" i="1" s="1"/>
  <c r="FT129" i="1"/>
  <c r="FT130" i="1"/>
  <c r="FT131" i="1"/>
  <c r="FT132" i="1"/>
  <c r="FT133" i="1"/>
  <c r="FT134" i="1"/>
  <c r="FT136" i="1"/>
  <c r="FT137" i="1"/>
  <c r="FT138" i="1"/>
  <c r="FT139" i="1"/>
  <c r="FT140" i="1"/>
  <c r="FT141" i="1"/>
  <c r="FT142" i="1"/>
  <c r="FU142" i="1" s="1"/>
  <c r="FT143" i="1"/>
  <c r="FT144" i="1"/>
  <c r="FT145" i="1"/>
  <c r="FU145" i="1" s="1"/>
  <c r="FT146" i="1"/>
  <c r="FT147" i="1"/>
  <c r="FT148" i="1"/>
  <c r="FU148" i="1" s="1"/>
  <c r="FT150" i="1"/>
  <c r="FT151" i="1"/>
  <c r="FT152" i="1"/>
  <c r="FT153" i="1"/>
  <c r="FU153" i="1" s="1"/>
  <c r="FT154" i="1"/>
  <c r="FT155" i="1"/>
  <c r="FT156" i="1"/>
  <c r="FT157" i="1"/>
  <c r="FT158" i="1"/>
  <c r="FU158" i="1" s="1"/>
  <c r="FT159" i="1"/>
  <c r="FU159" i="1" s="1"/>
  <c r="FT160" i="1"/>
  <c r="FU160" i="1" s="1"/>
  <c r="FT161" i="1"/>
  <c r="FU161" i="1" s="1"/>
  <c r="FT162" i="1"/>
  <c r="FT163" i="1"/>
  <c r="FT164" i="1"/>
  <c r="FT165" i="1"/>
  <c r="FT166" i="1"/>
  <c r="FT167" i="1"/>
  <c r="FT169" i="1"/>
  <c r="FT170" i="1"/>
  <c r="FT171" i="1"/>
  <c r="FT172" i="1"/>
  <c r="FT173" i="1"/>
  <c r="FU173" i="1" s="1"/>
  <c r="FT174" i="1"/>
  <c r="FT175" i="1"/>
  <c r="FU175" i="1" s="1"/>
  <c r="FT176" i="1"/>
  <c r="FU176" i="1" s="1"/>
  <c r="FT177" i="1"/>
  <c r="FU177" i="1" s="1"/>
  <c r="FT178" i="1"/>
  <c r="FT179" i="1"/>
  <c r="FT180" i="1"/>
  <c r="FT181" i="1"/>
  <c r="FU181" i="1" s="1"/>
  <c r="FT182" i="1"/>
  <c r="FT183" i="1"/>
  <c r="FU183" i="1" s="1"/>
  <c r="FT184" i="1"/>
  <c r="FU184" i="1" s="1"/>
  <c r="FT185" i="1"/>
  <c r="FU185" i="1" s="1"/>
  <c r="FT186" i="1"/>
  <c r="FU186" i="1" s="1"/>
  <c r="FT187" i="1"/>
  <c r="FU187" i="1" s="1"/>
  <c r="FT188" i="1"/>
  <c r="FT189" i="1"/>
  <c r="FT190" i="1"/>
  <c r="FT191" i="1"/>
  <c r="FT192" i="1"/>
  <c r="FU192" i="1" s="1"/>
  <c r="FT193" i="1"/>
  <c r="FT194" i="1"/>
  <c r="FU194" i="1" s="1"/>
  <c r="FT195" i="1"/>
  <c r="H195" i="1" s="1"/>
  <c r="I195" i="1" s="1"/>
  <c r="FW195" i="1" s="1"/>
  <c r="FY195" i="1" s="1"/>
  <c r="FT196" i="1"/>
  <c r="H196" i="1" s="1"/>
  <c r="FT197" i="1"/>
  <c r="FU197" i="1" s="1"/>
  <c r="FT199" i="1"/>
  <c r="FT200" i="1"/>
  <c r="FU200" i="1" s="1"/>
  <c r="FT201" i="1"/>
  <c r="FU201" i="1" s="1"/>
  <c r="FT202" i="1"/>
  <c r="FU202" i="1" s="1"/>
  <c r="FT203" i="1"/>
  <c r="FT204" i="1"/>
  <c r="FT205" i="1"/>
  <c r="FT206" i="1"/>
  <c r="FT207" i="1"/>
  <c r="FU207" i="1" s="1"/>
  <c r="FT208" i="1"/>
  <c r="FT209" i="1"/>
  <c r="FT210" i="1"/>
  <c r="FT211" i="1"/>
  <c r="FT212" i="1"/>
  <c r="FU212" i="1" s="1"/>
  <c r="FT213" i="1"/>
  <c r="FT214" i="1"/>
  <c r="FT215" i="1"/>
  <c r="FT216" i="1"/>
  <c r="FU216" i="1" s="1"/>
  <c r="FT217" i="1"/>
  <c r="FU217" i="1" s="1"/>
  <c r="FT219" i="1"/>
  <c r="FU219" i="1" s="1"/>
  <c r="FT220" i="1"/>
  <c r="FU220" i="1" s="1"/>
  <c r="FT221" i="1"/>
  <c r="FT222" i="1"/>
  <c r="FT223" i="1"/>
  <c r="FT224" i="1"/>
  <c r="FT225" i="1"/>
  <c r="FT226" i="1"/>
  <c r="FT227" i="1"/>
  <c r="FT228" i="1"/>
  <c r="FT229" i="1"/>
  <c r="FT230" i="1"/>
  <c r="FU230" i="1" s="1"/>
  <c r="FT231" i="1"/>
  <c r="FT232" i="1"/>
  <c r="H232" i="1" s="1"/>
  <c r="FT233" i="1"/>
  <c r="FT234" i="1"/>
  <c r="FT235" i="1"/>
  <c r="FU235" i="1" s="1"/>
  <c r="FT236" i="1"/>
  <c r="FT237" i="1"/>
  <c r="FU237" i="1" s="1"/>
  <c r="FT238" i="1"/>
  <c r="FT239" i="1"/>
  <c r="FT240" i="1"/>
  <c r="FT241" i="1"/>
  <c r="FU241" i="1" s="1"/>
  <c r="FT242" i="1"/>
  <c r="FT243" i="1"/>
  <c r="FT244" i="1"/>
  <c r="FU244" i="1" s="1"/>
  <c r="FT245" i="1"/>
  <c r="FU245" i="1" s="1"/>
  <c r="FT246" i="1"/>
  <c r="FT247" i="1"/>
  <c r="FU247" i="1" s="1"/>
  <c r="FT248" i="1"/>
  <c r="FT249" i="1"/>
  <c r="FT250" i="1"/>
  <c r="FT251" i="1"/>
  <c r="FT78" i="1"/>
  <c r="FU78" i="1" s="1"/>
  <c r="FT135" i="1"/>
  <c r="FT198" i="1"/>
  <c r="H198" i="1" s="1"/>
  <c r="I198" i="1" s="1"/>
  <c r="FW198" i="1" s="1"/>
  <c r="FY198" i="1" s="1"/>
  <c r="FT149" i="1"/>
  <c r="FU149" i="1" s="1"/>
  <c r="FT101" i="1"/>
  <c r="FU101" i="1" s="1"/>
  <c r="FT31" i="1"/>
  <c r="FU31" i="1" s="1"/>
  <c r="FT218" i="1"/>
  <c r="FU218" i="1" s="1"/>
  <c r="FT108" i="1"/>
  <c r="FU108" i="1" s="1"/>
  <c r="FT168" i="1"/>
  <c r="FU168" i="1" s="1"/>
  <c r="FT76" i="1"/>
  <c r="FU76" i="1" s="1"/>
  <c r="FT16" i="1"/>
  <c r="FU16" i="1" s="1"/>
  <c r="FT117" i="1"/>
  <c r="H117" i="1" s="1"/>
  <c r="I117" i="1" s="1"/>
  <c r="FW117" i="1" s="1"/>
  <c r="FY117" i="1" s="1"/>
  <c r="FT258" i="1"/>
  <c r="FU258" i="1" s="1"/>
  <c r="FT2" i="1"/>
  <c r="M1147" i="6"/>
  <c r="H1147" i="6"/>
  <c r="I1147" i="6" s="1"/>
  <c r="F1147" i="6"/>
  <c r="I292" i="7"/>
  <c r="H292" i="7"/>
  <c r="E292" i="7"/>
  <c r="M16" i="1"/>
  <c r="M76" i="1"/>
  <c r="M168" i="1"/>
  <c r="M108" i="1"/>
  <c r="M218" i="1"/>
  <c r="F218" i="1"/>
  <c r="FW218" i="1"/>
  <c r="FY218" i="1" s="1"/>
  <c r="M31" i="1"/>
  <c r="I101" i="1"/>
  <c r="FW101" i="1" s="1"/>
  <c r="FY101" i="1" s="1"/>
  <c r="M101" i="1"/>
  <c r="FV101" i="1"/>
  <c r="FX101" i="1" s="1"/>
  <c r="F198" i="1"/>
  <c r="M78" i="1"/>
  <c r="M135" i="1"/>
  <c r="I291" i="7"/>
  <c r="H291" i="7"/>
  <c r="E291" i="7"/>
  <c r="M41" i="1"/>
  <c r="M235" i="1"/>
  <c r="M39" i="1"/>
  <c r="F39" i="1"/>
  <c r="FW135" i="1"/>
  <c r="FY135" i="1" s="1"/>
  <c r="F109" i="1"/>
  <c r="F197" i="1"/>
  <c r="M128" i="1"/>
  <c r="M187" i="1"/>
  <c r="F220" i="1"/>
  <c r="M63" i="1"/>
  <c r="M64" i="1"/>
  <c r="M65" i="1"/>
  <c r="F159" i="1"/>
  <c r="F196" i="1"/>
  <c r="F158" i="1"/>
  <c r="M116" i="1"/>
  <c r="M66" i="1"/>
  <c r="F195" i="1"/>
  <c r="FW258" i="1"/>
  <c r="FY258" i="1" s="1"/>
  <c r="FV258" i="1"/>
  <c r="FX258" i="1" s="1"/>
  <c r="M7" i="1"/>
  <c r="M145" i="1"/>
  <c r="F145" i="1"/>
  <c r="E290" i="7"/>
  <c r="M241" i="1"/>
  <c r="F241" i="1"/>
  <c r="F194" i="1"/>
  <c r="M32" i="1"/>
  <c r="M119" i="1"/>
  <c r="M91" i="1"/>
  <c r="M186" i="1"/>
  <c r="M35" i="1"/>
  <c r="F35" i="1"/>
  <c r="F244" i="1"/>
  <c r="D9" i="13"/>
  <c r="E9" i="13" s="1"/>
  <c r="H290" i="7"/>
  <c r="I290" i="7" s="1"/>
  <c r="M134" i="1"/>
  <c r="M176" i="1"/>
  <c r="E289" i="7"/>
  <c r="M185" i="1"/>
  <c r="M247" i="1"/>
  <c r="H289" i="7"/>
  <c r="I289" i="7" s="1"/>
  <c r="M107" i="1"/>
  <c r="P1115" i="6"/>
  <c r="F1115" i="6"/>
  <c r="M1115" i="6"/>
  <c r="M175" i="1"/>
  <c r="M217" i="1"/>
  <c r="M244" i="1"/>
  <c r="F9" i="1"/>
  <c r="M5" i="1"/>
  <c r="F156" i="1"/>
  <c r="M115" i="1"/>
  <c r="M123" i="1"/>
  <c r="H288" i="7"/>
  <c r="I288" i="7" s="1"/>
  <c r="E288" i="7"/>
  <c r="M15" i="1"/>
  <c r="M6" i="1"/>
  <c r="M11" i="1"/>
  <c r="F11" i="1"/>
  <c r="M184" i="1"/>
  <c r="M34" i="1"/>
  <c r="H287" i="7"/>
  <c r="I287" i="7" s="1"/>
  <c r="E287" i="7"/>
  <c r="M174" i="1"/>
  <c r="M105" i="1"/>
  <c r="M4" i="1"/>
  <c r="F4" i="1"/>
  <c r="M221" i="1"/>
  <c r="M167" i="1"/>
  <c r="M28" i="1"/>
  <c r="M230" i="1"/>
  <c r="M90" i="1"/>
  <c r="M14" i="1"/>
  <c r="H286" i="7"/>
  <c r="I286" i="7" s="1"/>
  <c r="E286" i="7"/>
  <c r="M153" i="1"/>
  <c r="F153" i="1"/>
  <c r="M201" i="1"/>
  <c r="M227" i="1"/>
  <c r="F233" i="1"/>
  <c r="M100" i="1"/>
  <c r="M245" i="1"/>
  <c r="M57" i="1"/>
  <c r="M102" i="1"/>
  <c r="M133" i="1"/>
  <c r="C267" i="1"/>
  <c r="M125" i="1"/>
  <c r="M192" i="1"/>
  <c r="M67" i="1"/>
  <c r="M48" i="1"/>
  <c r="F148" i="1"/>
  <c r="H285" i="7"/>
  <c r="I285" i="7" s="1"/>
  <c r="E285" i="7"/>
  <c r="M38" i="1"/>
  <c r="M74" i="1"/>
  <c r="M103" i="1"/>
  <c r="E284" i="7"/>
  <c r="H284" i="7"/>
  <c r="I284" i="7" s="1"/>
  <c r="M114" i="1"/>
  <c r="M55" i="1"/>
  <c r="M200" i="1"/>
  <c r="I283" i="7"/>
  <c r="H283" i="7"/>
  <c r="M154" i="1"/>
  <c r="M213" i="1"/>
  <c r="M238" i="1"/>
  <c r="M183" i="1"/>
  <c r="M26" i="1"/>
  <c r="M142" i="1"/>
  <c r="E283" i="7"/>
  <c r="M89" i="1"/>
  <c r="M216" i="1"/>
  <c r="M122" i="1"/>
  <c r="M166" i="1"/>
  <c r="M25" i="1"/>
  <c r="M97" i="1"/>
  <c r="H282" i="7"/>
  <c r="I282" i="7" s="1"/>
  <c r="E282" i="7"/>
  <c r="M132" i="1"/>
  <c r="M13" i="1"/>
  <c r="M8" i="1"/>
  <c r="M152" i="1"/>
  <c r="M24" i="1"/>
  <c r="M207" i="1"/>
  <c r="H281" i="7"/>
  <c r="I281" i="7" s="1"/>
  <c r="E281" i="7"/>
  <c r="P1028" i="6"/>
  <c r="H1028" i="6"/>
  <c r="I1028" i="6" s="1"/>
  <c r="F1028" i="6"/>
  <c r="M205" i="1"/>
  <c r="M155" i="1"/>
  <c r="M62" i="1"/>
  <c r="M30" i="1"/>
  <c r="M27" i="1"/>
  <c r="M96" i="1"/>
  <c r="M113" i="1"/>
  <c r="M1027" i="6"/>
  <c r="H1027" i="6" s="1"/>
  <c r="I1027" i="6" s="1"/>
  <c r="F1027" i="6"/>
  <c r="M182" i="1"/>
  <c r="M40" i="1"/>
  <c r="M33" i="1"/>
  <c r="E280" i="7"/>
  <c r="H280" i="7"/>
  <c r="I280" i="7" s="1"/>
  <c r="E279" i="7"/>
  <c r="H279" i="7"/>
  <c r="I279" i="7" s="1"/>
  <c r="M104" i="1"/>
  <c r="M56" i="1"/>
  <c r="M10" i="1"/>
  <c r="M61" i="1"/>
  <c r="M202" i="1"/>
  <c r="M219" i="1"/>
  <c r="M77" i="1"/>
  <c r="M231" i="1"/>
  <c r="M95" i="1"/>
  <c r="M118" i="1"/>
  <c r="E278" i="7"/>
  <c r="H278" i="7"/>
  <c r="I278" i="7" s="1"/>
  <c r="M99" i="1"/>
  <c r="M173" i="1"/>
  <c r="H277" i="7"/>
  <c r="I277" i="7" s="1"/>
  <c r="E277" i="7"/>
  <c r="M60" i="1"/>
  <c r="M23" i="1"/>
  <c r="M29" i="1"/>
  <c r="M106" i="1"/>
  <c r="F106" i="1"/>
  <c r="M3" i="1"/>
  <c r="F3" i="1"/>
  <c r="M181" i="1"/>
  <c r="M22" i="1"/>
  <c r="F22" i="1"/>
  <c r="M243" i="1"/>
  <c r="M206" i="1"/>
  <c r="F206" i="1"/>
  <c r="E276" i="7"/>
  <c r="M172" i="1"/>
  <c r="F172" i="1"/>
  <c r="H276" i="7"/>
  <c r="I276" i="7" s="1"/>
  <c r="M94" i="1"/>
  <c r="M212" i="1"/>
  <c r="H275" i="7"/>
  <c r="I275" i="7" s="1"/>
  <c r="E275" i="7"/>
  <c r="M59" i="1"/>
  <c r="M165" i="1"/>
  <c r="M54" i="1"/>
  <c r="M171" i="1"/>
  <c r="M177" i="1"/>
  <c r="M150" i="1"/>
  <c r="M229" i="1"/>
  <c r="M237" i="1"/>
  <c r="M112" i="1"/>
  <c r="M124" i="1"/>
  <c r="E274" i="7"/>
  <c r="H274" i="7"/>
  <c r="G22" i="13"/>
  <c r="F22" i="13" s="1"/>
  <c r="H22" i="13" s="1"/>
  <c r="M140" i="1"/>
  <c r="M246" i="1"/>
  <c r="G24" i="13"/>
  <c r="F24" i="13" s="1"/>
  <c r="H24" i="13" s="1"/>
  <c r="G23" i="13"/>
  <c r="F23" i="13" s="1"/>
  <c r="H23" i="13" s="1"/>
  <c r="E20" i="13"/>
  <c r="F11" i="13"/>
  <c r="A11" i="13"/>
  <c r="D8" i="13"/>
  <c r="F8" i="13" s="1"/>
  <c r="D7" i="13"/>
  <c r="E7" i="13" s="1"/>
  <c r="D6" i="13"/>
  <c r="F6" i="13" s="1"/>
  <c r="D5" i="13"/>
  <c r="E5" i="13" s="1"/>
  <c r="FU117" i="1" l="1"/>
  <c r="H254" i="1"/>
  <c r="I254" i="1" s="1"/>
  <c r="FW254" i="1" s="1"/>
  <c r="FY254" i="1" s="1"/>
  <c r="F4" i="13"/>
  <c r="B13" i="13" s="1"/>
  <c r="H252" i="1"/>
  <c r="H253" i="1"/>
  <c r="I253" i="1" s="1"/>
  <c r="FW253" i="1" s="1"/>
  <c r="FY253" i="1" s="1"/>
  <c r="FV117" i="1"/>
  <c r="FX117" i="1" s="1"/>
  <c r="H135" i="1"/>
  <c r="FV135" i="1" s="1"/>
  <c r="FX135" i="1" s="1"/>
  <c r="H76" i="1"/>
  <c r="FV76" i="1" s="1"/>
  <c r="FX76" i="1" s="1"/>
  <c r="H218" i="1"/>
  <c r="FV218" i="1" s="1"/>
  <c r="FX218" i="1" s="1"/>
  <c r="H108" i="1"/>
  <c r="H16" i="1"/>
  <c r="I76" i="1"/>
  <c r="FW76" i="1" s="1"/>
  <c r="FY76" i="1" s="1"/>
  <c r="H168" i="1"/>
  <c r="H31" i="1"/>
  <c r="FU135" i="1"/>
  <c r="H160" i="1"/>
  <c r="I160" i="1" s="1"/>
  <c r="FW160" i="1" s="1"/>
  <c r="FY160" i="1" s="1"/>
  <c r="H149" i="1"/>
  <c r="FU198" i="1"/>
  <c r="H78" i="1"/>
  <c r="I78" i="1" s="1"/>
  <c r="FW78" i="1" s="1"/>
  <c r="FY78" i="1" s="1"/>
  <c r="FV198" i="1"/>
  <c r="FX198" i="1" s="1"/>
  <c r="FV78" i="1"/>
  <c r="FX78" i="1" s="1"/>
  <c r="H4" i="1"/>
  <c r="I4" i="1" s="1"/>
  <c r="FW4" i="1" s="1"/>
  <c r="FY4" i="1" s="1"/>
  <c r="H65" i="1"/>
  <c r="I65" i="1" s="1"/>
  <c r="FW65" i="1" s="1"/>
  <c r="FY65" i="1" s="1"/>
  <c r="H41" i="1"/>
  <c r="H39" i="1"/>
  <c r="H235" i="1"/>
  <c r="H187" i="1"/>
  <c r="H197" i="1"/>
  <c r="H109" i="1"/>
  <c r="I109" i="1" s="1"/>
  <c r="FW109" i="1" s="1"/>
  <c r="FY109" i="1" s="1"/>
  <c r="H159" i="1"/>
  <c r="I159" i="1" s="1"/>
  <c r="FW159" i="1" s="1"/>
  <c r="FY159" i="1" s="1"/>
  <c r="FU196" i="1"/>
  <c r="H128" i="1"/>
  <c r="H220" i="1"/>
  <c r="I196" i="1"/>
  <c r="FW196" i="1" s="1"/>
  <c r="FY196" i="1" s="1"/>
  <c r="FV196" i="1"/>
  <c r="FX196" i="1" s="1"/>
  <c r="H116" i="1"/>
  <c r="H66" i="1"/>
  <c r="H158" i="1"/>
  <c r="H140" i="1"/>
  <c r="I140" i="1" s="1"/>
  <c r="FW140" i="1" s="1"/>
  <c r="FY140" i="1" s="1"/>
  <c r="H171" i="1"/>
  <c r="I171" i="1" s="1"/>
  <c r="FW171" i="1" s="1"/>
  <c r="FY171" i="1" s="1"/>
  <c r="H212" i="1"/>
  <c r="FV212" i="1" s="1"/>
  <c r="FX212" i="1" s="1"/>
  <c r="H173" i="1"/>
  <c r="FV173" i="1" s="1"/>
  <c r="FX173" i="1" s="1"/>
  <c r="H142" i="1"/>
  <c r="I142" i="1" s="1"/>
  <c r="FW142" i="1" s="1"/>
  <c r="FY142" i="1" s="1"/>
  <c r="H103" i="1"/>
  <c r="I103" i="1" s="1"/>
  <c r="FW103" i="1" s="1"/>
  <c r="FY103" i="1" s="1"/>
  <c r="H123" i="1"/>
  <c r="I123" i="1" s="1"/>
  <c r="FW123" i="1" s="1"/>
  <c r="FY123" i="1" s="1"/>
  <c r="FU195" i="1"/>
  <c r="FV195" i="1"/>
  <c r="FX195" i="1" s="1"/>
  <c r="H112" i="1"/>
  <c r="I112" i="1" s="1"/>
  <c r="FW112" i="1" s="1"/>
  <c r="FY112" i="1" s="1"/>
  <c r="H237" i="1"/>
  <c r="I237" i="1" s="1"/>
  <c r="FW237" i="1" s="1"/>
  <c r="FY237" i="1" s="1"/>
  <c r="H59" i="1"/>
  <c r="I59" i="1" s="1"/>
  <c r="FW59" i="1" s="1"/>
  <c r="FY59" i="1" s="1"/>
  <c r="H94" i="1"/>
  <c r="I94" i="1" s="1"/>
  <c r="FW94" i="1" s="1"/>
  <c r="FY94" i="1" s="1"/>
  <c r="H22" i="1"/>
  <c r="I22" i="1" s="1"/>
  <c r="FW22" i="1" s="1"/>
  <c r="FY22" i="1" s="1"/>
  <c r="H99" i="1"/>
  <c r="I99" i="1" s="1"/>
  <c r="FW99" i="1" s="1"/>
  <c r="FY99" i="1" s="1"/>
  <c r="H61" i="1"/>
  <c r="I61" i="1" s="1"/>
  <c r="FW61" i="1" s="1"/>
  <c r="FY61" i="1" s="1"/>
  <c r="H96" i="1"/>
  <c r="I96" i="1" s="1"/>
  <c r="FW96" i="1" s="1"/>
  <c r="FY96" i="1" s="1"/>
  <c r="H30" i="1"/>
  <c r="I30" i="1" s="1"/>
  <c r="FW30" i="1" s="1"/>
  <c r="FY30" i="1" s="1"/>
  <c r="H155" i="1"/>
  <c r="FV155" i="1" s="1"/>
  <c r="FX155" i="1" s="1"/>
  <c r="H24" i="1"/>
  <c r="FV24" i="1" s="1"/>
  <c r="FX24" i="1" s="1"/>
  <c r="H55" i="1"/>
  <c r="FV55" i="1" s="1"/>
  <c r="FX55" i="1" s="1"/>
  <c r="H34" i="1"/>
  <c r="FV34" i="1" s="1"/>
  <c r="FX34" i="1" s="1"/>
  <c r="H11" i="1"/>
  <c r="FV11" i="1" s="1"/>
  <c r="FX11" i="1" s="1"/>
  <c r="H6" i="1"/>
  <c r="FV6" i="1" s="1"/>
  <c r="FX6" i="1" s="1"/>
  <c r="H15" i="1"/>
  <c r="FV15" i="1" s="1"/>
  <c r="FX15" i="1" s="1"/>
  <c r="H105" i="1"/>
  <c r="FV105" i="1" s="1"/>
  <c r="FX105" i="1" s="1"/>
  <c r="H246" i="1"/>
  <c r="I246" i="1" s="1"/>
  <c r="FW246" i="1" s="1"/>
  <c r="FY246" i="1" s="1"/>
  <c r="H166" i="1"/>
  <c r="FV166" i="1" s="1"/>
  <c r="FX166" i="1" s="1"/>
  <c r="H40" i="1"/>
  <c r="FV40" i="1" s="1"/>
  <c r="FX40" i="1" s="1"/>
  <c r="H219" i="1"/>
  <c r="I219" i="1" s="1"/>
  <c r="FW219" i="1" s="1"/>
  <c r="FY219" i="1" s="1"/>
  <c r="H13" i="1"/>
  <c r="I13" i="1" s="1"/>
  <c r="FW13" i="1" s="1"/>
  <c r="FY13" i="1" s="1"/>
  <c r="H132" i="1"/>
  <c r="I132" i="1" s="1"/>
  <c r="FW132" i="1" s="1"/>
  <c r="FY132" i="1" s="1"/>
  <c r="H97" i="1"/>
  <c r="FV97" i="1" s="1"/>
  <c r="FX97" i="1" s="1"/>
  <c r="H74" i="1"/>
  <c r="FV74" i="1" s="1"/>
  <c r="FX74" i="1" s="1"/>
  <c r="H57" i="1"/>
  <c r="FV57" i="1" s="1"/>
  <c r="FX57" i="1" s="1"/>
  <c r="H153" i="1"/>
  <c r="FV153" i="1" s="1"/>
  <c r="FX153" i="1" s="1"/>
  <c r="H28" i="1"/>
  <c r="FV28" i="1" s="1"/>
  <c r="FX28" i="1" s="1"/>
  <c r="H115" i="1"/>
  <c r="I115" i="1" s="1"/>
  <c r="FW115" i="1" s="1"/>
  <c r="FY115" i="1" s="1"/>
  <c r="H107" i="1"/>
  <c r="I107" i="1" s="1"/>
  <c r="FW107" i="1" s="1"/>
  <c r="FY107" i="1" s="1"/>
  <c r="H119" i="1"/>
  <c r="FV119" i="1" s="1"/>
  <c r="FX119" i="1" s="1"/>
  <c r="H247" i="1"/>
  <c r="I247" i="1" s="1"/>
  <c r="FW247" i="1" s="1"/>
  <c r="FY247" i="1" s="1"/>
  <c r="H161" i="1"/>
  <c r="I161" i="1" s="1"/>
  <c r="FW161" i="1" s="1"/>
  <c r="FY161" i="1" s="1"/>
  <c r="H238" i="1"/>
  <c r="H206" i="1"/>
  <c r="I206" i="1" s="1"/>
  <c r="FW206" i="1" s="1"/>
  <c r="FY206" i="1" s="1"/>
  <c r="H172" i="1"/>
  <c r="H118" i="1"/>
  <c r="H104" i="1"/>
  <c r="I104" i="1" s="1"/>
  <c r="FW104" i="1" s="1"/>
  <c r="FY104" i="1" s="1"/>
  <c r="H77" i="1"/>
  <c r="I77" i="1" s="1"/>
  <c r="FW77" i="1" s="1"/>
  <c r="FY77" i="1" s="1"/>
  <c r="H33" i="1"/>
  <c r="I33" i="1" s="1"/>
  <c r="FW33" i="1" s="1"/>
  <c r="FY33" i="1" s="1"/>
  <c r="H25" i="1"/>
  <c r="I25" i="1" s="1"/>
  <c r="FW25" i="1" s="1"/>
  <c r="FY25" i="1" s="1"/>
  <c r="H23" i="1"/>
  <c r="I23" i="1" s="1"/>
  <c r="FW23" i="1" s="1"/>
  <c r="FY23" i="1" s="1"/>
  <c r="H8" i="1"/>
  <c r="FV8" i="1" s="1"/>
  <c r="FX8" i="1" s="1"/>
  <c r="H194" i="1"/>
  <c r="I194" i="1" s="1"/>
  <c r="FW194" i="1" s="1"/>
  <c r="FY194" i="1" s="1"/>
  <c r="H175" i="1"/>
  <c r="FV175" i="1" s="1"/>
  <c r="FX175" i="1" s="1"/>
  <c r="H200" i="1"/>
  <c r="FV200" i="1" s="1"/>
  <c r="FX200" i="1" s="1"/>
  <c r="H213" i="1"/>
  <c r="FV213" i="1" s="1"/>
  <c r="FX213" i="1" s="1"/>
  <c r="H205" i="1"/>
  <c r="FV205" i="1" s="1"/>
  <c r="FX205" i="1" s="1"/>
  <c r="H182" i="1"/>
  <c r="FV182" i="1" s="1"/>
  <c r="FX182" i="1" s="1"/>
  <c r="H7" i="1"/>
  <c r="I7" i="1" s="1"/>
  <c r="FW7" i="1" s="1"/>
  <c r="FY7" i="1" s="1"/>
  <c r="H186" i="1"/>
  <c r="I186" i="1" s="1"/>
  <c r="FW186" i="1" s="1"/>
  <c r="FY186" i="1" s="1"/>
  <c r="H230" i="1"/>
  <c r="FV230" i="1" s="1"/>
  <c r="FX230" i="1" s="1"/>
  <c r="H216" i="1"/>
  <c r="FV216" i="1" s="1"/>
  <c r="FX216" i="1" s="1"/>
  <c r="H183" i="1"/>
  <c r="FV183" i="1" s="1"/>
  <c r="FX183" i="1" s="1"/>
  <c r="H148" i="1"/>
  <c r="FV148" i="1" s="1"/>
  <c r="FX148" i="1" s="1"/>
  <c r="H125" i="1"/>
  <c r="FV125" i="1" s="1"/>
  <c r="FX125" i="1" s="1"/>
  <c r="H89" i="1"/>
  <c r="FV89" i="1" s="1"/>
  <c r="FX89" i="1" s="1"/>
  <c r="H63" i="1"/>
  <c r="FV63" i="1" s="1"/>
  <c r="FX63" i="1" s="1"/>
  <c r="H26" i="1"/>
  <c r="I26" i="1" s="1"/>
  <c r="FW26" i="1" s="1"/>
  <c r="FY26" i="1" s="1"/>
  <c r="H9" i="1"/>
  <c r="I9" i="1" s="1"/>
  <c r="FW9" i="1" s="1"/>
  <c r="FY9" i="1" s="1"/>
  <c r="FV206" i="1"/>
  <c r="FX206" i="1" s="1"/>
  <c r="FV232" i="1"/>
  <c r="FX232" i="1" s="1"/>
  <c r="I232" i="1"/>
  <c r="FW232" i="1" s="1"/>
  <c r="FY232" i="1" s="1"/>
  <c r="H243" i="1"/>
  <c r="FU233" i="1"/>
  <c r="H233" i="1"/>
  <c r="FU231" i="1"/>
  <c r="H231" i="1"/>
  <c r="H229" i="1"/>
  <c r="FU227" i="1"/>
  <c r="H227" i="1"/>
  <c r="FU221" i="1"/>
  <c r="H221" i="1"/>
  <c r="FU174" i="1"/>
  <c r="H174" i="1"/>
  <c r="FU167" i="1"/>
  <c r="H167" i="1"/>
  <c r="H165" i="1"/>
  <c r="FU156" i="1"/>
  <c r="H156" i="1"/>
  <c r="FU154" i="1"/>
  <c r="H154" i="1"/>
  <c r="FU152" i="1"/>
  <c r="H152" i="1"/>
  <c r="H150" i="1"/>
  <c r="FU133" i="1"/>
  <c r="H133" i="1"/>
  <c r="H124" i="1"/>
  <c r="FU122" i="1"/>
  <c r="H122" i="1"/>
  <c r="FU114" i="1"/>
  <c r="H114" i="1"/>
  <c r="H113" i="1"/>
  <c r="H106" i="1"/>
  <c r="FU102" i="1"/>
  <c r="H102" i="1"/>
  <c r="FU100" i="1"/>
  <c r="H100" i="1"/>
  <c r="FU95" i="1"/>
  <c r="H95" i="1"/>
  <c r="FU90" i="1"/>
  <c r="H90" i="1"/>
  <c r="FU67" i="1"/>
  <c r="H67" i="1"/>
  <c r="FU64" i="1"/>
  <c r="H64" i="1"/>
  <c r="H62" i="1"/>
  <c r="FU60" i="1"/>
  <c r="H60" i="1"/>
  <c r="H56" i="1"/>
  <c r="H54" i="1"/>
  <c r="FU48" i="1"/>
  <c r="H48" i="1"/>
  <c r="FU38" i="1"/>
  <c r="H38" i="1"/>
  <c r="FU36" i="1"/>
  <c r="H36" i="1"/>
  <c r="FU29" i="1"/>
  <c r="H29" i="1"/>
  <c r="H27" i="1"/>
  <c r="FU14" i="1"/>
  <c r="H14" i="1"/>
  <c r="H10" i="1"/>
  <c r="FU5" i="1"/>
  <c r="H5" i="1"/>
  <c r="H3" i="1"/>
  <c r="FU134" i="1"/>
  <c r="H134" i="1"/>
  <c r="FU157" i="1"/>
  <c r="H157" i="1"/>
  <c r="FU162" i="1"/>
  <c r="H162" i="1"/>
  <c r="H241" i="1"/>
  <c r="H244" i="1"/>
  <c r="H202" i="1"/>
  <c r="H185" i="1"/>
  <c r="H181" i="1"/>
  <c r="H145" i="1"/>
  <c r="H32" i="1"/>
  <c r="H91" i="1"/>
  <c r="H35" i="1"/>
  <c r="H176" i="1"/>
  <c r="H245" i="1"/>
  <c r="H217" i="1"/>
  <c r="H207" i="1"/>
  <c r="H201" i="1"/>
  <c r="H184" i="1"/>
  <c r="H177" i="1"/>
  <c r="H192" i="1"/>
  <c r="F9" i="13"/>
  <c r="H1115" i="6"/>
  <c r="I1115" i="6" s="1"/>
  <c r="FU11" i="1"/>
  <c r="FU124" i="1"/>
  <c r="FU112" i="1"/>
  <c r="FU104" i="1"/>
  <c r="FU99" i="1"/>
  <c r="FU96" i="1"/>
  <c r="FU77" i="1"/>
  <c r="FU25" i="1"/>
  <c r="FU243" i="1"/>
  <c r="FU232" i="1"/>
  <c r="FU229" i="1"/>
  <c r="FU182" i="1"/>
  <c r="FU132" i="1"/>
  <c r="FU166" i="1"/>
  <c r="FU97" i="1"/>
  <c r="FU206" i="1"/>
  <c r="FU205" i="1"/>
  <c r="FU165" i="1"/>
  <c r="FU155" i="1"/>
  <c r="FU150" i="1"/>
  <c r="FU118" i="1"/>
  <c r="FU113" i="1"/>
  <c r="FU27" i="1"/>
  <c r="FU22" i="1"/>
  <c r="FU8" i="1"/>
  <c r="FU238" i="1"/>
  <c r="FU213" i="1"/>
  <c r="FU61" i="1"/>
  <c r="FU59" i="1"/>
  <c r="FU56" i="1"/>
  <c r="FU54" i="1"/>
  <c r="FU33" i="1"/>
  <c r="FU23" i="1"/>
  <c r="FU10" i="1"/>
  <c r="FU62" i="1"/>
  <c r="FU40" i="1"/>
  <c r="FU106" i="1"/>
  <c r="FU94" i="1"/>
  <c r="FU172" i="1"/>
  <c r="FU171" i="1"/>
  <c r="E8" i="13"/>
  <c r="E6" i="13"/>
  <c r="G14" i="13"/>
  <c r="B15" i="13"/>
  <c r="G16" i="13"/>
  <c r="I16" i="13" s="1"/>
  <c r="B17" i="13"/>
  <c r="F5" i="13"/>
  <c r="G13" i="13" s="1"/>
  <c r="H13" i="13" s="1"/>
  <c r="F7" i="13"/>
  <c r="G15" i="13" s="1"/>
  <c r="FV254" i="1" l="1"/>
  <c r="FX254" i="1" s="1"/>
  <c r="FV253" i="1"/>
  <c r="FX253" i="1" s="1"/>
  <c r="I252" i="1"/>
  <c r="FW252" i="1" s="1"/>
  <c r="FY252" i="1" s="1"/>
  <c r="FV252" i="1"/>
  <c r="FX252" i="1" s="1"/>
  <c r="FV160" i="1"/>
  <c r="FX160" i="1" s="1"/>
  <c r="FV4" i="1"/>
  <c r="FX4" i="1" s="1"/>
  <c r="FV65" i="1"/>
  <c r="FX65" i="1" s="1"/>
  <c r="I108" i="1"/>
  <c r="FW108" i="1" s="1"/>
  <c r="FY108" i="1" s="1"/>
  <c r="FV108" i="1"/>
  <c r="FX108" i="1" s="1"/>
  <c r="I16" i="1"/>
  <c r="FW16" i="1" s="1"/>
  <c r="FY16" i="1" s="1"/>
  <c r="FV16" i="1"/>
  <c r="FX16" i="1" s="1"/>
  <c r="I168" i="1"/>
  <c r="FW168" i="1" s="1"/>
  <c r="FY168" i="1" s="1"/>
  <c r="FV168" i="1"/>
  <c r="FX168" i="1" s="1"/>
  <c r="I31" i="1"/>
  <c r="FW31" i="1" s="1"/>
  <c r="FY31" i="1" s="1"/>
  <c r="FV31" i="1"/>
  <c r="FX31" i="1" s="1"/>
  <c r="FV59" i="1"/>
  <c r="FX59" i="1" s="1"/>
  <c r="I149" i="1"/>
  <c r="FW149" i="1" s="1"/>
  <c r="FY149" i="1" s="1"/>
  <c r="FV149" i="1"/>
  <c r="FX149" i="1" s="1"/>
  <c r="I153" i="1"/>
  <c r="FW153" i="1" s="1"/>
  <c r="FY153" i="1" s="1"/>
  <c r="FV219" i="1"/>
  <c r="FX219" i="1" s="1"/>
  <c r="FV161" i="1"/>
  <c r="FX161" i="1" s="1"/>
  <c r="FV77" i="1"/>
  <c r="FX77" i="1" s="1"/>
  <c r="I74" i="1"/>
  <c r="FW74" i="1" s="1"/>
  <c r="FY74" i="1" s="1"/>
  <c r="FV140" i="1"/>
  <c r="FX140" i="1" s="1"/>
  <c r="FV159" i="1"/>
  <c r="FX159" i="1" s="1"/>
  <c r="FV109" i="1"/>
  <c r="FX109" i="1" s="1"/>
  <c r="I41" i="1"/>
  <c r="FW41" i="1" s="1"/>
  <c r="FY41" i="1" s="1"/>
  <c r="FV41" i="1"/>
  <c r="FX41" i="1" s="1"/>
  <c r="I235" i="1"/>
  <c r="FW235" i="1" s="1"/>
  <c r="FY235" i="1" s="1"/>
  <c r="FV235" i="1"/>
  <c r="FX235" i="1" s="1"/>
  <c r="I6" i="1"/>
  <c r="FW6" i="1" s="1"/>
  <c r="FY6" i="1" s="1"/>
  <c r="I39" i="1"/>
  <c r="FW39" i="1" s="1"/>
  <c r="FY39" i="1" s="1"/>
  <c r="FV39" i="1"/>
  <c r="FX39" i="1" s="1"/>
  <c r="I175" i="1"/>
  <c r="FW175" i="1" s="1"/>
  <c r="FY175" i="1" s="1"/>
  <c r="FV30" i="1"/>
  <c r="FX30" i="1" s="1"/>
  <c r="FV132" i="1"/>
  <c r="FX132" i="1" s="1"/>
  <c r="FV123" i="1"/>
  <c r="FX123" i="1" s="1"/>
  <c r="I105" i="1"/>
  <c r="FW105" i="1" s="1"/>
  <c r="FY105" i="1" s="1"/>
  <c r="FV22" i="1"/>
  <c r="FX22" i="1" s="1"/>
  <c r="I197" i="1"/>
  <c r="FW197" i="1" s="1"/>
  <c r="FY197" i="1" s="1"/>
  <c r="FV197" i="1"/>
  <c r="FX197" i="1" s="1"/>
  <c r="I187" i="1"/>
  <c r="FW187" i="1" s="1"/>
  <c r="FY187" i="1" s="1"/>
  <c r="FV187" i="1"/>
  <c r="FX187" i="1" s="1"/>
  <c r="I24" i="1"/>
  <c r="FW24" i="1" s="1"/>
  <c r="FY24" i="1" s="1"/>
  <c r="I128" i="1"/>
  <c r="FW128" i="1" s="1"/>
  <c r="FY128" i="1" s="1"/>
  <c r="FV128" i="1"/>
  <c r="FX128" i="1" s="1"/>
  <c r="I220" i="1"/>
  <c r="FW220" i="1" s="1"/>
  <c r="FY220" i="1" s="1"/>
  <c r="FV220" i="1"/>
  <c r="FX220" i="1" s="1"/>
  <c r="I15" i="1"/>
  <c r="FW15" i="1" s="1"/>
  <c r="FY15" i="1" s="1"/>
  <c r="FV171" i="1"/>
  <c r="FX171" i="1" s="1"/>
  <c r="FV103" i="1"/>
  <c r="FX103" i="1" s="1"/>
  <c r="I155" i="1"/>
  <c r="FW155" i="1" s="1"/>
  <c r="FY155" i="1" s="1"/>
  <c r="I173" i="1"/>
  <c r="FW173" i="1" s="1"/>
  <c r="FY173" i="1" s="1"/>
  <c r="FV237" i="1"/>
  <c r="FX237" i="1" s="1"/>
  <c r="I116" i="1"/>
  <c r="FW116" i="1" s="1"/>
  <c r="FY116" i="1" s="1"/>
  <c r="FV116" i="1"/>
  <c r="FX116" i="1" s="1"/>
  <c r="I148" i="1"/>
  <c r="FW148" i="1" s="1"/>
  <c r="FY148" i="1" s="1"/>
  <c r="FV115" i="1"/>
  <c r="FX115" i="1" s="1"/>
  <c r="I166" i="1"/>
  <c r="FW166" i="1" s="1"/>
  <c r="FY166" i="1" s="1"/>
  <c r="FV186" i="1"/>
  <c r="FX186" i="1" s="1"/>
  <c r="I34" i="1"/>
  <c r="FW34" i="1" s="1"/>
  <c r="FY34" i="1" s="1"/>
  <c r="FV142" i="1"/>
  <c r="FX142" i="1" s="1"/>
  <c r="FV61" i="1"/>
  <c r="FX61" i="1" s="1"/>
  <c r="I212" i="1"/>
  <c r="FW212" i="1" s="1"/>
  <c r="FY212" i="1" s="1"/>
  <c r="FV112" i="1"/>
  <c r="FX112" i="1" s="1"/>
  <c r="I158" i="1"/>
  <c r="FW158" i="1" s="1"/>
  <c r="FY158" i="1" s="1"/>
  <c r="FV158" i="1"/>
  <c r="FX158" i="1" s="1"/>
  <c r="I66" i="1"/>
  <c r="FW66" i="1" s="1"/>
  <c r="FY66" i="1" s="1"/>
  <c r="FV66" i="1"/>
  <c r="FX66" i="1" s="1"/>
  <c r="I213" i="1"/>
  <c r="FW213" i="1" s="1"/>
  <c r="FY213" i="1" s="1"/>
  <c r="I216" i="1"/>
  <c r="FW216" i="1" s="1"/>
  <c r="FY216" i="1" s="1"/>
  <c r="I119" i="1"/>
  <c r="FW119" i="1" s="1"/>
  <c r="FY119" i="1" s="1"/>
  <c r="I89" i="1"/>
  <c r="FW89" i="1" s="1"/>
  <c r="FY89" i="1" s="1"/>
  <c r="I8" i="1"/>
  <c r="FW8" i="1" s="1"/>
  <c r="FY8" i="1" s="1"/>
  <c r="FV25" i="1"/>
  <c r="FX25" i="1" s="1"/>
  <c r="FV26" i="1"/>
  <c r="FX26" i="1" s="1"/>
  <c r="I40" i="1"/>
  <c r="FW40" i="1" s="1"/>
  <c r="FY40" i="1" s="1"/>
  <c r="I55" i="1"/>
  <c r="FW55" i="1" s="1"/>
  <c r="FY55" i="1" s="1"/>
  <c r="FV99" i="1"/>
  <c r="FX99" i="1" s="1"/>
  <c r="I182" i="1"/>
  <c r="FW182" i="1" s="1"/>
  <c r="FY182" i="1" s="1"/>
  <c r="FV104" i="1"/>
  <c r="FX104" i="1" s="1"/>
  <c r="I11" i="1"/>
  <c r="FW11" i="1" s="1"/>
  <c r="FY11" i="1" s="1"/>
  <c r="I200" i="1"/>
  <c r="FW200" i="1" s="1"/>
  <c r="FY200" i="1" s="1"/>
  <c r="FV96" i="1"/>
  <c r="FX96" i="1" s="1"/>
  <c r="FV94" i="1"/>
  <c r="FX94" i="1" s="1"/>
  <c r="FV23" i="1"/>
  <c r="FX23" i="1" s="1"/>
  <c r="FV246" i="1"/>
  <c r="FX246" i="1" s="1"/>
  <c r="I63" i="1"/>
  <c r="FW63" i="1" s="1"/>
  <c r="FY63" i="1" s="1"/>
  <c r="FV33" i="1"/>
  <c r="FX33" i="1" s="1"/>
  <c r="FV9" i="1"/>
  <c r="FX9" i="1" s="1"/>
  <c r="I125" i="1"/>
  <c r="FW125" i="1" s="1"/>
  <c r="FY125" i="1" s="1"/>
  <c r="I183" i="1"/>
  <c r="FW183" i="1" s="1"/>
  <c r="FY183" i="1" s="1"/>
  <c r="FV194" i="1"/>
  <c r="FX194" i="1" s="1"/>
  <c r="I28" i="1"/>
  <c r="FW28" i="1" s="1"/>
  <c r="FY28" i="1" s="1"/>
  <c r="I57" i="1"/>
  <c r="FW57" i="1" s="1"/>
  <c r="FY57" i="1" s="1"/>
  <c r="I97" i="1"/>
  <c r="FW97" i="1" s="1"/>
  <c r="FY97" i="1" s="1"/>
  <c r="I230" i="1"/>
  <c r="FW230" i="1" s="1"/>
  <c r="FY230" i="1" s="1"/>
  <c r="FV247" i="1"/>
  <c r="FX247" i="1" s="1"/>
  <c r="FV13" i="1"/>
  <c r="FX13" i="1" s="1"/>
  <c r="FV107" i="1"/>
  <c r="FX107" i="1" s="1"/>
  <c r="FV7" i="1"/>
  <c r="FX7" i="1" s="1"/>
  <c r="I205" i="1"/>
  <c r="FW205" i="1" s="1"/>
  <c r="FY205" i="1" s="1"/>
  <c r="FV118" i="1"/>
  <c r="FX118" i="1" s="1"/>
  <c r="I118" i="1"/>
  <c r="FW118" i="1" s="1"/>
  <c r="FY118" i="1" s="1"/>
  <c r="FV172" i="1"/>
  <c r="FX172" i="1" s="1"/>
  <c r="I172" i="1"/>
  <c r="FW172" i="1" s="1"/>
  <c r="FY172" i="1" s="1"/>
  <c r="FV238" i="1"/>
  <c r="FX238" i="1" s="1"/>
  <c r="I238" i="1"/>
  <c r="FW238" i="1" s="1"/>
  <c r="FY238" i="1" s="1"/>
  <c r="FV177" i="1"/>
  <c r="FX177" i="1" s="1"/>
  <c r="I177" i="1"/>
  <c r="FW177" i="1" s="1"/>
  <c r="FY177" i="1" s="1"/>
  <c r="FV207" i="1"/>
  <c r="FX207" i="1" s="1"/>
  <c r="I207" i="1"/>
  <c r="FW207" i="1" s="1"/>
  <c r="FY207" i="1" s="1"/>
  <c r="FV245" i="1"/>
  <c r="FX245" i="1" s="1"/>
  <c r="I245" i="1"/>
  <c r="FW245" i="1" s="1"/>
  <c r="FY245" i="1" s="1"/>
  <c r="FV35" i="1"/>
  <c r="FX35" i="1" s="1"/>
  <c r="I35" i="1"/>
  <c r="FW35" i="1" s="1"/>
  <c r="FY35" i="1" s="1"/>
  <c r="FV32" i="1"/>
  <c r="FX32" i="1" s="1"/>
  <c r="I32" i="1"/>
  <c r="FW32" i="1" s="1"/>
  <c r="FY32" i="1" s="1"/>
  <c r="FV185" i="1"/>
  <c r="FX185" i="1" s="1"/>
  <c r="I185" i="1"/>
  <c r="FW185" i="1" s="1"/>
  <c r="FY185" i="1" s="1"/>
  <c r="FV202" i="1"/>
  <c r="FX202" i="1" s="1"/>
  <c r="I202" i="1"/>
  <c r="FW202" i="1" s="1"/>
  <c r="FY202" i="1" s="1"/>
  <c r="FV241" i="1"/>
  <c r="FX241" i="1" s="1"/>
  <c r="I241" i="1"/>
  <c r="FW241" i="1" s="1"/>
  <c r="FY241" i="1" s="1"/>
  <c r="I5" i="1"/>
  <c r="FW5" i="1" s="1"/>
  <c r="FY5" i="1" s="1"/>
  <c r="FV5" i="1"/>
  <c r="FX5" i="1" s="1"/>
  <c r="FV27" i="1"/>
  <c r="FX27" i="1" s="1"/>
  <c r="I27" i="1"/>
  <c r="FW27" i="1" s="1"/>
  <c r="FY27" i="1" s="1"/>
  <c r="FV48" i="1"/>
  <c r="FX48" i="1" s="1"/>
  <c r="I48" i="1"/>
  <c r="FW48" i="1" s="1"/>
  <c r="FY48" i="1" s="1"/>
  <c r="I54" i="1"/>
  <c r="FW54" i="1" s="1"/>
  <c r="FY54" i="1" s="1"/>
  <c r="FV54" i="1"/>
  <c r="FX54" i="1" s="1"/>
  <c r="I60" i="1"/>
  <c r="FW60" i="1" s="1"/>
  <c r="FY60" i="1" s="1"/>
  <c r="FV60" i="1"/>
  <c r="FX60" i="1" s="1"/>
  <c r="FV62" i="1"/>
  <c r="FX62" i="1" s="1"/>
  <c r="I62" i="1"/>
  <c r="FW62" i="1" s="1"/>
  <c r="FY62" i="1" s="1"/>
  <c r="I90" i="1"/>
  <c r="FW90" i="1" s="1"/>
  <c r="FY90" i="1" s="1"/>
  <c r="FV90" i="1"/>
  <c r="FX90" i="1" s="1"/>
  <c r="FV114" i="1"/>
  <c r="FX114" i="1" s="1"/>
  <c r="I114" i="1"/>
  <c r="FW114" i="1" s="1"/>
  <c r="FY114" i="1" s="1"/>
  <c r="FV133" i="1"/>
  <c r="FX133" i="1" s="1"/>
  <c r="I133" i="1"/>
  <c r="FW133" i="1" s="1"/>
  <c r="FY133" i="1" s="1"/>
  <c r="FV150" i="1"/>
  <c r="FX150" i="1" s="1"/>
  <c r="I150" i="1"/>
  <c r="FW150" i="1" s="1"/>
  <c r="FY150" i="1" s="1"/>
  <c r="FV165" i="1"/>
  <c r="FX165" i="1" s="1"/>
  <c r="I165" i="1"/>
  <c r="FW165" i="1" s="1"/>
  <c r="FY165" i="1" s="1"/>
  <c r="FV174" i="1"/>
  <c r="FX174" i="1" s="1"/>
  <c r="I174" i="1"/>
  <c r="FW174" i="1" s="1"/>
  <c r="FY174" i="1" s="1"/>
  <c r="FV221" i="1"/>
  <c r="FX221" i="1" s="1"/>
  <c r="I221" i="1"/>
  <c r="FW221" i="1" s="1"/>
  <c r="FY221" i="1" s="1"/>
  <c r="FV227" i="1"/>
  <c r="FX227" i="1" s="1"/>
  <c r="I227" i="1"/>
  <c r="FW227" i="1" s="1"/>
  <c r="FY227" i="1" s="1"/>
  <c r="FV229" i="1"/>
  <c r="FX229" i="1" s="1"/>
  <c r="I229" i="1"/>
  <c r="FW229" i="1" s="1"/>
  <c r="FY229" i="1" s="1"/>
  <c r="FV184" i="1"/>
  <c r="FX184" i="1" s="1"/>
  <c r="I184" i="1"/>
  <c r="FW184" i="1" s="1"/>
  <c r="FY184" i="1" s="1"/>
  <c r="FV201" i="1"/>
  <c r="FX201" i="1" s="1"/>
  <c r="I201" i="1"/>
  <c r="FW201" i="1" s="1"/>
  <c r="FY201" i="1" s="1"/>
  <c r="FV217" i="1"/>
  <c r="FX217" i="1" s="1"/>
  <c r="I217" i="1"/>
  <c r="FW217" i="1" s="1"/>
  <c r="FY217" i="1" s="1"/>
  <c r="FV176" i="1"/>
  <c r="FX176" i="1" s="1"/>
  <c r="I176" i="1"/>
  <c r="FW176" i="1" s="1"/>
  <c r="FY176" i="1" s="1"/>
  <c r="FV91" i="1"/>
  <c r="FX91" i="1" s="1"/>
  <c r="I91" i="1"/>
  <c r="FW91" i="1" s="1"/>
  <c r="FY91" i="1" s="1"/>
  <c r="FV145" i="1"/>
  <c r="FX145" i="1" s="1"/>
  <c r="I145" i="1"/>
  <c r="FW145" i="1" s="1"/>
  <c r="FY145" i="1" s="1"/>
  <c r="FV181" i="1"/>
  <c r="FX181" i="1" s="1"/>
  <c r="I181" i="1"/>
  <c r="FW181" i="1" s="1"/>
  <c r="FY181" i="1" s="1"/>
  <c r="FV244" i="1"/>
  <c r="FX244" i="1" s="1"/>
  <c r="I244" i="1"/>
  <c r="FW244" i="1" s="1"/>
  <c r="FY244" i="1" s="1"/>
  <c r="FV162" i="1"/>
  <c r="FX162" i="1" s="1"/>
  <c r="I162" i="1"/>
  <c r="FW162" i="1" s="1"/>
  <c r="FY162" i="1" s="1"/>
  <c r="FV157" i="1"/>
  <c r="FX157" i="1" s="1"/>
  <c r="I157" i="1"/>
  <c r="FW157" i="1" s="1"/>
  <c r="FY157" i="1" s="1"/>
  <c r="FV134" i="1"/>
  <c r="FX134" i="1" s="1"/>
  <c r="I134" i="1"/>
  <c r="FW134" i="1" s="1"/>
  <c r="FY134" i="1" s="1"/>
  <c r="FV3" i="1"/>
  <c r="FX3" i="1" s="1"/>
  <c r="I3" i="1"/>
  <c r="FW3" i="1" s="1"/>
  <c r="FY3" i="1" s="1"/>
  <c r="FV10" i="1"/>
  <c r="FX10" i="1" s="1"/>
  <c r="I10" i="1"/>
  <c r="FW10" i="1" s="1"/>
  <c r="FY10" i="1" s="1"/>
  <c r="FV14" i="1"/>
  <c r="FX14" i="1" s="1"/>
  <c r="I14" i="1"/>
  <c r="FW14" i="1" s="1"/>
  <c r="FY14" i="1" s="1"/>
  <c r="I29" i="1"/>
  <c r="FW29" i="1" s="1"/>
  <c r="FY29" i="1" s="1"/>
  <c r="FV29" i="1"/>
  <c r="FX29" i="1" s="1"/>
  <c r="I36" i="1"/>
  <c r="FW36" i="1" s="1"/>
  <c r="FY36" i="1" s="1"/>
  <c r="FV36" i="1"/>
  <c r="FX36" i="1" s="1"/>
  <c r="FV38" i="1"/>
  <c r="FX38" i="1" s="1"/>
  <c r="I38" i="1"/>
  <c r="FW38" i="1" s="1"/>
  <c r="FY38" i="1" s="1"/>
  <c r="FV56" i="1"/>
  <c r="FX56" i="1" s="1"/>
  <c r="I56" i="1"/>
  <c r="FW56" i="1" s="1"/>
  <c r="FY56" i="1" s="1"/>
  <c r="I64" i="1"/>
  <c r="FW64" i="1" s="1"/>
  <c r="FY64" i="1" s="1"/>
  <c r="FV64" i="1"/>
  <c r="FX64" i="1" s="1"/>
  <c r="FV67" i="1"/>
  <c r="FX67" i="1" s="1"/>
  <c r="I67" i="1"/>
  <c r="FW67" i="1" s="1"/>
  <c r="FY67" i="1" s="1"/>
  <c r="I95" i="1"/>
  <c r="FW95" i="1" s="1"/>
  <c r="FY95" i="1" s="1"/>
  <c r="FV95" i="1"/>
  <c r="FX95" i="1" s="1"/>
  <c r="FV100" i="1"/>
  <c r="FX100" i="1" s="1"/>
  <c r="I100" i="1"/>
  <c r="FW100" i="1" s="1"/>
  <c r="FY100" i="1" s="1"/>
  <c r="I102" i="1"/>
  <c r="FW102" i="1" s="1"/>
  <c r="FY102" i="1" s="1"/>
  <c r="FV102" i="1"/>
  <c r="FX102" i="1" s="1"/>
  <c r="I106" i="1"/>
  <c r="FW106" i="1" s="1"/>
  <c r="FY106" i="1" s="1"/>
  <c r="FV106" i="1"/>
  <c r="FX106" i="1" s="1"/>
  <c r="FV113" i="1"/>
  <c r="FX113" i="1" s="1"/>
  <c r="I113" i="1"/>
  <c r="FW113" i="1" s="1"/>
  <c r="FY113" i="1" s="1"/>
  <c r="FV122" i="1"/>
  <c r="FX122" i="1" s="1"/>
  <c r="I122" i="1"/>
  <c r="FW122" i="1" s="1"/>
  <c r="FY122" i="1" s="1"/>
  <c r="FV124" i="1"/>
  <c r="FX124" i="1" s="1"/>
  <c r="I124" i="1"/>
  <c r="FW124" i="1" s="1"/>
  <c r="FY124" i="1" s="1"/>
  <c r="FV152" i="1"/>
  <c r="FX152" i="1" s="1"/>
  <c r="I152" i="1"/>
  <c r="FW152" i="1" s="1"/>
  <c r="FY152" i="1" s="1"/>
  <c r="FV154" i="1"/>
  <c r="FX154" i="1" s="1"/>
  <c r="I154" i="1"/>
  <c r="FW154" i="1" s="1"/>
  <c r="FY154" i="1" s="1"/>
  <c r="FV156" i="1"/>
  <c r="FX156" i="1" s="1"/>
  <c r="I156" i="1"/>
  <c r="FW156" i="1" s="1"/>
  <c r="FY156" i="1" s="1"/>
  <c r="FV167" i="1"/>
  <c r="FX167" i="1" s="1"/>
  <c r="I167" i="1"/>
  <c r="FW167" i="1" s="1"/>
  <c r="FY167" i="1" s="1"/>
  <c r="FV231" i="1"/>
  <c r="FX231" i="1" s="1"/>
  <c r="I231" i="1"/>
  <c r="FW231" i="1" s="1"/>
  <c r="FY231" i="1" s="1"/>
  <c r="FV233" i="1"/>
  <c r="FX233" i="1" s="1"/>
  <c r="I233" i="1"/>
  <c r="FW233" i="1" s="1"/>
  <c r="FY233" i="1" s="1"/>
  <c r="FV243" i="1"/>
  <c r="FX243" i="1" s="1"/>
  <c r="I243" i="1"/>
  <c r="FW243" i="1" s="1"/>
  <c r="FY243" i="1" s="1"/>
  <c r="I192" i="1"/>
  <c r="FW192" i="1" s="1"/>
  <c r="FY192" i="1" s="1"/>
  <c r="FV192" i="1"/>
  <c r="FX192" i="1" s="1"/>
  <c r="G17" i="13"/>
  <c r="I17" i="13" s="1"/>
  <c r="B18" i="13"/>
  <c r="C13" i="13"/>
  <c r="D13" i="13"/>
  <c r="B16" i="13"/>
  <c r="C17" i="13"/>
  <c r="D17" i="13"/>
  <c r="C15" i="13"/>
  <c r="D15" i="13"/>
  <c r="B14" i="13"/>
  <c r="H16" i="13"/>
  <c r="I14" i="13"/>
  <c r="H14" i="13"/>
  <c r="C18" i="13" l="1"/>
  <c r="D18" i="13"/>
  <c r="H17" i="13"/>
  <c r="C14" i="13"/>
  <c r="D14" i="13"/>
  <c r="C16" i="13"/>
  <c r="D16" i="13"/>
  <c r="I13" i="13"/>
  <c r="I15" i="13"/>
  <c r="H15" i="13"/>
  <c r="M211" i="1"/>
  <c r="H211" i="1" s="1"/>
  <c r="FU12" i="1"/>
  <c r="FU18" i="1"/>
  <c r="FU98" i="1"/>
  <c r="FU120" i="1"/>
  <c r="FU121" i="1"/>
  <c r="FU141" i="1"/>
  <c r="FU144" i="1"/>
  <c r="FU146" i="1"/>
  <c r="FU210" i="1"/>
  <c r="FU215" i="1"/>
  <c r="FU170" i="1"/>
  <c r="FU211" i="1"/>
  <c r="M242" i="1"/>
  <c r="H242" i="1" s="1"/>
  <c r="M240" i="1"/>
  <c r="H240" i="1" s="1"/>
  <c r="M239" i="1"/>
  <c r="H239" i="1" s="1"/>
  <c r="M236" i="1"/>
  <c r="H236" i="1" s="1"/>
  <c r="M234" i="1"/>
  <c r="H234" i="1" s="1"/>
  <c r="M228" i="1"/>
  <c r="H228" i="1" s="1"/>
  <c r="M226" i="1"/>
  <c r="H226" i="1" s="1"/>
  <c r="M225" i="1"/>
  <c r="H225" i="1" s="1"/>
  <c r="F225" i="1"/>
  <c r="M224" i="1"/>
  <c r="H224" i="1" s="1"/>
  <c r="M223" i="1"/>
  <c r="H223" i="1" s="1"/>
  <c r="M222" i="1"/>
  <c r="H222" i="1" s="1"/>
  <c r="M215" i="1"/>
  <c r="H215" i="1" s="1"/>
  <c r="M214" i="1"/>
  <c r="H214" i="1" s="1"/>
  <c r="M210" i="1"/>
  <c r="H210" i="1" s="1"/>
  <c r="M209" i="1"/>
  <c r="H209" i="1" s="1"/>
  <c r="M208" i="1"/>
  <c r="H208" i="1" s="1"/>
  <c r="M204" i="1"/>
  <c r="H204" i="1" s="1"/>
  <c r="M203" i="1"/>
  <c r="H203" i="1" s="1"/>
  <c r="M199" i="1"/>
  <c r="H199" i="1" s="1"/>
  <c r="M193" i="1"/>
  <c r="H193" i="1" s="1"/>
  <c r="M191" i="1"/>
  <c r="H191" i="1" s="1"/>
  <c r="F191" i="1"/>
  <c r="M190" i="1"/>
  <c r="H190" i="1" s="1"/>
  <c r="M189" i="1"/>
  <c r="H189" i="1" s="1"/>
  <c r="M188" i="1"/>
  <c r="H188" i="1" s="1"/>
  <c r="M180" i="1"/>
  <c r="H180" i="1" s="1"/>
  <c r="M179" i="1"/>
  <c r="H179" i="1" s="1"/>
  <c r="M178" i="1"/>
  <c r="H178" i="1" s="1"/>
  <c r="M169" i="1"/>
  <c r="H169" i="1" s="1"/>
  <c r="M164" i="1"/>
  <c r="H164" i="1" s="1"/>
  <c r="F164" i="1"/>
  <c r="M163" i="1"/>
  <c r="H163" i="1" s="1"/>
  <c r="M151" i="1"/>
  <c r="H151" i="1" s="1"/>
  <c r="M147" i="1"/>
  <c r="H147" i="1" s="1"/>
  <c r="M146" i="1"/>
  <c r="H146" i="1" s="1"/>
  <c r="M144" i="1"/>
  <c r="H144" i="1" s="1"/>
  <c r="M143" i="1"/>
  <c r="H143" i="1" s="1"/>
  <c r="M141" i="1"/>
  <c r="H141" i="1" s="1"/>
  <c r="M139" i="1"/>
  <c r="H139" i="1" s="1"/>
  <c r="M138" i="1"/>
  <c r="H138" i="1" s="1"/>
  <c r="M137" i="1"/>
  <c r="H137" i="1" s="1"/>
  <c r="F137" i="1"/>
  <c r="M136" i="1"/>
  <c r="H136" i="1" s="1"/>
  <c r="M130" i="1"/>
  <c r="H130" i="1" s="1"/>
  <c r="M131" i="1"/>
  <c r="H131" i="1" s="1"/>
  <c r="M129" i="1"/>
  <c r="H129" i="1" s="1"/>
  <c r="M127" i="1"/>
  <c r="H127" i="1" s="1"/>
  <c r="M126" i="1"/>
  <c r="H126" i="1" s="1"/>
  <c r="M121" i="1"/>
  <c r="H121" i="1" s="1"/>
  <c r="M120" i="1"/>
  <c r="H120" i="1" s="1"/>
  <c r="F120" i="1"/>
  <c r="M111" i="1"/>
  <c r="H111" i="1" s="1"/>
  <c r="M110" i="1"/>
  <c r="H110" i="1" s="1"/>
  <c r="M98" i="1"/>
  <c r="H98" i="1" s="1"/>
  <c r="M93" i="1"/>
  <c r="H93" i="1" s="1"/>
  <c r="M92" i="1"/>
  <c r="H92" i="1" s="1"/>
  <c r="M88" i="1"/>
  <c r="H88" i="1" s="1"/>
  <c r="M87" i="1"/>
  <c r="H87" i="1" s="1"/>
  <c r="M86" i="1"/>
  <c r="H86" i="1" s="1"/>
  <c r="M85" i="1"/>
  <c r="H85" i="1" s="1"/>
  <c r="M84" i="1"/>
  <c r="H84" i="1" s="1"/>
  <c r="M83" i="1"/>
  <c r="H83" i="1" s="1"/>
  <c r="M82" i="1"/>
  <c r="H82" i="1" s="1"/>
  <c r="M81" i="1"/>
  <c r="H81" i="1" s="1"/>
  <c r="F81" i="1"/>
  <c r="M80" i="1"/>
  <c r="H80" i="1" s="1"/>
  <c r="F80" i="1"/>
  <c r="M79" i="1"/>
  <c r="H79" i="1" s="1"/>
  <c r="F79" i="1"/>
  <c r="M75" i="1"/>
  <c r="H75" i="1" s="1"/>
  <c r="M73" i="1"/>
  <c r="H73" i="1" s="1"/>
  <c r="M72" i="1"/>
  <c r="H72" i="1" s="1"/>
  <c r="M71" i="1"/>
  <c r="H71" i="1" s="1"/>
  <c r="M70" i="1"/>
  <c r="H70" i="1" s="1"/>
  <c r="M69" i="1"/>
  <c r="H69" i="1" s="1"/>
  <c r="M68" i="1"/>
  <c r="H68" i="1" s="1"/>
  <c r="M58" i="1"/>
  <c r="H58" i="1" s="1"/>
  <c r="M53" i="1"/>
  <c r="H53" i="1" s="1"/>
  <c r="M52" i="1"/>
  <c r="H52" i="1" s="1"/>
  <c r="F52" i="1"/>
  <c r="M51" i="1"/>
  <c r="H51" i="1" s="1"/>
  <c r="F51" i="1"/>
  <c r="M50" i="1"/>
  <c r="H50" i="1" s="1"/>
  <c r="M49" i="1"/>
  <c r="H49" i="1" s="1"/>
  <c r="M47" i="1"/>
  <c r="H47" i="1" s="1"/>
  <c r="M46" i="1"/>
  <c r="H46" i="1" s="1"/>
  <c r="M45" i="1"/>
  <c r="H45" i="1" s="1"/>
  <c r="F45" i="1"/>
  <c r="M44" i="1"/>
  <c r="H44" i="1" s="1"/>
  <c r="M43" i="1"/>
  <c r="H43" i="1" s="1"/>
  <c r="M42" i="1"/>
  <c r="H42" i="1" s="1"/>
  <c r="M37" i="1"/>
  <c r="H37" i="1" s="1"/>
  <c r="M21" i="1"/>
  <c r="H21" i="1" s="1"/>
  <c r="M20" i="1"/>
  <c r="H20" i="1" s="1"/>
  <c r="F20" i="1"/>
  <c r="M19" i="1"/>
  <c r="H19" i="1" s="1"/>
  <c r="F19" i="1"/>
  <c r="M18" i="1"/>
  <c r="H18" i="1" s="1"/>
  <c r="M17" i="1"/>
  <c r="H17" i="1" s="1"/>
  <c r="F17" i="1"/>
  <c r="M12" i="1"/>
  <c r="H12" i="1" s="1"/>
  <c r="F12" i="1"/>
  <c r="M170" i="1"/>
  <c r="H170" i="1" s="1"/>
  <c r="E273" i="7"/>
  <c r="H273" i="7"/>
  <c r="H272" i="7"/>
  <c r="E272" i="7"/>
  <c r="E271" i="7"/>
  <c r="H271" i="7"/>
  <c r="H270" i="7"/>
  <c r="E270" i="7"/>
  <c r="H269" i="7"/>
  <c r="E269" i="7"/>
  <c r="E268" i="7"/>
  <c r="H268" i="7"/>
  <c r="E267" i="7"/>
  <c r="H267" i="7"/>
  <c r="H266" i="7"/>
  <c r="E266" i="7"/>
  <c r="H265" i="7"/>
  <c r="E265" i="7"/>
  <c r="E264" i="7"/>
  <c r="E263" i="7"/>
  <c r="M844" i="6"/>
  <c r="H844" i="6" s="1"/>
  <c r="I844" i="6" s="1"/>
  <c r="F844" i="6"/>
  <c r="H262" i="7"/>
  <c r="E262" i="7"/>
  <c r="M251" i="1"/>
  <c r="H251" i="1" s="1"/>
  <c r="H261" i="7"/>
  <c r="E261" i="7"/>
  <c r="H260" i="7"/>
  <c r="E260" i="7"/>
  <c r="FV251" i="1" l="1"/>
  <c r="FX251" i="1" s="1"/>
  <c r="I251" i="1"/>
  <c r="FW251" i="1" s="1"/>
  <c r="FY251" i="1" s="1"/>
  <c r="FV170" i="1"/>
  <c r="FX170" i="1" s="1"/>
  <c r="I170" i="1"/>
  <c r="FW170" i="1" s="1"/>
  <c r="FY170" i="1" s="1"/>
  <c r="I12" i="1"/>
  <c r="FW12" i="1" s="1"/>
  <c r="FY12" i="1" s="1"/>
  <c r="FV12" i="1"/>
  <c r="FX12" i="1" s="1"/>
  <c r="I17" i="1"/>
  <c r="FW17" i="1" s="1"/>
  <c r="FY17" i="1" s="1"/>
  <c r="FV17" i="1"/>
  <c r="FX17" i="1" s="1"/>
  <c r="FV18" i="1"/>
  <c r="FX18" i="1" s="1"/>
  <c r="I18" i="1"/>
  <c r="FW18" i="1" s="1"/>
  <c r="FY18" i="1" s="1"/>
  <c r="FV19" i="1"/>
  <c r="FX19" i="1" s="1"/>
  <c r="I19" i="1"/>
  <c r="FW19" i="1" s="1"/>
  <c r="FY19" i="1" s="1"/>
  <c r="FV20" i="1"/>
  <c r="FX20" i="1" s="1"/>
  <c r="I20" i="1"/>
  <c r="FW20" i="1" s="1"/>
  <c r="FY20" i="1" s="1"/>
  <c r="I21" i="1"/>
  <c r="FW21" i="1" s="1"/>
  <c r="FY21" i="1" s="1"/>
  <c r="FV21" i="1"/>
  <c r="FX21" i="1" s="1"/>
  <c r="FV37" i="1"/>
  <c r="FX37" i="1" s="1"/>
  <c r="I37" i="1"/>
  <c r="FW37" i="1" s="1"/>
  <c r="FY37" i="1" s="1"/>
  <c r="I42" i="1"/>
  <c r="FW42" i="1" s="1"/>
  <c r="FY42" i="1" s="1"/>
  <c r="FV42" i="1"/>
  <c r="FX42" i="1" s="1"/>
  <c r="FV43" i="1"/>
  <c r="FX43" i="1" s="1"/>
  <c r="I43" i="1"/>
  <c r="FW43" i="1" s="1"/>
  <c r="FY43" i="1" s="1"/>
  <c r="FV44" i="1"/>
  <c r="FX44" i="1" s="1"/>
  <c r="I44" i="1"/>
  <c r="FW44" i="1" s="1"/>
  <c r="FY44" i="1" s="1"/>
  <c r="FV45" i="1"/>
  <c r="FX45" i="1" s="1"/>
  <c r="I45" i="1"/>
  <c r="FW45" i="1" s="1"/>
  <c r="FY45" i="1" s="1"/>
  <c r="I46" i="1"/>
  <c r="FW46" i="1" s="1"/>
  <c r="FY46" i="1" s="1"/>
  <c r="FV46" i="1"/>
  <c r="FX46" i="1" s="1"/>
  <c r="FV47" i="1"/>
  <c r="FX47" i="1" s="1"/>
  <c r="I47" i="1"/>
  <c r="FW47" i="1" s="1"/>
  <c r="FY47" i="1" s="1"/>
  <c r="FV49" i="1"/>
  <c r="FX49" i="1" s="1"/>
  <c r="I49" i="1"/>
  <c r="FW49" i="1" s="1"/>
  <c r="FY49" i="1" s="1"/>
  <c r="I50" i="1"/>
  <c r="FW50" i="1" s="1"/>
  <c r="FY50" i="1" s="1"/>
  <c r="FV50" i="1"/>
  <c r="FX50" i="1" s="1"/>
  <c r="FV51" i="1"/>
  <c r="FX51" i="1" s="1"/>
  <c r="I51" i="1"/>
  <c r="FW51" i="1" s="1"/>
  <c r="FY51" i="1" s="1"/>
  <c r="FV52" i="1"/>
  <c r="FX52" i="1" s="1"/>
  <c r="I52" i="1"/>
  <c r="FW52" i="1" s="1"/>
  <c r="FY52" i="1" s="1"/>
  <c r="FV53" i="1"/>
  <c r="FX53" i="1" s="1"/>
  <c r="I53" i="1"/>
  <c r="FW53" i="1" s="1"/>
  <c r="FY53" i="1" s="1"/>
  <c r="FV58" i="1"/>
  <c r="FX58" i="1" s="1"/>
  <c r="I58" i="1"/>
  <c r="FW58" i="1" s="1"/>
  <c r="FY58" i="1" s="1"/>
  <c r="FV68" i="1"/>
  <c r="FX68" i="1" s="1"/>
  <c r="I68" i="1"/>
  <c r="FW68" i="1" s="1"/>
  <c r="FY68" i="1" s="1"/>
  <c r="I69" i="1"/>
  <c r="FW69" i="1" s="1"/>
  <c r="FY69" i="1" s="1"/>
  <c r="FV69" i="1"/>
  <c r="FX69" i="1" s="1"/>
  <c r="FV70" i="1"/>
  <c r="FX70" i="1" s="1"/>
  <c r="I70" i="1"/>
  <c r="FW70" i="1" s="1"/>
  <c r="FY70" i="1" s="1"/>
  <c r="FV71" i="1"/>
  <c r="FX71" i="1" s="1"/>
  <c r="I71" i="1"/>
  <c r="FW71" i="1" s="1"/>
  <c r="FY71" i="1" s="1"/>
  <c r="FV72" i="1"/>
  <c r="FX72" i="1" s="1"/>
  <c r="I72" i="1"/>
  <c r="FW72" i="1" s="1"/>
  <c r="FY72" i="1" s="1"/>
  <c r="I189" i="1"/>
  <c r="FW189" i="1" s="1"/>
  <c r="FY189" i="1" s="1"/>
  <c r="FV189" i="1"/>
  <c r="FX189" i="1" s="1"/>
  <c r="FV190" i="1"/>
  <c r="FX190" i="1" s="1"/>
  <c r="I190" i="1"/>
  <c r="FW190" i="1" s="1"/>
  <c r="FY190" i="1" s="1"/>
  <c r="FV191" i="1"/>
  <c r="FX191" i="1" s="1"/>
  <c r="I191" i="1"/>
  <c r="FW191" i="1" s="1"/>
  <c r="FY191" i="1" s="1"/>
  <c r="FV193" i="1"/>
  <c r="FX193" i="1" s="1"/>
  <c r="I193" i="1"/>
  <c r="FW193" i="1" s="1"/>
  <c r="FY193" i="1" s="1"/>
  <c r="FV199" i="1"/>
  <c r="FX199" i="1" s="1"/>
  <c r="I199" i="1"/>
  <c r="FW199" i="1" s="1"/>
  <c r="FY199" i="1" s="1"/>
  <c r="FV203" i="1"/>
  <c r="FX203" i="1" s="1"/>
  <c r="I203" i="1"/>
  <c r="FW203" i="1" s="1"/>
  <c r="FY203" i="1" s="1"/>
  <c r="I204" i="1"/>
  <c r="FW204" i="1" s="1"/>
  <c r="FY204" i="1" s="1"/>
  <c r="FV204" i="1"/>
  <c r="FX204" i="1" s="1"/>
  <c r="I208" i="1"/>
  <c r="FW208" i="1" s="1"/>
  <c r="FY208" i="1" s="1"/>
  <c r="FV208" i="1"/>
  <c r="FX208" i="1" s="1"/>
  <c r="FV209" i="1"/>
  <c r="FX209" i="1" s="1"/>
  <c r="I209" i="1"/>
  <c r="FW209" i="1" s="1"/>
  <c r="FY209" i="1" s="1"/>
  <c r="FV210" i="1"/>
  <c r="FX210" i="1" s="1"/>
  <c r="I210" i="1"/>
  <c r="FW210" i="1" s="1"/>
  <c r="FY210" i="1" s="1"/>
  <c r="FV214" i="1"/>
  <c r="FX214" i="1" s="1"/>
  <c r="I214" i="1"/>
  <c r="FW214" i="1" s="1"/>
  <c r="FY214" i="1" s="1"/>
  <c r="FV215" i="1"/>
  <c r="FX215" i="1" s="1"/>
  <c r="I215" i="1"/>
  <c r="FW215" i="1" s="1"/>
  <c r="FY215" i="1" s="1"/>
  <c r="FV222" i="1"/>
  <c r="FX222" i="1" s="1"/>
  <c r="I222" i="1"/>
  <c r="FW222" i="1" s="1"/>
  <c r="FY222" i="1" s="1"/>
  <c r="FV223" i="1"/>
  <c r="FX223" i="1" s="1"/>
  <c r="I223" i="1"/>
  <c r="FW223" i="1" s="1"/>
  <c r="FY223" i="1" s="1"/>
  <c r="FV224" i="1"/>
  <c r="FX224" i="1" s="1"/>
  <c r="I224" i="1"/>
  <c r="FW224" i="1" s="1"/>
  <c r="FY224" i="1" s="1"/>
  <c r="FV225" i="1"/>
  <c r="FX225" i="1" s="1"/>
  <c r="I225" i="1"/>
  <c r="FW225" i="1" s="1"/>
  <c r="FY225" i="1" s="1"/>
  <c r="FV226" i="1"/>
  <c r="FX226" i="1" s="1"/>
  <c r="I226" i="1"/>
  <c r="FW226" i="1" s="1"/>
  <c r="FY226" i="1" s="1"/>
  <c r="FV228" i="1"/>
  <c r="FX228" i="1" s="1"/>
  <c r="I228" i="1"/>
  <c r="FW228" i="1" s="1"/>
  <c r="FY228" i="1" s="1"/>
  <c r="FV234" i="1"/>
  <c r="FX234" i="1" s="1"/>
  <c r="I234" i="1"/>
  <c r="FW234" i="1" s="1"/>
  <c r="FY234" i="1" s="1"/>
  <c r="FV236" i="1"/>
  <c r="FX236" i="1" s="1"/>
  <c r="I236" i="1"/>
  <c r="FW236" i="1" s="1"/>
  <c r="FY236" i="1" s="1"/>
  <c r="FV239" i="1"/>
  <c r="FX239" i="1" s="1"/>
  <c r="I239" i="1"/>
  <c r="FW239" i="1" s="1"/>
  <c r="FY239" i="1" s="1"/>
  <c r="FV240" i="1"/>
  <c r="FX240" i="1" s="1"/>
  <c r="I240" i="1"/>
  <c r="FW240" i="1" s="1"/>
  <c r="FY240" i="1" s="1"/>
  <c r="FV242" i="1"/>
  <c r="FX242" i="1" s="1"/>
  <c r="I242" i="1"/>
  <c r="FW242" i="1" s="1"/>
  <c r="FY242" i="1" s="1"/>
  <c r="FV211" i="1"/>
  <c r="FX211" i="1" s="1"/>
  <c r="I211" i="1"/>
  <c r="FW211" i="1" s="1"/>
  <c r="FY211" i="1" s="1"/>
  <c r="I73" i="1"/>
  <c r="FW73" i="1" s="1"/>
  <c r="FY73" i="1" s="1"/>
  <c r="FV73" i="1"/>
  <c r="FX73" i="1" s="1"/>
  <c r="FV75" i="1"/>
  <c r="FX75" i="1" s="1"/>
  <c r="I75" i="1"/>
  <c r="FW75" i="1" s="1"/>
  <c r="FY75" i="1" s="1"/>
  <c r="FV79" i="1"/>
  <c r="FX79" i="1" s="1"/>
  <c r="I79" i="1"/>
  <c r="FW79" i="1" s="1"/>
  <c r="FY79" i="1" s="1"/>
  <c r="FV80" i="1"/>
  <c r="FX80" i="1" s="1"/>
  <c r="I80" i="1"/>
  <c r="FW80" i="1" s="1"/>
  <c r="FY80" i="1" s="1"/>
  <c r="FV81" i="1"/>
  <c r="FX81" i="1" s="1"/>
  <c r="I81" i="1"/>
  <c r="FW81" i="1" s="1"/>
  <c r="FY81" i="1" s="1"/>
  <c r="I82" i="1"/>
  <c r="FW82" i="1" s="1"/>
  <c r="FY82" i="1" s="1"/>
  <c r="FV82" i="1"/>
  <c r="FX82" i="1" s="1"/>
  <c r="FV83" i="1"/>
  <c r="FX83" i="1" s="1"/>
  <c r="I83" i="1"/>
  <c r="FW83" i="1" s="1"/>
  <c r="FY83" i="1" s="1"/>
  <c r="FV84" i="1"/>
  <c r="FX84" i="1" s="1"/>
  <c r="I84" i="1"/>
  <c r="FW84" i="1" s="1"/>
  <c r="FY84" i="1" s="1"/>
  <c r="FV85" i="1"/>
  <c r="FX85" i="1" s="1"/>
  <c r="I85" i="1"/>
  <c r="FW85" i="1" s="1"/>
  <c r="FY85" i="1" s="1"/>
  <c r="I86" i="1"/>
  <c r="FW86" i="1" s="1"/>
  <c r="FY86" i="1" s="1"/>
  <c r="FV86" i="1"/>
  <c r="FX86" i="1" s="1"/>
  <c r="FV87" i="1"/>
  <c r="FX87" i="1" s="1"/>
  <c r="I87" i="1"/>
  <c r="FW87" i="1" s="1"/>
  <c r="FY87" i="1" s="1"/>
  <c r="FV88" i="1"/>
  <c r="FX88" i="1" s="1"/>
  <c r="I88" i="1"/>
  <c r="FW88" i="1" s="1"/>
  <c r="FY88" i="1" s="1"/>
  <c r="FV92" i="1"/>
  <c r="FX92" i="1" s="1"/>
  <c r="I92" i="1"/>
  <c r="FW92" i="1" s="1"/>
  <c r="FY92" i="1" s="1"/>
  <c r="FV93" i="1"/>
  <c r="FX93" i="1" s="1"/>
  <c r="I93" i="1"/>
  <c r="FW93" i="1" s="1"/>
  <c r="FY93" i="1" s="1"/>
  <c r="I98" i="1"/>
  <c r="FW98" i="1" s="1"/>
  <c r="FY98" i="1" s="1"/>
  <c r="FV98" i="1"/>
  <c r="FX98" i="1" s="1"/>
  <c r="FV110" i="1"/>
  <c r="FX110" i="1" s="1"/>
  <c r="I110" i="1"/>
  <c r="FW110" i="1" s="1"/>
  <c r="FY110" i="1" s="1"/>
  <c r="FV111" i="1"/>
  <c r="FX111" i="1" s="1"/>
  <c r="I111" i="1"/>
  <c r="FW111" i="1" s="1"/>
  <c r="FY111" i="1" s="1"/>
  <c r="FV120" i="1"/>
  <c r="FX120" i="1" s="1"/>
  <c r="I120" i="1"/>
  <c r="FW120" i="1" s="1"/>
  <c r="FY120" i="1" s="1"/>
  <c r="FV121" i="1"/>
  <c r="FX121" i="1" s="1"/>
  <c r="I121" i="1"/>
  <c r="FW121" i="1" s="1"/>
  <c r="FY121" i="1" s="1"/>
  <c r="FV126" i="1"/>
  <c r="FX126" i="1" s="1"/>
  <c r="I126" i="1"/>
  <c r="FW126" i="1" s="1"/>
  <c r="FY126" i="1" s="1"/>
  <c r="FV127" i="1"/>
  <c r="FX127" i="1" s="1"/>
  <c r="I127" i="1"/>
  <c r="FW127" i="1" s="1"/>
  <c r="FY127" i="1" s="1"/>
  <c r="I129" i="1"/>
  <c r="FW129" i="1" s="1"/>
  <c r="FY129" i="1" s="1"/>
  <c r="FV129" i="1"/>
  <c r="FX129" i="1" s="1"/>
  <c r="FV131" i="1"/>
  <c r="FX131" i="1" s="1"/>
  <c r="I131" i="1"/>
  <c r="FW131" i="1" s="1"/>
  <c r="FY131" i="1" s="1"/>
  <c r="FV130" i="1"/>
  <c r="FX130" i="1" s="1"/>
  <c r="I130" i="1"/>
  <c r="FW130" i="1" s="1"/>
  <c r="FY130" i="1" s="1"/>
  <c r="FV136" i="1"/>
  <c r="FX136" i="1" s="1"/>
  <c r="I136" i="1"/>
  <c r="FW136" i="1" s="1"/>
  <c r="FY136" i="1" s="1"/>
  <c r="FV137" i="1"/>
  <c r="FX137" i="1" s="1"/>
  <c r="I137" i="1"/>
  <c r="FW137" i="1" s="1"/>
  <c r="FY137" i="1" s="1"/>
  <c r="I138" i="1"/>
  <c r="FW138" i="1" s="1"/>
  <c r="FY138" i="1" s="1"/>
  <c r="FV138" i="1"/>
  <c r="FX138" i="1" s="1"/>
  <c r="FV139" i="1"/>
  <c r="FX139" i="1" s="1"/>
  <c r="I139" i="1"/>
  <c r="FW139" i="1" s="1"/>
  <c r="FY139" i="1" s="1"/>
  <c r="FV141" i="1"/>
  <c r="FX141" i="1" s="1"/>
  <c r="I141" i="1"/>
  <c r="FW141" i="1" s="1"/>
  <c r="FY141" i="1" s="1"/>
  <c r="FV143" i="1"/>
  <c r="FX143" i="1" s="1"/>
  <c r="I143" i="1"/>
  <c r="FW143" i="1" s="1"/>
  <c r="FY143" i="1" s="1"/>
  <c r="FV144" i="1"/>
  <c r="FX144" i="1" s="1"/>
  <c r="I144" i="1"/>
  <c r="FW144" i="1" s="1"/>
  <c r="FY144" i="1" s="1"/>
  <c r="I146" i="1"/>
  <c r="FW146" i="1" s="1"/>
  <c r="FY146" i="1" s="1"/>
  <c r="FV146" i="1"/>
  <c r="FX146" i="1" s="1"/>
  <c r="FV147" i="1"/>
  <c r="FX147" i="1" s="1"/>
  <c r="I147" i="1"/>
  <c r="FW147" i="1" s="1"/>
  <c r="FY147" i="1" s="1"/>
  <c r="I151" i="1"/>
  <c r="FW151" i="1" s="1"/>
  <c r="FY151" i="1" s="1"/>
  <c r="FV151" i="1"/>
  <c r="FX151" i="1" s="1"/>
  <c r="FV163" i="1"/>
  <c r="FX163" i="1" s="1"/>
  <c r="I163" i="1"/>
  <c r="FW163" i="1" s="1"/>
  <c r="FY163" i="1" s="1"/>
  <c r="FV164" i="1"/>
  <c r="FX164" i="1" s="1"/>
  <c r="I164" i="1"/>
  <c r="FW164" i="1" s="1"/>
  <c r="FY164" i="1" s="1"/>
  <c r="FV169" i="1"/>
  <c r="FX169" i="1" s="1"/>
  <c r="I169" i="1"/>
  <c r="FW169" i="1" s="1"/>
  <c r="FY169" i="1" s="1"/>
  <c r="FV178" i="1"/>
  <c r="FX178" i="1" s="1"/>
  <c r="I178" i="1"/>
  <c r="FW178" i="1" s="1"/>
  <c r="FY178" i="1" s="1"/>
  <c r="I179" i="1"/>
  <c r="FW179" i="1" s="1"/>
  <c r="FY179" i="1" s="1"/>
  <c r="FV179" i="1"/>
  <c r="FX179" i="1" s="1"/>
  <c r="FV180" i="1"/>
  <c r="FX180" i="1" s="1"/>
  <c r="I180" i="1"/>
  <c r="FW180" i="1" s="1"/>
  <c r="FY180" i="1" s="1"/>
  <c r="FV188" i="1"/>
  <c r="FX188" i="1" s="1"/>
  <c r="I188" i="1"/>
  <c r="FW188" i="1" s="1"/>
  <c r="FY188" i="1" s="1"/>
  <c r="I271" i="7"/>
  <c r="I272" i="7"/>
  <c r="I273" i="7"/>
  <c r="I274" i="7"/>
  <c r="FU246" i="1"/>
  <c r="FU140" i="1"/>
  <c r="FU53" i="1"/>
  <c r="FU242" i="1"/>
  <c r="FU226" i="1"/>
  <c r="FU189" i="1"/>
  <c r="FU151" i="1"/>
  <c r="FU180" i="1"/>
  <c r="FU240" i="1"/>
  <c r="FU19" i="1"/>
  <c r="FU199" i="1"/>
  <c r="FU178" i="1"/>
  <c r="FU72" i="1"/>
  <c r="FU70" i="1"/>
  <c r="FU50" i="1"/>
  <c r="FU47" i="1"/>
  <c r="FU143" i="1"/>
  <c r="FU17" i="1"/>
  <c r="FU49" i="1"/>
  <c r="FU239" i="1"/>
  <c r="FU214" i="1"/>
  <c r="FU209" i="1"/>
  <c r="FU204" i="1"/>
  <c r="FU169" i="1"/>
  <c r="FU163" i="1"/>
  <c r="FU111" i="1"/>
  <c r="FU110" i="1"/>
  <c r="FU88" i="1"/>
  <c r="FU87" i="1"/>
  <c r="FU73" i="1"/>
  <c r="FU71" i="1"/>
  <c r="FU69" i="1"/>
  <c r="FU52" i="1"/>
  <c r="FU46" i="1"/>
  <c r="FU37" i="1"/>
  <c r="FU58" i="1"/>
  <c r="FU179" i="1"/>
  <c r="I267" i="7"/>
  <c r="I269" i="7"/>
  <c r="I270" i="7"/>
  <c r="FU234" i="1"/>
  <c r="FU43" i="1"/>
  <c r="FU208" i="1"/>
  <c r="H264" i="7"/>
  <c r="I265" i="7" s="1"/>
  <c r="FU93" i="1"/>
  <c r="FU251" i="1"/>
  <c r="I268" i="7" l="1"/>
  <c r="I266" i="7"/>
  <c r="I264" i="7"/>
  <c r="H259" i="7" l="1"/>
  <c r="E259" i="7"/>
  <c r="H258" i="7"/>
  <c r="I262" i="7" s="1"/>
  <c r="E258" i="7"/>
  <c r="H257" i="7"/>
  <c r="I261" i="7" s="1"/>
  <c r="E257" i="7"/>
  <c r="H256" i="7"/>
  <c r="I260" i="7" s="1"/>
  <c r="E256" i="7"/>
  <c r="H255" i="7"/>
  <c r="E255" i="7"/>
  <c r="H254" i="7"/>
  <c r="I258" i="7" s="1"/>
  <c r="E254" i="7"/>
  <c r="H253" i="7"/>
  <c r="E253" i="7"/>
  <c r="H252" i="7"/>
  <c r="I256" i="7" s="1"/>
  <c r="E252" i="7"/>
  <c r="H251" i="7"/>
  <c r="E251" i="7"/>
  <c r="H250" i="7"/>
  <c r="I254" i="7" s="1"/>
  <c r="E250" i="7"/>
  <c r="H249" i="7"/>
  <c r="E249" i="7"/>
  <c r="H248" i="7"/>
  <c r="I252" i="7" s="1"/>
  <c r="E248" i="7"/>
  <c r="H247" i="7"/>
  <c r="E247" i="7"/>
  <c r="H246" i="7"/>
  <c r="I250" i="7" s="1"/>
  <c r="E246" i="7"/>
  <c r="H245" i="7"/>
  <c r="E245" i="7"/>
  <c r="H244" i="7"/>
  <c r="I248" i="7" s="1"/>
  <c r="E244" i="7"/>
  <c r="H243" i="7"/>
  <c r="E243" i="7"/>
  <c r="H242" i="7"/>
  <c r="I246" i="7" s="1"/>
  <c r="E242" i="7"/>
  <c r="H241" i="7"/>
  <c r="E241" i="7"/>
  <c r="H240" i="7"/>
  <c r="I244" i="7" s="1"/>
  <c r="E240" i="7"/>
  <c r="H239" i="7"/>
  <c r="E239" i="7"/>
  <c r="H238" i="7"/>
  <c r="I242" i="7" s="1"/>
  <c r="E238" i="7"/>
  <c r="H237" i="7"/>
  <c r="E237" i="7"/>
  <c r="H236" i="7"/>
  <c r="I240" i="7" s="1"/>
  <c r="E236" i="7"/>
  <c r="H235" i="7"/>
  <c r="E235" i="7"/>
  <c r="H234" i="7"/>
  <c r="I238" i="7" s="1"/>
  <c r="E234" i="7"/>
  <c r="H233" i="7"/>
  <c r="E233" i="7"/>
  <c r="H232" i="7"/>
  <c r="I236" i="7" s="1"/>
  <c r="E232" i="7"/>
  <c r="H231" i="7"/>
  <c r="E231" i="7"/>
  <c r="H230" i="7"/>
  <c r="I234" i="7" s="1"/>
  <c r="E230" i="7"/>
  <c r="H229" i="7"/>
  <c r="E229" i="7"/>
  <c r="H228" i="7"/>
  <c r="I232" i="7" s="1"/>
  <c r="E228" i="7"/>
  <c r="H227" i="7"/>
  <c r="E227" i="7"/>
  <c r="H226" i="7"/>
  <c r="I230" i="7" s="1"/>
  <c r="E226" i="7"/>
  <c r="H225" i="7"/>
  <c r="E225" i="7"/>
  <c r="H224" i="7"/>
  <c r="I228" i="7" s="1"/>
  <c r="E224" i="7"/>
  <c r="H223" i="7"/>
  <c r="E223" i="7"/>
  <c r="H222" i="7"/>
  <c r="I226" i="7" s="1"/>
  <c r="E222" i="7"/>
  <c r="H221" i="7"/>
  <c r="I225" i="7" s="1"/>
  <c r="E221" i="7"/>
  <c r="H220" i="7"/>
  <c r="E220" i="7"/>
  <c r="H219" i="7"/>
  <c r="E219" i="7"/>
  <c r="H218" i="7"/>
  <c r="E218" i="7"/>
  <c r="H217" i="7"/>
  <c r="E217" i="7"/>
  <c r="H216" i="7"/>
  <c r="E216" i="7"/>
  <c r="H215" i="7"/>
  <c r="E215" i="7"/>
  <c r="H214" i="7"/>
  <c r="E214" i="7"/>
  <c r="H213" i="7"/>
  <c r="E213" i="7"/>
  <c r="H212" i="7"/>
  <c r="E212" i="7"/>
  <c r="H211" i="7"/>
  <c r="E211" i="7"/>
  <c r="H210" i="7"/>
  <c r="E210" i="7"/>
  <c r="H209" i="7"/>
  <c r="E209" i="7"/>
  <c r="H208" i="7"/>
  <c r="E208" i="7"/>
  <c r="H207" i="7"/>
  <c r="E207" i="7"/>
  <c r="H206" i="7"/>
  <c r="E206" i="7"/>
  <c r="H205" i="7"/>
  <c r="E205" i="7"/>
  <c r="H204" i="7"/>
  <c r="E204" i="7"/>
  <c r="F203" i="7"/>
  <c r="E203" i="7"/>
  <c r="C203" i="7"/>
  <c r="H203" i="7" s="1"/>
  <c r="H202" i="7"/>
  <c r="E202" i="7"/>
  <c r="H201" i="7"/>
  <c r="E201" i="7"/>
  <c r="H200" i="7"/>
  <c r="E200" i="7"/>
  <c r="H199" i="7"/>
  <c r="E199" i="7"/>
  <c r="F198" i="7"/>
  <c r="E198" i="7"/>
  <c r="C198" i="7"/>
  <c r="H198" i="7" s="1"/>
  <c r="H197" i="7"/>
  <c r="E197" i="7"/>
  <c r="H196" i="7"/>
  <c r="E196" i="7"/>
  <c r="H195" i="7"/>
  <c r="E195" i="7"/>
  <c r="H194" i="7"/>
  <c r="E194" i="7"/>
  <c r="H193" i="7"/>
  <c r="E193" i="7"/>
  <c r="H192" i="7"/>
  <c r="E192" i="7"/>
  <c r="H191" i="7"/>
  <c r="E191" i="7"/>
  <c r="H190" i="7"/>
  <c r="E190" i="7"/>
  <c r="H189" i="7"/>
  <c r="E189" i="7"/>
  <c r="H188" i="7"/>
  <c r="E188" i="7"/>
  <c r="H187" i="7"/>
  <c r="E187" i="7"/>
  <c r="H186" i="7"/>
  <c r="E186" i="7"/>
  <c r="H185" i="7"/>
  <c r="E185" i="7"/>
  <c r="H184" i="7"/>
  <c r="E184" i="7"/>
  <c r="H183" i="7"/>
  <c r="E183" i="7"/>
  <c r="H182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31" i="7"/>
  <c r="E130" i="7"/>
  <c r="E115" i="7"/>
  <c r="E67" i="7"/>
  <c r="E63" i="7"/>
  <c r="M789" i="6"/>
  <c r="H789" i="6" s="1"/>
  <c r="I789" i="6" s="1"/>
  <c r="H745" i="6"/>
  <c r="I745" i="6" s="1"/>
  <c r="F745" i="6"/>
  <c r="H482" i="6"/>
  <c r="I482" i="6" s="1"/>
  <c r="F482" i="6"/>
  <c r="M391" i="6"/>
  <c r="H391" i="6" s="1"/>
  <c r="I391" i="6" s="1"/>
  <c r="F391" i="6"/>
  <c r="M390" i="6"/>
  <c r="H390" i="6" s="1"/>
  <c r="I390" i="6" s="1"/>
  <c r="F390" i="6"/>
  <c r="F373" i="6"/>
  <c r="F372" i="6"/>
  <c r="F371" i="6"/>
  <c r="F370" i="6"/>
  <c r="F369" i="6"/>
  <c r="F368" i="6"/>
  <c r="F367" i="6"/>
  <c r="F366" i="6"/>
  <c r="F365" i="6"/>
  <c r="F364" i="6"/>
  <c r="H251" i="6"/>
  <c r="I251" i="6" s="1"/>
  <c r="F251" i="6"/>
  <c r="H32" i="6"/>
  <c r="I32" i="6" s="1"/>
  <c r="F32" i="6"/>
  <c r="M506" i="6"/>
  <c r="H506" i="6" s="1"/>
  <c r="I506" i="6" s="1"/>
  <c r="F506" i="6"/>
  <c r="I259" i="7" l="1"/>
  <c r="I263" i="7"/>
  <c r="I227" i="7"/>
  <c r="I229" i="7"/>
  <c r="I231" i="7"/>
  <c r="I233" i="7"/>
  <c r="I235" i="7"/>
  <c r="I237" i="7"/>
  <c r="I239" i="7"/>
  <c r="I241" i="7"/>
  <c r="I243" i="7"/>
  <c r="I245" i="7"/>
  <c r="I247" i="7"/>
  <c r="I249" i="7"/>
  <c r="I251" i="7"/>
  <c r="I253" i="7"/>
  <c r="I255" i="7"/>
  <c r="I257" i="7"/>
  <c r="K259" i="1" l="1"/>
  <c r="FU250" i="1" l="1"/>
  <c r="M250" i="1"/>
  <c r="H250" i="1" s="1"/>
  <c r="FU249" i="1"/>
  <c r="M249" i="1"/>
  <c r="H249" i="1" s="1"/>
  <c r="M248" i="1"/>
  <c r="H248" i="1" s="1"/>
  <c r="FU236" i="1"/>
  <c r="FU228" i="1"/>
  <c r="FU224" i="1"/>
  <c r="FU223" i="1"/>
  <c r="FU222" i="1"/>
  <c r="FU203" i="1"/>
  <c r="FU193" i="1"/>
  <c r="FU191" i="1"/>
  <c r="FU164" i="1"/>
  <c r="FU147" i="1"/>
  <c r="FU139" i="1"/>
  <c r="FU137" i="1"/>
  <c r="FU130" i="1"/>
  <c r="FU129" i="1"/>
  <c r="FU85" i="1"/>
  <c r="FU83" i="1"/>
  <c r="FU81" i="1"/>
  <c r="FU79" i="1"/>
  <c r="FU51" i="1"/>
  <c r="FU42" i="1"/>
  <c r="FU21" i="1"/>
  <c r="FU20" i="1"/>
  <c r="M2" i="1"/>
  <c r="F2" i="1"/>
  <c r="FV249" i="1" l="1"/>
  <c r="FX249" i="1" s="1"/>
  <c r="I249" i="1"/>
  <c r="FW249" i="1" s="1"/>
  <c r="FY249" i="1" s="1"/>
  <c r="FV250" i="1"/>
  <c r="FX250" i="1" s="1"/>
  <c r="I250" i="1"/>
  <c r="FW250" i="1" s="1"/>
  <c r="FY250" i="1" s="1"/>
  <c r="FV248" i="1"/>
  <c r="FX248" i="1" s="1"/>
  <c r="I248" i="1"/>
  <c r="FW248" i="1" s="1"/>
  <c r="FY248" i="1" s="1"/>
  <c r="FU92" i="1"/>
  <c r="M259" i="1"/>
  <c r="L264" i="1" s="1"/>
  <c r="FU44" i="1"/>
  <c r="FU45" i="1"/>
  <c r="FU68" i="1"/>
  <c r="FU75" i="1"/>
  <c r="FU80" i="1"/>
  <c r="FU82" i="1"/>
  <c r="FU84" i="1"/>
  <c r="FU86" i="1"/>
  <c r="FU126" i="1"/>
  <c r="FU127" i="1"/>
  <c r="FU131" i="1"/>
  <c r="FU136" i="1"/>
  <c r="FU138" i="1"/>
  <c r="FU188" i="1"/>
  <c r="FU190" i="1"/>
  <c r="FU225" i="1"/>
  <c r="FU248" i="1"/>
  <c r="FU3" i="1" l="1"/>
  <c r="H2" i="1" l="1"/>
  <c r="FV2" i="1" s="1"/>
  <c r="FX2" i="1" s="1"/>
  <c r="FU2" i="1"/>
  <c r="FU259" i="1" s="1"/>
  <c r="FT259" i="1"/>
  <c r="L265" i="1" l="1"/>
  <c r="I2" i="1"/>
  <c r="FW2" i="1" s="1"/>
  <c r="FY2" i="1" s="1"/>
  <c r="L259" i="1"/>
  <c r="L26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</author>
    <author>Usuario de Windows</author>
  </authors>
  <commentList>
    <comment ref="CL2" authorId="0" shapeId="0" xr:uid="{A1B7B3AA-860A-4B95-9FA5-423C13B724D1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ingresos extra. Pago de angel aguero 
</t>
        </r>
      </text>
    </comment>
    <comment ref="C3" authorId="1" shapeId="0" xr:uid="{3976D3DB-4314-44E1-A95B-575414BBCDC2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CASA CON VENTA DE PLANTINES</t>
        </r>
      </text>
    </comment>
    <comment ref="C4" authorId="1" shapeId="0" xr:uid="{D20EFACF-AB1F-47A5-B1A2-4C2F6D286A25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CASA CON VENTA DE PLANTINES</t>
        </r>
      </text>
    </comment>
    <comment ref="C5" authorId="1" shapeId="0" xr:uid="{F0B11C72-7BEC-4F59-84E9-D151EC7AFB84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CASA CON VENTA DE PLANTINES</t>
        </r>
      </text>
    </comment>
    <comment ref="CL42" authorId="0" shapeId="0" xr:uid="{4A6C3D20-373B-4162-80B2-8BC3B3C35125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ingresos extra. Pago de angel aguero 
</t>
        </r>
      </text>
    </comment>
    <comment ref="CL75" authorId="0" shapeId="0" xr:uid="{E51217F1-FAD9-4FD4-85E0-776603F79A35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ingresos extra. Pago de angel aguero 
</t>
        </r>
      </text>
    </comment>
    <comment ref="L87" authorId="0" shapeId="0" xr:uid="{177536F6-6960-4CED-8C83-E832C078692F}">
      <text>
        <r>
          <rPr>
            <b/>
            <sz val="9"/>
            <color indexed="81"/>
            <rFont val="Tahoma"/>
            <charset val="1"/>
          </rPr>
          <t>Eduardo:</t>
        </r>
        <r>
          <rPr>
            <sz val="9"/>
            <color indexed="81"/>
            <rFont val="Tahoma"/>
            <charset val="1"/>
          </rPr>
          <t xml:space="preserve">
actualizado el interes
</t>
        </r>
      </text>
    </comment>
    <comment ref="DV126" authorId="0" shapeId="0" xr:uid="{EDD8838B-C1B1-4D82-9FE7-B9B145E478AF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entrego$2500 mas
</t>
        </r>
      </text>
    </comment>
    <comment ref="L129" authorId="0" shapeId="0" xr:uid="{529C6B8C-50B4-421A-A66B-8C0A08FA0661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40000 SUMADOS POR INTERESES DE MORA
sumados mas intereses 17.09.25
</t>
        </r>
      </text>
    </comment>
    <comment ref="C137" authorId="0" shapeId="0" xr:uid="{ED23AE8B-A814-4C94-9EAF-5284EC1AA1D1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EL MINIMERCADO SE ENCUENTRA EN CALLE COLORADO Y CUEVAS
</t>
        </r>
      </text>
    </comment>
    <comment ref="C138" authorId="0" shapeId="0" xr:uid="{55E1063F-FB55-4D7C-816E-BD06F6DFBAF7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EL MINIMERCADO SE ENCUENTRA EN CALLE COLORADO Y CUEVAS
</t>
        </r>
      </text>
    </comment>
    <comment ref="C139" authorId="0" shapeId="0" xr:uid="{A7F78702-C2D2-4E8B-A457-C44628C00965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EL MINIMERCADO SE ENCUENTRA EN CALLE COLORADO Y CUEVAS
</t>
        </r>
      </text>
    </comment>
    <comment ref="FA147" authorId="0" shapeId="0" xr:uid="{6944C30F-ECD6-429A-990A-7A13FF69C11D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30000+20000
</t>
        </r>
      </text>
    </comment>
    <comment ref="L189" authorId="0" shapeId="0" xr:uid="{7662AAC2-545A-4D36-A72B-7EC571F023EA}">
      <text>
        <r>
          <rPr>
            <b/>
            <sz val="9"/>
            <color indexed="81"/>
            <rFont val="Tahoma"/>
            <charset val="1"/>
          </rPr>
          <t>Eduardo:</t>
        </r>
        <r>
          <rPr>
            <sz val="9"/>
            <color indexed="81"/>
            <rFont val="Tahoma"/>
            <charset val="1"/>
          </rPr>
          <t xml:space="preserve">
recargo por atraso</t>
        </r>
      </text>
    </comment>
    <comment ref="DV190" authorId="0" shapeId="0" xr:uid="{0A70A3E6-2E16-41C8-A701-CD6AF04D3B5B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va a transferir los 2000
</t>
        </r>
      </text>
    </comment>
    <comment ref="DW190" authorId="0" shapeId="0" xr:uid="{EE052895-4E19-4C2C-BE9B-E1488B40ED8D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calculo mal martin. Por eso vuelve a faltar dinero a su cuota
</t>
        </r>
      </text>
    </comment>
    <comment ref="FA215" authorId="0" shapeId="0" xr:uid="{823F8D49-4B9E-41EB-B84B-D04D919042C0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pago 27,07 y 31,07</t>
        </r>
      </text>
    </comment>
    <comment ref="L228" authorId="0" shapeId="0" xr:uid="{FFD509A3-7172-4AE0-92E3-C6CFE238ACCB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sesenta mil de recargo se aplico
</t>
        </r>
      </text>
    </comment>
    <comment ref="L234" authorId="0" shapeId="0" xr:uid="{08F30FE8-94D2-4163-918D-405CA1B6E478}">
      <text>
        <r>
          <rPr>
            <b/>
            <sz val="9"/>
            <color indexed="81"/>
            <rFont val="Tahoma"/>
            <charset val="1"/>
          </rPr>
          <t>Eduardo: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M234" authorId="0" shapeId="0" xr:uid="{E1EE175C-58AA-4061-8316-ED065A30A451}">
      <text>
        <r>
          <rPr>
            <b/>
            <sz val="9"/>
            <color indexed="81"/>
            <rFont val="Tahoma"/>
            <charset val="1"/>
          </rPr>
          <t>Eduardo:</t>
        </r>
        <r>
          <rPr>
            <sz val="9"/>
            <color indexed="81"/>
            <rFont val="Tahoma"/>
            <charset val="1"/>
          </rPr>
          <t xml:space="preserve">
se aplico con plata de lucero ruben</t>
        </r>
      </text>
    </comment>
    <comment ref="L235" authorId="0" shapeId="0" xr:uid="{932E9981-95D7-4FC0-A149-ABD54FC01A6E}">
      <text>
        <r>
          <rPr>
            <b/>
            <sz val="9"/>
            <color indexed="81"/>
            <rFont val="Tahoma"/>
            <charset val="1"/>
          </rPr>
          <t>Eduardo:</t>
        </r>
        <r>
          <rPr>
            <sz val="9"/>
            <color indexed="81"/>
            <rFont val="Tahoma"/>
            <charset val="1"/>
          </rPr>
          <t xml:space="preserve">
solo fue abonado por el titular $244,000.-
los ultimos dos pagos son de otras 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</author>
    <author>Usuario de Windows</author>
  </authors>
  <commentList>
    <comment ref="L3" authorId="0" shapeId="0" xr:uid="{C1457199-162D-470F-8F49-712B5C783CEF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AUMENTO DE $3000 POR VUELTERA
</t>
        </r>
      </text>
    </comment>
    <comment ref="L30" authorId="0" shapeId="0" xr:uid="{53E67FB3-20D7-4764-B10E-C4984B77AEAB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$4000 intereses
</t>
        </r>
      </text>
    </comment>
    <comment ref="B41" authorId="1" shapeId="0" xr:uid="{7FA33576-0064-4D7C-A727-1562042E0E79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VIVEN ACTUALMENTE EN JAVA 421. EGUILUZ ES DE LOS PADRES
</t>
        </r>
      </text>
    </comment>
    <comment ref="L48" authorId="0" shapeId="0" xr:uid="{C87A2AC9-5D70-4C4E-8817-0BDBD7F302E1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se renovo con solo pago de interes
</t>
        </r>
      </text>
    </comment>
    <comment ref="L56" authorId="0" shapeId="0" xr:uid="{525DD5F5-F0E7-46E8-8329-3F4B587AC483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interes por atraso
</t>
        </r>
      </text>
    </comment>
    <comment ref="C119" authorId="1" shapeId="0" xr:uid="{D84529E4-4187-4B25-99C6-23D14E2CD349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CASA CON VENTA DE PLANTINES</t>
        </r>
      </text>
    </comment>
    <comment ref="L143" authorId="0" shapeId="0" xr:uid="{80022DA9-CD07-498A-8BA3-2B346811C00F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RECARGO POR  ATRASO
</t>
        </r>
      </text>
    </comment>
    <comment ref="C147" authorId="0" shapeId="0" xr:uid="{6057F972-61A3-4D8A-B8D8-D4DE4AD20D44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EL MINIMERCADO SE ENCUENTRA EN CALLE COLORADO Y CUEVAS
</t>
        </r>
      </text>
    </comment>
    <comment ref="L148" authorId="0" shapeId="0" xr:uid="{5AF53FF5-13B7-4CB7-A924-7E0F02AB4A41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$4000 intereses
</t>
        </r>
      </text>
    </comment>
    <comment ref="L167" authorId="0" shapeId="0" xr:uid="{BEDCE371-1B4C-430A-80E9-EFB1DC540C5A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$3000, interes por atraso
</t>
        </r>
      </text>
    </comment>
    <comment ref="L186" authorId="0" shapeId="0" xr:uid="{99325779-EEB3-4AD1-976B-AE31EF15F4FB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se refinancio en 9 cuotas de $4000.-
</t>
        </r>
      </text>
    </comment>
    <comment ref="L189" authorId="0" shapeId="0" xr:uid="{0E6B0AB3-8B53-498F-91A9-F799833EC55C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RECARGO POR ATRASO
</t>
        </r>
      </text>
    </comment>
    <comment ref="L190" authorId="0" shapeId="0" xr:uid="{2333B934-63B1-48A7-9174-B826A5A62516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RECARGO POR ATRASO
</t>
        </r>
      </text>
    </comment>
    <comment ref="L217" authorId="0" shapeId="0" xr:uid="{DAE700F2-63E6-4847-92DF-96DBA5D2A277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se actualizo interes por atraso al 08/03/24
</t>
        </r>
      </text>
    </comment>
    <comment ref="L218" authorId="0" shapeId="0" xr:uid="{45E295C6-BF92-42DD-8797-DC7B50F25994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se actualizo interes por atraso al 08.03.24
</t>
        </r>
      </text>
    </comment>
    <comment ref="L220" authorId="0" shapeId="0" xr:uid="{603A5B0D-0194-480E-9947-FF1A3D6AD2BB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75 EL 19.03 Y 75 EL 05.04
</t>
        </r>
      </text>
    </comment>
    <comment ref="L242" authorId="0" shapeId="0" xr:uid="{60ACCECF-3002-4391-AF33-2CC15FF8B9D3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75 EL 19.03 Y 75 EL 05.04
</t>
        </r>
      </text>
    </comment>
    <comment ref="C254" authorId="1" shapeId="0" xr:uid="{544CF610-676A-44ED-97EB-C54D11F2EC57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CASA CON VENTA DE PLANTINES</t>
        </r>
      </text>
    </comment>
    <comment ref="C308" authorId="0" shapeId="0" xr:uid="{81535587-88D4-4968-84D4-AA701E9D9837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EL MINIMERCADO SE ENCUENTRA EN CALLE COLORADO Y CUEVAS
</t>
        </r>
      </text>
    </comment>
    <comment ref="C309" authorId="0" shapeId="0" xr:uid="{FE4F1918-635A-45C6-A93F-F3CDC35885D1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MOTO 110 C MAX PAT.A177DBH
</t>
        </r>
      </text>
    </comment>
    <comment ref="C399" authorId="1" shapeId="0" xr:uid="{31719525-36ED-40B4-BA77-6DE57D71B24A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CASA CON VENTA DE PLANTINES</t>
        </r>
      </text>
    </comment>
    <comment ref="J402" authorId="0" shapeId="0" xr:uid="{4E0B8C61-FDAA-444E-A9FC-C3CEB5C07B1F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primer cuota para abril
</t>
        </r>
      </text>
    </comment>
    <comment ref="L432" authorId="0" shapeId="0" xr:uid="{4BD62E7D-5B77-4165-AAFB-1230ADCF3560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se renovo el credito
</t>
        </r>
      </text>
    </comment>
    <comment ref="C461" authorId="0" shapeId="0" xr:uid="{18FEE48E-DBB9-4838-8191-5D89111AB6FC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EL MINIMERCADO SE ENCUENTRA EN CALLE COLORADO Y CUEVAS
</t>
        </r>
      </text>
    </comment>
    <comment ref="C487" authorId="0" shapeId="0" xr:uid="{E200BBC2-D0FE-4DD2-A48D-BFCD2EC2F09A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EL MINIMERCADO SE ENCUENTRA EN CALLE COLORADO Y CUEVAS
</t>
        </r>
      </text>
    </comment>
    <comment ref="C488" authorId="0" shapeId="0" xr:uid="{32E9F491-8F01-4323-A643-E05026496C43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EL MINIMERCADO SE ENCUENTRA EN CALLE COLORADO Y CUEVAS
</t>
        </r>
      </text>
    </comment>
    <comment ref="F518" authorId="0" shapeId="0" xr:uid="{BEDF9A42-68FC-48BC-BF14-817E5CAFF7B4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SOLICITO COMENZAR EN MARZO 24
</t>
        </r>
      </text>
    </comment>
    <comment ref="E538" authorId="0" shapeId="0" xr:uid="{8900095E-4AF5-4D89-BFB0-8ECD50F765B6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PRIMER CUOTA EN JULIO
</t>
        </r>
      </text>
    </comment>
    <comment ref="C539" authorId="0" shapeId="0" xr:uid="{87A394BF-A0A6-4E5F-9E35-AFECDA4D0A6D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EL MINIMERCADO SE ENCUENTRA EN CALLE COLORADO Y CUEVAS
</t>
        </r>
      </text>
    </comment>
    <comment ref="C549" authorId="1" shapeId="0" xr:uid="{22710AB2-72CF-40A9-BDF6-D1ABAB3A6462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CASA CON VENTA DE PLANTINES</t>
        </r>
      </text>
    </comment>
    <comment ref="C579" authorId="0" shapeId="0" xr:uid="{9ACCFCD3-B6E6-421D-99E1-E541EC8A2CEC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EL MINIMERCADO SE ENCUENTRA EN CALLE COLORADO Y CUEVAS
</t>
        </r>
      </text>
    </comment>
    <comment ref="L611" authorId="0" shapeId="0" xr:uid="{0A94EBDD-CA90-4566-BBED-E98B5A3A60D2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SE RECARGO $20000
</t>
        </r>
      </text>
    </comment>
    <comment ref="E629" authorId="0" shapeId="0" xr:uid="{8C7C4B97-2485-4FDD-AA67-F8841926151E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primer cuota en julio
</t>
        </r>
      </text>
    </comment>
    <comment ref="C651" authorId="0" shapeId="0" xr:uid="{BEE31266-492A-41E7-8DD1-BB9B319A9EA2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MOTO 110 C MAX PAT.A177DBH
</t>
        </r>
      </text>
    </comment>
    <comment ref="C696" authorId="1" shapeId="0" xr:uid="{1A724CFF-8A37-452D-A0EC-B09BD991E84B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CASA CON VENTA DE PLANTINES</t>
        </r>
      </text>
    </comment>
    <comment ref="C771" authorId="1" shapeId="0" xr:uid="{AE6D9525-44FE-4FBA-8E41-E03F8C218A9A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CASA CON VENTA DE PLANTINES</t>
        </r>
      </text>
    </comment>
    <comment ref="C812" authorId="0" shapeId="0" xr:uid="{60670CEB-5500-465C-8F49-AFECC713E4F0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EL MINIMERCADO SE ENCUENTRA EN CALLE COLORADO Y CUEVAS
</t>
        </r>
      </text>
    </comment>
    <comment ref="C893" authorId="1" shapeId="0" xr:uid="{201A851C-B565-472A-B046-2BAD9F3A382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CASA CON VENTA DE PLANTINES</t>
        </r>
      </text>
    </comment>
    <comment ref="N944" authorId="0" shapeId="0" xr:uid="{0963528F-83CC-439A-8494-2332CEEE3551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por renovacion
</t>
        </r>
      </text>
    </comment>
    <comment ref="C978" authorId="1" shapeId="0" xr:uid="{291C5E47-A468-405D-AAED-6324CBA1535F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CASA CON VENTA DE PLANTINES</t>
        </r>
      </text>
    </comment>
    <comment ref="J994" authorId="0" shapeId="0" xr:uid="{EFCB56BA-2A6C-49BC-83D8-649BD665C257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primer cuota para abril
</t>
        </r>
      </text>
    </comment>
    <comment ref="N1006" authorId="0" shapeId="0" xr:uid="{B1A03817-0AF8-45C2-8C9D-6E5E9F3EBD9A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se cancelo a traves del nuevo credito, emitido el 14.08</t>
        </r>
      </text>
    </comment>
    <comment ref="C1029" authorId="1" shapeId="0" xr:uid="{A0517A01-B77C-49C4-9554-6D4181E88ED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CASA CON VENTA DE PLANTINES</t>
        </r>
      </text>
    </comment>
    <comment ref="L1034" authorId="0" shapeId="0" xr:uid="{B0207FC0-7B8A-48A8-B070-00ACF142D1AB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9500 de recargo
</t>
        </r>
      </text>
    </comment>
    <comment ref="M1095" authorId="0" shapeId="0" xr:uid="{21B77469-2439-4EF9-B02A-E1C5962E4CEA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SE REFINANCIO A UN VALOR TOTAL DE $94500 A DEVOLVER EN 9 PAGOS DE $10500
</t>
        </r>
      </text>
    </comment>
    <comment ref="N1110" authorId="0" shapeId="0" xr:uid="{35A3DB20-1C42-41CE-901C-E13D4724D571}">
      <text>
        <r>
          <rPr>
            <b/>
            <sz val="9"/>
            <color indexed="81"/>
            <rFont val="Tahoma"/>
            <charset val="1"/>
          </rPr>
          <t>Eduardo:</t>
        </r>
        <r>
          <rPr>
            <sz val="9"/>
            <color indexed="81"/>
            <rFont val="Tahoma"/>
            <charset val="1"/>
          </rPr>
          <t xml:space="preserve">
se aplico 50000 al credito de tapia pablo. Extrayendose 
 de los $150000 que brindo lucero
</t>
        </r>
      </text>
    </comment>
    <comment ref="C1113" authorId="1" shapeId="0" xr:uid="{5E04A72F-237C-4872-8A65-11D9921445E8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CASA CON VENTA DE PLANTINES</t>
        </r>
      </text>
    </comment>
    <comment ref="J1118" authorId="0" shapeId="0" xr:uid="{353F80A6-24B2-417F-B256-318233055C2F}">
      <text>
        <r>
          <rPr>
            <b/>
            <sz val="9"/>
            <color indexed="81"/>
            <rFont val="Tahoma"/>
            <family val="2"/>
          </rPr>
          <t>Eduardo:</t>
        </r>
        <r>
          <rPr>
            <sz val="9"/>
            <color indexed="81"/>
            <rFont val="Tahoma"/>
            <family val="2"/>
          </rPr>
          <t xml:space="preserve">
se modifico por error al cargarse el plan.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B1" authorId="0" shapeId="0" xr:uid="{EA240309-8A73-479A-949D-9228B81C8E3F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numero antes de descartar los cancelados</t>
        </r>
      </text>
    </comment>
    <comment ref="B7" authorId="0" shapeId="0" xr:uid="{D723B4B3-11EE-4533-AF79-1BB4724EF21D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se retiraron 16 cuentas a frezzer </t>
        </r>
      </text>
    </comment>
  </commentList>
</comments>
</file>

<file path=xl/sharedStrings.xml><?xml version="1.0" encoding="utf-8"?>
<sst xmlns="http://schemas.openxmlformats.org/spreadsheetml/2006/main" count="6556" uniqueCount="1431">
  <si>
    <t>Nombre y Apellido</t>
  </si>
  <si>
    <t>Domicilio part. y laboral</t>
  </si>
  <si>
    <t>D.N.I</t>
  </si>
  <si>
    <t>Fecha Final.</t>
  </si>
  <si>
    <t>dias</t>
  </si>
  <si>
    <t>DIAS ABONADOS</t>
  </si>
  <si>
    <t>DIAS SIN ABONAR</t>
  </si>
  <si>
    <t>Plan. Pagos</t>
  </si>
  <si>
    <t>Capital</t>
  </si>
  <si>
    <t>Monto Devolver</t>
  </si>
  <si>
    <t>Cuota Semanal</t>
  </si>
  <si>
    <t>31.10.22</t>
  </si>
  <si>
    <t>07.11.22</t>
  </si>
  <si>
    <t>14.11.22</t>
  </si>
  <si>
    <t>21.11.22</t>
  </si>
  <si>
    <t>28.11.22</t>
  </si>
  <si>
    <t>05.12.22</t>
  </si>
  <si>
    <t>12.12.22</t>
  </si>
  <si>
    <t>19.12.22</t>
  </si>
  <si>
    <t>26.12.22</t>
  </si>
  <si>
    <t>02.01.23</t>
  </si>
  <si>
    <t>09.01.23</t>
  </si>
  <si>
    <t>16.01.23</t>
  </si>
  <si>
    <t>23.01.23</t>
  </si>
  <si>
    <t>30.01.23</t>
  </si>
  <si>
    <t>06.02.22</t>
  </si>
  <si>
    <t>13.02.23</t>
  </si>
  <si>
    <t>20.02.23</t>
  </si>
  <si>
    <t>27.02.23</t>
  </si>
  <si>
    <t>06.03.23</t>
  </si>
  <si>
    <t>13.03.23</t>
  </si>
  <si>
    <t>20.03.23</t>
  </si>
  <si>
    <t>27.03.23</t>
  </si>
  <si>
    <t>03.04.23</t>
  </si>
  <si>
    <t>10.04.23</t>
  </si>
  <si>
    <t>17.04.23</t>
  </si>
  <si>
    <t>24.04.23</t>
  </si>
  <si>
    <t>01.05.23</t>
  </si>
  <si>
    <t>08.05.23</t>
  </si>
  <si>
    <t>14.05.23</t>
  </si>
  <si>
    <t>22.05.23</t>
  </si>
  <si>
    <t>29.05.23</t>
  </si>
  <si>
    <t>5.06.23</t>
  </si>
  <si>
    <t>12.06.23</t>
  </si>
  <si>
    <t>19.06.23</t>
  </si>
  <si>
    <t>26.06.23</t>
  </si>
  <si>
    <t>03.07.23</t>
  </si>
  <si>
    <t>10.07.23</t>
  </si>
  <si>
    <t>17.07.23</t>
  </si>
  <si>
    <t>24.07.23</t>
  </si>
  <si>
    <t>31.07.23</t>
  </si>
  <si>
    <t>07.08.23</t>
  </si>
  <si>
    <t>14.08.23</t>
  </si>
  <si>
    <t>21.08.23</t>
  </si>
  <si>
    <t>28.08.23</t>
  </si>
  <si>
    <t>04.09.23</t>
  </si>
  <si>
    <t>11.09.23</t>
  </si>
  <si>
    <t>18.09.23</t>
  </si>
  <si>
    <t>25.09.23</t>
  </si>
  <si>
    <t>02.10.23</t>
  </si>
  <si>
    <t>09.10.23</t>
  </si>
  <si>
    <t>16.10.23</t>
  </si>
  <si>
    <t>23.10.23</t>
  </si>
  <si>
    <t>30.10.23</t>
  </si>
  <si>
    <t>06.11.23</t>
  </si>
  <si>
    <t>13.11.23</t>
  </si>
  <si>
    <t>20.11.23</t>
  </si>
  <si>
    <t>27.11.23</t>
  </si>
  <si>
    <t>04.12.23</t>
  </si>
  <si>
    <t>11.12.23</t>
  </si>
  <si>
    <t>18.12.23</t>
  </si>
  <si>
    <t>25.12.23</t>
  </si>
  <si>
    <t>01.01.24</t>
  </si>
  <si>
    <t>08.01.24</t>
  </si>
  <si>
    <t>15.01.24</t>
  </si>
  <si>
    <t>22.01.24</t>
  </si>
  <si>
    <t>29.01.24</t>
  </si>
  <si>
    <t>05.02.24</t>
  </si>
  <si>
    <t>12.02.24</t>
  </si>
  <si>
    <t>19.02.24</t>
  </si>
  <si>
    <t>26.02.24</t>
  </si>
  <si>
    <t>04.03.24</t>
  </si>
  <si>
    <t>11.03.24</t>
  </si>
  <si>
    <t>18.03.24</t>
  </si>
  <si>
    <t>25.03.24</t>
  </si>
  <si>
    <t>01.04.24</t>
  </si>
  <si>
    <t>08.04.24</t>
  </si>
  <si>
    <t>15.04.24</t>
  </si>
  <si>
    <t>22.04.24</t>
  </si>
  <si>
    <t>29.04.24</t>
  </si>
  <si>
    <t>06.05.24</t>
  </si>
  <si>
    <t>13.05.24</t>
  </si>
  <si>
    <t>20.05.24</t>
  </si>
  <si>
    <t>27.05.24</t>
  </si>
  <si>
    <t>03.06.24</t>
  </si>
  <si>
    <t>10.06.24</t>
  </si>
  <si>
    <t>17.06.24</t>
  </si>
  <si>
    <t>24.06.24</t>
  </si>
  <si>
    <t>01.07.24</t>
  </si>
  <si>
    <t>08.07.24</t>
  </si>
  <si>
    <t>15.07.24</t>
  </si>
  <si>
    <t>22.07.24</t>
  </si>
  <si>
    <t>29.07.24</t>
  </si>
  <si>
    <t>05.08.24</t>
  </si>
  <si>
    <t>12.08.24</t>
  </si>
  <si>
    <t>19.08.24</t>
  </si>
  <si>
    <t>26.08.24</t>
  </si>
  <si>
    <t>02.09.24</t>
  </si>
  <si>
    <t>09.09.24</t>
  </si>
  <si>
    <t>16.09.24</t>
  </si>
  <si>
    <t>23.09.24</t>
  </si>
  <si>
    <t>30.09.24</t>
  </si>
  <si>
    <t>07.10.24</t>
  </si>
  <si>
    <t>14.10.24</t>
  </si>
  <si>
    <t>21.10.24</t>
  </si>
  <si>
    <t>28.10.24</t>
  </si>
  <si>
    <t>04.11.24</t>
  </si>
  <si>
    <t>11.11.24</t>
  </si>
  <si>
    <t>18.11.24</t>
  </si>
  <si>
    <t>25.11.24</t>
  </si>
  <si>
    <t>02.12.24</t>
  </si>
  <si>
    <t>09.12.24</t>
  </si>
  <si>
    <t>16.12.24</t>
  </si>
  <si>
    <t>23.12.24</t>
  </si>
  <si>
    <t>30.12.24</t>
  </si>
  <si>
    <t>06.01.25</t>
  </si>
  <si>
    <t>13.01.25</t>
  </si>
  <si>
    <t>20.01.25</t>
  </si>
  <si>
    <t>27.01.25</t>
  </si>
  <si>
    <t>03.02.25</t>
  </si>
  <si>
    <t>10.02.25</t>
  </si>
  <si>
    <t>17.02.25</t>
  </si>
  <si>
    <t>24.02.25</t>
  </si>
  <si>
    <t>03.03.25</t>
  </si>
  <si>
    <t>10.03.25</t>
  </si>
  <si>
    <t>17.03.25</t>
  </si>
  <si>
    <t>24.03.25</t>
  </si>
  <si>
    <t>31.03.25</t>
  </si>
  <si>
    <t>07.04.25</t>
  </si>
  <si>
    <t>MES PENDIENTE</t>
  </si>
  <si>
    <t xml:space="preserve">ABACA DARIO DANIEL  </t>
  </si>
  <si>
    <t>VILLA MARIA 6187 TC.3516503711.LAB. LA FALDA 5822</t>
  </si>
  <si>
    <t>9 meses$90,000</t>
  </si>
  <si>
    <t xml:space="preserve"> </t>
  </si>
  <si>
    <t>ABREGO NORMA MARCELA</t>
  </si>
  <si>
    <t>CALAMUCHITA 6087.LT. CONSTITUCION ESQ. TILCARA-TC. 3516 06-4857-3517466859</t>
  </si>
  <si>
    <t>AGÜERO ANGEL NICOLAS</t>
  </si>
  <si>
    <t>USHUAIA 1666. STA. ISABEL-3517040995- EDIF. CENIT F.ALCORTA 220</t>
  </si>
  <si>
    <t>6 MES$22000</t>
  </si>
  <si>
    <t>4 MES$54000</t>
  </si>
  <si>
    <t>6 MES$26400</t>
  </si>
  <si>
    <t>AGÜERO FERNANDO GABRIEL</t>
  </si>
  <si>
    <t>USHUAIA 1666. STA. ISABEL-3512180168</t>
  </si>
  <si>
    <t>6 mes$44000</t>
  </si>
  <si>
    <t>4 MES$27000</t>
  </si>
  <si>
    <t>6 mes$26400</t>
  </si>
  <si>
    <t xml:space="preserve">AGUIRRE ANALIA ISABEL </t>
  </si>
  <si>
    <t>ABREU DE FIGUEROA ENTRE TANTI Y POSE</t>
  </si>
  <si>
    <t>110*7200</t>
  </si>
  <si>
    <t xml:space="preserve">ALICANTE LUIS </t>
  </si>
  <si>
    <t>MZA.14 LT.9-BARRIO CABILDO</t>
  </si>
  <si>
    <t>72*3000</t>
  </si>
  <si>
    <t>72*1800</t>
  </si>
  <si>
    <t>72*2400</t>
  </si>
  <si>
    <t>ALICANTE LUIS-(JORGE)</t>
  </si>
  <si>
    <t>72*6000</t>
  </si>
  <si>
    <t>AMARANTO ELINA</t>
  </si>
  <si>
    <t>VICENTE FORESTIERI 5721- V.LIBERTADOR TC3516 57-6705</t>
  </si>
  <si>
    <t>4 MESES$43200</t>
  </si>
  <si>
    <t>ARCE EDHITH ELIZABETH DEL VALLE</t>
  </si>
  <si>
    <t xml:space="preserve">Bogota   </t>
  </si>
  <si>
    <t>11q$48000</t>
  </si>
  <si>
    <t>ARCE MONICA PILAR</t>
  </si>
  <si>
    <t>AMBUL 6076-COMERCIAL-517647824</t>
  </si>
  <si>
    <t>27.22220669.9</t>
  </si>
  <si>
    <t>10meses$99,000</t>
  </si>
  <si>
    <t>10 mes$99950</t>
  </si>
  <si>
    <t>10meses$134.400</t>
  </si>
  <si>
    <t>8 meses$112,500</t>
  </si>
  <si>
    <t>ARRASCAETA VALENTINA ALICIA</t>
  </si>
  <si>
    <t>DIEGO PAROISSIEN 33364 -LT. GERVASONI 2382 TC.3516099463</t>
  </si>
  <si>
    <t>72*900</t>
  </si>
  <si>
    <t>72*600</t>
  </si>
  <si>
    <t>ARRIETA SERGIO ALEJANDRO- MARTINEZ GABRIELA</t>
  </si>
  <si>
    <t>MZ13 LOTE 5 TERRANOSTRA 2 TC.3518004006</t>
  </si>
  <si>
    <t>4 messe$864000</t>
  </si>
  <si>
    <t>BARROS DANIEL MARCELO</t>
  </si>
  <si>
    <t>SALTA 347 2PISO DPTO6</t>
  </si>
  <si>
    <t>72*4500</t>
  </si>
  <si>
    <t>BENGOLEA HUGO MIGUEL</t>
  </si>
  <si>
    <t>4 MES$540.000</t>
  </si>
  <si>
    <t>BENITEZ TANIA ALEJANDRA</t>
  </si>
  <si>
    <t>COLORADO 5765 DPTO.2 EUROCLEAN. MISERICORDIA SALA CLINICA MEDICA TC.3518022824</t>
  </si>
  <si>
    <t>110*4800</t>
  </si>
  <si>
    <t>6 MES$30800</t>
  </si>
  <si>
    <t>BLOIN CLAUDIA DEL VALLE</t>
  </si>
  <si>
    <t>TUNUYAN 2121-TC.351-287-6204</t>
  </si>
  <si>
    <t>14 quin$47150</t>
  </si>
  <si>
    <t>14 quin$25730</t>
  </si>
  <si>
    <t>BLOIN CLAUDIA DEL VALLE(carlos)</t>
  </si>
  <si>
    <t>72*$4500</t>
  </si>
  <si>
    <t>BRANDAN LUCAS EDUARDO</t>
  </si>
  <si>
    <t>TRAB. ANJOR CAMINO SAN CARLOS 5325-TP.3514084052- DP.YACANTO 817- H.IRIGOYEN</t>
  </si>
  <si>
    <t>6mes$88,000</t>
  </si>
  <si>
    <t>BROCCA ESTELA GRACIELA</t>
  </si>
  <si>
    <t>CABO ALFREDO GONZALEZ 1625 TC.351 6544748</t>
  </si>
  <si>
    <t>4 meses$54000</t>
  </si>
  <si>
    <t xml:space="preserve">CABIDO JOSEFA OLGA  </t>
  </si>
  <si>
    <t>CALAMUCHITA 5717- TC. M.3513571945</t>
  </si>
  <si>
    <t>9 mes$45,000</t>
  </si>
  <si>
    <t>15 quin.30000</t>
  </si>
  <si>
    <t xml:space="preserve">CABIDO JOSEFA OLGA (martin) </t>
  </si>
  <si>
    <t>CASTILLO JESUS FERNANDO(miercoles con refin)</t>
  </si>
  <si>
    <t>CALLE 2 MZA.167.LOT.4 .PQUE SANTA ANA-TC.3547460595- VERDULERIA LA PLAZA . 1RO. DE MAYO Y RIO NEGRO -KANSAS ESQ. NUEVA JERSEY. FLIA FLORES</t>
  </si>
  <si>
    <t>160*23000</t>
  </si>
  <si>
    <t>CASTILLO SILVIA MIRIAM</t>
  </si>
  <si>
    <t>pirincha 9634 - barrio arenales - 3512563257-lt. Uruguay 448</t>
  </si>
  <si>
    <t>4 meses $270000</t>
  </si>
  <si>
    <t>4 meses $162000</t>
  </si>
  <si>
    <t>COLAZO MAXIMILIANO GERMAN-MEDRANO MARIANA ROMINA</t>
  </si>
  <si>
    <t>LEONISMO ARGENTINO 563- 3547611829(01)</t>
  </si>
  <si>
    <t>9 mes $54500</t>
  </si>
  <si>
    <t>COLLADO FERNANDO MARTIN</t>
  </si>
  <si>
    <t>BLOCK K DP 607 SDO PSO - L.T. MUNGATU Y CASERATTO TC. 152526685</t>
  </si>
  <si>
    <t>08 MES$150000</t>
  </si>
  <si>
    <t>14 MES$260000</t>
  </si>
  <si>
    <t>COLLADO FERNANDO MARTIN(candelaria)</t>
  </si>
  <si>
    <t>72*1500</t>
  </si>
  <si>
    <t>DIAZ ALBERTO-GODOY SILVANA NOEMI-</t>
  </si>
  <si>
    <t>PANAMA 2411- YAPEYU-TC.3515731285</t>
  </si>
  <si>
    <t>ESPAÑON JUAN OSCAR</t>
  </si>
  <si>
    <t>PIEDRA PINTADA 348</t>
  </si>
  <si>
    <t>4 meses$162000</t>
  </si>
  <si>
    <t>FARIAS CAROLINA AYELEN</t>
  </si>
  <si>
    <t>MZA.46 LTE. 13-IPV. ITUZAINGO ANEXO- TC.351-7142709- SAN MARTIN 157 LABORAL</t>
  </si>
  <si>
    <t>27-32492625-4</t>
  </si>
  <si>
    <t>7 MES$56.600</t>
  </si>
  <si>
    <t>7 MES$58.000</t>
  </si>
  <si>
    <t>7 MES$117.858</t>
  </si>
  <si>
    <t>FARIAS JORGE DANIEL</t>
  </si>
  <si>
    <t>GALILAN 4557</t>
  </si>
  <si>
    <t>70*15430</t>
  </si>
  <si>
    <t>FARIAS JUAN CARLOS</t>
  </si>
  <si>
    <t>ARICA 932-3512691013-4933532</t>
  </si>
  <si>
    <t>6 M$17600</t>
  </si>
  <si>
    <t>6M $44,000</t>
  </si>
  <si>
    <t>FERREYRA CAROLINA GRISELDA</t>
  </si>
  <si>
    <t>ADRIAN ESCOBAR 3485, LAS FLORES</t>
  </si>
  <si>
    <t>16q$28125</t>
  </si>
  <si>
    <t>11q$19200</t>
  </si>
  <si>
    <t>11q$36000</t>
  </si>
  <si>
    <t>FERREYRA NOELIA ALEJANDRA-FERREYRA PATRICIA NOEMI</t>
  </si>
  <si>
    <t>J. VERDI 3925 TP.1885826-351-3009709-351-3463900</t>
  </si>
  <si>
    <t>4 MES$216000</t>
  </si>
  <si>
    <t>FERREYRA PAMELA GISELA-DANIEL GUSTAVO GODOY</t>
  </si>
  <si>
    <t>mza.149 lote 19- b. el recreo-USHUAIA 3350- CASA 317. SAN IGNACIO DE HORIZONTE-3517568462-GUSTAVO 3517139886</t>
  </si>
  <si>
    <t>8QUINC.$40500</t>
  </si>
  <si>
    <t>FERREYRA PATRICIA NOEMI</t>
  </si>
  <si>
    <t>J. VERDI 3925 TP.1885826-351-3463900</t>
  </si>
  <si>
    <t>27.32925048.8</t>
  </si>
  <si>
    <t>6 MESES $66.000</t>
  </si>
  <si>
    <t>FLORES JUANA</t>
  </si>
  <si>
    <t>11 quin.$24000</t>
  </si>
  <si>
    <t>FONSECA GUZMAN JAVIER ALEJANDRO</t>
  </si>
  <si>
    <t>LA RIOJA 2015 1A-3516500372-TRAB SATSAID-HIPOLITO VIEYTES 1532</t>
  </si>
  <si>
    <t>15MES$14290</t>
  </si>
  <si>
    <t>12 meses$7000</t>
  </si>
  <si>
    <t>12 meses$2350</t>
  </si>
  <si>
    <t>6 mes $8800</t>
  </si>
  <si>
    <t>FONSECA ROMINA ISABEL</t>
  </si>
  <si>
    <t>zapateria constanza- DIR.TRAB. ruta 20 1960-TC.3516965370</t>
  </si>
  <si>
    <t>6 mes $66,000</t>
  </si>
  <si>
    <t>8 mes$75000</t>
  </si>
  <si>
    <t>4mes$54000</t>
  </si>
  <si>
    <t>FONSECA ROMINA ISABEL (MATIAS FRIAS)</t>
  </si>
  <si>
    <t>FRONTERA JUAN CARLOS</t>
  </si>
  <si>
    <t>4M*54000</t>
  </si>
  <si>
    <t>4M*27000</t>
  </si>
  <si>
    <t>FRONTERA NICOLAS</t>
  </si>
  <si>
    <t>110*2400</t>
  </si>
  <si>
    <t>FUENTES MABEL LETICIA DEL VALLE</t>
  </si>
  <si>
    <t>LUIS MARIA DRAGO 268 -3512911884cbu0200931911000020195876</t>
  </si>
  <si>
    <t>4meses$16200</t>
  </si>
  <si>
    <t>4meses$27000</t>
  </si>
  <si>
    <t>FUENTES MABEL LETICIA DEL VALLE(HERMANA)</t>
  </si>
  <si>
    <t>LUIS MARIA DRAGO 268 -3512911884</t>
  </si>
  <si>
    <t>FUENTES MARISA RUTH</t>
  </si>
  <si>
    <t>SANTA ROSA 1783 PB. A</t>
  </si>
  <si>
    <t>6mes$66000</t>
  </si>
  <si>
    <t>6 mes$132.000.</t>
  </si>
  <si>
    <t>GALLEGUILLO FLORENCIA BELEN</t>
  </si>
  <si>
    <t>MONSEÑOR PABLO CABRERA 3794 PB. DPTO.1-TL 4257910-tc.3512951027</t>
  </si>
  <si>
    <t>8 mes $112.500</t>
  </si>
  <si>
    <t>1 PAGO$75000</t>
  </si>
  <si>
    <t>GOMEZ DIEGO JAVIER</t>
  </si>
  <si>
    <t>7*15500</t>
  </si>
  <si>
    <t>GONZALEZ AURELIA FAUSTINA</t>
  </si>
  <si>
    <t>J.RIOS 1471 P2-DPTO.9 L.TRAB. ALEM 2055</t>
  </si>
  <si>
    <t>10 MES $90000</t>
  </si>
  <si>
    <t>GUTIERREZ MONICA SANDRA</t>
  </si>
  <si>
    <t>ESTEBAN BONORINO 4643-R.J.CARCANO- ESPINOSA MALL. TC.3512387037</t>
  </si>
  <si>
    <t>6 MESES$44,000</t>
  </si>
  <si>
    <t>4 MESES$27,000</t>
  </si>
  <si>
    <t>6MESES$44,000</t>
  </si>
  <si>
    <t>GUZMAN CLAUDIA ALICIA</t>
  </si>
  <si>
    <t>LAS CUEVAS 2150 CABILDO-3512 32-8305</t>
  </si>
  <si>
    <t>4MESES$54000</t>
  </si>
  <si>
    <t>GUZMAN VERONICA ELIZABETH</t>
  </si>
  <si>
    <t>JOSE MARIA EGUILUZ 543-SAN FERNANDO</t>
  </si>
  <si>
    <t>72*1200</t>
  </si>
  <si>
    <t>HENOT MARIA DE LOS MILAGROS</t>
  </si>
  <si>
    <t>AV. ARMADA ARG.2939.3515637498</t>
  </si>
  <si>
    <t>6 mes$132000</t>
  </si>
  <si>
    <t>HENOT SERGIO ALEJANDRO</t>
  </si>
  <si>
    <t>AV. ARMADA ARG.2939.TP.4932602. TL. 03543-422853</t>
  </si>
  <si>
    <t>115*4600</t>
  </si>
  <si>
    <t>LAZARTE BERTA ROSA</t>
  </si>
  <si>
    <t>BOGOTA 1168- 3518172978-TL.461744 (L.LANGER 1155)</t>
  </si>
  <si>
    <t>72*450</t>
  </si>
  <si>
    <t>LAZARTE BERTA ROSA(Martin)</t>
  </si>
  <si>
    <t>LAZARTE BERTA ROSA(sebastian)</t>
  </si>
  <si>
    <t>LLORENS MARIA CRISTINA/OVIEDO MARIA CRISTINA</t>
  </si>
  <si>
    <t>JUEZ BARRACO MARMOL 267- GRAL BUSTOS. TC.351686-0893</t>
  </si>
  <si>
    <t>6 MES$66,000</t>
  </si>
  <si>
    <t>8MES$112500</t>
  </si>
  <si>
    <t>4 mes$54000</t>
  </si>
  <si>
    <t>6 MES$57,200</t>
  </si>
  <si>
    <t>LOPEZ MARINA ALICIA</t>
  </si>
  <si>
    <t>6 mes 52800</t>
  </si>
  <si>
    <t>LUCERO RUBEN DEL CARMEN</t>
  </si>
  <si>
    <t>GUILLERMO HUDSON 4572- LICEO II- CPC II. OBRAS PUBLICAS. 2DO PISO- MARIO MEDINA COMPAÑERO</t>
  </si>
  <si>
    <t>LUCERO RUBEN DEL CARMEN- PALACIOS MICAELA ABIGAIL</t>
  </si>
  <si>
    <t>12 QUIN$33000</t>
  </si>
  <si>
    <t>12 QUIN$55000</t>
  </si>
  <si>
    <t>LUDUEÑA NANCY ALEJANDRA</t>
  </si>
  <si>
    <t>SAN ANDRES 3832- EL QUEBRACHO-TC.3512527127-EDIF EL PUENTE. AVELLANEDA 490- EMPLEADOR JUAN IBAÑEZ PADILLA. TC.3515194544</t>
  </si>
  <si>
    <t>LUNA ROSA VIVIANA</t>
  </si>
  <si>
    <t>MANERO BLOIN AGUSTINA</t>
  </si>
  <si>
    <t>TUNUYAN 2139-3516791165-   clinica jardin ex richieri</t>
  </si>
  <si>
    <t>20 Q.$34500</t>
  </si>
  <si>
    <t>15Q$52800</t>
  </si>
  <si>
    <t>MARTINEZ BARBARA LUCIANA</t>
  </si>
  <si>
    <t>NISPO 1510</t>
  </si>
  <si>
    <t>MARTINEZ GABRIELA</t>
  </si>
  <si>
    <t>8 Mes$187500</t>
  </si>
  <si>
    <t xml:space="preserve">MARTINEZ NATALIA SOLEDAD </t>
  </si>
  <si>
    <t>AMBUL 6076-COMERCIAL-3515472342-lab. BS. AS 465 DPTO 8B</t>
  </si>
  <si>
    <t>6 MES$44.000</t>
  </si>
  <si>
    <t>72*$2100</t>
  </si>
  <si>
    <t>110*3600</t>
  </si>
  <si>
    <t>MAS JOSE ADRIAN-AMARANTO ELINA DEL PILAR</t>
  </si>
  <si>
    <t>72*2700</t>
  </si>
  <si>
    <t>MOLINA MAXIMILIANO EXE- BLOIN CLAUDIA DEL V. - MANERO BLOIN AGUSTINA B.</t>
  </si>
  <si>
    <t>COLORADO 5676.TC. 3513173503</t>
  </si>
  <si>
    <t>11 QUINC$48000</t>
  </si>
  <si>
    <t>MORETTI SILVIA</t>
  </si>
  <si>
    <t xml:space="preserve">INCHAUSPE </t>
  </si>
  <si>
    <t>MOYANO ANA DE LOURDES</t>
  </si>
  <si>
    <t>LA FALDA 6058 TC.3513149383</t>
  </si>
  <si>
    <t>MOYANO FABIAN ISAAC</t>
  </si>
  <si>
    <t>LA FALDA 6058 TC.3515135790 -3513824577</t>
  </si>
  <si>
    <t>120*$3103</t>
  </si>
  <si>
    <t>MURUA CLAUDIA ALEJANDRA</t>
  </si>
  <si>
    <t>GOBERNACION 1074- V.LIBER- HOSP. PRIV.ROPERIA REC. DE mIRYm- tc.3517359640</t>
  </si>
  <si>
    <t>OLIVA MIRIAM DEL VALLE</t>
  </si>
  <si>
    <t>DEAN FUNES  814 PB.I TC.153229631 TL.4466800</t>
  </si>
  <si>
    <t>4 MES$64800</t>
  </si>
  <si>
    <t>OLMOS ELENA</t>
  </si>
  <si>
    <t>1 pago</t>
  </si>
  <si>
    <t>PAEZ FERNANDO GABRIEL</t>
  </si>
  <si>
    <t>ARICA 1873. SANTA ISABLE SEGUNDA. MZA.14 LT.9-BARRIO CABILDO</t>
  </si>
  <si>
    <t>7 MES$56572</t>
  </si>
  <si>
    <t>5 MES$86400</t>
  </si>
  <si>
    <t>5 MES$43200</t>
  </si>
  <si>
    <t>5 MES$64800</t>
  </si>
  <si>
    <t>10 MES$168000</t>
  </si>
  <si>
    <t>PAEZ GIANFRANCO- PAEZ WALTER RAMON</t>
  </si>
  <si>
    <t>6 meses$30800</t>
  </si>
  <si>
    <t>6 meses$22000</t>
  </si>
  <si>
    <t>6 mes$88000</t>
  </si>
  <si>
    <t>primer cuota para mayo*</t>
  </si>
  <si>
    <t>PAEZ WALTER RAMON</t>
  </si>
  <si>
    <t>10 mes$30800</t>
  </si>
  <si>
    <t>6 mes$22000</t>
  </si>
  <si>
    <t>4 m*81000</t>
  </si>
  <si>
    <t>PAGLIARI LUIS MANUEL</t>
  </si>
  <si>
    <t>TOMAS DE ROCAMORA 2322-PATRICIO NORTE</t>
  </si>
  <si>
    <t>RODRIGUEZ DE LA TORRE 1424- SUAREZ</t>
  </si>
  <si>
    <t>20,32314270,0 (01)</t>
  </si>
  <si>
    <t>6 MES$45000</t>
  </si>
  <si>
    <t>PALACIOS MICAELA ABIGAIL</t>
  </si>
  <si>
    <t>B. SACHI TC.351 702-5836-GUANASACATE 2931</t>
  </si>
  <si>
    <t>110*4400</t>
  </si>
  <si>
    <t xml:space="preserve">PARRA MARTIN GERARDO </t>
  </si>
  <si>
    <t>MZA.42-CASA19. COOP VIPRO</t>
  </si>
  <si>
    <t>20.3643123.3</t>
  </si>
  <si>
    <t>MZA.42-CASA19. COOP VIPRO-lt. San jeronimo y rio primero</t>
  </si>
  <si>
    <t>20 q.$75000</t>
  </si>
  <si>
    <t>PAZ DANIEL A.- VILLALBA CRISTIAN M.-PAZ MARISA JULIETA</t>
  </si>
  <si>
    <t>JUJUY 76 PB-3512110973</t>
  </si>
  <si>
    <t>8 mes$99000</t>
  </si>
  <si>
    <t>8 mes$150000</t>
  </si>
  <si>
    <t>PICCATTO JESSICA</t>
  </si>
  <si>
    <t>1 PAGO</t>
  </si>
  <si>
    <t>PICCATTO ROBERTO CARLOS</t>
  </si>
  <si>
    <t>AMBUL 6161 1-COMERCIAL -TC.351 2081008 3513978119 -3516433350 (ESP)</t>
  </si>
  <si>
    <t>QUINTANILLA CLAUDIA MABEL</t>
  </si>
  <si>
    <t>AMBUL 6066 3517074754 TF.4936836 TL.4633220</t>
  </si>
  <si>
    <t xml:space="preserve">4 mes$16200 </t>
  </si>
  <si>
    <t>4 mes$27000</t>
  </si>
  <si>
    <t>REYES MATIAS FABIAN</t>
  </si>
  <si>
    <t>RIO NEGRO 2860 DPTO.8 TC.3516219312- EPTA ARGENTINA TC.35415225500</t>
  </si>
  <si>
    <t>6 MES$220000</t>
  </si>
  <si>
    <t>REYNOSO ROMULA CONSTANZA MABEL-TELLO ANGEL GABRIEL</t>
  </si>
  <si>
    <t>RIO SECO 5937</t>
  </si>
  <si>
    <t>11 q$72000</t>
  </si>
  <si>
    <t>ROMERO EDGAR RAFAEL</t>
  </si>
  <si>
    <t>AV. ARMADA ARG.2939.TP.4932602. TC. 0351-8641772</t>
  </si>
  <si>
    <t>7Q$92571</t>
  </si>
  <si>
    <t>ROMERO ROXANA EDITH</t>
  </si>
  <si>
    <t>GAIMAN 2244- CABILDO- 3516 52-7744</t>
  </si>
  <si>
    <t>6 MES$66000</t>
  </si>
  <si>
    <t>70*4650</t>
  </si>
  <si>
    <t>ROMERO ROXANA EDITH(alejandro)</t>
  </si>
  <si>
    <t>ROMERO SILVIA MARINA</t>
  </si>
  <si>
    <t>MONZA 434 TC.351614534- LT. GUASAPAMPA 3580-MONZA 452</t>
  </si>
  <si>
    <t>ROSALES JUAN DARIO</t>
  </si>
  <si>
    <t>PEDRO CALDERON DE LA BARCA 1216 PB.C</t>
  </si>
  <si>
    <t>20,21330154.4</t>
  </si>
  <si>
    <t>SAIN MAIRA DE LOS ANGELES</t>
  </si>
  <si>
    <t>MZA.20 LOTE 11 -AMP. CABILDO</t>
  </si>
  <si>
    <t xml:space="preserve">SENA CARLOS ADRIAN </t>
  </si>
  <si>
    <t>DL. POPAYAN Y GOBERNACION TP.4931536 - 4945343-tc.3517 04-3694- esp.tc.3516 17-9021</t>
  </si>
  <si>
    <t>24mes$145000</t>
  </si>
  <si>
    <t>12 mes$186000</t>
  </si>
  <si>
    <t>120*13200</t>
  </si>
  <si>
    <t>16 mes$750000</t>
  </si>
  <si>
    <t>110*9600</t>
  </si>
  <si>
    <t>12mes$250000</t>
  </si>
  <si>
    <t>120*7200</t>
  </si>
  <si>
    <t>SENA DIEGO ALEJANDRO</t>
  </si>
  <si>
    <t>MZA. H LOTE.22 PUBLICA 1294- VILLA LIBERTADOR-TC.3515163346</t>
  </si>
  <si>
    <t>20-39080879-8</t>
  </si>
  <si>
    <t>72*9000</t>
  </si>
  <si>
    <t>SERRA HILDA JUDITH</t>
  </si>
  <si>
    <t>CORRIENTES 4466- EMPALME-TC.3513718901- agustin garzon y callao</t>
  </si>
  <si>
    <t>26 MES$20000</t>
  </si>
  <si>
    <t>SILVA NORMA B.</t>
  </si>
  <si>
    <t>CONSTITUCION 5374 TC.3512498303 -3512479521</t>
  </si>
  <si>
    <t>6MES$39600</t>
  </si>
  <si>
    <t>SIMES EDUARDO ANTONIO</t>
  </si>
  <si>
    <t>NEIVA 5744-TC.3513081181</t>
  </si>
  <si>
    <t>110*6000</t>
  </si>
  <si>
    <t>SORIA MIRIAM BEATRIZ  (devora)</t>
  </si>
  <si>
    <t>7 QUIN$15500</t>
  </si>
  <si>
    <t>SORIA MIRIAM BEATRIZ  (yerno)</t>
  </si>
  <si>
    <t>TAPIA PABLO REINALDO-HENOT SERGIO A.</t>
  </si>
  <si>
    <t xml:space="preserve">ARMADA ARGENTINA 2939- 3513142989 </t>
  </si>
  <si>
    <t>11 quinc.$44,000</t>
  </si>
  <si>
    <t>VERON ANTONELLA BELEN-ANDINO GONZALO EZEQUIEL</t>
  </si>
  <si>
    <t>ALMAGRO 1175 C.LOLA-tc.3515599150 LT.EL BO- los paisanitos-jbjusto 4660</t>
  </si>
  <si>
    <t>6MES132000</t>
  </si>
  <si>
    <t>VIJARRA JUAN EDUARDO</t>
  </si>
  <si>
    <t>PASAJE CASTILLA 3146- VILLA ASPACIA-3517413949</t>
  </si>
  <si>
    <t>72*2100</t>
  </si>
  <si>
    <t>VILLAGRA CESAR EUDOSIO</t>
  </si>
  <si>
    <t>BOUNGANTHEN 569-3518553637-3515194123</t>
  </si>
  <si>
    <t>VILLALBA CAROLINA SOLEDAD</t>
  </si>
  <si>
    <t>PASAJE CANTILO 381- TC.351-7575879</t>
  </si>
  <si>
    <t>VILLALBA TERESITA BEATRIZ</t>
  </si>
  <si>
    <t>FELIPE BELTRAME 5451 NEWBERY- rivadavia 66</t>
  </si>
  <si>
    <t>VIVAS FABIAN GONZALO</t>
  </si>
  <si>
    <t>encargado en Oleo Sabores</t>
  </si>
  <si>
    <t>6 MES$440000</t>
  </si>
  <si>
    <t>YAÑEZ TOMAS MANUEL</t>
  </si>
  <si>
    <t>8MES $132250</t>
  </si>
  <si>
    <t>6 MES $22000</t>
  </si>
  <si>
    <t>6 MES $66000</t>
  </si>
  <si>
    <t>6 MES $33000</t>
  </si>
  <si>
    <t>CAP/DOC</t>
  </si>
  <si>
    <t>%</t>
  </si>
  <si>
    <t>ac-pen</t>
  </si>
  <si>
    <t>cant-pers</t>
  </si>
  <si>
    <t>pres-inic.</t>
  </si>
  <si>
    <t xml:space="preserve">Nombre :  </t>
  </si>
  <si>
    <t>"PRESTAMO"</t>
  </si>
  <si>
    <t xml:space="preserve">Nro.Cuenta: </t>
  </si>
  <si>
    <t xml:space="preserve">Fecha Emision: </t>
  </si>
  <si>
    <t xml:space="preserve">   </t>
  </si>
  <si>
    <t xml:space="preserve">Nro. Cto:  </t>
  </si>
  <si>
    <t>****</t>
  </si>
  <si>
    <t>Fecha Finalizacion:</t>
  </si>
  <si>
    <t>351-3251882</t>
  </si>
  <si>
    <t>Fecha</t>
  </si>
  <si>
    <t>Entrega</t>
  </si>
  <si>
    <t>Firma</t>
  </si>
  <si>
    <t>TC.   :</t>
  </si>
  <si>
    <t>PRESTAMO</t>
  </si>
  <si>
    <t>***</t>
  </si>
  <si>
    <t>Fecha Final.:</t>
  </si>
  <si>
    <t>TC.SUPERVISOR:</t>
  </si>
  <si>
    <t xml:space="preserve">Prestamo </t>
  </si>
  <si>
    <t>Efectivo "</t>
  </si>
  <si>
    <t>Fecha de Cierre:</t>
  </si>
  <si>
    <t>1 quincena</t>
  </si>
  <si>
    <t>9 quincena</t>
  </si>
  <si>
    <t>2 quincena</t>
  </si>
  <si>
    <t>10 quincena</t>
  </si>
  <si>
    <t>3 quincena</t>
  </si>
  <si>
    <t>11 quincena</t>
  </si>
  <si>
    <t>4 quincena</t>
  </si>
  <si>
    <t>12 quincena</t>
  </si>
  <si>
    <t>5 quincena</t>
  </si>
  <si>
    <t>13 quincena</t>
  </si>
  <si>
    <t>6 quincena</t>
  </si>
  <si>
    <t>7 quincena</t>
  </si>
  <si>
    <t>14 quincena</t>
  </si>
  <si>
    <t>8 quincena</t>
  </si>
  <si>
    <t>15 quincena</t>
  </si>
  <si>
    <t>7</t>
  </si>
  <si>
    <t>8</t>
  </si>
  <si>
    <t>3</t>
  </si>
  <si>
    <t>9</t>
  </si>
  <si>
    <t>4</t>
  </si>
  <si>
    <t>10</t>
  </si>
  <si>
    <t>5</t>
  </si>
  <si>
    <t>11</t>
  </si>
  <si>
    <t>6</t>
  </si>
  <si>
    <t>12</t>
  </si>
  <si>
    <t>pag.1</t>
  </si>
  <si>
    <t>Cta</t>
  </si>
  <si>
    <t xml:space="preserve">Domicilio </t>
  </si>
  <si>
    <t>F. de Inicio</t>
  </si>
  <si>
    <t>F. Final.</t>
  </si>
  <si>
    <t>Plan. Cta.</t>
  </si>
  <si>
    <t xml:space="preserve"> Devolver</t>
  </si>
  <si>
    <t>Cta.sem.a.c</t>
  </si>
  <si>
    <t>ult.pago</t>
  </si>
  <si>
    <t>acu.clien.</t>
  </si>
  <si>
    <t>Pendiente</t>
  </si>
  <si>
    <t>f.canc</t>
  </si>
  <si>
    <t>22 Q.$27280</t>
  </si>
  <si>
    <t xml:space="preserve">  </t>
  </si>
  <si>
    <t>PAZ CESAR ALBERTO</t>
  </si>
  <si>
    <t>AMBUL 6066 3513934950 TF.4936836 TL.4633220</t>
  </si>
  <si>
    <t>25/03/214</t>
  </si>
  <si>
    <t>PAZ MARISA</t>
  </si>
  <si>
    <t>LOS HORNILLOS 2817 DPTO 62. AMP. SAN PABLO</t>
  </si>
  <si>
    <t>4M$10800</t>
  </si>
  <si>
    <t>PICCATO JESICA</t>
  </si>
  <si>
    <t xml:space="preserve">1 pago </t>
  </si>
  <si>
    <t>PICCATTO CARLOS DAMIAN</t>
  </si>
  <si>
    <t xml:space="preserve">REYNOSO ROMULA CONSTANZA MABEL-TELLO ANGEL GABRIEL </t>
  </si>
  <si>
    <t>REYNOSO ROMULA CONSTANZA MABEL-TELLO ANGEL GABRIEL(melani)</t>
  </si>
  <si>
    <t>CORRIENTES 4466- EMPALME-TC.3513718901</t>
  </si>
  <si>
    <t>70*2160</t>
  </si>
  <si>
    <t>11 QUIN$25000</t>
  </si>
  <si>
    <t>GUTIERREZ BERNAL MARCOS WILFREDO</t>
  </si>
  <si>
    <t>CONSTITUCION 5095 - MARCOS(gonzalo)</t>
  </si>
  <si>
    <t xml:space="preserve">CONSTITUCION 5095 - MARCOS </t>
  </si>
  <si>
    <t>MAIDANA MERCEDES JULIANA</t>
  </si>
  <si>
    <t>BRASIL 1410 PB.2-TL. 153848561- TC.3512134476</t>
  </si>
  <si>
    <t>MORETTI SILVIA YOLANDA</t>
  </si>
  <si>
    <t>PEDRO INCHAUSPE 260 -TP.4618497. TC. 3515063489</t>
  </si>
  <si>
    <t>OLMOS ELENA GLADYS DEL VALLE</t>
  </si>
  <si>
    <t>7 MES$26400</t>
  </si>
  <si>
    <t>CABO ALFREDO GONZALEZ 1825 TC.351 2107553</t>
  </si>
  <si>
    <t>PICCATTO JESICA</t>
  </si>
  <si>
    <t>SENA CARLOS ADRIAN- AVELLANEDA ANGELA D.</t>
  </si>
  <si>
    <t>215*600</t>
  </si>
  <si>
    <t>ARAYA PEREZ TOMAS JOAQUIN</t>
  </si>
  <si>
    <t>AV. TALLERES 1007 - EVO GYM TC.351-327-2299-ADOLFO CONTTE 974  O 560-PARANA 555 DPTO. T</t>
  </si>
  <si>
    <t>ARCE MONICA</t>
  </si>
  <si>
    <t>6M5$13200</t>
  </si>
  <si>
    <t>BARRETO NICOLE DALILA</t>
  </si>
  <si>
    <t>ICHO CRUZ 332- LT.ALGO DISTINTO AV. DE MAYO -TC.3515499856</t>
  </si>
  <si>
    <t>72*300</t>
  </si>
  <si>
    <t>MZA.46.LT.13 ITUZAINGO II. IPV-TC.3517142709</t>
  </si>
  <si>
    <t>6m$8800</t>
  </si>
  <si>
    <t>GODOY GRACIELA</t>
  </si>
  <si>
    <t>ZONDA 1529--RESIDENCIAL SUD</t>
  </si>
  <si>
    <t>72*750</t>
  </si>
  <si>
    <t>GUSMAN CLAUDIA ALICIA</t>
  </si>
  <si>
    <t>4MESES$10800</t>
  </si>
  <si>
    <t>HENOT MARIA DE LOS MILAGROS-TAPIA JORGE LUIS</t>
  </si>
  <si>
    <t>MARTINEZ NATALIA SOLEDAD</t>
  </si>
  <si>
    <t>7 quinc 6200</t>
  </si>
  <si>
    <t>6 mes$10000</t>
  </si>
  <si>
    <t>6M$8800</t>
  </si>
  <si>
    <t>72*150</t>
  </si>
  <si>
    <t>GUTIERREZ DEBORA YANINA-RAMOS ISABEL DEL VALLE</t>
  </si>
  <si>
    <t>BAHAMAS 4580 -TC.3513943023- TCG.3513887099 LT. F.FRIAS 560-RDE STA.FE 460</t>
  </si>
  <si>
    <t>27.33101701.6</t>
  </si>
  <si>
    <t>ISCHILIN 5918 TC.3515645329 - TL3513398868 AV.TOSCO 1098 TASSI DIAZ PAOLA</t>
  </si>
  <si>
    <t>MOYANO FABIAN ISAAC-MOYANO VICTOR DAVID</t>
  </si>
  <si>
    <t>GUTIERREZ BERNAL MARCOS WILFREDO(ANDREA)</t>
  </si>
  <si>
    <t>MARTINEZ ROSA VIVIANA</t>
  </si>
  <si>
    <t>RODRIGUEZ WALTER ABEL</t>
  </si>
  <si>
    <t xml:space="preserve">BAREY)JUAN B JUSTO 3071 TC.3515200815 (TUMBES 5310 TC.3512147702- 156343237 -3512454196 </t>
  </si>
  <si>
    <t>VILLAGRA MAURICIO RICARDO-VILLAGRA CESAR EUDOSIO</t>
  </si>
  <si>
    <t>ARCE EDITH ELIZABETH DEL VALLE</t>
  </si>
  <si>
    <t>BOGOTA 265 SANTA ROSA</t>
  </si>
  <si>
    <t>6meses$6600</t>
  </si>
  <si>
    <t>GOMEZ NATALIA PAOLA/LOPEZ WALTER ARTURO</t>
  </si>
  <si>
    <t>JOSE EGUILUZ 672-TC.3513899380 - 35115454708 lt av. 1ro de mayo 956 V.L.</t>
  </si>
  <si>
    <t>110*1320</t>
  </si>
  <si>
    <t>ESTEBAN BONORINO 4643 TC3512387037- ESPINOSA MALL</t>
  </si>
  <si>
    <t>4M$5400</t>
  </si>
  <si>
    <t>ORELLANO JULIETA ABIGAIL-HENOT LUCIANO GABRIEL</t>
  </si>
  <si>
    <t xml:space="preserve">VIZCARRA ANGELINA S </t>
  </si>
  <si>
    <t>MZA.35 LTE3 AMP. CABILDO-3512400467 3515596376</t>
  </si>
  <si>
    <t>110*720</t>
  </si>
  <si>
    <t xml:space="preserve">GUTIERREZ BERNAL MARCOS WILFREDO </t>
  </si>
  <si>
    <t>LAZARTE BERTA ROSA (sebastian)</t>
  </si>
  <si>
    <t>OLMOS ELENA DEL VALLE</t>
  </si>
  <si>
    <t>23.18328931.4</t>
  </si>
  <si>
    <t>SORIA MIRIAM BEATRIZ-PICCATTO ERNESTO NATALIO</t>
  </si>
  <si>
    <t>AMBUL 6161 1-COMERCIAL -TC.3513978119 -3516433350 (ESP)</t>
  </si>
  <si>
    <t>72*390</t>
  </si>
  <si>
    <t>3 QUINC.$8500</t>
  </si>
  <si>
    <t>LUNA ESTELA NILDA</t>
  </si>
  <si>
    <t>CALAMUCHITA 6036-3512657835-dpsto  DISCO</t>
  </si>
  <si>
    <t>7M$11315</t>
  </si>
  <si>
    <t>6m $8800</t>
  </si>
  <si>
    <t>OCHOA RAMONA DEL VALLE-ALICANTE LUIS</t>
  </si>
  <si>
    <t>110*960</t>
  </si>
  <si>
    <t>TELLO EVELYN DAYANA</t>
  </si>
  <si>
    <t>20.35526114.0</t>
  </si>
  <si>
    <t>AGUIRRE ANALIA ISABEL</t>
  </si>
  <si>
    <t>RAFAEL GARCIA 3810- TRB. EN ABREU DE FIGUEROA 2784</t>
  </si>
  <si>
    <t>ARCE EDITH DEL VALLE</t>
  </si>
  <si>
    <t>ARCE MONICA(hija)</t>
  </si>
  <si>
    <t>AMBUL 6076-COMERCIAL-517647824 (hija)</t>
  </si>
  <si>
    <t>CABIDO OLGA</t>
  </si>
  <si>
    <t>110*840</t>
  </si>
  <si>
    <t>4*$54000</t>
  </si>
  <si>
    <t>8mes$20100</t>
  </si>
  <si>
    <t>FRONTERA JUAN</t>
  </si>
  <si>
    <t>YERNO DE WALTER PAEZ TC.351-3729453</t>
  </si>
  <si>
    <t>6 MESES$13400</t>
  </si>
  <si>
    <t>75*1200</t>
  </si>
  <si>
    <t>7 m$12080</t>
  </si>
  <si>
    <t>6 meses$8400</t>
  </si>
  <si>
    <t>4 m $5400</t>
  </si>
  <si>
    <t>PJE TIRANA 3146- VILLA ASPACIA</t>
  </si>
  <si>
    <t>CABIDO JOSEFA OLGA (NICOLAS FRONTERA)</t>
  </si>
  <si>
    <t>4*$27000</t>
  </si>
  <si>
    <t>FONSECA ROMINA ISABEL(MATIAS)</t>
  </si>
  <si>
    <t>8 MES$7300</t>
  </si>
  <si>
    <t>LOPEZ JESSICA ROSA MARIA</t>
  </si>
  <si>
    <t>GUATIMOZIN 264-TC.351-2079928</t>
  </si>
  <si>
    <t>6 MES 10050</t>
  </si>
  <si>
    <t>130*2000</t>
  </si>
  <si>
    <t>MILA</t>
  </si>
  <si>
    <t>110*1560</t>
  </si>
  <si>
    <t>.</t>
  </si>
  <si>
    <t>40*$1000</t>
  </si>
  <si>
    <t>110*480</t>
  </si>
  <si>
    <t>ALFARO ELIO EMANUEL</t>
  </si>
  <si>
    <t>TC.3517 18-4740</t>
  </si>
  <si>
    <t>3*8500</t>
  </si>
  <si>
    <t>8m$16500</t>
  </si>
  <si>
    <t>130*880</t>
  </si>
  <si>
    <t>SALDAÑO ERICA ROMINA</t>
  </si>
  <si>
    <t>B. VILLA ANGELELI. TC.3513553791</t>
  </si>
  <si>
    <t>SILVA NORMA B.-MARTINEZ DIAMELA ANAHI(PRIMO)</t>
  </si>
  <si>
    <t>7 MES $18900</t>
  </si>
  <si>
    <t>VILLA MARIA 6187 TC.3516346811.LAB. LA FALDA 5822</t>
  </si>
  <si>
    <t>20 Q.$25000</t>
  </si>
  <si>
    <t>6 MES$8800</t>
  </si>
  <si>
    <t>4MESES$21600</t>
  </si>
  <si>
    <t>8MESES$16500</t>
  </si>
  <si>
    <t>HENOT MAXIMILIANO ALEJ./ HENOT SERGIO ALEJ.</t>
  </si>
  <si>
    <t>AV. ARMADA ARG.2939.TP.4932602. TL. 0351-3551088</t>
  </si>
  <si>
    <t>140*2000</t>
  </si>
  <si>
    <t>4M$2815</t>
  </si>
  <si>
    <t>240*1290</t>
  </si>
  <si>
    <t>VILLAGRA PABLO EZEQUIEL- JADRA MONICA EMILIA</t>
  </si>
  <si>
    <t>20,32314095.3</t>
  </si>
  <si>
    <t>CASTILLO JESUS FERNANDO</t>
  </si>
  <si>
    <t>4 MESES $16200</t>
  </si>
  <si>
    <t>HENOT LUCIANO GABRIEL-ORELLANO JULIETA ABIGAIL</t>
  </si>
  <si>
    <t>YOCSINA 1696-3513919623-3512628606-APEX ISCOT</t>
  </si>
  <si>
    <t>LOPEZ JONATAN OMAR</t>
  </si>
  <si>
    <t xml:space="preserve">VIRGINIA  </t>
  </si>
  <si>
    <t>72*675</t>
  </si>
  <si>
    <t>MARTINEZ NATALIA SOLEDAD (cristian)</t>
  </si>
  <si>
    <t xml:space="preserve">BOGOTA </t>
  </si>
  <si>
    <t>FERREYRA PAMELA GISELA</t>
  </si>
  <si>
    <t>USHUAIA 3350- CASA 317. SAN IGNACIO DE HORIZONTE-3517568462</t>
  </si>
  <si>
    <t xml:space="preserve">TUNUYAN 2139-3516791165- MINIMERCADO </t>
  </si>
  <si>
    <t>20 Q.$12500</t>
  </si>
  <si>
    <t>PARRA MARTIN GERARDO- ARRASCAETA VALENTINA ALICIA</t>
  </si>
  <si>
    <t>SILVA NORMA B.-MARTINEZ DIAMELA ANAHI(Diamela)</t>
  </si>
  <si>
    <t>SORIA MIRIAM BEATRIZ (debora)</t>
  </si>
  <si>
    <t>6m $13200</t>
  </si>
  <si>
    <t>16quin$5450</t>
  </si>
  <si>
    <t>70*620</t>
  </si>
  <si>
    <t>4*8500</t>
  </si>
  <si>
    <t>4meses$21600</t>
  </si>
  <si>
    <t>CABIDO JOSEFA OLGA (M)</t>
  </si>
  <si>
    <t>6m$35200</t>
  </si>
  <si>
    <t>6m$26400</t>
  </si>
  <si>
    <t>4 MESES $10800</t>
  </si>
  <si>
    <t>8 MES$15000</t>
  </si>
  <si>
    <t>6 mes$10050</t>
  </si>
  <si>
    <t>8MESES$16900</t>
  </si>
  <si>
    <t>GUTIERREZ MARCOS</t>
  </si>
  <si>
    <t>VAZQUEZ JOSE DAVID</t>
  </si>
  <si>
    <t>CAYUQUEO 2176 A LT. FIAMBRERIA COLORADO Y TUCLAME.TC.3513856498</t>
  </si>
  <si>
    <t>110*1680</t>
  </si>
  <si>
    <t>CABRERA MELANI AGUSTINA-RAMOS ISABEL DEL VALLE</t>
  </si>
  <si>
    <t>MZA.46 LTE. 13-IPV. ITUZAINGO ANEXO</t>
  </si>
  <si>
    <t>135*2000</t>
  </si>
  <si>
    <t>GODOY DANIEL G.-FERREYRA PAMELA GISELA</t>
  </si>
  <si>
    <t>THEA 6043 3513556990-3516795101 (IVANA FERREYRA( ESP.)</t>
  </si>
  <si>
    <t>8QUIN.$5400</t>
  </si>
  <si>
    <t>8 MES$11315</t>
  </si>
  <si>
    <t>8 MES$16500</t>
  </si>
  <si>
    <t>CABIDO JOSEFA OLGA (Daiana)</t>
  </si>
  <si>
    <t>VILLAGRA CESAR-VILLAGRA MAURICIO</t>
  </si>
  <si>
    <t>ABREGO VICTOR HUGO</t>
  </si>
  <si>
    <t>6 MES$18500</t>
  </si>
  <si>
    <t>27.40298910.1</t>
  </si>
  <si>
    <t>27,39833576,6</t>
  </si>
  <si>
    <t>6 meses$10800</t>
  </si>
  <si>
    <t>6 m.$36000</t>
  </si>
  <si>
    <t>PICATTO JESICA</t>
  </si>
  <si>
    <t>12mes$32500</t>
  </si>
  <si>
    <t>4 MES $16200</t>
  </si>
  <si>
    <t>4MESES$16200</t>
  </si>
  <si>
    <t>MONSALVO FABIANA CELESTE</t>
  </si>
  <si>
    <t>AV.COLON 1881.PB.G-LT.4647255-TC.3512056786-cajamarca 1528</t>
  </si>
  <si>
    <t>27.39071162.5</t>
  </si>
  <si>
    <t>72*6750</t>
  </si>
  <si>
    <t xml:space="preserve">VILLAGRA CESAR </t>
  </si>
  <si>
    <t>ABACA DARIO DANIEL</t>
  </si>
  <si>
    <t>110*1200</t>
  </si>
  <si>
    <t>4 MESES$16200</t>
  </si>
  <si>
    <t>RODRIGUEZ ANALIA DEL VALLE</t>
  </si>
  <si>
    <t>BILBAO 2682- ESC. CORONEL OL  EDO</t>
  </si>
  <si>
    <t>72*1543</t>
  </si>
  <si>
    <t xml:space="preserve">JIMENEZ RODRIGUEZ VIRGINIA </t>
  </si>
  <si>
    <t>MZNA. D LT.9. COOP APERBOCH</t>
  </si>
  <si>
    <t>27,94047136.8</t>
  </si>
  <si>
    <t>70*2500</t>
  </si>
  <si>
    <t>ORELLANO JULIETA ABIGAIL</t>
  </si>
  <si>
    <t>4 mes$8100</t>
  </si>
  <si>
    <t>SILVA NORMA B.-MARTINEZ DIAMELA ANAHI</t>
  </si>
  <si>
    <t>1 PAGO $13000</t>
  </si>
  <si>
    <t>6m$6600</t>
  </si>
  <si>
    <t xml:space="preserve">SORIA MIRIAM BEATRIZ  </t>
  </si>
  <si>
    <t>4MESES$27000</t>
  </si>
  <si>
    <t>13 quin$18470</t>
  </si>
  <si>
    <t>72*15000</t>
  </si>
  <si>
    <t>LOPEZ JONATHAN OMAR</t>
  </si>
  <si>
    <t>6 MESES$8375</t>
  </si>
  <si>
    <t>10 mes$24000</t>
  </si>
  <si>
    <t>4m$2700</t>
  </si>
  <si>
    <t>4 mes$10800</t>
  </si>
  <si>
    <t>SALTA 347 piso 2- dpto6. tc.3513027747- lt. Redis sas- valparaiso 4250 loc.1 SINFONDA</t>
  </si>
  <si>
    <t>CASTILLO SILVIA MIRIAM(HIJO)</t>
  </si>
  <si>
    <t>3 MES$33500</t>
  </si>
  <si>
    <t>AMBUL 6161 1-COMERCIAL -TC.351-6756079</t>
  </si>
  <si>
    <t>4 MES.$54000</t>
  </si>
  <si>
    <t>FRONTERA NICOLAS EZEQUIEL- TELLO JOSE</t>
  </si>
  <si>
    <t>110*1440</t>
  </si>
  <si>
    <t>6m $10800</t>
  </si>
  <si>
    <t>5*$43200</t>
  </si>
  <si>
    <t>70*1750</t>
  </si>
  <si>
    <t>LEGUIZAMON ELISA CELINA</t>
  </si>
  <si>
    <t>VIRGINIA 5696 -  3515460040</t>
  </si>
  <si>
    <t>27,13391646,1</t>
  </si>
  <si>
    <t>12Q$9200</t>
  </si>
  <si>
    <t xml:space="preserve">MOLINA ALEJANDRO ROFOLFO </t>
  </si>
  <si>
    <t>VICENTE FORESTIERI 5014 DPTO.2- V.LIBERTADOR TC3518562485</t>
  </si>
  <si>
    <t>2 MES$18750</t>
  </si>
  <si>
    <t>6 MES 18000</t>
  </si>
  <si>
    <t>4M$13500</t>
  </si>
  <si>
    <t>4M$16200</t>
  </si>
  <si>
    <t>SAVID SANDRA KARINA/HENOT SERGIO ALEJAN</t>
  </si>
  <si>
    <t>6 M $19500</t>
  </si>
  <si>
    <t>HENOT MAXIMILIANO</t>
  </si>
  <si>
    <t>AV. ARMADA ARG.2939.TP.4932602. TL. 351-3551088</t>
  </si>
  <si>
    <t>20,36680456,1</t>
  </si>
  <si>
    <t>240*1920</t>
  </si>
  <si>
    <t>6M$18270</t>
  </si>
  <si>
    <t>10 meses$27000</t>
  </si>
  <si>
    <t>110*660</t>
  </si>
  <si>
    <t>130*2030,76</t>
  </si>
  <si>
    <t>4 MESES$10800</t>
  </si>
  <si>
    <t>TELLO RAMON ANDRES</t>
  </si>
  <si>
    <t>16quin$7800</t>
  </si>
  <si>
    <t>1 PAGO $26000</t>
  </si>
  <si>
    <t>115*2300</t>
  </si>
  <si>
    <t>6 MES$20000</t>
  </si>
  <si>
    <t>7 MES$37715</t>
  </si>
  <si>
    <t>5 MESES$22000</t>
  </si>
  <si>
    <t>5*$86400</t>
  </si>
  <si>
    <t>1 PAGO $39000</t>
  </si>
  <si>
    <t>4MES$27000</t>
  </si>
  <si>
    <t>1 MES$15000</t>
  </si>
  <si>
    <t>3MES $21600</t>
  </si>
  <si>
    <t>CASTILLO JESUS FERNANDO (VIERNES)</t>
  </si>
  <si>
    <t>8 QUIN$18900</t>
  </si>
  <si>
    <t>AGUIRRE JUAN CARLOS</t>
  </si>
  <si>
    <t>ESTRELLITA 7782- VILLA RIVADAVIA-</t>
  </si>
  <si>
    <t>8mes$40200</t>
  </si>
  <si>
    <t>3 MESES $33,350</t>
  </si>
  <si>
    <t>FLORES JUANA TERESA</t>
  </si>
  <si>
    <t>CALAMUCHITA 6060- COMERCIAL- TC.3516570936</t>
  </si>
  <si>
    <t>10 MES $30500</t>
  </si>
  <si>
    <t>16/028/24</t>
  </si>
  <si>
    <t>7 quin.$9300</t>
  </si>
  <si>
    <t>6 MES$23150</t>
  </si>
  <si>
    <t>CASTILLO JESUS FERNANDO(domingo)</t>
  </si>
  <si>
    <t>SE REFIN</t>
  </si>
  <si>
    <t>CASTILLO JESUS FERNANDO(martes)</t>
  </si>
  <si>
    <t>72*21000</t>
  </si>
  <si>
    <t>7mes$11320</t>
  </si>
  <si>
    <t>12meses$20000</t>
  </si>
  <si>
    <t>7 MESES$15100</t>
  </si>
  <si>
    <t>6M$17600</t>
  </si>
  <si>
    <t>7 QUIN."30860</t>
  </si>
  <si>
    <t>3 MES$54500</t>
  </si>
  <si>
    <t>6 mes$13200</t>
  </si>
  <si>
    <t>6 MES$57600</t>
  </si>
  <si>
    <t>6 MESES $30800</t>
  </si>
  <si>
    <t>AGÜERO FERNANDO</t>
  </si>
  <si>
    <t>USHUAIA 1666. STA. ISABEL-35131219885- EDIF. CENIT F.ALCORTA 220</t>
  </si>
  <si>
    <t>20,35526114,0</t>
  </si>
  <si>
    <t>4meses$10800</t>
  </si>
  <si>
    <t>72*1350</t>
  </si>
  <si>
    <t>1 pago $26000</t>
  </si>
  <si>
    <t>1MES$15000</t>
  </si>
  <si>
    <t>5 meses$64800</t>
  </si>
  <si>
    <t>CUELLO SANTIAGO BERNABE</t>
  </si>
  <si>
    <t>RIO ANCASMAYO 1118 - 3516062218 -A.SL CORDOBA SAS- NORES MARTINEZ 3286 1ER P. OF.6</t>
  </si>
  <si>
    <t>6 MESES $44000</t>
  </si>
  <si>
    <t>42*450</t>
  </si>
  <si>
    <t>12quin$9000</t>
  </si>
  <si>
    <t>LAZARTE BERTA ROSA (Martin)</t>
  </si>
  <si>
    <t>12 MES$24100</t>
  </si>
  <si>
    <t>4 MES$21600</t>
  </si>
  <si>
    <t>6 meses$17600</t>
  </si>
  <si>
    <t>6 MES 20000</t>
  </si>
  <si>
    <t>7 mes$37800</t>
  </si>
  <si>
    <t>ABACA DARIO DANIEL (Viviana)</t>
  </si>
  <si>
    <t>6 meses$44000</t>
  </si>
  <si>
    <t>6 MES$44,000</t>
  </si>
  <si>
    <t>12 mes$21000</t>
  </si>
  <si>
    <t>11m$36000</t>
  </si>
  <si>
    <t>12 QUIN$22000</t>
  </si>
  <si>
    <t>12Q$44000</t>
  </si>
  <si>
    <t>1 PAGO $38000</t>
  </si>
  <si>
    <t>130*4400</t>
  </si>
  <si>
    <t>125*8448</t>
  </si>
  <si>
    <t>8 MES$22500</t>
  </si>
  <si>
    <t>SORIA MIRIAM BEATRIZ  (hija)</t>
  </si>
  <si>
    <t>7 Q.$9300</t>
  </si>
  <si>
    <t>120*3300</t>
  </si>
  <si>
    <t>J. VERDI 3925 TP.1885826-351-3009709-351-3463900-patente hby978</t>
  </si>
  <si>
    <t>4 MES.$81000</t>
  </si>
  <si>
    <t>04 meses$27000</t>
  </si>
  <si>
    <t>9 MES $66700</t>
  </si>
  <si>
    <t>18 Q.$13900</t>
  </si>
  <si>
    <t>12Q$11000</t>
  </si>
  <si>
    <t>4m*$54000</t>
  </si>
  <si>
    <t>3 MES $32000</t>
  </si>
  <si>
    <t>110*$960</t>
  </si>
  <si>
    <t>ANDINO GONZALO EZEQUIEL</t>
  </si>
  <si>
    <t>PEDRO J. FRIAS 354-PASO DE LOS ANDES-3516203041- MILA- distribuidora los paisanitos  j.b.justo 4660</t>
  </si>
  <si>
    <t>GIMENEZ SERGIO ALEJANDRO</t>
  </si>
  <si>
    <t>ADRIAN ESCOBAR 3485, LAS FLORES-3512369427</t>
  </si>
  <si>
    <t>18 quin.$26000</t>
  </si>
  <si>
    <t>3 MES$300.000</t>
  </si>
  <si>
    <t>12 quin$44000</t>
  </si>
  <si>
    <t>6M$44,000</t>
  </si>
  <si>
    <t>4 M$5400</t>
  </si>
  <si>
    <t>4 M$10800</t>
  </si>
  <si>
    <t>72*$2400</t>
  </si>
  <si>
    <t>NORIEGA IRINA MICAELA</t>
  </si>
  <si>
    <t>JOSE JAVIER DIAZ 202 343 PB B75- TC.351,6873062</t>
  </si>
  <si>
    <t>RIO SECO 5937-canals 5883- tl.03515103434 rechi sabina</t>
  </si>
  <si>
    <t>11 quinc.$14.400</t>
  </si>
  <si>
    <t>5*$172800</t>
  </si>
  <si>
    <t>7 QUIN.$15000</t>
  </si>
  <si>
    <t>FUENTES MABEL LETICIA DEL VALLE (REFIN)</t>
  </si>
  <si>
    <t>6m $26400</t>
  </si>
  <si>
    <t>6 MESES$22,000</t>
  </si>
  <si>
    <t>4 MESES$27000</t>
  </si>
  <si>
    <t>8Q$13500</t>
  </si>
  <si>
    <t>4m$21600</t>
  </si>
  <si>
    <t>6 MES $52800</t>
  </si>
  <si>
    <t>4 MES $18900</t>
  </si>
  <si>
    <t>3MES $3600</t>
  </si>
  <si>
    <t>4MESES$37800</t>
  </si>
  <si>
    <t>5 mes$129600</t>
  </si>
  <si>
    <t>1 PAGO 32000</t>
  </si>
  <si>
    <t>1 PAGO 22500</t>
  </si>
  <si>
    <t>1 pago$150000</t>
  </si>
  <si>
    <t>HENOT MAXIMILIANO- CANDELA</t>
  </si>
  <si>
    <t>AV. ARMADA ARG.2939.351-3551088. 3514591095</t>
  </si>
  <si>
    <t>7QUIN$9500</t>
  </si>
  <si>
    <t>7 Q.$9500</t>
  </si>
  <si>
    <t>7 mes$80000</t>
  </si>
  <si>
    <t>3 MES$599,990</t>
  </si>
  <si>
    <t>04 meses$54000</t>
  </si>
  <si>
    <t>6 mes$25920</t>
  </si>
  <si>
    <t>06 meses$44000</t>
  </si>
  <si>
    <t>30 Q.$19700</t>
  </si>
  <si>
    <t>7 MES$11315</t>
  </si>
  <si>
    <t>7mes$22630</t>
  </si>
  <si>
    <t>5MES$108000</t>
  </si>
  <si>
    <t>4 MES$108000</t>
  </si>
  <si>
    <t>1PAGO</t>
  </si>
  <si>
    <t>1 PAGO 23000</t>
  </si>
  <si>
    <t>4 meses$54800</t>
  </si>
  <si>
    <t>BAZAN ELBA LILIA-REYNOSO ROMULA</t>
  </si>
  <si>
    <t>RIO SECO 5943-TC.3512524380</t>
  </si>
  <si>
    <t>4 meses $108000</t>
  </si>
  <si>
    <t>FARIAS ROMINA V./ FARIAS CAROLINA</t>
  </si>
  <si>
    <t>MZA. 46 LT.13 ITUZAINGO IPV. TL.4283089- TC.3518574887</t>
  </si>
  <si>
    <t>30q$21875</t>
  </si>
  <si>
    <t>6 MES$15000</t>
  </si>
  <si>
    <t>115*5740</t>
  </si>
  <si>
    <t xml:space="preserve">paz marisa- VILLALBA CRISTIAN M. </t>
  </si>
  <si>
    <t>6mes$44000</t>
  </si>
  <si>
    <t>RICCIO MIRIAM ELIZABETH -  FARIAS CAROLINA</t>
  </si>
  <si>
    <t>20 Q*25000</t>
  </si>
  <si>
    <t>SORIA MIRIAM BEATRIZ  (DEVORA)</t>
  </si>
  <si>
    <t>7 Q.$15500</t>
  </si>
  <si>
    <t>9 MES$45000</t>
  </si>
  <si>
    <t>GONZALEZ NATALIA DEOLINDA-SANTILLAN FRANCO</t>
  </si>
  <si>
    <t>mza.21 lte.10-TC.3517 18-4740</t>
  </si>
  <si>
    <t>120*11000</t>
  </si>
  <si>
    <t>TORRES LEANDRO MARTIN</t>
  </si>
  <si>
    <t>CARLOS GERVASONI 2382-TALLERES S. TC.3513118483</t>
  </si>
  <si>
    <t>55*1910</t>
  </si>
  <si>
    <t>6 MES$44000</t>
  </si>
  <si>
    <t>4 MES$32400</t>
  </si>
  <si>
    <t>70*1545</t>
  </si>
  <si>
    <t>GOMEZ SILVINA ALEJANDRA</t>
  </si>
  <si>
    <t>CHICLANA 3423-MULLER TC.156756825-MILA</t>
  </si>
  <si>
    <t>9 MES$68000</t>
  </si>
  <si>
    <t>7 MES $37800</t>
  </si>
  <si>
    <t>8 QUIN$36000</t>
  </si>
  <si>
    <t>7 MES$75,000</t>
  </si>
  <si>
    <t>1 Pago</t>
  </si>
  <si>
    <t>7 quinc$9500</t>
  </si>
  <si>
    <t>11 quinc.$26.400</t>
  </si>
  <si>
    <t>4 meses$37800</t>
  </si>
  <si>
    <t>6 MESES $35200</t>
  </si>
  <si>
    <t>7 Q.$12350</t>
  </si>
  <si>
    <t>70*3100</t>
  </si>
  <si>
    <t>8 MES$82500</t>
  </si>
  <si>
    <t>4 MES$108.000</t>
  </si>
  <si>
    <t>120*5503</t>
  </si>
  <si>
    <t>4MES $108,000</t>
  </si>
  <si>
    <t>4 MES $35100</t>
  </si>
  <si>
    <t>10 MES$105000</t>
  </si>
  <si>
    <t>7 QUIN15450</t>
  </si>
  <si>
    <t>ABREGO DARIO FABIAN</t>
  </si>
  <si>
    <t>CALAMUCHITA 5668.3512659896</t>
  </si>
  <si>
    <t>120*4400</t>
  </si>
  <si>
    <t>6 M$22000</t>
  </si>
  <si>
    <t>LAZARTE BERTA ROSA(martin)</t>
  </si>
  <si>
    <t>4 mes$81000</t>
  </si>
  <si>
    <t>LA FALDA 6058 TC.3513149383 -3513824577</t>
  </si>
  <si>
    <t>4 MES $21600</t>
  </si>
  <si>
    <t>5 MES$108000</t>
  </si>
  <si>
    <t>240*2900</t>
  </si>
  <si>
    <t>ALFARO ELIDA ESTER- ALFARO ELIO D¿E.</t>
  </si>
  <si>
    <t>CHOELE CHOEL 2288-TC.3516070186</t>
  </si>
  <si>
    <t>2 PAGOS$130.000</t>
  </si>
  <si>
    <t>6meses$22000</t>
  </si>
  <si>
    <t>7 Q$21600</t>
  </si>
  <si>
    <t>55*3184</t>
  </si>
  <si>
    <t>4 Mes$108,000</t>
  </si>
  <si>
    <t>4 MES$27,000</t>
  </si>
  <si>
    <t>1 pago$120000</t>
  </si>
  <si>
    <t>4 mes$108000</t>
  </si>
  <si>
    <t>4MES$43200</t>
  </si>
  <si>
    <t>4 MES $54000</t>
  </si>
  <si>
    <t>7 QUINC$30857</t>
  </si>
  <si>
    <t>4 mes 43200</t>
  </si>
  <si>
    <t>6 MES$52800</t>
  </si>
  <si>
    <t>4M*16200</t>
  </si>
  <si>
    <t>MOYANO CELESTE CANDELARIA</t>
  </si>
  <si>
    <t>LA FALDA 6058 TC.351,5328402</t>
  </si>
  <si>
    <t>6MESES$35200</t>
  </si>
  <si>
    <t>4 MES$162000</t>
  </si>
  <si>
    <t>15 MESES$16.000</t>
  </si>
  <si>
    <t>7 Q.$21600</t>
  </si>
  <si>
    <t>MARTINEZ DIAMELA ANAHI</t>
  </si>
  <si>
    <t>fallecido</t>
  </si>
  <si>
    <t>120*8448</t>
  </si>
  <si>
    <t>135*6000</t>
  </si>
  <si>
    <t>4 mes$30000</t>
  </si>
  <si>
    <t>30*12000</t>
  </si>
  <si>
    <t>110*$1680</t>
  </si>
  <si>
    <t>fecha</t>
  </si>
  <si>
    <t>cant.ctas.fin.per</t>
  </si>
  <si>
    <t>$$final periodo</t>
  </si>
  <si>
    <t>prm.5.ult.se%</t>
  </si>
  <si>
    <t>cant.clientes pago</t>
  </si>
  <si>
    <t>cred inic$</t>
  </si>
  <si>
    <t>saldo</t>
  </si>
  <si>
    <t>acum.mens.5</t>
  </si>
  <si>
    <t>04.05.20</t>
  </si>
  <si>
    <t>11.05.20</t>
  </si>
  <si>
    <t>18.05.20</t>
  </si>
  <si>
    <t>26.05.20</t>
  </si>
  <si>
    <t>01.06.20</t>
  </si>
  <si>
    <t>08.06.20</t>
  </si>
  <si>
    <t>15.06.20</t>
  </si>
  <si>
    <t>22.06.20</t>
  </si>
  <si>
    <t>29.06.20</t>
  </si>
  <si>
    <t>06.07.20</t>
  </si>
  <si>
    <t>13.07.20</t>
  </si>
  <si>
    <t>20.07.20</t>
  </si>
  <si>
    <t>27.07.20</t>
  </si>
  <si>
    <t>03.08.20</t>
  </si>
  <si>
    <t>10.08.20</t>
  </si>
  <si>
    <t>17.08.20</t>
  </si>
  <si>
    <t>24.08.20</t>
  </si>
  <si>
    <t>31.08.20</t>
  </si>
  <si>
    <t>07.09.20</t>
  </si>
  <si>
    <t>14.09.20</t>
  </si>
  <si>
    <t>21.09.20</t>
  </si>
  <si>
    <t>28.09.20</t>
  </si>
  <si>
    <t>05.10.20</t>
  </si>
  <si>
    <t>12.10.20</t>
  </si>
  <si>
    <t>19.10.20</t>
  </si>
  <si>
    <t>26.10.20</t>
  </si>
  <si>
    <t>02.11.20</t>
  </si>
  <si>
    <t>09.11.20</t>
  </si>
  <si>
    <t>16.11.20</t>
  </si>
  <si>
    <t>23.11.20</t>
  </si>
  <si>
    <t>30.11.20</t>
  </si>
  <si>
    <t>07.12.20</t>
  </si>
  <si>
    <t>14.12.20</t>
  </si>
  <si>
    <t>21.12.20</t>
  </si>
  <si>
    <t>28.12.20</t>
  </si>
  <si>
    <t>04.01.21</t>
  </si>
  <si>
    <t>11.01.21</t>
  </si>
  <si>
    <t>18.01.21</t>
  </si>
  <si>
    <t>25.01.21</t>
  </si>
  <si>
    <t>01.02.21</t>
  </si>
  <si>
    <t>08.02.21</t>
  </si>
  <si>
    <t>15.02.21</t>
  </si>
  <si>
    <t>22.02.21</t>
  </si>
  <si>
    <t>01.03.21</t>
  </si>
  <si>
    <t>08.03.21</t>
  </si>
  <si>
    <t>15.03.21</t>
  </si>
  <si>
    <t>22.03.21</t>
  </si>
  <si>
    <t>29.03.21</t>
  </si>
  <si>
    <t>05.04.21</t>
  </si>
  <si>
    <t>12.04.21</t>
  </si>
  <si>
    <t>19.04.21</t>
  </si>
  <si>
    <t>26.04.21</t>
  </si>
  <si>
    <t>03.05.21</t>
  </si>
  <si>
    <t>10.05.21</t>
  </si>
  <si>
    <t>17.05.21</t>
  </si>
  <si>
    <t>24.05.21</t>
  </si>
  <si>
    <t>fase 1 cuarentena</t>
  </si>
  <si>
    <t>31.05.21</t>
  </si>
  <si>
    <t>restric. prov.Pand.</t>
  </si>
  <si>
    <t>07.06.21</t>
  </si>
  <si>
    <t>14.06.21</t>
  </si>
  <si>
    <t>21.06.21</t>
  </si>
  <si>
    <t>28.06.21</t>
  </si>
  <si>
    <t>04.07.21</t>
  </si>
  <si>
    <t>12.07.21</t>
  </si>
  <si>
    <t>19.07.21</t>
  </si>
  <si>
    <t>26.07.21</t>
  </si>
  <si>
    <t>02.08.21</t>
  </si>
  <si>
    <t>09.08.21</t>
  </si>
  <si>
    <t>16.08.21</t>
  </si>
  <si>
    <t>23.08.21</t>
  </si>
  <si>
    <t>30.08.21</t>
  </si>
  <si>
    <t>06.09.21</t>
  </si>
  <si>
    <t>13.09.21</t>
  </si>
  <si>
    <t>20.09.21</t>
  </si>
  <si>
    <t>27.09.21</t>
  </si>
  <si>
    <t>04.10.21</t>
  </si>
  <si>
    <t>12.10.21</t>
  </si>
  <si>
    <t>18.10.21</t>
  </si>
  <si>
    <t>25.10.21</t>
  </si>
  <si>
    <t>01.11.21</t>
  </si>
  <si>
    <t>08.11.21</t>
  </si>
  <si>
    <t>15.11.21</t>
  </si>
  <si>
    <t>22.11.21</t>
  </si>
  <si>
    <t>29.11.21</t>
  </si>
  <si>
    <t>06.12.21</t>
  </si>
  <si>
    <t>13.12.21</t>
  </si>
  <si>
    <t>20.12.21</t>
  </si>
  <si>
    <t>27.12.21</t>
  </si>
  <si>
    <t>03.01.22</t>
  </si>
  <si>
    <t>10.01.22</t>
  </si>
  <si>
    <t>17.01.22</t>
  </si>
  <si>
    <t>24.01.22</t>
  </si>
  <si>
    <t>31.1.22</t>
  </si>
  <si>
    <t>07.02.22</t>
  </si>
  <si>
    <t>14.02.22</t>
  </si>
  <si>
    <t>21.02.22</t>
  </si>
  <si>
    <t>28.02.22</t>
  </si>
  <si>
    <t>07.03.22</t>
  </si>
  <si>
    <t>14.03.22</t>
  </si>
  <si>
    <t>21.03.22</t>
  </si>
  <si>
    <t>28.03.22</t>
  </si>
  <si>
    <t>04.04.22</t>
  </si>
  <si>
    <t>11.04.22</t>
  </si>
  <si>
    <t>18.04.22</t>
  </si>
  <si>
    <t>25.04.22</t>
  </si>
  <si>
    <t>02.05.22</t>
  </si>
  <si>
    <t>09.05.22</t>
  </si>
  <si>
    <t>16.05,22</t>
  </si>
  <si>
    <t>23.05.22</t>
  </si>
  <si>
    <t>30.05.22</t>
  </si>
  <si>
    <t>06.06.22</t>
  </si>
  <si>
    <t>13.06.22</t>
  </si>
  <si>
    <t>20.06.22</t>
  </si>
  <si>
    <t>27.06.22</t>
  </si>
  <si>
    <t>04.07.22</t>
  </si>
  <si>
    <t>11.07.22</t>
  </si>
  <si>
    <t>18.07.22</t>
  </si>
  <si>
    <t>23.07.22</t>
  </si>
  <si>
    <t>01.08.22</t>
  </si>
  <si>
    <t>08.08.22</t>
  </si>
  <si>
    <t>15.08.22</t>
  </si>
  <si>
    <t>22.08.22</t>
  </si>
  <si>
    <t>29.08.22</t>
  </si>
  <si>
    <t>05.09.22</t>
  </si>
  <si>
    <t>12.09.22</t>
  </si>
  <si>
    <t>19.09.22</t>
  </si>
  <si>
    <t>26.09.22</t>
  </si>
  <si>
    <t>03.10.22</t>
  </si>
  <si>
    <t>10.10.22</t>
  </si>
  <si>
    <t>17.10.22</t>
  </si>
  <si>
    <t>24.10.22</t>
  </si>
  <si>
    <t>08.01.23</t>
  </si>
  <si>
    <t>vacaciones</t>
  </si>
  <si>
    <t>06.02.23</t>
  </si>
  <si>
    <t>15.05.23</t>
  </si>
  <si>
    <t>05.06.23</t>
  </si>
  <si>
    <t>NO SE TRABAJO NORMALMENTE EL SABADO POR OPERCION BUCAL</t>
  </si>
  <si>
    <t>Plan 120 *$4600</t>
  </si>
  <si>
    <t>"CREDITOS"</t>
  </si>
  <si>
    <t>*****</t>
  </si>
  <si>
    <t>Fecha Finaliz.:</t>
  </si>
  <si>
    <t>TC. EMP :</t>
  </si>
  <si>
    <t>"Prestamo</t>
  </si>
  <si>
    <t>Fecha de Finalizacion</t>
  </si>
  <si>
    <t xml:space="preserve">TC. </t>
  </si>
  <si>
    <t>SIMES EDUARDO A.</t>
  </si>
  <si>
    <t>Plan:75*  $1152</t>
  </si>
  <si>
    <t>"CREDITO</t>
  </si>
  <si>
    <t>EFECTIVO "</t>
  </si>
  <si>
    <t>Plan:80*$810</t>
  </si>
  <si>
    <t>23,07,21</t>
  </si>
  <si>
    <t>TC. :</t>
  </si>
  <si>
    <t>Plan:90*$160</t>
  </si>
  <si>
    <t>TC.:</t>
  </si>
  <si>
    <t>SEMANAL</t>
  </si>
  <si>
    <t>SEM.CALEN</t>
  </si>
  <si>
    <t>DIAS CALEN</t>
  </si>
  <si>
    <t>DIAS$</t>
  </si>
  <si>
    <t>CTA. SEM$</t>
  </si>
  <si>
    <t>TOTAL</t>
  </si>
  <si>
    <t>14.2</t>
  </si>
  <si>
    <t>quincenal</t>
  </si>
  <si>
    <t>CUOTA</t>
  </si>
  <si>
    <t>DIA</t>
  </si>
  <si>
    <t>MENSUAL</t>
  </si>
  <si>
    <t>7Q</t>
  </si>
  <si>
    <t>4 MESES</t>
  </si>
  <si>
    <t>11Q</t>
  </si>
  <si>
    <t>6MESES</t>
  </si>
  <si>
    <t>16Q</t>
  </si>
  <si>
    <t>8 MESES</t>
  </si>
  <si>
    <t>20Q</t>
  </si>
  <si>
    <t>10 MESES</t>
  </si>
  <si>
    <t>alternativo</t>
  </si>
  <si>
    <t>3 MESES</t>
  </si>
  <si>
    <t>5MESES</t>
  </si>
  <si>
    <t>7 MESES</t>
  </si>
  <si>
    <t>210*8100</t>
  </si>
  <si>
    <t>16 q.57000</t>
  </si>
  <si>
    <t>6m*$220000</t>
  </si>
  <si>
    <t>8mes$93800</t>
  </si>
  <si>
    <t>7 QUIN$24700</t>
  </si>
  <si>
    <t>14.04.25</t>
  </si>
  <si>
    <t>8mes$75000</t>
  </si>
  <si>
    <t>7 quin.$15430</t>
  </si>
  <si>
    <t>21.04.25</t>
  </si>
  <si>
    <t>14 MES$174000</t>
  </si>
  <si>
    <t>16q$46875</t>
  </si>
  <si>
    <t>16q$9375</t>
  </si>
  <si>
    <t>1pago$150000</t>
  </si>
  <si>
    <t>SAIN MARIA DE LOS ANGELES</t>
  </si>
  <si>
    <t>28.04.25</t>
  </si>
  <si>
    <t>4 m*43200</t>
  </si>
  <si>
    <t>4 MES $27000</t>
  </si>
  <si>
    <t>8 MES$150.000</t>
  </si>
  <si>
    <t>05.05.25</t>
  </si>
  <si>
    <t>6meses$88000</t>
  </si>
  <si>
    <t>ARCE SILVIA GABRIELA DEL VALLE</t>
  </si>
  <si>
    <t>AMBUL 6073-3518113168</t>
  </si>
  <si>
    <t>11q$24000</t>
  </si>
  <si>
    <t>11Q*$36000</t>
  </si>
  <si>
    <t>3 MES$246667</t>
  </si>
  <si>
    <t>YOCSINA 1696-3513919623-3512628606-APEX  -BAR EL BARQUITO PLAZA JERONIMO DEL BARCO</t>
  </si>
  <si>
    <t>4 mes$16200</t>
  </si>
  <si>
    <t>ABREGO NORMA MARCELA(cuñada)</t>
  </si>
  <si>
    <t>12.05.25</t>
  </si>
  <si>
    <t>SORIA MIRIAM BEATRIZ  (hermana "Karina")</t>
  </si>
  <si>
    <t>6 MES$440,000</t>
  </si>
  <si>
    <t>12 mes$425000</t>
  </si>
  <si>
    <t>8MES$45000</t>
  </si>
  <si>
    <t>8 MES$63750</t>
  </si>
  <si>
    <t>19.05.25</t>
  </si>
  <si>
    <t>3 meses $166500</t>
  </si>
  <si>
    <t>8 mes$262500</t>
  </si>
  <si>
    <t>26.05.25</t>
  </si>
  <si>
    <t>11 quinc.$48,000</t>
  </si>
  <si>
    <t>8 mes*$150,000</t>
  </si>
  <si>
    <t>7 Q.$31000</t>
  </si>
  <si>
    <t>ROMERO ROXANA EDITH-nuera</t>
  </si>
  <si>
    <t>4MESES$27,000</t>
  </si>
  <si>
    <t>02.06.25</t>
  </si>
  <si>
    <t>09.06.25</t>
  </si>
  <si>
    <t>6 MESES$52.800</t>
  </si>
  <si>
    <t>14 mes$321500</t>
  </si>
  <si>
    <t>PUCHI EMILIO DANIEL</t>
  </si>
  <si>
    <t>MZA.36 LTE.32 VILLA GRAL SAVIO TC.3518196321 TC. ESPOSA:3513777559 MALDONADO SILVANA VANESA</t>
  </si>
  <si>
    <t>20-33699933-3</t>
  </si>
  <si>
    <t>8 MES$150,000</t>
  </si>
  <si>
    <t xml:space="preserve">LLORENS MARIA CRISTINA </t>
  </si>
  <si>
    <t>OLMOS ELENA(soledad)</t>
  </si>
  <si>
    <t>16.6.25</t>
  </si>
  <si>
    <t>6 MESES$52800</t>
  </si>
  <si>
    <t>OLMOS ELENA(SOLEDAD)</t>
  </si>
  <si>
    <t>4 MES$37800</t>
  </si>
  <si>
    <t>16.06.25</t>
  </si>
  <si>
    <t>ALICANTE LUIS (ramona)</t>
  </si>
  <si>
    <t>23.06.25</t>
  </si>
  <si>
    <t>Mes abonado</t>
  </si>
  <si>
    <t>Acumulado $$$</t>
  </si>
  <si>
    <t>Pendiente $$$</t>
  </si>
  <si>
    <t>Semanas. Abonadas</t>
  </si>
  <si>
    <t>Semanas Pendientes</t>
  </si>
  <si>
    <t>Fecha Inicio del credito</t>
  </si>
  <si>
    <t>Fecha Final del credito</t>
  </si>
  <si>
    <t xml:space="preserve">cantidad total de dias  </t>
  </si>
  <si>
    <t>Dias. Abonados</t>
  </si>
  <si>
    <t>Dias. Pendientes</t>
  </si>
  <si>
    <t>70*21600</t>
  </si>
  <si>
    <t>8MES$375000</t>
  </si>
  <si>
    <t>JUAN ESPAÑON</t>
  </si>
  <si>
    <t>FERREYRA NOELIA ALEJ.-FERREYRA PATRICIA N.</t>
  </si>
  <si>
    <t>40*4500</t>
  </si>
  <si>
    <t>4 MES$81000</t>
  </si>
  <si>
    <t>30.06.25</t>
  </si>
  <si>
    <t>c.nvo.-cobr</t>
  </si>
  <si>
    <t xml:space="preserve">REYNOSO ROMULA CONSTANZA MABEL </t>
  </si>
  <si>
    <t>9 mes$67,000</t>
  </si>
  <si>
    <t>07.07.25</t>
  </si>
  <si>
    <t>20*11250</t>
  </si>
  <si>
    <t>72*$3000</t>
  </si>
  <si>
    <t>FUENTES MABEL LETICIA DEL VALLE (laura)</t>
  </si>
  <si>
    <t>14.07.25</t>
  </si>
  <si>
    <t>10 mes$170000</t>
  </si>
  <si>
    <t>8 MES$56250</t>
  </si>
  <si>
    <t>OLMOS ELENA (soledad)</t>
  </si>
  <si>
    <t>VILLAGRA CESAR EUDOSIO(monica)</t>
  </si>
  <si>
    <t>6 mes$176000</t>
  </si>
  <si>
    <t>110*3120</t>
  </si>
  <si>
    <t>ISCHILIN 6019TC. 3515638869TL3512089673LT.ENTRE RIOS 273 GOOD MANERO</t>
  </si>
  <si>
    <t>MARTINEZ ERICA JORGELINA-MARTNIENZ NATALIA S.</t>
  </si>
  <si>
    <t>VILLAGRA MAURICIO</t>
  </si>
  <si>
    <t>21.07.25</t>
  </si>
  <si>
    <t>10 MES$85000</t>
  </si>
  <si>
    <t xml:space="preserve">ANGEL GALLARDO 1907tc.3518099873-SM NORTE LT CASA YAMOI 25 DE mayo </t>
  </si>
  <si>
    <t>4MES$162000</t>
  </si>
  <si>
    <t>6Q</t>
  </si>
  <si>
    <t>NORIEGA JEMIMAH SOLEDAD- NORIEGA IRINA MICAELA</t>
  </si>
  <si>
    <t>EDUARDO CRESPO 3276 Y 3081- PB ESC.B75- OLEO</t>
  </si>
  <si>
    <t>55*10286</t>
  </si>
  <si>
    <t>4 MES54,000</t>
  </si>
  <si>
    <t>28.07.25</t>
  </si>
  <si>
    <t>4 mes54000</t>
  </si>
  <si>
    <t>1er cuota para septiembre</t>
  </si>
  <si>
    <t>tomas yanez</t>
  </si>
  <si>
    <t>4 mes$18900</t>
  </si>
  <si>
    <t>6 M$44000</t>
  </si>
  <si>
    <t>04.08.25</t>
  </si>
  <si>
    <t>110*2200</t>
  </si>
  <si>
    <t>10 mes$312000</t>
  </si>
  <si>
    <t>45*2100</t>
  </si>
  <si>
    <t>LEGUIZAMON CASTILLO LEANDRO LUCIANO</t>
  </si>
  <si>
    <t>BENTEVEO 3638 TC.3516770749- ARENALES LT.MODERAND2 AV. A. CAPDEVILLA 1667 TL.2513777070</t>
  </si>
  <si>
    <t>3MES $256000</t>
  </si>
  <si>
    <t>10 MES218400</t>
  </si>
  <si>
    <t>11.08.25</t>
  </si>
  <si>
    <t>10mes$249600</t>
  </si>
  <si>
    <t>110*19200</t>
  </si>
  <si>
    <t>8MESES$44,000</t>
  </si>
  <si>
    <t>4 mes$5400</t>
  </si>
  <si>
    <t>CABIDO JOSEFA OLGA  dayana</t>
  </si>
  <si>
    <t>18.08.25</t>
  </si>
  <si>
    <t>8mes$90000</t>
  </si>
  <si>
    <t>santa rosa1234 dpto 11- trabaja en primo resto bar</t>
  </si>
  <si>
    <t>72*7500</t>
  </si>
  <si>
    <t>1 pago devuelve el 2-9</t>
  </si>
  <si>
    <t>25.08.25</t>
  </si>
  <si>
    <t>6 MES$176000</t>
  </si>
  <si>
    <t>6 mes$22,000</t>
  </si>
  <si>
    <t>110*12000</t>
  </si>
  <si>
    <t>3MESES$32,000</t>
  </si>
  <si>
    <t>01.09.25</t>
  </si>
  <si>
    <t>7 Q.$141000</t>
  </si>
  <si>
    <t>carolina ferreyra</t>
  </si>
  <si>
    <t xml:space="preserve"> 6MES$44000</t>
  </si>
  <si>
    <t>PALACIO RODOLFB168:FL168O RUBEN-YAÑEZ TOMAS MANUEL (REFIN)</t>
  </si>
  <si>
    <t>4mes$162.000</t>
  </si>
  <si>
    <t>CABIDO JOSEFA OLGA  (MARTIN)</t>
  </si>
  <si>
    <t>7,75mes$102.000</t>
  </si>
  <si>
    <t>08.09.25</t>
  </si>
  <si>
    <t>4meses$22000</t>
  </si>
  <si>
    <t>PEDRO ECHAGUE 3695 TC.153229631 TL.4466800</t>
  </si>
  <si>
    <t>8 mes$360000</t>
  </si>
  <si>
    <t>RIBULGO LEANDRO EMANUEL</t>
  </si>
  <si>
    <t>ANGEL SALVADORES 5458 MZA25 LTE.11- SAN LUCAS</t>
  </si>
  <si>
    <t>FERNANDEZ JESSICA PAOLA</t>
  </si>
  <si>
    <t>20*$14000</t>
  </si>
  <si>
    <t xml:space="preserve">OLMOS ELENA  </t>
  </si>
  <si>
    <t>AYACUCHO 373 PB.(PORTON NEGRO)</t>
  </si>
  <si>
    <t>6 mes$220000</t>
  </si>
  <si>
    <t>6 Mes$132,000</t>
  </si>
  <si>
    <t>4 mes$24300</t>
  </si>
  <si>
    <t>15.09.25</t>
  </si>
  <si>
    <t>7quin$46300</t>
  </si>
  <si>
    <t>publica c 3295 - JUJUY 76 PB-3512110973</t>
  </si>
  <si>
    <t>Plan:40*$10286</t>
  </si>
  <si>
    <t>2</t>
  </si>
  <si>
    <t>72*8700</t>
  </si>
  <si>
    <t>FUENTES MABEL LETICIA DEL VALLE (NADIA AILEN SOBRINA)</t>
  </si>
  <si>
    <t>110*2880</t>
  </si>
  <si>
    <t>1</t>
  </si>
  <si>
    <t>22.09.25</t>
  </si>
  <si>
    <t>3 MES$1280000</t>
  </si>
  <si>
    <t>72*3600</t>
  </si>
  <si>
    <t>10 MES$62400</t>
  </si>
  <si>
    <t>29.09.25</t>
  </si>
  <si>
    <t>8 mes$72000</t>
  </si>
  <si>
    <t>160*5400</t>
  </si>
  <si>
    <t>SORIA MIRIAM BEATRIZ  (braiton)</t>
  </si>
  <si>
    <t>4 M$54000</t>
  </si>
  <si>
    <t>se actualizo al 10/10</t>
  </si>
  <si>
    <t>8MESES$108,000</t>
  </si>
  <si>
    <t>06.10.25</t>
  </si>
  <si>
    <t>4 meses*$54,000</t>
  </si>
  <si>
    <t>1 PAGO$90000</t>
  </si>
  <si>
    <t>COLLADO MONTERO CANCELARIA</t>
  </si>
  <si>
    <t>60*$16000</t>
  </si>
  <si>
    <t>13.10.25</t>
  </si>
  <si>
    <t xml:space="preserve">GIMENEZ MILAGROS ABIGAIL-PAGLIARI LUIS MANUEL </t>
  </si>
  <si>
    <t>PIZARRO 6800-  INAUDI TC.3515570528</t>
  </si>
  <si>
    <t>27.42894494.7</t>
  </si>
  <si>
    <t>160*18000</t>
  </si>
  <si>
    <t>5 mes$432000</t>
  </si>
  <si>
    <t>14 MES$100000</t>
  </si>
  <si>
    <t>8mes$132000</t>
  </si>
  <si>
    <t>1 pago 65000</t>
  </si>
  <si>
    <t xml:space="preserve">SORIA MIRIAM BEATRIZ(branko)  </t>
  </si>
  <si>
    <t>4MES$54000</t>
  </si>
  <si>
    <t>4 MES37.800</t>
  </si>
  <si>
    <t>20.10.25</t>
  </si>
  <si>
    <t>160*36000</t>
  </si>
  <si>
    <t xml:space="preserve">MARTIN PARRA  </t>
  </si>
  <si>
    <t>6 M$22528</t>
  </si>
  <si>
    <t>4mes$54.000</t>
  </si>
  <si>
    <t>27.10.25</t>
  </si>
  <si>
    <t>50*10000</t>
  </si>
  <si>
    <t>4MES$162,000</t>
  </si>
  <si>
    <t>4MESES$54.000</t>
  </si>
  <si>
    <t>SOBREMONTE 5778</t>
  </si>
  <si>
    <t>110*$2400</t>
  </si>
  <si>
    <t>14 qui$54000</t>
  </si>
  <si>
    <t>03.11.25</t>
  </si>
  <si>
    <t>4MESES$108000</t>
  </si>
  <si>
    <t>6 MESES $108000</t>
  </si>
  <si>
    <t>CTO.</t>
  </si>
  <si>
    <t>10.11.25</t>
  </si>
  <si>
    <t>3 MES$128000</t>
  </si>
  <si>
    <t>72*3750</t>
  </si>
  <si>
    <t>11quin$48000</t>
  </si>
  <si>
    <t>24q</t>
  </si>
  <si>
    <t>12 MESES</t>
  </si>
  <si>
    <t>14 quincenas*$54,000</t>
  </si>
  <si>
    <t>16 quincena</t>
  </si>
  <si>
    <t>10 mes$156.000</t>
  </si>
  <si>
    <t>HEERERA GIULIANA AGUSTINA</t>
  </si>
  <si>
    <t>FRAY MAMERTO ESQUIU  432 2C. GRAL PAZ 351-2545791</t>
  </si>
  <si>
    <t>80*8100</t>
  </si>
  <si>
    <t>16 quin$54,000</t>
  </si>
  <si>
    <t>72*$1500</t>
  </si>
  <si>
    <t>55*2800</t>
  </si>
  <si>
    <t>4mes$108000</t>
  </si>
  <si>
    <t>17.11.25</t>
  </si>
  <si>
    <t>4mes$27.000</t>
  </si>
  <si>
    <t xml:space="preserve">VIZCARRA ANGELINA S. </t>
  </si>
  <si>
    <t>10 mes$62.400</t>
  </si>
  <si>
    <t xml:space="preserve">CABIDO JOSEFA OLGA (Natalia) </t>
  </si>
  <si>
    <t>6 mes$22.000</t>
  </si>
  <si>
    <t>24.11.25</t>
  </si>
  <si>
    <t>LUNA MARCIA DANIELA</t>
  </si>
  <si>
    <t>11 QUIN$24000</t>
  </si>
  <si>
    <t>2 PAGO</t>
  </si>
  <si>
    <t>CALAMUCHITA 6060- COMERCIAL- TC.3513168470-LAB. EDIFICIO GAMMA, AV, COLON EMPLEADOR FRANCO DI LOLLO 3515902464 - COUNTRY LAS DELICIAS, SR. PABLO COLEONI 3541628563</t>
  </si>
  <si>
    <t>6 MES$132000</t>
  </si>
  <si>
    <t>ROMERO YESICA MARIEL</t>
  </si>
  <si>
    <t>20*1400</t>
  </si>
  <si>
    <t>MACACHIN 2285-CABILDO-SINFONDA- ENCARGADO FRANCO</t>
  </si>
  <si>
    <t xml:space="preserve"> 6MES$66000</t>
  </si>
  <si>
    <t>7 quinc.30860</t>
  </si>
  <si>
    <t>01.12.25</t>
  </si>
  <si>
    <t>6 MESES$66.000</t>
  </si>
  <si>
    <t xml:space="preserve"> ALFARO ELIO EMA.</t>
  </si>
  <si>
    <t>70*7715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</si>
</sst>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&quot;$&quot;\ #,##0"/>
    <numFmt numFmtId="167" formatCode="dd/mm/yyyy;@"/>
    <numFmt numFmtId="168" formatCode="_-&quot;$&quot;\ * #,##0_-;\-&quot;$&quot;\ * #,##0_-;_-&quot;$&quot;\ * &quot;-&quot;??_-;_-@_-"/>
    <numFmt numFmtId="169" formatCode="#,##0.000"/>
    <numFmt numFmtId="170" formatCode="0.000"/>
    <numFmt numFmtId="171" formatCode="_-&quot;$&quot;\ * #,##0.0_-;\-&quot;$&quot;\ * #,##0.0_-;_-&quot;$&quot;\ * &quot;-&quot;??_-;_-@_-"/>
    <numFmt numFmtId="172" formatCode="_-&quot;$&quot;\ * #,##0.0_-;\-&quot;$&quot;\ * #,##0.0_-;_-&quot;$&quot;\ * &quot;-&quot;?_-;_-@_-"/>
  </numFmts>
  <fonts count="9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B0F0"/>
      <name val="Calibri"/>
      <family val="2"/>
      <scheme val="minor"/>
    </font>
    <font>
      <b/>
      <sz val="8"/>
      <color rgb="FF00B0F0"/>
      <name val="Calibri"/>
      <family val="2"/>
      <scheme val="minor"/>
    </font>
    <font>
      <b/>
      <u/>
      <sz val="8"/>
      <color rgb="FF00B0F0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7"/>
      <name val="Calibri"/>
      <family val="2"/>
      <scheme val="minor"/>
    </font>
    <font>
      <sz val="6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4"/>
      <color theme="1"/>
      <name val="Times New Roman"/>
      <family val="1"/>
    </font>
    <font>
      <b/>
      <u/>
      <sz val="12"/>
      <color theme="9" tint="-0.249977111117893"/>
      <name val="Times New Roman"/>
      <family val="1"/>
    </font>
    <font>
      <b/>
      <sz val="7"/>
      <color theme="1"/>
      <name val="Times New Roman"/>
      <family val="1"/>
    </font>
    <font>
      <sz val="14"/>
      <color theme="1"/>
      <name val="Times New Roman"/>
      <family val="1"/>
    </font>
    <font>
      <sz val="5"/>
      <color theme="1"/>
      <name val="Times New Roman"/>
      <family val="1"/>
    </font>
    <font>
      <sz val="11"/>
      <color theme="1"/>
      <name val="Times New Roman"/>
      <family val="1"/>
    </font>
    <font>
      <sz val="6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7" tint="0.79998168889431442"/>
      <name val="Times New Roman"/>
      <family val="1"/>
    </font>
    <font>
      <sz val="8"/>
      <color theme="1"/>
      <name val="Times New Roman"/>
      <family val="1"/>
    </font>
    <font>
      <sz val="11"/>
      <name val="Times New Roman"/>
      <family val="1"/>
    </font>
    <font>
      <b/>
      <sz val="2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rgb="FFFF0000"/>
      <name val="Times New Roman"/>
      <family val="1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rgb="FF92D050"/>
      <name val="Times New Roman"/>
      <family val="1"/>
    </font>
    <font>
      <b/>
      <sz val="5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rgb="FFFF0000"/>
      <name val="Times New Roman"/>
      <family val="1"/>
    </font>
    <font>
      <b/>
      <sz val="8"/>
      <color theme="1"/>
      <name val="Times New Roman"/>
      <family val="1"/>
    </font>
    <font>
      <b/>
      <sz val="14"/>
      <name val="Times New Roman"/>
      <family val="1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00FFFF"/>
      <name val="Calibri"/>
      <family val="2"/>
      <scheme val="minor"/>
    </font>
    <font>
      <sz val="9"/>
      <color rgb="FF00B0F0"/>
      <name val="Calibri"/>
      <family val="2"/>
      <scheme val="minor"/>
    </font>
    <font>
      <b/>
      <sz val="9"/>
      <color rgb="FF00B0F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name val="Times New Roman"/>
      <family val="1"/>
    </font>
    <font>
      <sz val="9"/>
      <color theme="1"/>
      <name val="Times New Roman"/>
      <family val="1"/>
    </font>
    <font>
      <sz val="5"/>
      <color rgb="FFFF0000"/>
      <name val="Times New Roman"/>
      <family val="1"/>
    </font>
    <font>
      <sz val="5"/>
      <color theme="7" tint="0.79998168889431442"/>
      <name val="Times New Roman"/>
      <family val="1"/>
    </font>
    <font>
      <b/>
      <sz val="6"/>
      <color theme="1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sz val="5"/>
      <color theme="1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theme="9" tint="-0.249977111117893"/>
      <name val="Times New Roman"/>
      <family val="1"/>
    </font>
    <font>
      <sz val="11"/>
      <color theme="9" tint="-0.249977111117893"/>
      <name val="Times New Roman"/>
      <family val="1"/>
    </font>
    <font>
      <sz val="5"/>
      <name val="Calibri"/>
      <family val="2"/>
      <scheme val="minor"/>
    </font>
    <font>
      <b/>
      <sz val="7"/>
      <name val="Calibri"/>
      <family val="2"/>
      <scheme val="minor"/>
    </font>
    <font>
      <b/>
      <sz val="6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FF0000"/>
      <name val="Calibri"/>
      <family val="2"/>
      <scheme val="minor"/>
    </font>
    <font>
      <sz val="7"/>
      <color rgb="FFFF0000"/>
      <name val="Calibri"/>
      <family val="2"/>
      <scheme val="minor"/>
    </font>
    <font>
      <sz val="6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8"/>
      <color theme="1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00B0F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7E7F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medium">
        <color indexed="64"/>
      </diagonal>
    </border>
    <border diagonalUp="1">
      <left style="thin">
        <color indexed="64"/>
      </left>
      <right/>
      <top style="thin">
        <color indexed="64"/>
      </top>
      <bottom style="medium">
        <color indexed="64"/>
      </bottom>
      <diagonal style="medium">
        <color indexed="64"/>
      </diagonal>
    </border>
    <border diagonalUp="1"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medium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medium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medium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medium">
        <color indexed="64"/>
      </diagonal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40">
    <xf numFmtId="0" fontId="0" fillId="0" borderId="0" xfId="0"/>
    <xf numFmtId="0" fontId="3" fillId="8" borderId="1" xfId="0" applyFont="1" applyFill="1" applyBorder="1" applyAlignment="1">
      <alignment horizontal="left" wrapText="1"/>
    </xf>
    <xf numFmtId="0" fontId="3" fillId="8" borderId="2" xfId="0" applyFont="1" applyFill="1" applyBorder="1" applyAlignment="1">
      <alignment wrapText="1"/>
    </xf>
    <xf numFmtId="14" fontId="3" fillId="8" borderId="2" xfId="0" applyNumberFormat="1" applyFont="1" applyFill="1" applyBorder="1" applyAlignment="1">
      <alignment horizontal="left" wrapText="1"/>
    </xf>
    <xf numFmtId="0" fontId="3" fillId="8" borderId="2" xfId="0" applyFont="1" applyFill="1" applyBorder="1" applyAlignment="1">
      <alignment horizontal="left" wrapText="1"/>
    </xf>
    <xf numFmtId="164" fontId="3" fillId="8" borderId="2" xfId="0" applyNumberFormat="1" applyFont="1" applyFill="1" applyBorder="1" applyAlignment="1">
      <alignment horizontal="center" wrapText="1"/>
    </xf>
    <xf numFmtId="0" fontId="3" fillId="9" borderId="2" xfId="0" applyFont="1" applyFill="1" applyBorder="1" applyAlignment="1">
      <alignment wrapText="1"/>
    </xf>
    <xf numFmtId="1" fontId="3" fillId="8" borderId="3" xfId="0" applyNumberFormat="1" applyFont="1" applyFill="1" applyBorder="1" applyAlignment="1">
      <alignment wrapText="1"/>
    </xf>
    <xf numFmtId="0" fontId="3" fillId="8" borderId="2" xfId="0" applyFont="1" applyFill="1" applyBorder="1" applyAlignment="1">
      <alignment horizontal="right" wrapText="1"/>
    </xf>
    <xf numFmtId="1" fontId="4" fillId="8" borderId="3" xfId="2" applyNumberFormat="1" applyFont="1" applyFill="1" applyBorder="1" applyAlignment="1">
      <alignment wrapText="1"/>
    </xf>
    <xf numFmtId="1" fontId="3" fillId="8" borderId="2" xfId="0" applyNumberFormat="1" applyFont="1" applyFill="1" applyBorder="1" applyAlignment="1">
      <alignment wrapText="1"/>
    </xf>
    <xf numFmtId="2" fontId="4" fillId="0" borderId="2" xfId="0" applyNumberFormat="1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4" fillId="0" borderId="0" xfId="0" applyFont="1" applyAlignment="1">
      <alignment wrapText="1"/>
    </xf>
    <xf numFmtId="165" fontId="3" fillId="8" borderId="2" xfId="1" applyNumberFormat="1" applyFont="1" applyFill="1" applyBorder="1" applyAlignment="1">
      <alignment horizontal="right" wrapText="1"/>
    </xf>
    <xf numFmtId="1" fontId="2" fillId="8" borderId="3" xfId="0" applyNumberFormat="1" applyFont="1" applyFill="1" applyBorder="1" applyAlignment="1">
      <alignment wrapText="1"/>
    </xf>
    <xf numFmtId="0" fontId="3" fillId="10" borderId="2" xfId="0" applyFont="1" applyFill="1" applyBorder="1" applyAlignment="1">
      <alignment wrapText="1"/>
    </xf>
    <xf numFmtId="0" fontId="3" fillId="11" borderId="1" xfId="0" applyFont="1" applyFill="1" applyBorder="1" applyAlignment="1">
      <alignment horizontal="left" wrapText="1"/>
    </xf>
    <xf numFmtId="1" fontId="5" fillId="8" borderId="3" xfId="0" applyNumberFormat="1" applyFont="1" applyFill="1" applyBorder="1" applyAlignment="1">
      <alignment wrapText="1"/>
    </xf>
    <xf numFmtId="1" fontId="6" fillId="8" borderId="3" xfId="0" applyNumberFormat="1" applyFont="1" applyFill="1" applyBorder="1" applyAlignment="1">
      <alignment wrapText="1"/>
    </xf>
    <xf numFmtId="1" fontId="4" fillId="8" borderId="3" xfId="0" applyNumberFormat="1" applyFont="1" applyFill="1" applyBorder="1" applyAlignment="1">
      <alignment wrapText="1"/>
    </xf>
    <xf numFmtId="0" fontId="3" fillId="8" borderId="3" xfId="0" applyFont="1" applyFill="1" applyBorder="1" applyAlignment="1">
      <alignment horizontal="right" wrapText="1"/>
    </xf>
    <xf numFmtId="1" fontId="6" fillId="8" borderId="2" xfId="0" applyNumberFormat="1" applyFont="1" applyFill="1" applyBorder="1" applyAlignment="1">
      <alignment wrapText="1"/>
    </xf>
    <xf numFmtId="1" fontId="3" fillId="8" borderId="2" xfId="0" applyNumberFormat="1" applyFont="1" applyFill="1" applyBorder="1" applyAlignment="1">
      <alignment horizontal="right" wrapText="1"/>
    </xf>
    <xf numFmtId="0" fontId="4" fillId="9" borderId="2" xfId="0" applyFont="1" applyFill="1" applyBorder="1" applyAlignment="1">
      <alignment wrapText="1"/>
    </xf>
    <xf numFmtId="0" fontId="3" fillId="0" borderId="1" xfId="0" applyFont="1" applyBorder="1" applyAlignment="1">
      <alignment horizontal="left" wrapText="1"/>
    </xf>
    <xf numFmtId="1" fontId="8" fillId="8" borderId="3" xfId="0" applyNumberFormat="1" applyFont="1" applyFill="1" applyBorder="1" applyAlignment="1">
      <alignment wrapText="1"/>
    </xf>
    <xf numFmtId="0" fontId="9" fillId="8" borderId="2" xfId="0" applyFont="1" applyFill="1" applyBorder="1" applyAlignment="1">
      <alignment wrapText="1"/>
    </xf>
    <xf numFmtId="0" fontId="10" fillId="8" borderId="2" xfId="0" applyFont="1" applyFill="1" applyBorder="1" applyAlignment="1">
      <alignment wrapText="1"/>
    </xf>
    <xf numFmtId="0" fontId="10" fillId="8" borderId="2" xfId="0" applyFont="1" applyFill="1" applyBorder="1" applyAlignment="1">
      <alignment horizontal="left" wrapText="1"/>
    </xf>
    <xf numFmtId="14" fontId="5" fillId="8" borderId="2" xfId="0" applyNumberFormat="1" applyFont="1" applyFill="1" applyBorder="1" applyAlignment="1">
      <alignment horizontal="left" wrapText="1"/>
    </xf>
    <xf numFmtId="0" fontId="2" fillId="13" borderId="4" xfId="0" applyFont="1" applyFill="1" applyBorder="1" applyAlignment="1">
      <alignment horizontal="left" wrapText="1"/>
    </xf>
    <xf numFmtId="0" fontId="2" fillId="13" borderId="5" xfId="0" applyFont="1" applyFill="1" applyBorder="1" applyAlignment="1">
      <alignment wrapText="1"/>
    </xf>
    <xf numFmtId="0" fontId="3" fillId="13" borderId="5" xfId="0" applyFont="1" applyFill="1" applyBorder="1" applyAlignment="1">
      <alignment horizontal="left" wrapText="1"/>
    </xf>
    <xf numFmtId="0" fontId="2" fillId="13" borderId="5" xfId="0" applyFont="1" applyFill="1" applyBorder="1" applyAlignment="1">
      <alignment horizontal="left" wrapText="1"/>
    </xf>
    <xf numFmtId="1" fontId="13" fillId="10" borderId="2" xfId="0" applyNumberFormat="1" applyFont="1" applyFill="1" applyBorder="1" applyAlignment="1">
      <alignment horizontal="center" wrapText="1"/>
    </xf>
    <xf numFmtId="10" fontId="13" fillId="10" borderId="8" xfId="3" applyNumberFormat="1" applyFont="1" applyFill="1" applyBorder="1" applyAlignment="1">
      <alignment wrapText="1"/>
    </xf>
    <xf numFmtId="1" fontId="13" fillId="7" borderId="2" xfId="0" applyNumberFormat="1" applyFont="1" applyFill="1" applyBorder="1" applyAlignment="1">
      <alignment wrapText="1"/>
    </xf>
    <xf numFmtId="1" fontId="13" fillId="15" borderId="2" xfId="0" applyNumberFormat="1" applyFont="1" applyFill="1" applyBorder="1" applyAlignment="1">
      <alignment wrapText="1"/>
    </xf>
    <xf numFmtId="0" fontId="13" fillId="8" borderId="2" xfId="0" applyFont="1" applyFill="1" applyBorder="1" applyAlignment="1">
      <alignment wrapText="1"/>
    </xf>
    <xf numFmtId="1" fontId="13" fillId="8" borderId="8" xfId="0" applyNumberFormat="1" applyFont="1" applyFill="1" applyBorder="1" applyAlignment="1">
      <alignment wrapText="1"/>
    </xf>
    <xf numFmtId="0" fontId="14" fillId="0" borderId="2" xfId="0" applyFont="1" applyBorder="1" applyAlignment="1">
      <alignment wrapText="1"/>
    </xf>
    <xf numFmtId="1" fontId="14" fillId="0" borderId="2" xfId="0" applyNumberFormat="1" applyFont="1" applyBorder="1" applyAlignment="1">
      <alignment wrapText="1"/>
    </xf>
    <xf numFmtId="1" fontId="4" fillId="8" borderId="2" xfId="2" applyNumberFormat="1" applyFont="1" applyFill="1" applyBorder="1" applyAlignment="1">
      <alignment wrapText="1"/>
    </xf>
    <xf numFmtId="0" fontId="0" fillId="0" borderId="2" xfId="0" applyBorder="1"/>
    <xf numFmtId="0" fontId="19" fillId="8" borderId="0" xfId="0" applyFont="1" applyFill="1"/>
    <xf numFmtId="0" fontId="21" fillId="8" borderId="0" xfId="0" applyFont="1" applyFill="1"/>
    <xf numFmtId="0" fontId="22" fillId="8" borderId="0" xfId="0" applyFont="1" applyFill="1"/>
    <xf numFmtId="0" fontId="21" fillId="16" borderId="3" xfId="0" applyFont="1" applyFill="1" applyBorder="1" applyAlignment="1">
      <alignment horizontal="center"/>
    </xf>
    <xf numFmtId="0" fontId="0" fillId="8" borderId="0" xfId="0" applyFill="1"/>
    <xf numFmtId="0" fontId="23" fillId="8" borderId="0" xfId="0" applyFont="1" applyFill="1" applyAlignment="1">
      <alignment horizontal="left"/>
    </xf>
    <xf numFmtId="0" fontId="24" fillId="8" borderId="3" xfId="0" applyFont="1" applyFill="1" applyBorder="1" applyAlignment="1">
      <alignment horizontal="center"/>
    </xf>
    <xf numFmtId="167" fontId="21" fillId="8" borderId="0" xfId="0" applyNumberFormat="1" applyFont="1" applyFill="1" applyAlignment="1">
      <alignment horizontal="center"/>
    </xf>
    <xf numFmtId="0" fontId="21" fillId="16" borderId="7" xfId="0" applyFont="1" applyFill="1" applyBorder="1" applyAlignment="1">
      <alignment horizontal="center"/>
    </xf>
    <xf numFmtId="0" fontId="19" fillId="8" borderId="0" xfId="0" applyFont="1" applyFill="1" applyAlignment="1">
      <alignment horizontal="left"/>
    </xf>
    <xf numFmtId="0" fontId="25" fillId="8" borderId="7" xfId="0" applyFont="1" applyFill="1" applyBorder="1"/>
    <xf numFmtId="0" fontId="23" fillId="3" borderId="9" xfId="0" applyFont="1" applyFill="1" applyBorder="1" applyAlignment="1">
      <alignment horizontal="right"/>
    </xf>
    <xf numFmtId="0" fontId="26" fillId="8" borderId="10" xfId="0" applyFont="1" applyFill="1" applyBorder="1" applyAlignment="1">
      <alignment horizontal="center"/>
    </xf>
    <xf numFmtId="0" fontId="26" fillId="8" borderId="11" xfId="0" applyFont="1" applyFill="1" applyBorder="1" applyAlignment="1">
      <alignment horizontal="center"/>
    </xf>
    <xf numFmtId="0" fontId="26" fillId="8" borderId="12" xfId="0" applyFont="1" applyFill="1" applyBorder="1" applyAlignment="1">
      <alignment horizontal="center"/>
    </xf>
    <xf numFmtId="14" fontId="27" fillId="8" borderId="13" xfId="0" applyNumberFormat="1" applyFont="1" applyFill="1" applyBorder="1" applyAlignment="1">
      <alignment vertical="top"/>
    </xf>
    <xf numFmtId="0" fontId="28" fillId="8" borderId="14" xfId="0" applyFont="1" applyFill="1" applyBorder="1"/>
    <xf numFmtId="0" fontId="29" fillId="8" borderId="15" xfId="0" applyFont="1" applyFill="1" applyBorder="1" applyAlignment="1">
      <alignment vertical="top"/>
    </xf>
    <xf numFmtId="14" fontId="27" fillId="8" borderId="16" xfId="0" applyNumberFormat="1" applyFont="1" applyFill="1" applyBorder="1" applyAlignment="1">
      <alignment vertical="top"/>
    </xf>
    <xf numFmtId="0" fontId="30" fillId="8" borderId="17" xfId="0" applyFont="1" applyFill="1" applyBorder="1"/>
    <xf numFmtId="0" fontId="29" fillId="8" borderId="18" xfId="0" applyFont="1" applyFill="1" applyBorder="1" applyAlignment="1">
      <alignment vertical="top"/>
    </xf>
    <xf numFmtId="14" fontId="27" fillId="8" borderId="19" xfId="0" applyNumberFormat="1" applyFont="1" applyFill="1" applyBorder="1" applyAlignment="1">
      <alignment vertical="top"/>
    </xf>
    <xf numFmtId="0" fontId="31" fillId="8" borderId="20" xfId="0" applyFont="1" applyFill="1" applyBorder="1"/>
    <xf numFmtId="0" fontId="29" fillId="8" borderId="9" xfId="0" applyFont="1" applyFill="1" applyBorder="1" applyAlignment="1">
      <alignment vertical="top"/>
    </xf>
    <xf numFmtId="0" fontId="30" fillId="8" borderId="20" xfId="0" applyFont="1" applyFill="1" applyBorder="1"/>
    <xf numFmtId="14" fontId="26" fillId="8" borderId="19" xfId="0" applyNumberFormat="1" applyFont="1" applyFill="1" applyBorder="1" applyAlignment="1">
      <alignment vertical="top"/>
    </xf>
    <xf numFmtId="0" fontId="28" fillId="8" borderId="20" xfId="0" applyFont="1" applyFill="1" applyBorder="1"/>
    <xf numFmtId="0" fontId="32" fillId="8" borderId="9" xfId="0" applyFont="1" applyFill="1" applyBorder="1" applyAlignment="1">
      <alignment vertical="top"/>
    </xf>
    <xf numFmtId="14" fontId="28" fillId="8" borderId="19" xfId="0" applyNumberFormat="1" applyFont="1" applyFill="1" applyBorder="1"/>
    <xf numFmtId="14" fontId="28" fillId="8" borderId="19" xfId="0" applyNumberFormat="1" applyFont="1" applyFill="1" applyBorder="1" applyAlignment="1">
      <alignment horizontal="center" vertical="top"/>
    </xf>
    <xf numFmtId="0" fontId="34" fillId="8" borderId="20" xfId="0" applyFont="1" applyFill="1" applyBorder="1"/>
    <xf numFmtId="0" fontId="22" fillId="8" borderId="20" xfId="0" applyFont="1" applyFill="1" applyBorder="1"/>
    <xf numFmtId="14" fontId="28" fillId="8" borderId="19" xfId="0" applyNumberFormat="1" applyFont="1" applyFill="1" applyBorder="1" applyAlignment="1">
      <alignment vertical="top"/>
    </xf>
    <xf numFmtId="6" fontId="28" fillId="8" borderId="20" xfId="0" applyNumberFormat="1" applyFont="1" applyFill="1" applyBorder="1"/>
    <xf numFmtId="14" fontId="35" fillId="8" borderId="19" xfId="0" applyNumberFormat="1" applyFont="1" applyFill="1" applyBorder="1" applyAlignment="1">
      <alignment horizontal="center" vertical="top" wrapText="1"/>
    </xf>
    <xf numFmtId="44" fontId="23" fillId="8" borderId="20" xfId="2" applyFont="1" applyFill="1" applyBorder="1"/>
    <xf numFmtId="6" fontId="36" fillId="8" borderId="20" xfId="0" applyNumberFormat="1" applyFont="1" applyFill="1" applyBorder="1"/>
    <xf numFmtId="14" fontId="37" fillId="8" borderId="19" xfId="0" applyNumberFormat="1" applyFont="1" applyFill="1" applyBorder="1" applyAlignment="1">
      <alignment vertical="top"/>
    </xf>
    <xf numFmtId="0" fontId="38" fillId="8" borderId="20" xfId="0" applyFont="1" applyFill="1" applyBorder="1"/>
    <xf numFmtId="0" fontId="28" fillId="8" borderId="19" xfId="0" applyFont="1" applyFill="1" applyBorder="1"/>
    <xf numFmtId="44" fontId="28" fillId="8" borderId="20" xfId="2" applyFont="1" applyFill="1" applyBorder="1"/>
    <xf numFmtId="0" fontId="28" fillId="8" borderId="21" xfId="0" applyFont="1" applyFill="1" applyBorder="1"/>
    <xf numFmtId="0" fontId="28" fillId="8" borderId="22" xfId="0" applyFont="1" applyFill="1" applyBorder="1"/>
    <xf numFmtId="0" fontId="29" fillId="8" borderId="23" xfId="0" applyFont="1" applyFill="1" applyBorder="1" applyAlignment="1">
      <alignment vertical="top"/>
    </xf>
    <xf numFmtId="0" fontId="29" fillId="8" borderId="24" xfId="0" applyFont="1" applyFill="1" applyBorder="1" applyAlignment="1">
      <alignment vertical="top"/>
    </xf>
    <xf numFmtId="14" fontId="27" fillId="8" borderId="25" xfId="0" applyNumberFormat="1" applyFont="1" applyFill="1" applyBorder="1" applyAlignment="1">
      <alignment vertical="top"/>
    </xf>
    <xf numFmtId="0" fontId="28" fillId="8" borderId="26" xfId="0" applyFont="1" applyFill="1" applyBorder="1"/>
    <xf numFmtId="0" fontId="29" fillId="8" borderId="27" xfId="0" applyFont="1" applyFill="1" applyBorder="1" applyAlignment="1">
      <alignment vertical="top"/>
    </xf>
    <xf numFmtId="0" fontId="29" fillId="8" borderId="28" xfId="0" applyFont="1" applyFill="1" applyBorder="1" applyAlignment="1">
      <alignment vertical="top"/>
    </xf>
    <xf numFmtId="0" fontId="28" fillId="8" borderId="0" xfId="0" applyFont="1" applyFill="1"/>
    <xf numFmtId="0" fontId="23" fillId="3" borderId="15" xfId="0" applyFont="1" applyFill="1" applyBorder="1" applyAlignment="1">
      <alignment horizontal="right"/>
    </xf>
    <xf numFmtId="0" fontId="23" fillId="2" borderId="0" xfId="0" applyFont="1" applyFill="1"/>
    <xf numFmtId="0" fontId="19" fillId="2" borderId="0" xfId="0" applyFont="1" applyFill="1"/>
    <xf numFmtId="0" fontId="39" fillId="0" borderId="0" xfId="0" applyFont="1"/>
    <xf numFmtId="0" fontId="25" fillId="8" borderId="0" xfId="0" applyFont="1" applyFill="1" applyAlignment="1">
      <alignment horizontal="center"/>
    </xf>
    <xf numFmtId="0" fontId="28" fillId="0" borderId="0" xfId="0" applyFont="1"/>
    <xf numFmtId="0" fontId="40" fillId="17" borderId="3" xfId="0" applyFont="1" applyFill="1" applyBorder="1"/>
    <xf numFmtId="0" fontId="23" fillId="18" borderId="0" xfId="0" applyFont="1" applyFill="1" applyAlignment="1">
      <alignment horizontal="left"/>
    </xf>
    <xf numFmtId="0" fontId="41" fillId="0" borderId="0" xfId="0" applyFont="1"/>
    <xf numFmtId="14" fontId="39" fillId="0" borderId="0" xfId="0" applyNumberFormat="1" applyFont="1" applyAlignment="1">
      <alignment horizontal="right"/>
    </xf>
    <xf numFmtId="0" fontId="40" fillId="17" borderId="7" xfId="0" applyFont="1" applyFill="1" applyBorder="1"/>
    <xf numFmtId="0" fontId="19" fillId="18" borderId="0" xfId="0" applyFont="1" applyFill="1" applyAlignment="1">
      <alignment horizontal="left"/>
    </xf>
    <xf numFmtId="0" fontId="19" fillId="0" borderId="0" xfId="0" applyFont="1"/>
    <xf numFmtId="0" fontId="42" fillId="8" borderId="0" xfId="0" applyFont="1" applyFill="1" applyAlignment="1">
      <alignment horizontal="left"/>
    </xf>
    <xf numFmtId="0" fontId="26" fillId="8" borderId="10" xfId="0" applyFont="1" applyFill="1" applyBorder="1"/>
    <xf numFmtId="0" fontId="26" fillId="8" borderId="11" xfId="0" applyFont="1" applyFill="1" applyBorder="1"/>
    <xf numFmtId="0" fontId="26" fillId="8" borderId="12" xfId="0" applyFont="1" applyFill="1" applyBorder="1"/>
    <xf numFmtId="0" fontId="26" fillId="8" borderId="29" xfId="0" applyFont="1" applyFill="1" applyBorder="1"/>
    <xf numFmtId="0" fontId="26" fillId="8" borderId="30" xfId="0" applyFont="1" applyFill="1" applyBorder="1"/>
    <xf numFmtId="0" fontId="26" fillId="8" borderId="31" xfId="0" applyFont="1" applyFill="1" applyBorder="1"/>
    <xf numFmtId="0" fontId="28" fillId="8" borderId="17" xfId="0" applyFont="1" applyFill="1" applyBorder="1"/>
    <xf numFmtId="0" fontId="35" fillId="8" borderId="16" xfId="0" applyFont="1" applyFill="1" applyBorder="1"/>
    <xf numFmtId="6" fontId="26" fillId="8" borderId="17" xfId="0" applyNumberFormat="1" applyFont="1" applyFill="1" applyBorder="1"/>
    <xf numFmtId="0" fontId="26" fillId="8" borderId="19" xfId="0" applyFont="1" applyFill="1" applyBorder="1"/>
    <xf numFmtId="0" fontId="26" fillId="8" borderId="20" xfId="0" applyFont="1" applyFill="1" applyBorder="1"/>
    <xf numFmtId="0" fontId="44" fillId="8" borderId="20" xfId="0" applyFont="1" applyFill="1" applyBorder="1"/>
    <xf numFmtId="0" fontId="33" fillId="8" borderId="20" xfId="0" applyFont="1" applyFill="1" applyBorder="1"/>
    <xf numFmtId="168" fontId="22" fillId="8" borderId="20" xfId="2" applyNumberFormat="1" applyFont="1" applyFill="1" applyBorder="1"/>
    <xf numFmtId="0" fontId="26" fillId="8" borderId="25" xfId="0" applyFont="1" applyFill="1" applyBorder="1"/>
    <xf numFmtId="0" fontId="26" fillId="8" borderId="26" xfId="0" applyFont="1" applyFill="1" applyBorder="1"/>
    <xf numFmtId="0" fontId="28" fillId="0" borderId="19" xfId="0" applyFont="1" applyBorder="1"/>
    <xf numFmtId="0" fontId="28" fillId="0" borderId="20" xfId="0" applyFont="1" applyBorder="1"/>
    <xf numFmtId="0" fontId="28" fillId="0" borderId="25" xfId="0" applyFont="1" applyBorder="1"/>
    <xf numFmtId="0" fontId="28" fillId="0" borderId="26" xfId="0" applyFont="1" applyBorder="1"/>
    <xf numFmtId="0" fontId="21" fillId="4" borderId="3" xfId="0" applyFont="1" applyFill="1" applyBorder="1" applyAlignment="1">
      <alignment horizontal="center"/>
    </xf>
    <xf numFmtId="0" fontId="21" fillId="4" borderId="7" xfId="0" applyFont="1" applyFill="1" applyBorder="1" applyAlignment="1">
      <alignment horizontal="center"/>
    </xf>
    <xf numFmtId="0" fontId="43" fillId="3" borderId="9" xfId="0" applyFont="1" applyFill="1" applyBorder="1"/>
    <xf numFmtId="0" fontId="26" fillId="8" borderId="2" xfId="0" applyFont="1" applyFill="1" applyBorder="1" applyAlignment="1">
      <alignment horizontal="center"/>
    </xf>
    <xf numFmtId="49" fontId="35" fillId="14" borderId="2" xfId="0" applyNumberFormat="1" applyFont="1" applyFill="1" applyBorder="1" applyAlignment="1">
      <alignment vertical="top"/>
    </xf>
    <xf numFmtId="3" fontId="34" fillId="8" borderId="2" xfId="0" applyNumberFormat="1" applyFont="1" applyFill="1" applyBorder="1" applyAlignment="1">
      <alignment horizontal="center"/>
    </xf>
    <xf numFmtId="0" fontId="29" fillId="8" borderId="2" xfId="0" applyFont="1" applyFill="1" applyBorder="1" applyAlignment="1">
      <alignment vertical="top"/>
    </xf>
    <xf numFmtId="0" fontId="31" fillId="8" borderId="2" xfId="0" applyFont="1" applyFill="1" applyBorder="1"/>
    <xf numFmtId="0" fontId="28" fillId="8" borderId="2" xfId="0" applyFont="1" applyFill="1" applyBorder="1"/>
    <xf numFmtId="0" fontId="31" fillId="8" borderId="32" xfId="0" applyFont="1" applyFill="1" applyBorder="1"/>
    <xf numFmtId="0" fontId="29" fillId="8" borderId="32" xfId="0" applyFont="1" applyFill="1" applyBorder="1" applyAlignment="1">
      <alignment vertical="top"/>
    </xf>
    <xf numFmtId="0" fontId="47" fillId="8" borderId="1" xfId="0" applyFont="1" applyFill="1" applyBorder="1" applyAlignment="1">
      <alignment horizontal="left" vertical="center" wrapText="1"/>
    </xf>
    <xf numFmtId="0" fontId="47" fillId="8" borderId="2" xfId="0" applyFont="1" applyFill="1" applyBorder="1" applyAlignment="1">
      <alignment horizontal="center" vertical="center" wrapText="1"/>
    </xf>
    <xf numFmtId="0" fontId="47" fillId="8" borderId="2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vertical="center" wrapText="1"/>
    </xf>
    <xf numFmtId="1" fontId="47" fillId="3" borderId="3" xfId="0" applyNumberFormat="1" applyFont="1" applyFill="1" applyBorder="1" applyAlignment="1">
      <alignment vertical="center" wrapText="1"/>
    </xf>
    <xf numFmtId="1" fontId="47" fillId="19" borderId="2" xfId="0" applyNumberFormat="1" applyFont="1" applyFill="1" applyBorder="1" applyAlignment="1">
      <alignment vertical="center" wrapText="1"/>
    </xf>
    <xf numFmtId="14" fontId="47" fillId="4" borderId="3" xfId="2" applyNumberFormat="1" applyFont="1" applyFill="1" applyBorder="1" applyAlignment="1">
      <alignment horizontal="center" vertical="center" wrapText="1"/>
    </xf>
    <xf numFmtId="14" fontId="47" fillId="5" borderId="3" xfId="2" applyNumberFormat="1" applyFont="1" applyFill="1" applyBorder="1" applyAlignment="1">
      <alignment vertical="center" wrapText="1"/>
    </xf>
    <xf numFmtId="1" fontId="47" fillId="6" borderId="3" xfId="0" applyNumberFormat="1" applyFont="1" applyFill="1" applyBorder="1" applyAlignment="1">
      <alignment horizontal="center" vertical="center" wrapText="1"/>
    </xf>
    <xf numFmtId="0" fontId="47" fillId="8" borderId="0" xfId="0" applyFont="1" applyFill="1" applyAlignment="1">
      <alignment wrapText="1"/>
    </xf>
    <xf numFmtId="0" fontId="9" fillId="8" borderId="1" xfId="0" applyFont="1" applyFill="1" applyBorder="1" applyAlignment="1">
      <alignment horizontal="left" wrapText="1"/>
    </xf>
    <xf numFmtId="164" fontId="10" fillId="8" borderId="2" xfId="0" applyNumberFormat="1" applyFont="1" applyFill="1" applyBorder="1" applyAlignment="1">
      <alignment horizontal="center" wrapText="1"/>
    </xf>
    <xf numFmtId="14" fontId="0" fillId="0" borderId="0" xfId="0" applyNumberFormat="1"/>
    <xf numFmtId="0" fontId="0" fillId="0" borderId="3" xfId="0" applyBorder="1"/>
    <xf numFmtId="0" fontId="48" fillId="8" borderId="1" xfId="0" applyFont="1" applyFill="1" applyBorder="1" applyAlignment="1">
      <alignment horizontal="left" wrapText="1"/>
    </xf>
    <xf numFmtId="0" fontId="48" fillId="8" borderId="2" xfId="0" applyFont="1" applyFill="1" applyBorder="1" applyAlignment="1">
      <alignment wrapText="1"/>
    </xf>
    <xf numFmtId="14" fontId="48" fillId="8" borderId="2" xfId="0" applyNumberFormat="1" applyFont="1" applyFill="1" applyBorder="1" applyAlignment="1">
      <alignment horizontal="left" wrapText="1"/>
    </xf>
    <xf numFmtId="2" fontId="48" fillId="8" borderId="2" xfId="0" applyNumberFormat="1" applyFont="1" applyFill="1" applyBorder="1" applyAlignment="1">
      <alignment horizontal="center" wrapText="1"/>
    </xf>
    <xf numFmtId="1" fontId="48" fillId="8" borderId="2" xfId="0" applyNumberFormat="1" applyFont="1" applyFill="1" applyBorder="1" applyAlignment="1">
      <alignment wrapText="1"/>
    </xf>
    <xf numFmtId="0" fontId="48" fillId="8" borderId="2" xfId="0" applyFont="1" applyFill="1" applyBorder="1" applyAlignment="1">
      <alignment horizontal="right" wrapText="1"/>
    </xf>
    <xf numFmtId="1" fontId="49" fillId="8" borderId="3" xfId="2" applyNumberFormat="1" applyFont="1" applyFill="1" applyBorder="1" applyAlignment="1">
      <alignment wrapText="1"/>
    </xf>
    <xf numFmtId="14" fontId="50" fillId="8" borderId="0" xfId="0" applyNumberFormat="1" applyFont="1" applyFill="1" applyAlignment="1">
      <alignment wrapText="1"/>
    </xf>
    <xf numFmtId="1" fontId="48" fillId="8" borderId="3" xfId="0" applyNumberFormat="1" applyFont="1" applyFill="1" applyBorder="1" applyAlignment="1">
      <alignment wrapText="1"/>
    </xf>
    <xf numFmtId="0" fontId="48" fillId="8" borderId="3" xfId="0" applyFont="1" applyFill="1" applyBorder="1" applyAlignment="1">
      <alignment horizontal="right" wrapText="1"/>
    </xf>
    <xf numFmtId="0" fontId="48" fillId="8" borderId="2" xfId="0" applyFont="1" applyFill="1" applyBorder="1" applyAlignment="1">
      <alignment horizontal="left" wrapText="1"/>
    </xf>
    <xf numFmtId="0" fontId="51" fillId="0" borderId="2" xfId="0" applyFont="1" applyBorder="1" applyAlignment="1">
      <alignment wrapText="1"/>
    </xf>
    <xf numFmtId="1" fontId="3" fillId="8" borderId="3" xfId="2" applyNumberFormat="1" applyFont="1" applyFill="1" applyBorder="1" applyAlignment="1">
      <alignment wrapText="1"/>
    </xf>
    <xf numFmtId="1" fontId="4" fillId="8" borderId="3" xfId="4" applyNumberFormat="1" applyFont="1" applyFill="1" applyBorder="1" applyAlignment="1">
      <alignment wrapText="1"/>
    </xf>
    <xf numFmtId="164" fontId="48" fillId="8" borderId="2" xfId="0" applyNumberFormat="1" applyFont="1" applyFill="1" applyBorder="1" applyAlignment="1">
      <alignment horizontal="center" wrapText="1"/>
    </xf>
    <xf numFmtId="0" fontId="3" fillId="8" borderId="2" xfId="0" applyFont="1" applyFill="1" applyBorder="1" applyAlignment="1">
      <alignment horizontal="center" wrapText="1"/>
    </xf>
    <xf numFmtId="0" fontId="3" fillId="8" borderId="3" xfId="0" applyFont="1" applyFill="1" applyBorder="1" applyAlignment="1">
      <alignment wrapText="1"/>
    </xf>
    <xf numFmtId="14" fontId="4" fillId="8" borderId="2" xfId="0" applyNumberFormat="1" applyFont="1" applyFill="1" applyBorder="1" applyAlignment="1">
      <alignment horizontal="left" wrapText="1"/>
    </xf>
    <xf numFmtId="0" fontId="48" fillId="8" borderId="2" xfId="0" applyFont="1" applyFill="1" applyBorder="1" applyAlignment="1">
      <alignment horizontal="center" wrapText="1"/>
    </xf>
    <xf numFmtId="14" fontId="6" fillId="8" borderId="2" xfId="0" applyNumberFormat="1" applyFont="1" applyFill="1" applyBorder="1" applyAlignment="1">
      <alignment horizontal="left" wrapText="1"/>
    </xf>
    <xf numFmtId="0" fontId="2" fillId="9" borderId="2" xfId="0" applyFont="1" applyFill="1" applyBorder="1" applyAlignment="1">
      <alignment wrapText="1"/>
    </xf>
    <xf numFmtId="0" fontId="3" fillId="8" borderId="2" xfId="0" applyFont="1" applyFill="1" applyBorder="1"/>
    <xf numFmtId="0" fontId="3" fillId="9" borderId="3" xfId="0" applyFont="1" applyFill="1" applyBorder="1" applyAlignment="1">
      <alignment wrapText="1"/>
    </xf>
    <xf numFmtId="1" fontId="4" fillId="8" borderId="2" xfId="0" applyNumberFormat="1" applyFont="1" applyFill="1" applyBorder="1" applyAlignment="1">
      <alignment wrapText="1"/>
    </xf>
    <xf numFmtId="0" fontId="10" fillId="8" borderId="1" xfId="0" applyFont="1" applyFill="1" applyBorder="1" applyAlignment="1">
      <alignment horizontal="left" wrapText="1"/>
    </xf>
    <xf numFmtId="1" fontId="5" fillId="8" borderId="2" xfId="0" applyNumberFormat="1" applyFont="1" applyFill="1" applyBorder="1" applyAlignment="1">
      <alignment wrapText="1"/>
    </xf>
    <xf numFmtId="0" fontId="10" fillId="0" borderId="1" xfId="0" applyFont="1" applyBorder="1" applyAlignment="1">
      <alignment horizontal="left" wrapText="1"/>
    </xf>
    <xf numFmtId="14" fontId="15" fillId="8" borderId="2" xfId="0" applyNumberFormat="1" applyFont="1" applyFill="1" applyBorder="1" applyAlignment="1">
      <alignment horizontal="left" wrapText="1"/>
    </xf>
    <xf numFmtId="0" fontId="9" fillId="8" borderId="2" xfId="0" applyFont="1" applyFill="1" applyBorder="1" applyAlignment="1">
      <alignment horizontal="left" wrapText="1"/>
    </xf>
    <xf numFmtId="14" fontId="4" fillId="0" borderId="2" xfId="0" applyNumberFormat="1" applyFont="1" applyBorder="1"/>
    <xf numFmtId="1" fontId="4" fillId="8" borderId="0" xfId="2" applyNumberFormat="1" applyFont="1" applyFill="1" applyBorder="1" applyAlignment="1">
      <alignment wrapText="1"/>
    </xf>
    <xf numFmtId="0" fontId="9" fillId="11" borderId="1" xfId="0" applyFont="1" applyFill="1" applyBorder="1" applyAlignment="1">
      <alignment horizontal="left" wrapText="1"/>
    </xf>
    <xf numFmtId="14" fontId="8" fillId="8" borderId="2" xfId="0" applyNumberFormat="1" applyFont="1" applyFill="1" applyBorder="1" applyAlignment="1">
      <alignment horizontal="left" wrapText="1"/>
    </xf>
    <xf numFmtId="0" fontId="52" fillId="8" borderId="2" xfId="0" applyFont="1" applyFill="1" applyBorder="1" applyAlignment="1">
      <alignment wrapText="1"/>
    </xf>
    <xf numFmtId="14" fontId="53" fillId="8" borderId="2" xfId="0" applyNumberFormat="1" applyFont="1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48" fillId="9" borderId="2" xfId="0" applyFont="1" applyFill="1" applyBorder="1" applyAlignment="1">
      <alignment wrapText="1"/>
    </xf>
    <xf numFmtId="1" fontId="49" fillId="8" borderId="3" xfId="0" applyNumberFormat="1" applyFont="1" applyFill="1" applyBorder="1" applyAlignment="1">
      <alignment wrapText="1"/>
    </xf>
    <xf numFmtId="0" fontId="48" fillId="10" borderId="2" xfId="0" applyFont="1" applyFill="1" applyBorder="1" applyAlignment="1">
      <alignment wrapText="1"/>
    </xf>
    <xf numFmtId="0" fontId="49" fillId="9" borderId="2" xfId="0" applyFont="1" applyFill="1" applyBorder="1" applyAlignment="1">
      <alignment wrapText="1"/>
    </xf>
    <xf numFmtId="1" fontId="48" fillId="8" borderId="3" xfId="2" applyNumberFormat="1" applyFont="1" applyFill="1" applyBorder="1" applyAlignment="1">
      <alignment wrapText="1"/>
    </xf>
    <xf numFmtId="14" fontId="50" fillId="8" borderId="0" xfId="0" applyNumberFormat="1" applyFont="1" applyFill="1"/>
    <xf numFmtId="1" fontId="54" fillId="8" borderId="3" xfId="0" applyNumberFormat="1" applyFont="1" applyFill="1" applyBorder="1" applyAlignment="1">
      <alignment wrapText="1"/>
    </xf>
    <xf numFmtId="0" fontId="48" fillId="11" borderId="1" xfId="0" applyFont="1" applyFill="1" applyBorder="1" applyAlignment="1">
      <alignment horizontal="left" wrapText="1"/>
    </xf>
    <xf numFmtId="1" fontId="55" fillId="8" borderId="3" xfId="0" applyNumberFormat="1" applyFont="1" applyFill="1" applyBorder="1" applyAlignment="1">
      <alignment wrapText="1"/>
    </xf>
    <xf numFmtId="0" fontId="56" fillId="8" borderId="1" xfId="0" applyFont="1" applyFill="1" applyBorder="1" applyAlignment="1">
      <alignment horizontal="left" wrapText="1"/>
    </xf>
    <xf numFmtId="0" fontId="56" fillId="8" borderId="2" xfId="0" applyFont="1" applyFill="1" applyBorder="1" applyAlignment="1">
      <alignment wrapText="1"/>
    </xf>
    <xf numFmtId="14" fontId="56" fillId="8" borderId="2" xfId="0" applyNumberFormat="1" applyFont="1" applyFill="1" applyBorder="1" applyAlignment="1">
      <alignment horizontal="left" wrapText="1"/>
    </xf>
    <xf numFmtId="0" fontId="56" fillId="8" borderId="2" xfId="0" applyFont="1" applyFill="1" applyBorder="1" applyAlignment="1">
      <alignment horizontal="left" wrapText="1"/>
    </xf>
    <xf numFmtId="164" fontId="56" fillId="8" borderId="2" xfId="0" applyNumberFormat="1" applyFont="1" applyFill="1" applyBorder="1" applyAlignment="1">
      <alignment horizontal="center" wrapText="1"/>
    </xf>
    <xf numFmtId="1" fontId="56" fillId="8" borderId="2" xfId="0" applyNumberFormat="1" applyFont="1" applyFill="1" applyBorder="1" applyAlignment="1">
      <alignment wrapText="1"/>
    </xf>
    <xf numFmtId="0" fontId="56" fillId="8" borderId="2" xfId="0" applyFont="1" applyFill="1" applyBorder="1" applyAlignment="1">
      <alignment horizontal="right" wrapText="1"/>
    </xf>
    <xf numFmtId="1" fontId="58" fillId="8" borderId="3" xfId="2" applyNumberFormat="1" applyFont="1" applyFill="1" applyBorder="1" applyAlignment="1">
      <alignment wrapText="1"/>
    </xf>
    <xf numFmtId="0" fontId="56" fillId="9" borderId="2" xfId="0" applyFont="1" applyFill="1" applyBorder="1" applyAlignment="1">
      <alignment wrapText="1"/>
    </xf>
    <xf numFmtId="1" fontId="56" fillId="8" borderId="3" xfId="0" applyNumberFormat="1" applyFont="1" applyFill="1" applyBorder="1" applyAlignment="1">
      <alignment wrapText="1"/>
    </xf>
    <xf numFmtId="0" fontId="56" fillId="8" borderId="3" xfId="0" applyFont="1" applyFill="1" applyBorder="1" applyAlignment="1">
      <alignment horizontal="right" wrapText="1"/>
    </xf>
    <xf numFmtId="0" fontId="0" fillId="0" borderId="0" xfId="0" applyAlignment="1">
      <alignment horizontal="center"/>
    </xf>
    <xf numFmtId="0" fontId="0" fillId="20" borderId="0" xfId="0" applyFill="1"/>
    <xf numFmtId="0" fontId="0" fillId="11" borderId="0" xfId="0" applyFill="1"/>
    <xf numFmtId="169" fontId="0" fillId="0" borderId="0" xfId="0" applyNumberFormat="1" applyAlignment="1">
      <alignment horizontal="right"/>
    </xf>
    <xf numFmtId="3" fontId="0" fillId="0" borderId="0" xfId="0" applyNumberFormat="1"/>
    <xf numFmtId="14" fontId="0" fillId="11" borderId="0" xfId="0" applyNumberFormat="1" applyFill="1"/>
    <xf numFmtId="0" fontId="0" fillId="10" borderId="0" xfId="0" applyFill="1"/>
    <xf numFmtId="14" fontId="0" fillId="10" borderId="0" xfId="0" applyNumberFormat="1" applyFill="1"/>
    <xf numFmtId="0" fontId="0" fillId="21" borderId="0" xfId="0" applyFill="1"/>
    <xf numFmtId="0" fontId="4" fillId="0" borderId="0" xfId="0" applyFont="1"/>
    <xf numFmtId="0" fontId="0" fillId="0" borderId="0" xfId="0" quotePrefix="1"/>
    <xf numFmtId="0" fontId="0" fillId="9" borderId="0" xfId="0" applyFill="1"/>
    <xf numFmtId="0" fontId="0" fillId="22" borderId="0" xfId="0" applyFill="1"/>
    <xf numFmtId="0" fontId="18" fillId="0" borderId="0" xfId="0" applyFont="1"/>
    <xf numFmtId="1" fontId="0" fillId="0" borderId="0" xfId="0" applyNumberFormat="1"/>
    <xf numFmtId="1" fontId="0" fillId="10" borderId="0" xfId="0" applyNumberFormat="1" applyFill="1"/>
    <xf numFmtId="170" fontId="0" fillId="0" borderId="0" xfId="0" applyNumberFormat="1"/>
    <xf numFmtId="0" fontId="0" fillId="12" borderId="0" xfId="0" applyFill="1"/>
    <xf numFmtId="0" fontId="0" fillId="15" borderId="0" xfId="0" applyFill="1"/>
    <xf numFmtId="0" fontId="16" fillId="0" borderId="0" xfId="0" applyFont="1"/>
    <xf numFmtId="0" fontId="61" fillId="0" borderId="0" xfId="0" applyFont="1"/>
    <xf numFmtId="0" fontId="19" fillId="8" borderId="3" xfId="0" applyFont="1" applyFill="1" applyBorder="1"/>
    <xf numFmtId="14" fontId="19" fillId="18" borderId="0" xfId="0" applyNumberFormat="1" applyFont="1" applyFill="1" applyAlignment="1">
      <alignment horizontal="center"/>
    </xf>
    <xf numFmtId="0" fontId="19" fillId="0" borderId="0" xfId="0" applyFont="1" applyAlignment="1">
      <alignment horizontal="center"/>
    </xf>
    <xf numFmtId="0" fontId="19" fillId="8" borderId="7" xfId="0" applyFont="1" applyFill="1" applyBorder="1"/>
    <xf numFmtId="14" fontId="19" fillId="23" borderId="0" xfId="0" applyNumberFormat="1" applyFont="1" applyFill="1" applyAlignment="1">
      <alignment horizontal="center"/>
    </xf>
    <xf numFmtId="0" fontId="61" fillId="8" borderId="10" xfId="0" applyFont="1" applyFill="1" applyBorder="1"/>
    <xf numFmtId="0" fontId="61" fillId="8" borderId="11" xfId="0" applyFont="1" applyFill="1" applyBorder="1"/>
    <xf numFmtId="0" fontId="61" fillId="8" borderId="12" xfId="0" applyFont="1" applyFill="1" applyBorder="1"/>
    <xf numFmtId="0" fontId="61" fillId="8" borderId="29" xfId="0" applyFont="1" applyFill="1" applyBorder="1"/>
    <xf numFmtId="0" fontId="61" fillId="8" borderId="35" xfId="0" applyFont="1" applyFill="1" applyBorder="1"/>
    <xf numFmtId="0" fontId="61" fillId="8" borderId="2" xfId="0" applyFont="1" applyFill="1" applyBorder="1"/>
    <xf numFmtId="0" fontId="27" fillId="8" borderId="17" xfId="0" applyFont="1" applyFill="1" applyBorder="1"/>
    <xf numFmtId="0" fontId="27" fillId="8" borderId="18" xfId="0" applyFont="1" applyFill="1" applyBorder="1" applyAlignment="1">
      <alignment vertical="top"/>
    </xf>
    <xf numFmtId="0" fontId="62" fillId="8" borderId="17" xfId="0" applyFont="1" applyFill="1" applyBorder="1"/>
    <xf numFmtId="0" fontId="27" fillId="8" borderId="16" xfId="0" applyFont="1" applyFill="1" applyBorder="1"/>
    <xf numFmtId="0" fontId="27" fillId="8" borderId="20" xfId="0" applyFont="1" applyFill="1" applyBorder="1"/>
    <xf numFmtId="0" fontId="27" fillId="8" borderId="9" xfId="0" applyFont="1" applyFill="1" applyBorder="1" applyAlignment="1">
      <alignment vertical="top"/>
    </xf>
    <xf numFmtId="0" fontId="62" fillId="8" borderId="20" xfId="0" applyFont="1" applyFill="1" applyBorder="1"/>
    <xf numFmtId="0" fontId="27" fillId="8" borderId="19" xfId="0" applyFont="1" applyFill="1" applyBorder="1"/>
    <xf numFmtId="0" fontId="63" fillId="8" borderId="20" xfId="0" applyFont="1" applyFill="1" applyBorder="1"/>
    <xf numFmtId="0" fontId="27" fillId="8" borderId="21" xfId="0" applyFont="1" applyFill="1" applyBorder="1"/>
    <xf numFmtId="0" fontId="27" fillId="8" borderId="22" xfId="0" applyFont="1" applyFill="1" applyBorder="1"/>
    <xf numFmtId="0" fontId="27" fillId="8" borderId="23" xfId="0" applyFont="1" applyFill="1" applyBorder="1" applyAlignment="1">
      <alignment vertical="top"/>
    </xf>
    <xf numFmtId="0" fontId="27" fillId="8" borderId="36" xfId="0" applyFont="1" applyFill="1" applyBorder="1"/>
    <xf numFmtId="0" fontId="27" fillId="8" borderId="37" xfId="0" applyFont="1" applyFill="1" applyBorder="1"/>
    <xf numFmtId="0" fontId="27" fillId="8" borderId="38" xfId="0" applyFont="1" applyFill="1" applyBorder="1" applyAlignment="1">
      <alignment vertical="top"/>
    </xf>
    <xf numFmtId="0" fontId="27" fillId="8" borderId="26" xfId="0" applyFont="1" applyFill="1" applyBorder="1"/>
    <xf numFmtId="0" fontId="27" fillId="8" borderId="28" xfId="0" applyFont="1" applyFill="1" applyBorder="1" applyAlignment="1">
      <alignment vertical="top"/>
    </xf>
    <xf numFmtId="0" fontId="62" fillId="8" borderId="26" xfId="0" applyFont="1" applyFill="1" applyBorder="1"/>
    <xf numFmtId="0" fontId="21" fillId="24" borderId="3" xfId="0" applyFont="1" applyFill="1" applyBorder="1" applyAlignment="1">
      <alignment horizontal="center"/>
    </xf>
    <xf numFmtId="0" fontId="25" fillId="8" borderId="3" xfId="0" applyFont="1" applyFill="1" applyBorder="1"/>
    <xf numFmtId="0" fontId="21" fillId="24" borderId="7" xfId="0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0" fontId="30" fillId="8" borderId="39" xfId="0" applyFont="1" applyFill="1" applyBorder="1"/>
    <xf numFmtId="0" fontId="29" fillId="8" borderId="40" xfId="0" applyFont="1" applyFill="1" applyBorder="1" applyAlignment="1">
      <alignment vertical="top"/>
    </xf>
    <xf numFmtId="0" fontId="30" fillId="8" borderId="24" xfId="0" applyFont="1" applyFill="1" applyBorder="1"/>
    <xf numFmtId="0" fontId="29" fillId="8" borderId="41" xfId="0" applyFont="1" applyFill="1" applyBorder="1" applyAlignment="1">
      <alignment vertical="top"/>
    </xf>
    <xf numFmtId="0" fontId="64" fillId="8" borderId="9" xfId="0" applyFont="1" applyFill="1" applyBorder="1" applyAlignment="1">
      <alignment vertical="top"/>
    </xf>
    <xf numFmtId="14" fontId="27" fillId="8" borderId="42" xfId="0" applyNumberFormat="1" applyFont="1" applyFill="1" applyBorder="1" applyAlignment="1">
      <alignment vertical="top"/>
    </xf>
    <xf numFmtId="0" fontId="30" fillId="8" borderId="43" xfId="0" applyFont="1" applyFill="1" applyBorder="1"/>
    <xf numFmtId="0" fontId="29" fillId="8" borderId="44" xfId="0" applyFont="1" applyFill="1" applyBorder="1" applyAlignment="1">
      <alignment vertical="top"/>
    </xf>
    <xf numFmtId="0" fontId="19" fillId="18" borderId="0" xfId="0" applyFont="1" applyFill="1"/>
    <xf numFmtId="0" fontId="40" fillId="4" borderId="3" xfId="0" applyFont="1" applyFill="1" applyBorder="1" applyAlignment="1">
      <alignment horizontal="center"/>
    </xf>
    <xf numFmtId="14" fontId="28" fillId="0" borderId="0" xfId="0" applyNumberFormat="1" applyFont="1"/>
    <xf numFmtId="0" fontId="40" fillId="4" borderId="7" xfId="0" applyFont="1" applyFill="1" applyBorder="1" applyAlignment="1">
      <alignment horizontal="center"/>
    </xf>
    <xf numFmtId="0" fontId="23" fillId="24" borderId="9" xfId="0" applyFont="1" applyFill="1" applyBorder="1"/>
    <xf numFmtId="0" fontId="28" fillId="24" borderId="0" xfId="0" applyFont="1" applyFill="1"/>
    <xf numFmtId="0" fontId="30" fillId="8" borderId="26" xfId="0" applyFont="1" applyFill="1" applyBorder="1"/>
    <xf numFmtId="0" fontId="35" fillId="0" borderId="0" xfId="0" applyFont="1"/>
    <xf numFmtId="0" fontId="28" fillId="24" borderId="45" xfId="0" applyFont="1" applyFill="1" applyBorder="1"/>
    <xf numFmtId="14" fontId="39" fillId="18" borderId="0" xfId="0" applyNumberFormat="1" applyFont="1" applyFill="1" applyAlignment="1">
      <alignment horizontal="center"/>
    </xf>
    <xf numFmtId="14" fontId="67" fillId="8" borderId="16" xfId="0" applyNumberFormat="1" applyFont="1" applyFill="1" applyBorder="1" applyAlignment="1">
      <alignment vertical="top"/>
    </xf>
    <xf numFmtId="0" fontId="0" fillId="8" borderId="17" xfId="0" applyFill="1" applyBorder="1"/>
    <xf numFmtId="0" fontId="26" fillId="8" borderId="16" xfId="0" applyFont="1" applyFill="1" applyBorder="1"/>
    <xf numFmtId="0" fontId="26" fillId="8" borderId="17" xfId="0" applyFont="1" applyFill="1" applyBorder="1"/>
    <xf numFmtId="14" fontId="67" fillId="8" borderId="19" xfId="0" applyNumberFormat="1" applyFont="1" applyFill="1" applyBorder="1" applyAlignment="1">
      <alignment vertical="top"/>
    </xf>
    <xf numFmtId="0" fontId="68" fillId="8" borderId="20" xfId="0" applyFont="1" applyFill="1" applyBorder="1"/>
    <xf numFmtId="0" fontId="0" fillId="8" borderId="20" xfId="0" applyFill="1" applyBorder="1"/>
    <xf numFmtId="0" fontId="40" fillId="0" borderId="0" xfId="0" applyFont="1"/>
    <xf numFmtId="14" fontId="67" fillId="8" borderId="21" xfId="0" applyNumberFormat="1" applyFont="1" applyFill="1" applyBorder="1" applyAlignment="1">
      <alignment vertical="top"/>
    </xf>
    <xf numFmtId="0" fontId="0" fillId="8" borderId="22" xfId="0" applyFill="1" applyBorder="1"/>
    <xf numFmtId="14" fontId="67" fillId="8" borderId="25" xfId="0" applyNumberFormat="1" applyFont="1" applyFill="1" applyBorder="1" applyAlignment="1">
      <alignment vertical="top"/>
    </xf>
    <xf numFmtId="0" fontId="0" fillId="8" borderId="26" xfId="0" applyFill="1" applyBorder="1"/>
    <xf numFmtId="0" fontId="69" fillId="8" borderId="0" xfId="0" applyFont="1" applyFill="1"/>
    <xf numFmtId="0" fontId="70" fillId="2" borderId="0" xfId="0" applyFont="1" applyFill="1"/>
    <xf numFmtId="0" fontId="69" fillId="2" borderId="0" xfId="0" applyFont="1" applyFill="1"/>
    <xf numFmtId="0" fontId="17" fillId="0" borderId="0" xfId="0" applyFont="1"/>
    <xf numFmtId="0" fontId="70" fillId="18" borderId="0" xfId="0" applyFont="1" applyFill="1" applyAlignment="1">
      <alignment horizontal="left"/>
    </xf>
    <xf numFmtId="0" fontId="71" fillId="8" borderId="3" xfId="0" applyFont="1" applyFill="1" applyBorder="1"/>
    <xf numFmtId="14" fontId="72" fillId="18" borderId="0" xfId="0" applyNumberFormat="1" applyFont="1" applyFill="1" applyAlignment="1">
      <alignment horizontal="center"/>
    </xf>
    <xf numFmtId="0" fontId="69" fillId="18" borderId="0" xfId="0" applyFont="1" applyFill="1" applyAlignment="1">
      <alignment horizontal="left"/>
    </xf>
    <xf numFmtId="0" fontId="71" fillId="8" borderId="7" xfId="0" applyFont="1" applyFill="1" applyBorder="1"/>
    <xf numFmtId="0" fontId="17" fillId="8" borderId="0" xfId="0" applyFont="1" applyFill="1" applyAlignment="1">
      <alignment horizontal="left"/>
    </xf>
    <xf numFmtId="0" fontId="73" fillId="8" borderId="10" xfId="0" applyFont="1" applyFill="1" applyBorder="1"/>
    <xf numFmtId="0" fontId="73" fillId="8" borderId="11" xfId="0" applyFont="1" applyFill="1" applyBorder="1"/>
    <xf numFmtId="0" fontId="73" fillId="8" borderId="12" xfId="0" applyFont="1" applyFill="1" applyBorder="1"/>
    <xf numFmtId="0" fontId="73" fillId="8" borderId="29" xfId="0" applyFont="1" applyFill="1" applyBorder="1"/>
    <xf numFmtId="0" fontId="73" fillId="8" borderId="30" xfId="0" applyFont="1" applyFill="1" applyBorder="1"/>
    <xf numFmtId="0" fontId="73" fillId="8" borderId="31" xfId="0" applyFont="1" applyFill="1" applyBorder="1"/>
    <xf numFmtId="0" fontId="74" fillId="8" borderId="18" xfId="0" applyFont="1" applyFill="1" applyBorder="1" applyAlignment="1">
      <alignment vertical="top"/>
    </xf>
    <xf numFmtId="0" fontId="16" fillId="8" borderId="17" xfId="0" applyFont="1" applyFill="1" applyBorder="1"/>
    <xf numFmtId="0" fontId="73" fillId="8" borderId="16" xfId="0" applyFont="1" applyFill="1" applyBorder="1"/>
    <xf numFmtId="0" fontId="73" fillId="8" borderId="17" xfId="0" applyFont="1" applyFill="1" applyBorder="1"/>
    <xf numFmtId="0" fontId="74" fillId="8" borderId="9" xfId="0" applyFont="1" applyFill="1" applyBorder="1" applyAlignment="1">
      <alignment vertical="top"/>
    </xf>
    <xf numFmtId="0" fontId="16" fillId="8" borderId="20" xfId="0" applyFont="1" applyFill="1" applyBorder="1"/>
    <xf numFmtId="0" fontId="73" fillId="8" borderId="19" xfId="0" applyFont="1" applyFill="1" applyBorder="1"/>
    <xf numFmtId="0" fontId="73" fillId="8" borderId="20" xfId="0" applyFont="1" applyFill="1" applyBorder="1"/>
    <xf numFmtId="0" fontId="73" fillId="8" borderId="46" xfId="0" applyFont="1" applyFill="1" applyBorder="1"/>
    <xf numFmtId="0" fontId="73" fillId="8" borderId="47" xfId="0" applyFont="1" applyFill="1" applyBorder="1"/>
    <xf numFmtId="0" fontId="74" fillId="8" borderId="48" xfId="0" applyFont="1" applyFill="1" applyBorder="1" applyAlignment="1">
      <alignment vertical="top"/>
    </xf>
    <xf numFmtId="0" fontId="73" fillId="8" borderId="49" xfId="0" applyFont="1" applyFill="1" applyBorder="1"/>
    <xf numFmtId="0" fontId="73" fillId="8" borderId="50" xfId="0" applyFont="1" applyFill="1" applyBorder="1"/>
    <xf numFmtId="0" fontId="74" fillId="8" borderId="51" xfId="0" applyFont="1" applyFill="1" applyBorder="1" applyAlignment="1">
      <alignment vertical="top"/>
    </xf>
    <xf numFmtId="0" fontId="74" fillId="8" borderId="28" xfId="0" applyFont="1" applyFill="1" applyBorder="1" applyAlignment="1">
      <alignment vertical="top"/>
    </xf>
    <xf numFmtId="0" fontId="16" fillId="8" borderId="26" xfId="0" applyFont="1" applyFill="1" applyBorder="1"/>
    <xf numFmtId="0" fontId="0" fillId="25" borderId="0" xfId="0" applyFill="1" applyAlignment="1">
      <alignment wrapText="1"/>
    </xf>
    <xf numFmtId="0" fontId="0" fillId="0" borderId="3" xfId="0" applyBorder="1" applyAlignment="1">
      <alignment wrapText="1"/>
    </xf>
    <xf numFmtId="0" fontId="75" fillId="0" borderId="0" xfId="0" applyFont="1" applyAlignment="1">
      <alignment wrapText="1"/>
    </xf>
    <xf numFmtId="0" fontId="74" fillId="0" borderId="0" xfId="0" applyFont="1" applyAlignment="1">
      <alignment wrapText="1"/>
    </xf>
    <xf numFmtId="0" fontId="0" fillId="0" borderId="20" xfId="0" applyBorder="1" applyAlignment="1">
      <alignment wrapText="1"/>
    </xf>
    <xf numFmtId="0" fontId="0" fillId="0" borderId="24" xfId="0" applyBorder="1" applyAlignment="1">
      <alignment horizontal="center" wrapText="1"/>
    </xf>
    <xf numFmtId="6" fontId="17" fillId="21" borderId="52" xfId="0" applyNumberFormat="1" applyFont="1" applyFill="1" applyBorder="1" applyAlignment="1">
      <alignment wrapText="1"/>
    </xf>
    <xf numFmtId="0" fontId="0" fillId="0" borderId="45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0" xfId="0" applyBorder="1" applyAlignment="1">
      <alignment horizontal="right"/>
    </xf>
    <xf numFmtId="0" fontId="17" fillId="0" borderId="20" xfId="0" applyFont="1" applyBorder="1" applyAlignment="1">
      <alignment horizontal="left" wrapText="1"/>
    </xf>
    <xf numFmtId="171" fontId="0" fillId="0" borderId="20" xfId="2" applyNumberFormat="1" applyFont="1" applyBorder="1" applyAlignment="1">
      <alignment horizontal="center" wrapText="1"/>
    </xf>
    <xf numFmtId="171" fontId="0" fillId="0" borderId="20" xfId="2" applyNumberFormat="1" applyFont="1" applyBorder="1" applyAlignment="1">
      <alignment horizontal="right"/>
    </xf>
    <xf numFmtId="0" fontId="17" fillId="0" borderId="20" xfId="0" applyFont="1" applyBorder="1" applyAlignment="1">
      <alignment horizontal="left"/>
    </xf>
    <xf numFmtId="0" fontId="0" fillId="10" borderId="14" xfId="0" applyFill="1" applyBorder="1"/>
    <xf numFmtId="0" fontId="0" fillId="0" borderId="2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9" borderId="14" xfId="0" applyFill="1" applyBorder="1"/>
    <xf numFmtId="0" fontId="17" fillId="0" borderId="20" xfId="0" applyFont="1" applyBorder="1"/>
    <xf numFmtId="171" fontId="0" fillId="0" borderId="20" xfId="2" applyNumberFormat="1" applyFont="1" applyBorder="1"/>
    <xf numFmtId="172" fontId="0" fillId="0" borderId="20" xfId="0" applyNumberFormat="1" applyBorder="1"/>
    <xf numFmtId="172" fontId="0" fillId="0" borderId="0" xfId="0" applyNumberFormat="1"/>
    <xf numFmtId="171" fontId="0" fillId="8" borderId="20" xfId="2" applyNumberFormat="1" applyFont="1" applyFill="1" applyBorder="1"/>
    <xf numFmtId="171" fontId="0" fillId="8" borderId="20" xfId="2" applyNumberFormat="1" applyFont="1" applyFill="1" applyBorder="1" applyAlignment="1">
      <alignment horizontal="right"/>
    </xf>
    <xf numFmtId="43" fontId="3" fillId="8" borderId="2" xfId="1" applyFont="1" applyFill="1" applyBorder="1" applyAlignment="1">
      <alignment horizontal="right" wrapText="1"/>
    </xf>
    <xf numFmtId="0" fontId="31" fillId="8" borderId="54" xfId="0" applyFont="1" applyFill="1" applyBorder="1"/>
    <xf numFmtId="0" fontId="29" fillId="8" borderId="54" xfId="0" applyFont="1" applyFill="1" applyBorder="1" applyAlignment="1">
      <alignment vertical="top"/>
    </xf>
    <xf numFmtId="2" fontId="3" fillId="8" borderId="2" xfId="0" applyNumberFormat="1" applyFont="1" applyFill="1" applyBorder="1" applyAlignment="1">
      <alignment horizontal="right" wrapText="1"/>
    </xf>
    <xf numFmtId="0" fontId="47" fillId="13" borderId="6" xfId="0" applyFont="1" applyFill="1" applyBorder="1" applyAlignment="1">
      <alignment wrapText="1"/>
    </xf>
    <xf numFmtId="0" fontId="48" fillId="15" borderId="2" xfId="0" applyFont="1" applyFill="1" applyBorder="1" applyAlignment="1">
      <alignment wrapText="1"/>
    </xf>
    <xf numFmtId="1" fontId="48" fillId="15" borderId="2" xfId="0" applyNumberFormat="1" applyFont="1" applyFill="1" applyBorder="1" applyAlignment="1">
      <alignment wrapText="1"/>
    </xf>
    <xf numFmtId="0" fontId="49" fillId="15" borderId="2" xfId="0" applyFont="1" applyFill="1" applyBorder="1" applyAlignment="1">
      <alignment wrapText="1"/>
    </xf>
    <xf numFmtId="0" fontId="0" fillId="0" borderId="0" xfId="0" applyBorder="1"/>
    <xf numFmtId="0" fontId="3" fillId="8" borderId="0" xfId="0" applyFont="1" applyFill="1" applyBorder="1" applyAlignment="1">
      <alignment wrapText="1"/>
    </xf>
    <xf numFmtId="2" fontId="49" fillId="0" borderId="2" xfId="0" applyNumberFormat="1" applyFont="1" applyBorder="1" applyAlignment="1">
      <alignment wrapText="1"/>
    </xf>
    <xf numFmtId="1" fontId="3" fillId="8" borderId="33" xfId="0" applyNumberFormat="1" applyFont="1" applyFill="1" applyBorder="1" applyAlignment="1">
      <alignment wrapText="1"/>
    </xf>
    <xf numFmtId="14" fontId="47" fillId="15" borderId="0" xfId="0" applyNumberFormat="1" applyFont="1" applyFill="1" applyAlignment="1">
      <alignment vertical="center" wrapText="1"/>
    </xf>
    <xf numFmtId="0" fontId="3" fillId="15" borderId="2" xfId="0" applyFont="1" applyFill="1" applyBorder="1" applyAlignment="1">
      <alignment wrapText="1"/>
    </xf>
    <xf numFmtId="166" fontId="2" fillId="14" borderId="2" xfId="2" applyNumberFormat="1" applyFont="1" applyFill="1" applyBorder="1" applyAlignment="1">
      <alignment wrapText="1"/>
    </xf>
    <xf numFmtId="0" fontId="76" fillId="8" borderId="7" xfId="0" applyFont="1" applyFill="1" applyBorder="1" applyAlignment="1">
      <alignment wrapText="1"/>
    </xf>
    <xf numFmtId="0" fontId="77" fillId="8" borderId="3" xfId="0" applyFont="1" applyFill="1" applyBorder="1" applyAlignment="1">
      <alignment horizontal="center" wrapText="1"/>
    </xf>
    <xf numFmtId="1" fontId="3" fillId="12" borderId="2" xfId="0" applyNumberFormat="1" applyFont="1" applyFill="1" applyBorder="1" applyAlignment="1">
      <alignment wrapText="1"/>
    </xf>
    <xf numFmtId="1" fontId="7" fillId="8" borderId="3" xfId="0" applyNumberFormat="1" applyFont="1" applyFill="1" applyBorder="1" applyAlignment="1">
      <alignment wrapText="1"/>
    </xf>
    <xf numFmtId="0" fontId="0" fillId="0" borderId="0" xfId="0" applyFill="1" applyBorder="1"/>
    <xf numFmtId="0" fontId="0" fillId="10" borderId="0" xfId="0" applyFill="1" applyBorder="1"/>
    <xf numFmtId="164" fontId="78" fillId="8" borderId="2" xfId="0" applyNumberFormat="1" applyFont="1" applyFill="1" applyBorder="1" applyAlignment="1">
      <alignment horizontal="center" wrapText="1"/>
    </xf>
    <xf numFmtId="0" fontId="3" fillId="11" borderId="2" xfId="0" applyFont="1" applyFill="1" applyBorder="1" applyAlignment="1">
      <alignment horizontal="left" wrapText="1"/>
    </xf>
    <xf numFmtId="0" fontId="79" fillId="13" borderId="5" xfId="0" applyFont="1" applyFill="1" applyBorder="1" applyAlignment="1">
      <alignment wrapText="1"/>
    </xf>
    <xf numFmtId="1" fontId="3" fillId="8" borderId="2" xfId="0" applyNumberFormat="1" applyFont="1" applyFill="1" applyBorder="1" applyAlignment="1">
      <alignment horizontal="center" wrapText="1"/>
    </xf>
    <xf numFmtId="2" fontId="10" fillId="8" borderId="2" xfId="0" applyNumberFormat="1" applyFont="1" applyFill="1" applyBorder="1" applyAlignment="1">
      <alignment horizontal="center" wrapText="1"/>
    </xf>
    <xf numFmtId="0" fontId="80" fillId="13" borderId="5" xfId="0" applyFont="1" applyFill="1" applyBorder="1" applyAlignment="1">
      <alignment horizontal="center" wrapText="1"/>
    </xf>
    <xf numFmtId="1" fontId="10" fillId="8" borderId="2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15" borderId="2" xfId="0" applyFont="1" applyFill="1" applyBorder="1" applyAlignment="1">
      <alignment horizontal="left" vertical="top" wrapText="1"/>
    </xf>
    <xf numFmtId="0" fontId="2" fillId="15" borderId="2" xfId="0" applyFont="1" applyFill="1" applyBorder="1" applyAlignment="1">
      <alignment horizontal="center" vertical="top" wrapText="1"/>
    </xf>
    <xf numFmtId="1" fontId="2" fillId="3" borderId="2" xfId="0" applyNumberFormat="1" applyFont="1" applyFill="1" applyBorder="1" applyAlignment="1">
      <alignment vertical="top" wrapText="1"/>
    </xf>
    <xf numFmtId="1" fontId="2" fillId="3" borderId="2" xfId="0" applyNumberFormat="1" applyFont="1" applyFill="1" applyBorder="1" applyAlignment="1">
      <alignment horizontal="center" vertical="top" wrapText="1"/>
    </xf>
    <xf numFmtId="14" fontId="2" fillId="3" borderId="3" xfId="2" applyNumberFormat="1" applyFont="1" applyFill="1" applyBorder="1" applyAlignment="1">
      <alignment horizontal="center" vertical="top" wrapText="1"/>
    </xf>
    <xf numFmtId="14" fontId="2" fillId="26" borderId="3" xfId="2" applyNumberFormat="1" applyFont="1" applyFill="1" applyBorder="1" applyAlignment="1">
      <alignment horizontal="center" vertical="top" wrapText="1"/>
    </xf>
    <xf numFmtId="1" fontId="2" fillId="6" borderId="3" xfId="0" applyNumberFormat="1" applyFont="1" applyFill="1" applyBorder="1" applyAlignment="1">
      <alignment horizontal="center" vertical="top" wrapText="1"/>
    </xf>
    <xf numFmtId="6" fontId="17" fillId="21" borderId="2" xfId="0" applyNumberFormat="1" applyFont="1" applyFill="1" applyBorder="1" applyAlignment="1">
      <alignment horizontal="left"/>
    </xf>
    <xf numFmtId="6" fontId="81" fillId="21" borderId="2" xfId="0" applyNumberFormat="1" applyFont="1" applyFill="1" applyBorder="1" applyAlignment="1">
      <alignment horizontal="left"/>
    </xf>
    <xf numFmtId="1" fontId="3" fillId="8" borderId="3" xfId="0" applyNumberFormat="1" applyFont="1" applyFill="1" applyBorder="1" applyAlignment="1">
      <alignment horizontal="right" wrapText="1"/>
    </xf>
    <xf numFmtId="44" fontId="46" fillId="8" borderId="20" xfId="2" applyFont="1" applyFill="1" applyBorder="1" applyAlignment="1"/>
    <xf numFmtId="0" fontId="82" fillId="8" borderId="1" xfId="0" applyFont="1" applyFill="1" applyBorder="1" applyAlignment="1">
      <alignment horizontal="left" wrapText="1"/>
    </xf>
    <xf numFmtId="0" fontId="83" fillId="8" borderId="2" xfId="0" applyFont="1" applyFill="1" applyBorder="1" applyAlignment="1">
      <alignment wrapText="1"/>
    </xf>
    <xf numFmtId="0" fontId="82" fillId="8" borderId="2" xfId="0" applyFont="1" applyFill="1" applyBorder="1" applyAlignment="1">
      <alignment wrapText="1"/>
    </xf>
    <xf numFmtId="14" fontId="82" fillId="8" borderId="2" xfId="0" applyNumberFormat="1" applyFont="1" applyFill="1" applyBorder="1" applyAlignment="1">
      <alignment horizontal="left" wrapText="1"/>
    </xf>
    <xf numFmtId="0" fontId="82" fillId="8" borderId="2" xfId="0" applyFont="1" applyFill="1" applyBorder="1" applyAlignment="1">
      <alignment horizontal="left" wrapText="1"/>
    </xf>
    <xf numFmtId="1" fontId="84" fillId="8" borderId="2" xfId="0" applyNumberFormat="1" applyFont="1" applyFill="1" applyBorder="1" applyAlignment="1">
      <alignment horizontal="center" wrapText="1"/>
    </xf>
    <xf numFmtId="0" fontId="85" fillId="15" borderId="2" xfId="0" applyFont="1" applyFill="1" applyBorder="1" applyAlignment="1">
      <alignment wrapText="1"/>
    </xf>
    <xf numFmtId="1" fontId="86" fillId="8" borderId="3" xfId="0" applyNumberFormat="1" applyFont="1" applyFill="1" applyBorder="1" applyAlignment="1">
      <alignment wrapText="1"/>
    </xf>
    <xf numFmtId="1" fontId="82" fillId="8" borderId="3" xfId="0" applyNumberFormat="1" applyFont="1" applyFill="1" applyBorder="1" applyAlignment="1">
      <alignment wrapText="1"/>
    </xf>
    <xf numFmtId="0" fontId="82" fillId="8" borderId="2" xfId="0" applyFont="1" applyFill="1" applyBorder="1" applyAlignment="1">
      <alignment horizontal="right" wrapText="1"/>
    </xf>
    <xf numFmtId="1" fontId="82" fillId="8" borderId="3" xfId="2" applyNumberFormat="1" applyFont="1" applyFill="1" applyBorder="1" applyAlignment="1">
      <alignment wrapText="1"/>
    </xf>
    <xf numFmtId="1" fontId="82" fillId="8" borderId="2" xfId="0" applyNumberFormat="1" applyFont="1" applyFill="1" applyBorder="1" applyAlignment="1">
      <alignment wrapText="1"/>
    </xf>
    <xf numFmtId="1" fontId="3" fillId="12" borderId="3" xfId="0" applyNumberFormat="1" applyFont="1" applyFill="1" applyBorder="1" applyAlignment="1">
      <alignment wrapText="1"/>
    </xf>
    <xf numFmtId="0" fontId="75" fillId="0" borderId="2" xfId="0" applyFont="1" applyBorder="1"/>
    <xf numFmtId="0" fontId="0" fillId="0" borderId="14" xfId="0" applyBorder="1" applyAlignment="1">
      <alignment wrapText="1"/>
    </xf>
    <xf numFmtId="0" fontId="0" fillId="0" borderId="20" xfId="0" applyBorder="1" applyAlignment="1">
      <alignment horizontal="left" wrapText="1"/>
    </xf>
    <xf numFmtId="0" fontId="0" fillId="0" borderId="0" xfId="0" applyBorder="1" applyAlignment="1">
      <alignment horizontal="center"/>
    </xf>
    <xf numFmtId="0" fontId="17" fillId="11" borderId="0" xfId="0" applyFont="1" applyFill="1" applyAlignment="1">
      <alignment horizontal="left"/>
    </xf>
    <xf numFmtId="0" fontId="0" fillId="11" borderId="0" xfId="0" applyFill="1" applyAlignment="1">
      <alignment horizontal="center" wrapText="1"/>
    </xf>
    <xf numFmtId="0" fontId="0" fillId="11" borderId="0" xfId="0" applyFill="1" applyAlignment="1">
      <alignment wrapText="1"/>
    </xf>
    <xf numFmtId="171" fontId="0" fillId="11" borderId="0" xfId="2" applyNumberFormat="1" applyFont="1" applyFill="1" applyBorder="1" applyAlignment="1">
      <alignment horizontal="center" wrapText="1"/>
    </xf>
    <xf numFmtId="171" fontId="0" fillId="11" borderId="0" xfId="2" applyNumberFormat="1" applyFont="1" applyFill="1" applyBorder="1" applyAlignment="1">
      <alignment horizontal="right"/>
    </xf>
    <xf numFmtId="0" fontId="17" fillId="11" borderId="0" xfId="0" applyFont="1" applyFill="1"/>
    <xf numFmtId="171" fontId="0" fillId="11" borderId="0" xfId="2" applyNumberFormat="1" applyFont="1" applyFill="1" applyBorder="1"/>
    <xf numFmtId="0" fontId="4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49" fillId="0" borderId="0" xfId="0" applyFont="1" applyAlignment="1">
      <alignment wrapText="1"/>
    </xf>
    <xf numFmtId="0" fontId="2" fillId="27" borderId="2" xfId="0" applyFont="1" applyFill="1" applyBorder="1" applyAlignment="1">
      <alignment horizontal="center" vertical="top" wrapText="1"/>
    </xf>
    <xf numFmtId="0" fontId="9" fillId="8" borderId="3" xfId="0" applyFont="1" applyFill="1" applyBorder="1" applyAlignment="1">
      <alignment wrapText="1"/>
    </xf>
    <xf numFmtId="14" fontId="39" fillId="0" borderId="0" xfId="0" applyNumberFormat="1" applyFont="1" applyAlignment="1">
      <alignment horizontal="center"/>
    </xf>
    <xf numFmtId="0" fontId="23" fillId="6" borderId="2" xfId="0" applyFont="1" applyFill="1" applyBorder="1"/>
    <xf numFmtId="0" fontId="23" fillId="6" borderId="2" xfId="0" applyFont="1" applyFill="1" applyBorder="1" applyAlignment="1">
      <alignment horizontal="right"/>
    </xf>
    <xf numFmtId="44" fontId="87" fillId="8" borderId="2" xfId="2" applyNumberFormat="1" applyFont="1" applyFill="1" applyBorder="1" applyAlignment="1">
      <alignment horizontal="left"/>
    </xf>
    <xf numFmtId="0" fontId="9" fillId="8" borderId="0" xfId="0" applyFont="1" applyFill="1" applyBorder="1" applyAlignment="1">
      <alignment wrapText="1"/>
    </xf>
    <xf numFmtId="1" fontId="2" fillId="8" borderId="2" xfId="0" applyNumberFormat="1" applyFont="1" applyFill="1" applyBorder="1" applyAlignment="1">
      <alignment wrapText="1"/>
    </xf>
    <xf numFmtId="0" fontId="0" fillId="11" borderId="24" xfId="0" applyFill="1" applyBorder="1" applyAlignment="1">
      <alignment wrapText="1"/>
    </xf>
    <xf numFmtId="0" fontId="0" fillId="11" borderId="55" xfId="0" applyFill="1" applyBorder="1" applyAlignment="1">
      <alignment wrapText="1"/>
    </xf>
    <xf numFmtId="0" fontId="4" fillId="11" borderId="55" xfId="0" applyFont="1" applyFill="1" applyBorder="1" applyAlignment="1">
      <alignment wrapText="1"/>
    </xf>
    <xf numFmtId="0" fontId="74" fillId="11" borderId="55" xfId="0" applyFont="1" applyFill="1" applyBorder="1" applyAlignment="1">
      <alignment wrapText="1"/>
    </xf>
    <xf numFmtId="0" fontId="49" fillId="11" borderId="55" xfId="0" applyFont="1" applyFill="1" applyBorder="1" applyAlignment="1">
      <alignment wrapText="1"/>
    </xf>
    <xf numFmtId="0" fontId="0" fillId="11" borderId="45" xfId="0" applyFill="1" applyBorder="1" applyAlignment="1">
      <alignment wrapText="1"/>
    </xf>
    <xf numFmtId="0" fontId="23" fillId="8" borderId="0" xfId="0" applyFont="1" applyFill="1"/>
    <xf numFmtId="0" fontId="75" fillId="8" borderId="2" xfId="0" applyFont="1" applyFill="1" applyBorder="1" applyAlignment="1">
      <alignment wrapText="1"/>
    </xf>
    <xf numFmtId="14" fontId="27" fillId="8" borderId="56" xfId="0" applyNumberFormat="1" applyFont="1" applyFill="1" applyBorder="1" applyAlignment="1">
      <alignment vertical="top"/>
    </xf>
    <xf numFmtId="14" fontId="27" fillId="8" borderId="45" xfId="0" applyNumberFormat="1" applyFont="1" applyFill="1" applyBorder="1" applyAlignment="1">
      <alignment vertical="top"/>
    </xf>
    <xf numFmtId="14" fontId="28" fillId="8" borderId="45" xfId="0" applyNumberFormat="1" applyFont="1" applyFill="1" applyBorder="1" applyAlignment="1">
      <alignment vertical="top"/>
    </xf>
    <xf numFmtId="14" fontId="45" fillId="8" borderId="45" xfId="0" applyNumberFormat="1" applyFont="1" applyFill="1" applyBorder="1" applyAlignment="1">
      <alignment vertical="top"/>
    </xf>
    <xf numFmtId="14" fontId="27" fillId="8" borderId="20" xfId="0" applyNumberFormat="1" applyFont="1" applyFill="1" applyBorder="1" applyAlignment="1">
      <alignment vertical="top"/>
    </xf>
    <xf numFmtId="0" fontId="29" fillId="8" borderId="20" xfId="0" applyFont="1" applyFill="1" applyBorder="1" applyAlignment="1">
      <alignment vertical="top"/>
    </xf>
    <xf numFmtId="14" fontId="35" fillId="8" borderId="20" xfId="0" applyNumberFormat="1" applyFont="1" applyFill="1" applyBorder="1" applyAlignment="1">
      <alignment vertical="top"/>
    </xf>
    <xf numFmtId="1" fontId="29" fillId="8" borderId="2" xfId="0" applyNumberFormat="1" applyFont="1" applyFill="1" applyBorder="1" applyAlignment="1">
      <alignment vertical="top"/>
    </xf>
    <xf numFmtId="6" fontId="87" fillId="8" borderId="2" xfId="2" applyNumberFormat="1" applyFont="1" applyFill="1" applyBorder="1" applyAlignment="1">
      <alignment horizontal="center"/>
    </xf>
    <xf numFmtId="0" fontId="75" fillId="0" borderId="2" xfId="0" applyFont="1" applyBorder="1" applyAlignment="1">
      <alignment wrapText="1"/>
    </xf>
    <xf numFmtId="0" fontId="0" fillId="0" borderId="0" xfId="0" applyBorder="1" applyAlignment="1">
      <alignment wrapText="1"/>
    </xf>
    <xf numFmtId="0" fontId="75" fillId="0" borderId="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74" fillId="0" borderId="0" xfId="0" applyFont="1" applyBorder="1" applyAlignment="1">
      <alignment wrapText="1"/>
    </xf>
    <xf numFmtId="0" fontId="49" fillId="0" borderId="0" xfId="0" applyFont="1" applyBorder="1" applyAlignment="1">
      <alignment wrapText="1"/>
    </xf>
    <xf numFmtId="0" fontId="14" fillId="0" borderId="0" xfId="0" applyFont="1" applyBorder="1" applyAlignment="1">
      <alignment wrapText="1"/>
    </xf>
    <xf numFmtId="1" fontId="14" fillId="0" borderId="0" xfId="0" applyNumberFormat="1" applyFont="1" applyBorder="1" applyAlignment="1">
      <alignment wrapText="1"/>
    </xf>
    <xf numFmtId="14" fontId="2" fillId="21" borderId="3" xfId="2" applyNumberFormat="1" applyFont="1" applyFill="1" applyBorder="1" applyAlignment="1">
      <alignment horizontal="center" vertical="top" wrapText="1"/>
    </xf>
    <xf numFmtId="0" fontId="28" fillId="8" borderId="25" xfId="0" applyFont="1" applyFill="1" applyBorder="1"/>
    <xf numFmtId="1" fontId="4" fillId="8" borderId="33" xfId="2" applyNumberFormat="1" applyFont="1" applyFill="1" applyBorder="1" applyAlignment="1">
      <alignment wrapText="1"/>
    </xf>
    <xf numFmtId="0" fontId="3" fillId="8" borderId="33" xfId="0" applyFont="1" applyFill="1" applyBorder="1" applyAlignment="1">
      <alignment wrapText="1"/>
    </xf>
    <xf numFmtId="14" fontId="3" fillId="8" borderId="0" xfId="0" applyNumberFormat="1" applyFont="1" applyFill="1" applyBorder="1" applyAlignment="1">
      <alignment horizontal="left" wrapText="1"/>
    </xf>
    <xf numFmtId="0" fontId="3" fillId="8" borderId="0" xfId="0" applyFont="1" applyFill="1" applyBorder="1" applyAlignment="1">
      <alignment horizontal="left" wrapText="1"/>
    </xf>
    <xf numFmtId="0" fontId="17" fillId="8" borderId="0" xfId="0" applyFont="1" applyFill="1"/>
    <xf numFmtId="171" fontId="0" fillId="8" borderId="0" xfId="2" applyNumberFormat="1" applyFont="1" applyFill="1" applyBorder="1"/>
    <xf numFmtId="171" fontId="0" fillId="8" borderId="0" xfId="2" applyNumberFormat="1" applyFont="1" applyFill="1" applyBorder="1" applyAlignment="1">
      <alignment horizontal="right"/>
    </xf>
    <xf numFmtId="171" fontId="1" fillId="0" borderId="20" xfId="2" applyNumberFormat="1" applyFont="1" applyBorder="1"/>
    <xf numFmtId="171" fontId="1" fillId="0" borderId="20" xfId="2" applyNumberFormat="1" applyFont="1" applyBorder="1" applyAlignment="1">
      <alignment horizontal="right"/>
    </xf>
    <xf numFmtId="172" fontId="1" fillId="0" borderId="20" xfId="0" applyNumberFormat="1" applyFont="1" applyBorder="1"/>
    <xf numFmtId="171" fontId="17" fillId="0" borderId="20" xfId="2" applyNumberFormat="1" applyFont="1" applyBorder="1" applyAlignment="1">
      <alignment horizontal="left"/>
    </xf>
    <xf numFmtId="0" fontId="17" fillId="8" borderId="20" xfId="0" applyFont="1" applyFill="1" applyBorder="1"/>
    <xf numFmtId="0" fontId="23" fillId="8" borderId="2" xfId="0" applyFont="1" applyFill="1" applyBorder="1" applyAlignment="1">
      <alignment horizontal="center"/>
    </xf>
    <xf numFmtId="0" fontId="0" fillId="0" borderId="0" xfId="0" applyFill="1" applyBorder="1" applyAlignment="1">
      <alignment wrapText="1"/>
    </xf>
    <xf numFmtId="0" fontId="75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74" fillId="0" borderId="0" xfId="0" applyFont="1" applyFill="1" applyBorder="1" applyAlignment="1">
      <alignment wrapText="1"/>
    </xf>
    <xf numFmtId="0" fontId="49" fillId="0" borderId="0" xfId="0" applyFont="1" applyFill="1" applyBorder="1" applyAlignment="1">
      <alignment wrapText="1"/>
    </xf>
    <xf numFmtId="0" fontId="0" fillId="0" borderId="0" xfId="0" applyFill="1" applyAlignment="1">
      <alignment wrapText="1"/>
    </xf>
    <xf numFmtId="1" fontId="13" fillId="3" borderId="2" xfId="0" applyNumberFormat="1" applyFont="1" applyFill="1" applyBorder="1" applyAlignment="1">
      <alignment horizontal="center" wrapText="1"/>
    </xf>
    <xf numFmtId="1" fontId="13" fillId="3" borderId="2" xfId="2" applyNumberFormat="1" applyFont="1" applyFill="1" applyBorder="1" applyAlignment="1">
      <alignment wrapText="1"/>
    </xf>
    <xf numFmtId="1" fontId="8" fillId="8" borderId="2" xfId="0" applyNumberFormat="1" applyFont="1" applyFill="1" applyBorder="1" applyAlignment="1">
      <alignment wrapText="1"/>
    </xf>
    <xf numFmtId="2" fontId="3" fillId="8" borderId="3" xfId="0" applyNumberFormat="1" applyFont="1" applyFill="1" applyBorder="1" applyAlignment="1">
      <alignment horizontal="right" wrapText="1"/>
    </xf>
    <xf numFmtId="164" fontId="3" fillId="8" borderId="3" xfId="0" applyNumberFormat="1" applyFont="1" applyFill="1" applyBorder="1" applyAlignment="1">
      <alignment horizontal="right" wrapText="1"/>
    </xf>
    <xf numFmtId="0" fontId="75" fillId="11" borderId="55" xfId="0" applyFont="1" applyFill="1" applyBorder="1" applyAlignment="1">
      <alignment wrapText="1"/>
    </xf>
    <xf numFmtId="0" fontId="10" fillId="8" borderId="0" xfId="0" applyFont="1" applyFill="1" applyBorder="1" applyAlignment="1">
      <alignment horizontal="left" wrapText="1"/>
    </xf>
    <xf numFmtId="0" fontId="9" fillId="8" borderId="0" xfId="0" applyFont="1" applyFill="1" applyBorder="1" applyAlignment="1">
      <alignment horizontal="left" wrapText="1"/>
    </xf>
    <xf numFmtId="0" fontId="0" fillId="0" borderId="1" xfId="0" applyBorder="1"/>
    <xf numFmtId="14" fontId="3" fillId="8" borderId="33" xfId="0" applyNumberFormat="1" applyFont="1" applyFill="1" applyBorder="1" applyAlignment="1">
      <alignment horizontal="left" wrapText="1"/>
    </xf>
    <xf numFmtId="164" fontId="10" fillId="8" borderId="0" xfId="0" applyNumberFormat="1" applyFont="1" applyFill="1" applyBorder="1" applyAlignment="1">
      <alignment horizontal="center" wrapText="1"/>
    </xf>
    <xf numFmtId="1" fontId="10" fillId="8" borderId="3" xfId="0" applyNumberFormat="1" applyFont="1" applyFill="1" applyBorder="1" applyAlignment="1">
      <alignment horizontal="center" wrapText="1"/>
    </xf>
    <xf numFmtId="164" fontId="10" fillId="8" borderId="3" xfId="0" applyNumberFormat="1" applyFont="1" applyFill="1" applyBorder="1" applyAlignment="1">
      <alignment horizontal="center" wrapText="1"/>
    </xf>
    <xf numFmtId="0" fontId="48" fillId="10" borderId="3" xfId="0" applyFont="1" applyFill="1" applyBorder="1" applyAlignment="1">
      <alignment wrapText="1"/>
    </xf>
    <xf numFmtId="0" fontId="48" fillId="8" borderId="3" xfId="0" applyFont="1" applyFill="1" applyBorder="1" applyAlignment="1">
      <alignment wrapText="1"/>
    </xf>
    <xf numFmtId="0" fontId="48" fillId="15" borderId="3" xfId="0" applyFont="1" applyFill="1" applyBorder="1" applyAlignment="1">
      <alignment wrapText="1"/>
    </xf>
    <xf numFmtId="0" fontId="3" fillId="9" borderId="0" xfId="0" applyFont="1" applyFill="1" applyBorder="1" applyAlignment="1">
      <alignment wrapText="1"/>
    </xf>
    <xf numFmtId="1" fontId="86" fillId="8" borderId="2" xfId="0" applyNumberFormat="1" applyFont="1" applyFill="1" applyBorder="1" applyAlignment="1">
      <alignment wrapText="1"/>
    </xf>
    <xf numFmtId="1" fontId="59" fillId="8" borderId="2" xfId="0" applyNumberFormat="1" applyFont="1" applyFill="1" applyBorder="1" applyAlignment="1">
      <alignment wrapText="1"/>
    </xf>
    <xf numFmtId="1" fontId="57" fillId="8" borderId="2" xfId="0" applyNumberFormat="1" applyFont="1" applyFill="1" applyBorder="1" applyAlignment="1">
      <alignment wrapText="1"/>
    </xf>
    <xf numFmtId="1" fontId="3" fillId="8" borderId="0" xfId="0" applyNumberFormat="1" applyFont="1" applyFill="1" applyBorder="1" applyAlignment="1">
      <alignment wrapText="1"/>
    </xf>
    <xf numFmtId="1" fontId="53" fillId="8" borderId="2" xfId="0" applyNumberFormat="1" applyFont="1" applyFill="1" applyBorder="1" applyAlignment="1">
      <alignment wrapText="1"/>
    </xf>
    <xf numFmtId="0" fontId="50" fillId="8" borderId="0" xfId="0" applyFont="1" applyFill="1" applyBorder="1"/>
    <xf numFmtId="0" fontId="3" fillId="8" borderId="0" xfId="0" applyFont="1" applyFill="1" applyBorder="1" applyAlignment="1">
      <alignment horizontal="right" wrapText="1"/>
    </xf>
    <xf numFmtId="1" fontId="4" fillId="8" borderId="2" xfId="4" applyNumberFormat="1" applyFont="1" applyFill="1" applyBorder="1" applyAlignment="1">
      <alignment wrapText="1"/>
    </xf>
    <xf numFmtId="1" fontId="49" fillId="8" borderId="33" xfId="2" applyNumberFormat="1" applyFont="1" applyFill="1" applyBorder="1" applyAlignment="1">
      <alignment wrapText="1"/>
    </xf>
    <xf numFmtId="1" fontId="48" fillId="8" borderId="33" xfId="0" applyNumberFormat="1" applyFont="1" applyFill="1" applyBorder="1" applyAlignment="1">
      <alignment wrapText="1"/>
    </xf>
    <xf numFmtId="0" fontId="3" fillId="8" borderId="2" xfId="0" applyFont="1" applyFill="1" applyBorder="1" applyAlignment="1">
      <alignment horizontal="center" vertical="center" wrapText="1"/>
    </xf>
    <xf numFmtId="14" fontId="2" fillId="6" borderId="3" xfId="2" applyNumberFormat="1" applyFont="1" applyFill="1" applyBorder="1" applyAlignment="1">
      <alignment horizontal="center" vertical="top" wrapText="1"/>
    </xf>
    <xf numFmtId="0" fontId="48" fillId="15" borderId="0" xfId="0" applyFont="1" applyFill="1" applyBorder="1" applyAlignment="1">
      <alignment wrapText="1"/>
    </xf>
    <xf numFmtId="1" fontId="92" fillId="8" borderId="3" xfId="0" applyNumberFormat="1" applyFont="1" applyFill="1" applyBorder="1" applyAlignment="1">
      <alignment wrapText="1"/>
    </xf>
    <xf numFmtId="0" fontId="88" fillId="8" borderId="1" xfId="0" applyFont="1" applyFill="1" applyBorder="1" applyAlignment="1">
      <alignment horizontal="center" wrapText="1"/>
    </xf>
    <xf numFmtId="0" fontId="88" fillId="8" borderId="8" xfId="0" applyFont="1" applyFill="1" applyBorder="1" applyAlignment="1">
      <alignment horizontal="center" wrapText="1"/>
    </xf>
    <xf numFmtId="0" fontId="20" fillId="8" borderId="1" xfId="0" applyFont="1" applyFill="1" applyBorder="1" applyAlignment="1">
      <alignment horizontal="center"/>
    </xf>
    <xf numFmtId="0" fontId="20" fillId="8" borderId="8" xfId="0" applyFont="1" applyFill="1" applyBorder="1" applyAlignment="1">
      <alignment horizontal="center"/>
    </xf>
    <xf numFmtId="0" fontId="81" fillId="8" borderId="1" xfId="0" applyFont="1" applyFill="1" applyBorder="1" applyAlignment="1">
      <alignment horizontal="center" wrapText="1"/>
    </xf>
    <xf numFmtId="0" fontId="81" fillId="8" borderId="8" xfId="0" applyFont="1" applyFill="1" applyBorder="1" applyAlignment="1">
      <alignment horizontal="center" wrapText="1"/>
    </xf>
    <xf numFmtId="0" fontId="43" fillId="6" borderId="1" xfId="0" applyFont="1" applyFill="1" applyBorder="1" applyAlignment="1">
      <alignment horizontal="right"/>
    </xf>
    <xf numFmtId="0" fontId="43" fillId="6" borderId="8" xfId="0" applyFont="1" applyFill="1" applyBorder="1" applyAlignment="1">
      <alignment horizontal="right"/>
    </xf>
    <xf numFmtId="0" fontId="46" fillId="7" borderId="1" xfId="0" applyFont="1" applyFill="1" applyBorder="1" applyAlignment="1">
      <alignment horizontal="center" wrapText="1"/>
    </xf>
    <xf numFmtId="0" fontId="46" fillId="7" borderId="8" xfId="0" applyFont="1" applyFill="1" applyBorder="1" applyAlignment="1">
      <alignment horizontal="center" wrapText="1"/>
    </xf>
    <xf numFmtId="0" fontId="89" fillId="7" borderId="1" xfId="0" applyFont="1" applyFill="1" applyBorder="1" applyAlignment="1">
      <alignment horizontal="center"/>
    </xf>
    <xf numFmtId="0" fontId="89" fillId="7" borderId="8" xfId="0" applyFont="1" applyFill="1" applyBorder="1" applyAlignment="1">
      <alignment horizontal="center"/>
    </xf>
    <xf numFmtId="0" fontId="0" fillId="10" borderId="22" xfId="0" applyFill="1" applyBorder="1" applyAlignment="1">
      <alignment horizontal="center" textRotation="45"/>
    </xf>
    <xf numFmtId="0" fontId="0" fillId="10" borderId="53" xfId="0" applyFill="1" applyBorder="1" applyAlignment="1">
      <alignment horizontal="center" textRotation="45"/>
    </xf>
    <xf numFmtId="0" fontId="0" fillId="10" borderId="14" xfId="0" applyFill="1" applyBorder="1" applyAlignment="1">
      <alignment horizontal="center" textRotation="45"/>
    </xf>
    <xf numFmtId="0" fontId="60" fillId="7" borderId="1" xfId="0" applyFont="1" applyFill="1" applyBorder="1" applyAlignment="1">
      <alignment horizontal="center" wrapText="1"/>
    </xf>
    <xf numFmtId="0" fontId="60" fillId="7" borderId="8" xfId="0" applyFont="1" applyFill="1" applyBorder="1" applyAlignment="1">
      <alignment horizontal="center" wrapText="1"/>
    </xf>
    <xf numFmtId="0" fontId="19" fillId="4" borderId="3" xfId="0" applyFont="1" applyFill="1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23" fillId="24" borderId="1" xfId="0" applyFont="1" applyFill="1" applyBorder="1" applyAlignment="1">
      <alignment horizontal="right"/>
    </xf>
    <xf numFmtId="0" fontId="23" fillId="24" borderId="34" xfId="0" applyFont="1" applyFill="1" applyBorder="1" applyAlignment="1">
      <alignment horizontal="right"/>
    </xf>
    <xf numFmtId="0" fontId="23" fillId="24" borderId="4" xfId="0" applyFont="1" applyFill="1" applyBorder="1" applyAlignment="1">
      <alignment horizontal="right"/>
    </xf>
    <xf numFmtId="0" fontId="23" fillId="24" borderId="5" xfId="0" applyFont="1" applyFill="1" applyBorder="1" applyAlignment="1">
      <alignment horizontal="right"/>
    </xf>
    <xf numFmtId="0" fontId="65" fillId="8" borderId="1" xfId="0" applyFont="1" applyFill="1" applyBorder="1" applyAlignment="1">
      <alignment horizontal="center" wrapText="1"/>
    </xf>
    <xf numFmtId="0" fontId="65" fillId="8" borderId="8" xfId="0" applyFont="1" applyFill="1" applyBorder="1" applyAlignment="1">
      <alignment horizontal="center" wrapText="1"/>
    </xf>
    <xf numFmtId="0" fontId="66" fillId="8" borderId="1" xfId="0" applyFont="1" applyFill="1" applyBorder="1" applyAlignment="1">
      <alignment horizontal="center" wrapText="1"/>
    </xf>
    <xf numFmtId="0" fontId="66" fillId="8" borderId="8" xfId="0" applyFont="1" applyFill="1" applyBorder="1" applyAlignment="1">
      <alignment horizontal="center" wrapText="1"/>
    </xf>
    <xf numFmtId="0" fontId="23" fillId="6" borderId="1" xfId="0" applyFont="1" applyFill="1" applyBorder="1" applyAlignment="1">
      <alignment horizontal="right"/>
    </xf>
    <xf numFmtId="0" fontId="23" fillId="6" borderId="8" xfId="0" applyFont="1" applyFill="1" applyBorder="1" applyAlignment="1">
      <alignment horizontal="right"/>
    </xf>
    <xf numFmtId="0" fontId="40" fillId="6" borderId="1" xfId="0" applyFont="1" applyFill="1" applyBorder="1" applyAlignment="1">
      <alignment horizontal="right"/>
    </xf>
    <xf numFmtId="0" fontId="40" fillId="6" borderId="8" xfId="0" applyFont="1" applyFill="1" applyBorder="1" applyAlignment="1">
      <alignment horizontal="right"/>
    </xf>
    <xf numFmtId="0" fontId="56" fillId="8" borderId="1" xfId="0" applyFont="1" applyFill="1" applyBorder="1" applyAlignment="1">
      <alignment horizontal="center" wrapText="1"/>
    </xf>
    <xf numFmtId="0" fontId="56" fillId="8" borderId="8" xfId="0" applyFont="1" applyFill="1" applyBorder="1" applyAlignment="1">
      <alignment horizontal="center" wrapText="1"/>
    </xf>
    <xf numFmtId="0" fontId="70" fillId="6" borderId="1" xfId="0" applyFont="1" applyFill="1" applyBorder="1" applyAlignment="1">
      <alignment horizontal="right"/>
    </xf>
    <xf numFmtId="0" fontId="70" fillId="6" borderId="8" xfId="0" applyFont="1" applyFill="1" applyBorder="1" applyAlignment="1">
      <alignment horizontal="right"/>
    </xf>
  </cellXfs>
  <cellStyles count="5">
    <cellStyle name="Millares" xfId="1" builtinId="3"/>
    <cellStyle name="Moneda" xfId="2" builtinId="4"/>
    <cellStyle name="Moneda 2 2 2 2" xfId="4" xr:uid="{1B5F2220-0179-4AED-B5F0-93ECC1BEC978}"/>
    <cellStyle name="Normal" xfId="0" builtinId="0"/>
    <cellStyle name="Porcentaje" xfId="3" builtinId="5"/>
  </cellStyles>
  <dxfs count="9"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ormularios%20cj/PLANILLA%20DE%20PAGOS%20(14)%20(33)%2007.11.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"/>
      <sheetName val="B.S"/>
      <sheetName val="creditos cancelados"/>
      <sheetName val="men"/>
      <sheetName val="quin"/>
      <sheetName val="25"/>
      <sheetName val="72"/>
      <sheetName val="75"/>
      <sheetName val="80"/>
      <sheetName val="90"/>
      <sheetName val="110"/>
      <sheetName val="120"/>
      <sheetName val="140"/>
      <sheetName val="160"/>
      <sheetName val="Hoja3"/>
      <sheetName val="Hoja13"/>
      <sheetName val="Hoja1"/>
      <sheetName val="Hoja2"/>
      <sheetName val="Hoja4"/>
      <sheetName val="Hoja5"/>
      <sheetName val="Hoja6"/>
      <sheetName val="Hoja7"/>
    </sheetNames>
    <sheetDataSet>
      <sheetData sheetId="0" refreshError="1">
        <row r="219">
          <cell r="CG219">
            <v>1298310</v>
          </cell>
          <cell r="CL219">
            <v>1253040</v>
          </cell>
        </row>
        <row r="225">
          <cell r="L225">
            <v>27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E6B1-1F94-417B-95EE-A4C418D1BE6D}">
  <sheetPr>
    <pageSetUpPr fitToPage="1"/>
  </sheetPr>
  <dimension ref="A1:GA290"/>
  <sheetViews>
    <sheetView tabSelected="1"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"/>
    </sheetView>
  </sheetViews>
  <sheetFormatPr baseColWidth="10" defaultRowHeight="43.5" customHeight="1" x14ac:dyDescent="0.25"/>
  <cols>
    <col min="1" max="1" width="6.28515625" style="417" bestFit="1" customWidth="1"/>
    <col min="2" max="2" width="18.7109375" style="328" customWidth="1"/>
    <col min="3" max="3" width="9.140625" style="328" customWidth="1"/>
    <col min="4" max="4" width="4.28515625" style="417" customWidth="1"/>
    <col min="5" max="5" width="9.42578125" style="417" bestFit="1" customWidth="1"/>
    <col min="6" max="6" width="9" style="417" customWidth="1"/>
    <col min="7" max="7" width="3.7109375" style="13" customWidth="1"/>
    <col min="8" max="8" width="6.85546875" style="329" customWidth="1"/>
    <col min="9" max="9" width="3" style="329" customWidth="1"/>
    <col min="10" max="10" width="11.5703125" style="419" bestFit="1" customWidth="1"/>
    <col min="11" max="11" width="9.42578125" style="417" customWidth="1"/>
    <col min="12" max="12" width="10.7109375" style="417" bestFit="1" customWidth="1"/>
    <col min="13" max="13" width="10" style="417" bestFit="1" customWidth="1"/>
    <col min="14" max="44" width="11.5703125" style="417" hidden="1" customWidth="1"/>
    <col min="45" max="45" width="10.7109375" style="417" hidden="1" customWidth="1"/>
    <col min="46" max="139" width="11.5703125" style="417" hidden="1" customWidth="1"/>
    <col min="140" max="140" width="0.140625" style="417" hidden="1" customWidth="1"/>
    <col min="141" max="141" width="9" style="417" hidden="1" customWidth="1"/>
    <col min="142" max="150" width="11.5703125" style="417" hidden="1" customWidth="1"/>
    <col min="151" max="151" width="10.7109375" style="417" hidden="1" customWidth="1"/>
    <col min="152" max="152" width="7.7109375" style="417" hidden="1" customWidth="1"/>
    <col min="153" max="161" width="11.5703125" style="417" hidden="1" customWidth="1"/>
    <col min="162" max="172" width="9" style="417" hidden="1" customWidth="1"/>
    <col min="173" max="174" width="11.5703125" style="417" hidden="1" customWidth="1"/>
    <col min="175" max="175" width="9" style="417" bestFit="1" customWidth="1"/>
    <col min="176" max="176" width="9.85546875" style="417" bestFit="1" customWidth="1"/>
    <col min="177" max="177" width="10.7109375" style="417" bestFit="1" customWidth="1"/>
    <col min="178" max="179" width="7.140625" style="417" bestFit="1" customWidth="1"/>
    <col min="180" max="180" width="5.140625" style="417" customWidth="1"/>
    <col min="181" max="181" width="5.85546875" style="417" customWidth="1"/>
    <col min="182" max="182" width="5.140625" style="417" customWidth="1"/>
    <col min="183" max="16384" width="11.42578125" style="417"/>
  </cols>
  <sheetData>
    <row r="1" spans="1:181" s="416" customFormat="1" ht="43.5" customHeight="1" thickBot="1" x14ac:dyDescent="0.3">
      <c r="A1" s="378" t="s">
        <v>1393</v>
      </c>
      <c r="B1" s="379" t="s">
        <v>0</v>
      </c>
      <c r="C1" s="380" t="s">
        <v>1</v>
      </c>
      <c r="D1" s="380" t="s">
        <v>2</v>
      </c>
      <c r="E1" s="381" t="s">
        <v>1252</v>
      </c>
      <c r="F1" s="381" t="s">
        <v>1253</v>
      </c>
      <c r="G1" s="381" t="s">
        <v>1254</v>
      </c>
      <c r="H1" s="382" t="s">
        <v>1255</v>
      </c>
      <c r="I1" s="382" t="s">
        <v>1256</v>
      </c>
      <c r="J1" s="379" t="s">
        <v>7</v>
      </c>
      <c r="K1" s="383" t="s">
        <v>8</v>
      </c>
      <c r="L1" s="384" t="s">
        <v>9</v>
      </c>
      <c r="M1" s="384" t="s">
        <v>10</v>
      </c>
      <c r="N1" s="385" t="s">
        <v>11</v>
      </c>
      <c r="O1" s="385" t="s">
        <v>12</v>
      </c>
      <c r="P1" s="385" t="s">
        <v>13</v>
      </c>
      <c r="Q1" s="385" t="s">
        <v>14</v>
      </c>
      <c r="R1" s="385" t="s">
        <v>15</v>
      </c>
      <c r="S1" s="385" t="s">
        <v>16</v>
      </c>
      <c r="T1" s="385" t="s">
        <v>17</v>
      </c>
      <c r="U1" s="385" t="s">
        <v>18</v>
      </c>
      <c r="V1" s="385" t="s">
        <v>19</v>
      </c>
      <c r="W1" s="385" t="s">
        <v>20</v>
      </c>
      <c r="X1" s="385" t="s">
        <v>21</v>
      </c>
      <c r="Y1" s="385" t="s">
        <v>22</v>
      </c>
      <c r="Z1" s="385" t="s">
        <v>23</v>
      </c>
      <c r="AA1" s="385" t="s">
        <v>24</v>
      </c>
      <c r="AB1" s="385" t="s">
        <v>25</v>
      </c>
      <c r="AC1" s="385" t="s">
        <v>26</v>
      </c>
      <c r="AD1" s="385" t="s">
        <v>27</v>
      </c>
      <c r="AE1" s="385" t="s">
        <v>28</v>
      </c>
      <c r="AF1" s="385" t="s">
        <v>29</v>
      </c>
      <c r="AG1" s="385" t="s">
        <v>30</v>
      </c>
      <c r="AH1" s="385" t="s">
        <v>31</v>
      </c>
      <c r="AI1" s="385" t="s">
        <v>32</v>
      </c>
      <c r="AJ1" s="385" t="s">
        <v>33</v>
      </c>
      <c r="AK1" s="385" t="s">
        <v>34</v>
      </c>
      <c r="AL1" s="385" t="s">
        <v>35</v>
      </c>
      <c r="AM1" s="385" t="s">
        <v>36</v>
      </c>
      <c r="AN1" s="385" t="s">
        <v>37</v>
      </c>
      <c r="AO1" s="385" t="s">
        <v>38</v>
      </c>
      <c r="AP1" s="385" t="s">
        <v>39</v>
      </c>
      <c r="AQ1" s="385" t="s">
        <v>40</v>
      </c>
      <c r="AR1" s="385" t="s">
        <v>41</v>
      </c>
      <c r="AS1" s="385" t="s">
        <v>42</v>
      </c>
      <c r="AT1" s="385" t="s">
        <v>43</v>
      </c>
      <c r="AU1" s="385" t="s">
        <v>44</v>
      </c>
      <c r="AV1" s="385" t="s">
        <v>45</v>
      </c>
      <c r="AW1" s="385" t="s">
        <v>46</v>
      </c>
      <c r="AX1" s="385" t="s">
        <v>47</v>
      </c>
      <c r="AY1" s="385" t="s">
        <v>48</v>
      </c>
      <c r="AZ1" s="385" t="s">
        <v>49</v>
      </c>
      <c r="BA1" s="385" t="s">
        <v>50</v>
      </c>
      <c r="BB1" s="385" t="s">
        <v>51</v>
      </c>
      <c r="BC1" s="385" t="s">
        <v>52</v>
      </c>
      <c r="BD1" s="385" t="s">
        <v>53</v>
      </c>
      <c r="BE1" s="385" t="s">
        <v>54</v>
      </c>
      <c r="BF1" s="385" t="s">
        <v>55</v>
      </c>
      <c r="BG1" s="385" t="s">
        <v>56</v>
      </c>
      <c r="BH1" s="385" t="s">
        <v>57</v>
      </c>
      <c r="BI1" s="385" t="s">
        <v>58</v>
      </c>
      <c r="BJ1" s="385" t="s">
        <v>59</v>
      </c>
      <c r="BK1" s="385" t="s">
        <v>60</v>
      </c>
      <c r="BL1" s="385" t="s">
        <v>61</v>
      </c>
      <c r="BM1" s="385" t="s">
        <v>62</v>
      </c>
      <c r="BN1" s="385" t="s">
        <v>63</v>
      </c>
      <c r="BO1" s="385" t="s">
        <v>64</v>
      </c>
      <c r="BP1" s="385" t="s">
        <v>65</v>
      </c>
      <c r="BQ1" s="385" t="s">
        <v>66</v>
      </c>
      <c r="BR1" s="385" t="s">
        <v>67</v>
      </c>
      <c r="BS1" s="385" t="s">
        <v>68</v>
      </c>
      <c r="BT1" s="385" t="s">
        <v>69</v>
      </c>
      <c r="BU1" s="385" t="s">
        <v>70</v>
      </c>
      <c r="BV1" s="385" t="s">
        <v>71</v>
      </c>
      <c r="BW1" s="385" t="s">
        <v>72</v>
      </c>
      <c r="BX1" s="385" t="s">
        <v>73</v>
      </c>
      <c r="BY1" s="385" t="s">
        <v>74</v>
      </c>
      <c r="BZ1" s="385" t="s">
        <v>75</v>
      </c>
      <c r="CA1" s="385" t="s">
        <v>76</v>
      </c>
      <c r="CB1" s="385" t="s">
        <v>77</v>
      </c>
      <c r="CC1" s="385" t="s">
        <v>78</v>
      </c>
      <c r="CD1" s="385" t="s">
        <v>79</v>
      </c>
      <c r="CE1" s="385" t="s">
        <v>80</v>
      </c>
      <c r="CF1" s="385" t="s">
        <v>81</v>
      </c>
      <c r="CG1" s="385" t="s">
        <v>82</v>
      </c>
      <c r="CH1" s="385" t="s">
        <v>83</v>
      </c>
      <c r="CI1" s="385" t="s">
        <v>84</v>
      </c>
      <c r="CJ1" s="385" t="s">
        <v>85</v>
      </c>
      <c r="CK1" s="385" t="s">
        <v>86</v>
      </c>
      <c r="CL1" s="385" t="s">
        <v>87</v>
      </c>
      <c r="CM1" s="385" t="s">
        <v>88</v>
      </c>
      <c r="CN1" s="385" t="s">
        <v>89</v>
      </c>
      <c r="CO1" s="385" t="s">
        <v>90</v>
      </c>
      <c r="CP1" s="385" t="s">
        <v>91</v>
      </c>
      <c r="CQ1" s="385" t="s">
        <v>92</v>
      </c>
      <c r="CR1" s="385" t="s">
        <v>93</v>
      </c>
      <c r="CS1" s="385" t="s">
        <v>94</v>
      </c>
      <c r="CT1" s="385" t="s">
        <v>95</v>
      </c>
      <c r="CU1" s="385" t="s">
        <v>96</v>
      </c>
      <c r="CV1" s="385" t="s">
        <v>97</v>
      </c>
      <c r="CW1" s="385" t="s">
        <v>98</v>
      </c>
      <c r="CX1" s="385" t="s">
        <v>99</v>
      </c>
      <c r="CY1" s="385" t="s">
        <v>100</v>
      </c>
      <c r="CZ1" s="385" t="s">
        <v>101</v>
      </c>
      <c r="DA1" s="385" t="s">
        <v>102</v>
      </c>
      <c r="DB1" s="385" t="s">
        <v>103</v>
      </c>
      <c r="DC1" s="385" t="s">
        <v>104</v>
      </c>
      <c r="DD1" s="385" t="s">
        <v>105</v>
      </c>
      <c r="DE1" s="385" t="s">
        <v>106</v>
      </c>
      <c r="DF1" s="385" t="s">
        <v>107</v>
      </c>
      <c r="DG1" s="385" t="s">
        <v>108</v>
      </c>
      <c r="DH1" s="385" t="s">
        <v>109</v>
      </c>
      <c r="DI1" s="385" t="s">
        <v>110</v>
      </c>
      <c r="DJ1" s="385" t="s">
        <v>111</v>
      </c>
      <c r="DK1" s="385" t="s">
        <v>112</v>
      </c>
      <c r="DL1" s="385" t="s">
        <v>113</v>
      </c>
      <c r="DM1" s="385" t="s">
        <v>114</v>
      </c>
      <c r="DN1" s="385" t="s">
        <v>115</v>
      </c>
      <c r="DO1" s="385" t="s">
        <v>116</v>
      </c>
      <c r="DP1" s="385" t="s">
        <v>117</v>
      </c>
      <c r="DQ1" s="385" t="s">
        <v>118</v>
      </c>
      <c r="DR1" s="385" t="s">
        <v>119</v>
      </c>
      <c r="DS1" s="385" t="s">
        <v>120</v>
      </c>
      <c r="DT1" s="385" t="s">
        <v>121</v>
      </c>
      <c r="DU1" s="385" t="s">
        <v>122</v>
      </c>
      <c r="DV1" s="385" t="s">
        <v>123</v>
      </c>
      <c r="DW1" s="385" t="s">
        <v>124</v>
      </c>
      <c r="DX1" s="385" t="s">
        <v>125</v>
      </c>
      <c r="DY1" s="385" t="s">
        <v>126</v>
      </c>
      <c r="DZ1" s="385" t="s">
        <v>127</v>
      </c>
      <c r="EA1" s="385" t="s">
        <v>128</v>
      </c>
      <c r="EB1" s="385" t="s">
        <v>129</v>
      </c>
      <c r="EC1" s="385" t="s">
        <v>130</v>
      </c>
      <c r="ED1" s="385" t="s">
        <v>131</v>
      </c>
      <c r="EE1" s="385" t="s">
        <v>132</v>
      </c>
      <c r="EF1" s="385" t="s">
        <v>133</v>
      </c>
      <c r="EG1" s="385" t="s">
        <v>134</v>
      </c>
      <c r="EH1" s="385" t="s">
        <v>135</v>
      </c>
      <c r="EI1" s="385" t="s">
        <v>136</v>
      </c>
      <c r="EJ1" s="385" t="s">
        <v>137</v>
      </c>
      <c r="EK1" s="385" t="s">
        <v>138</v>
      </c>
      <c r="EL1" s="385" t="s">
        <v>1192</v>
      </c>
      <c r="EM1" s="385" t="s">
        <v>1195</v>
      </c>
      <c r="EN1" s="385" t="s">
        <v>1201</v>
      </c>
      <c r="EO1" s="385" t="s">
        <v>1205</v>
      </c>
      <c r="EP1" s="385" t="s">
        <v>1215</v>
      </c>
      <c r="EQ1" s="385" t="s">
        <v>1221</v>
      </c>
      <c r="ER1" s="385" t="s">
        <v>1224</v>
      </c>
      <c r="ES1" s="385" t="s">
        <v>1230</v>
      </c>
      <c r="ET1" s="385" t="s">
        <v>1231</v>
      </c>
      <c r="EU1" s="385" t="s">
        <v>1240</v>
      </c>
      <c r="EV1" s="385" t="s">
        <v>1246</v>
      </c>
      <c r="EW1" s="385" t="s">
        <v>1263</v>
      </c>
      <c r="EX1" s="385" t="s">
        <v>1267</v>
      </c>
      <c r="EY1" s="385" t="s">
        <v>1271</v>
      </c>
      <c r="EZ1" s="385" t="s">
        <v>1281</v>
      </c>
      <c r="FA1" s="385" t="s">
        <v>1290</v>
      </c>
      <c r="FB1" s="385" t="s">
        <v>1296</v>
      </c>
      <c r="FC1" s="385" t="s">
        <v>1304</v>
      </c>
      <c r="FD1" s="385" t="s">
        <v>1310</v>
      </c>
      <c r="FE1" s="385" t="s">
        <v>1315</v>
      </c>
      <c r="FF1" s="385" t="s">
        <v>1320</v>
      </c>
      <c r="FG1" s="385" t="s">
        <v>1328</v>
      </c>
      <c r="FH1" s="385" t="s">
        <v>1341</v>
      </c>
      <c r="FI1" s="385" t="s">
        <v>1350</v>
      </c>
      <c r="FJ1" s="385" t="s">
        <v>1354</v>
      </c>
      <c r="FK1" s="385" t="s">
        <v>1361</v>
      </c>
      <c r="FL1" s="385" t="s">
        <v>1366</v>
      </c>
      <c r="FM1" s="385" t="s">
        <v>1378</v>
      </c>
      <c r="FN1" s="385" t="s">
        <v>1383</v>
      </c>
      <c r="FO1" s="385" t="s">
        <v>1390</v>
      </c>
      <c r="FP1" s="385" t="s">
        <v>1394</v>
      </c>
      <c r="FQ1" s="385" t="s">
        <v>1410</v>
      </c>
      <c r="FR1" s="502" t="s">
        <v>1416</v>
      </c>
      <c r="FS1" s="453" t="s">
        <v>1427</v>
      </c>
      <c r="FT1" s="386" t="s">
        <v>1248</v>
      </c>
      <c r="FU1" s="387" t="s">
        <v>1249</v>
      </c>
      <c r="FV1" s="382" t="s">
        <v>1250</v>
      </c>
      <c r="FW1" s="382" t="s">
        <v>1251</v>
      </c>
      <c r="FX1" s="420" t="s">
        <v>1247</v>
      </c>
      <c r="FY1" s="420" t="s">
        <v>139</v>
      </c>
    </row>
    <row r="2" spans="1:181" ht="43.5" customHeight="1" thickBot="1" x14ac:dyDescent="0.3">
      <c r="A2" s="1">
        <v>2762</v>
      </c>
      <c r="B2" s="27" t="s">
        <v>140</v>
      </c>
      <c r="C2" s="27" t="s">
        <v>141</v>
      </c>
      <c r="D2" s="2"/>
      <c r="E2" s="3">
        <v>45519</v>
      </c>
      <c r="F2" s="3">
        <f>WORKDAY(E2,G2)</f>
        <v>45771</v>
      </c>
      <c r="G2" s="4">
        <v>180</v>
      </c>
      <c r="H2" s="377">
        <f t="shared" ref="H2:H33" si="0">(FT2* 5)/M2</f>
        <v>120</v>
      </c>
      <c r="I2" s="377">
        <f t="shared" ref="I2:I33" si="1">G2-H2</f>
        <v>60</v>
      </c>
      <c r="J2" s="355" t="s">
        <v>142</v>
      </c>
      <c r="K2" s="7">
        <v>300000</v>
      </c>
      <c r="L2" s="7">
        <v>810000</v>
      </c>
      <c r="M2" s="8">
        <f t="shared" ref="M2:M8" si="2">(L2/G2)*5</f>
        <v>22500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 t="s">
        <v>143</v>
      </c>
      <c r="CB2" s="9" t="s">
        <v>143</v>
      </c>
      <c r="CC2" s="9" t="s">
        <v>143</v>
      </c>
      <c r="CD2" s="9" t="s">
        <v>143</v>
      </c>
      <c r="CE2" s="9" t="s">
        <v>143</v>
      </c>
      <c r="CF2" s="9"/>
      <c r="CG2" s="9" t="s">
        <v>143</v>
      </c>
      <c r="CH2" s="9" t="s">
        <v>143</v>
      </c>
      <c r="CI2" s="9"/>
      <c r="CJ2" s="9"/>
      <c r="CK2" s="9"/>
      <c r="CL2" s="9" t="s">
        <v>143</v>
      </c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>
        <v>90000</v>
      </c>
      <c r="DI2" s="9"/>
      <c r="DJ2" s="9"/>
      <c r="DK2" s="9"/>
      <c r="DL2" s="9"/>
      <c r="DM2" s="9">
        <v>90000</v>
      </c>
      <c r="DN2" s="9"/>
      <c r="DO2" s="9"/>
      <c r="DP2" s="9"/>
      <c r="DQ2" s="9">
        <v>90000</v>
      </c>
      <c r="DR2" s="9"/>
      <c r="DS2" s="9"/>
      <c r="DT2" s="9"/>
      <c r="DU2" s="9"/>
      <c r="DV2" s="9">
        <v>90000</v>
      </c>
      <c r="DW2" s="9"/>
      <c r="DX2" s="9"/>
      <c r="DY2" s="9"/>
      <c r="DZ2" s="9"/>
      <c r="EA2" s="9">
        <v>90000</v>
      </c>
      <c r="EB2" s="9"/>
      <c r="EC2" s="9"/>
      <c r="ED2" s="9"/>
      <c r="EE2" s="9">
        <v>90000</v>
      </c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>
        <f t="shared" ref="FT2:FT65" si="3">SUM(N2:FS2)</f>
        <v>540000</v>
      </c>
      <c r="FU2" s="10">
        <f t="shared" ref="FU2:FU65" si="4">SUM(L2-FT2)</f>
        <v>270000</v>
      </c>
      <c r="FV2" s="11">
        <f t="shared" ref="FV2:FV65" si="5">SUM( H2/5)</f>
        <v>24</v>
      </c>
      <c r="FW2" s="11">
        <f t="shared" ref="FW2:FW65" si="6">SUM( I2/5)</f>
        <v>12</v>
      </c>
      <c r="FX2" s="12">
        <f t="shared" ref="FX2:FX65" si="7">SUM(FV2/4)</f>
        <v>6</v>
      </c>
      <c r="FY2" s="12">
        <f t="shared" ref="FY2:FY65" si="8">SUM(FW2/4)</f>
        <v>3</v>
      </c>
    </row>
    <row r="3" spans="1:181" ht="43.5" customHeight="1" thickBot="1" x14ac:dyDescent="0.3">
      <c r="A3" s="1">
        <v>3343</v>
      </c>
      <c r="B3" s="27" t="s">
        <v>144</v>
      </c>
      <c r="C3" s="27" t="s">
        <v>145</v>
      </c>
      <c r="D3" s="2"/>
      <c r="E3" s="3">
        <v>45880</v>
      </c>
      <c r="F3" s="3">
        <f>WORKDAY(E3,G3)</f>
        <v>45992</v>
      </c>
      <c r="G3" s="4">
        <v>80</v>
      </c>
      <c r="H3" s="377">
        <f t="shared" si="0"/>
        <v>60</v>
      </c>
      <c r="I3" s="377">
        <f t="shared" si="1"/>
        <v>20</v>
      </c>
      <c r="J3" s="355" t="s">
        <v>1376</v>
      </c>
      <c r="K3" s="19">
        <v>100000</v>
      </c>
      <c r="L3" s="7">
        <v>216000</v>
      </c>
      <c r="M3" s="8">
        <f t="shared" si="2"/>
        <v>13500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 t="s">
        <v>143</v>
      </c>
      <c r="EL3" s="9"/>
      <c r="EM3" s="9" t="s">
        <v>143</v>
      </c>
      <c r="EN3" s="9" t="s">
        <v>143</v>
      </c>
      <c r="EO3" s="9"/>
      <c r="EP3" s="9"/>
      <c r="EQ3" s="9"/>
      <c r="ER3" s="9"/>
      <c r="ES3" s="9" t="s">
        <v>143</v>
      </c>
      <c r="ET3" s="9"/>
      <c r="EU3" s="9"/>
      <c r="EV3" s="9" t="s">
        <v>143</v>
      </c>
      <c r="EW3" s="9"/>
      <c r="EX3" s="9"/>
      <c r="EY3" s="9"/>
      <c r="EZ3" s="9"/>
      <c r="FA3" s="9"/>
      <c r="FB3" s="9"/>
      <c r="FC3" s="9"/>
      <c r="FD3" s="9"/>
      <c r="FE3" s="9"/>
      <c r="FF3" s="9"/>
      <c r="FG3" s="9">
        <v>54000</v>
      </c>
      <c r="FH3" s="9"/>
      <c r="FI3" s="9"/>
      <c r="FJ3" s="9" t="s">
        <v>143</v>
      </c>
      <c r="FK3" s="9">
        <v>54000</v>
      </c>
      <c r="FL3" s="9"/>
      <c r="FM3" s="9"/>
      <c r="FN3" s="9"/>
      <c r="FO3" s="9"/>
      <c r="FP3" s="9">
        <v>54000</v>
      </c>
      <c r="FQ3" s="9"/>
      <c r="FR3" s="9"/>
      <c r="FS3" s="9"/>
      <c r="FT3" s="9">
        <f t="shared" si="3"/>
        <v>162000</v>
      </c>
      <c r="FU3" s="10">
        <f t="shared" si="4"/>
        <v>54000</v>
      </c>
      <c r="FV3" s="11">
        <f t="shared" si="5"/>
        <v>12</v>
      </c>
      <c r="FW3" s="11">
        <f t="shared" si="6"/>
        <v>4</v>
      </c>
      <c r="FX3" s="12">
        <f t="shared" si="7"/>
        <v>3</v>
      </c>
      <c r="FY3" s="12">
        <f t="shared" si="8"/>
        <v>1</v>
      </c>
    </row>
    <row r="4" spans="1:181" ht="43.5" customHeight="1" thickBot="1" x14ac:dyDescent="0.3">
      <c r="A4" s="1">
        <v>3455</v>
      </c>
      <c r="B4" s="27" t="s">
        <v>144</v>
      </c>
      <c r="C4" s="27" t="s">
        <v>145</v>
      </c>
      <c r="D4" s="2"/>
      <c r="E4" s="3">
        <v>45950</v>
      </c>
      <c r="F4" s="3">
        <f>WORKDAY(E4,G4)</f>
        <v>46050</v>
      </c>
      <c r="G4" s="4">
        <v>72</v>
      </c>
      <c r="H4" s="377">
        <f t="shared" si="0"/>
        <v>30</v>
      </c>
      <c r="I4" s="377">
        <f t="shared" si="1"/>
        <v>42</v>
      </c>
      <c r="J4" s="155" t="s">
        <v>161</v>
      </c>
      <c r="K4" s="10">
        <v>100000</v>
      </c>
      <c r="L4" s="10">
        <v>216000</v>
      </c>
      <c r="M4" s="8">
        <f t="shared" si="2"/>
        <v>15000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 t="s">
        <v>143</v>
      </c>
      <c r="EL4" s="9"/>
      <c r="EM4" s="9" t="s">
        <v>143</v>
      </c>
      <c r="EN4" s="9" t="s">
        <v>143</v>
      </c>
      <c r="EO4" s="9"/>
      <c r="EP4" s="9"/>
      <c r="EQ4" s="9"/>
      <c r="ER4" s="9"/>
      <c r="ES4" s="9" t="s">
        <v>143</v>
      </c>
      <c r="ET4" s="9"/>
      <c r="EU4" s="9"/>
      <c r="EV4" s="9" t="s">
        <v>143</v>
      </c>
      <c r="EW4" s="9"/>
      <c r="EX4" s="9"/>
      <c r="EY4" s="9"/>
      <c r="EZ4" s="9"/>
      <c r="FA4" s="9"/>
      <c r="FB4" s="9"/>
      <c r="FC4" s="9" t="s">
        <v>143</v>
      </c>
      <c r="FD4" s="9"/>
      <c r="FE4" s="9"/>
      <c r="FF4" s="9"/>
      <c r="FG4" s="9"/>
      <c r="FH4" s="9"/>
      <c r="FI4" s="9"/>
      <c r="FJ4" s="9"/>
      <c r="FK4" s="9"/>
      <c r="FL4" s="9" t="s">
        <v>143</v>
      </c>
      <c r="FM4" s="9">
        <v>15000</v>
      </c>
      <c r="FN4" s="9"/>
      <c r="FO4" s="9">
        <v>15000</v>
      </c>
      <c r="FP4" s="9">
        <v>15000</v>
      </c>
      <c r="FQ4" s="9">
        <v>15000</v>
      </c>
      <c r="FR4" s="9"/>
      <c r="FS4" s="9">
        <v>30000</v>
      </c>
      <c r="FT4" s="9">
        <f t="shared" si="3"/>
        <v>90000</v>
      </c>
      <c r="FU4" s="10">
        <f t="shared" si="4"/>
        <v>126000</v>
      </c>
      <c r="FV4" s="11">
        <f t="shared" si="5"/>
        <v>6</v>
      </c>
      <c r="FW4" s="11">
        <f t="shared" si="6"/>
        <v>8.4</v>
      </c>
      <c r="FX4" s="12">
        <f t="shared" si="7"/>
        <v>1.5</v>
      </c>
      <c r="FY4" s="12">
        <f t="shared" si="8"/>
        <v>2.1</v>
      </c>
    </row>
    <row r="5" spans="1:181" ht="43.5" customHeight="1" thickBot="1" x14ac:dyDescent="0.3">
      <c r="A5" s="1">
        <v>3473</v>
      </c>
      <c r="B5" s="27" t="s">
        <v>1214</v>
      </c>
      <c r="C5" s="27" t="s">
        <v>145</v>
      </c>
      <c r="D5" s="2"/>
      <c r="E5" s="3">
        <v>45962</v>
      </c>
      <c r="F5" s="3">
        <f>WORKDAY(E5,G5)</f>
        <v>46063</v>
      </c>
      <c r="G5" s="4">
        <v>72</v>
      </c>
      <c r="H5" s="377">
        <f t="shared" si="0"/>
        <v>15</v>
      </c>
      <c r="I5" s="377">
        <f t="shared" si="1"/>
        <v>57</v>
      </c>
      <c r="J5" s="155" t="s">
        <v>165</v>
      </c>
      <c r="K5" s="10">
        <v>200000</v>
      </c>
      <c r="L5" s="10">
        <v>432000</v>
      </c>
      <c r="M5" s="8">
        <f t="shared" si="2"/>
        <v>30000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 t="s">
        <v>143</v>
      </c>
      <c r="EL5" s="9"/>
      <c r="EM5" s="9" t="s">
        <v>143</v>
      </c>
      <c r="EN5" s="9" t="s">
        <v>143</v>
      </c>
      <c r="EO5" s="9"/>
      <c r="EP5" s="9"/>
      <c r="EQ5" s="9"/>
      <c r="ER5" s="9"/>
      <c r="ES5" s="9" t="s">
        <v>143</v>
      </c>
      <c r="ET5" s="9"/>
      <c r="EU5" s="9"/>
      <c r="EV5" s="9" t="s">
        <v>143</v>
      </c>
      <c r="EW5" s="9"/>
      <c r="EX5" s="9"/>
      <c r="EY5" s="9"/>
      <c r="EZ5" s="9"/>
      <c r="FA5" s="9"/>
      <c r="FB5" s="9"/>
      <c r="FC5" s="9" t="s">
        <v>143</v>
      </c>
      <c r="FD5" s="9"/>
      <c r="FE5" s="9"/>
      <c r="FF5" s="9"/>
      <c r="FG5" s="9"/>
      <c r="FH5" s="9"/>
      <c r="FI5" s="9"/>
      <c r="FJ5" s="9"/>
      <c r="FK5" s="9"/>
      <c r="FL5" s="9" t="s">
        <v>143</v>
      </c>
      <c r="FM5" s="9"/>
      <c r="FN5" s="9"/>
      <c r="FO5" s="9"/>
      <c r="FP5" s="9">
        <v>30000</v>
      </c>
      <c r="FQ5" s="9"/>
      <c r="FR5" s="9">
        <v>30000</v>
      </c>
      <c r="FS5" s="9">
        <v>30000</v>
      </c>
      <c r="FT5" s="9">
        <f t="shared" si="3"/>
        <v>90000</v>
      </c>
      <c r="FU5" s="10">
        <f t="shared" si="4"/>
        <v>342000</v>
      </c>
      <c r="FV5" s="11">
        <f t="shared" si="5"/>
        <v>3</v>
      </c>
      <c r="FW5" s="11">
        <f t="shared" si="6"/>
        <v>11.4</v>
      </c>
      <c r="FX5" s="12">
        <f t="shared" si="7"/>
        <v>0.75</v>
      </c>
      <c r="FY5" s="12">
        <f t="shared" si="8"/>
        <v>2.85</v>
      </c>
    </row>
    <row r="6" spans="1:181" ht="43.5" customHeight="1" thickBot="1" x14ac:dyDescent="0.3">
      <c r="A6" s="1">
        <v>3465</v>
      </c>
      <c r="B6" s="27" t="s">
        <v>721</v>
      </c>
      <c r="C6" s="27"/>
      <c r="D6" s="2">
        <v>22375673</v>
      </c>
      <c r="E6" s="3">
        <v>45958</v>
      </c>
      <c r="F6" s="3">
        <f t="shared" ref="F6:F8" si="9">WORKDAY(E6,G6)</f>
        <v>46070</v>
      </c>
      <c r="G6" s="4">
        <v>80</v>
      </c>
      <c r="H6" s="377">
        <f t="shared" si="0"/>
        <v>20</v>
      </c>
      <c r="I6" s="377">
        <f t="shared" si="1"/>
        <v>60</v>
      </c>
      <c r="J6" s="363" t="s">
        <v>1385</v>
      </c>
      <c r="K6" s="7">
        <v>300000</v>
      </c>
      <c r="L6" s="7">
        <v>648000</v>
      </c>
      <c r="M6" s="8">
        <f t="shared" si="2"/>
        <v>40500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 t="s">
        <v>143</v>
      </c>
      <c r="EL6" s="9"/>
      <c r="EM6" s="9" t="s">
        <v>143</v>
      </c>
      <c r="EN6" s="9" t="s">
        <v>143</v>
      </c>
      <c r="EO6" s="9"/>
      <c r="EP6" s="9"/>
      <c r="EQ6" s="9"/>
      <c r="ER6" s="9"/>
      <c r="ES6" s="9" t="s">
        <v>143</v>
      </c>
      <c r="ET6" s="9"/>
      <c r="EU6" s="9"/>
      <c r="EV6" s="9" t="s">
        <v>143</v>
      </c>
      <c r="EW6" s="9"/>
      <c r="EX6" s="9"/>
      <c r="EY6" s="9"/>
      <c r="EZ6" s="9"/>
      <c r="FA6" s="9"/>
      <c r="FB6" s="9"/>
      <c r="FC6" s="9" t="s">
        <v>143</v>
      </c>
      <c r="FD6" s="9"/>
      <c r="FE6" s="9"/>
      <c r="FF6" s="9"/>
      <c r="FG6" s="9"/>
      <c r="FH6" s="9"/>
      <c r="FI6" s="9"/>
      <c r="FJ6" s="9"/>
      <c r="FK6" s="9"/>
      <c r="FL6" s="9" t="s">
        <v>143</v>
      </c>
      <c r="FM6" s="9"/>
      <c r="FN6" s="9"/>
      <c r="FO6" s="9"/>
      <c r="FP6" s="9"/>
      <c r="FQ6" s="9"/>
      <c r="FR6" s="9"/>
      <c r="FS6" s="9">
        <v>162000</v>
      </c>
      <c r="FT6" s="9">
        <f t="shared" si="3"/>
        <v>162000</v>
      </c>
      <c r="FU6" s="10">
        <f t="shared" si="4"/>
        <v>486000</v>
      </c>
      <c r="FV6" s="11">
        <f t="shared" si="5"/>
        <v>4</v>
      </c>
      <c r="FW6" s="11">
        <f t="shared" si="6"/>
        <v>12</v>
      </c>
      <c r="FX6" s="12">
        <f t="shared" si="7"/>
        <v>1</v>
      </c>
      <c r="FY6" s="12">
        <f t="shared" si="8"/>
        <v>3</v>
      </c>
    </row>
    <row r="7" spans="1:181" ht="43.5" customHeight="1" thickBot="1" x14ac:dyDescent="0.3">
      <c r="A7" s="1">
        <v>3495</v>
      </c>
      <c r="B7" s="175" t="s">
        <v>146</v>
      </c>
      <c r="C7" s="2" t="s">
        <v>147</v>
      </c>
      <c r="D7" s="2"/>
      <c r="E7" s="3">
        <v>45976</v>
      </c>
      <c r="F7" s="3">
        <f t="shared" si="9"/>
        <v>46087</v>
      </c>
      <c r="G7" s="29">
        <v>80</v>
      </c>
      <c r="H7" s="377">
        <f t="shared" si="0"/>
        <v>0</v>
      </c>
      <c r="I7" s="377">
        <f t="shared" si="1"/>
        <v>80</v>
      </c>
      <c r="J7" s="363" t="s">
        <v>1409</v>
      </c>
      <c r="K7" s="7">
        <v>200000</v>
      </c>
      <c r="L7" s="7">
        <v>432000</v>
      </c>
      <c r="M7" s="8">
        <f t="shared" si="2"/>
        <v>27000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 t="s">
        <v>143</v>
      </c>
      <c r="EL7" s="9"/>
      <c r="EM7" s="9" t="s">
        <v>143</v>
      </c>
      <c r="EN7" s="9" t="s">
        <v>143</v>
      </c>
      <c r="EO7" s="9"/>
      <c r="EP7" s="9"/>
      <c r="EQ7" s="9"/>
      <c r="ER7" s="9"/>
      <c r="ES7" s="9" t="s">
        <v>143</v>
      </c>
      <c r="ET7" s="9"/>
      <c r="EU7" s="9"/>
      <c r="EV7" s="9" t="s">
        <v>143</v>
      </c>
      <c r="EW7" s="9"/>
      <c r="EX7" s="9"/>
      <c r="EY7" s="9"/>
      <c r="EZ7" s="9"/>
      <c r="FA7" s="9"/>
      <c r="FB7" s="9"/>
      <c r="FC7" s="9" t="s">
        <v>143</v>
      </c>
      <c r="FD7" s="9"/>
      <c r="FE7" s="9"/>
      <c r="FF7" s="9"/>
      <c r="FG7" s="9"/>
      <c r="FH7" s="9"/>
      <c r="FI7" s="9"/>
      <c r="FJ7" s="9"/>
      <c r="FK7" s="9"/>
      <c r="FL7" s="9" t="s">
        <v>143</v>
      </c>
      <c r="FM7" s="9"/>
      <c r="FN7" s="9"/>
      <c r="FO7" s="9"/>
      <c r="FP7" s="9"/>
      <c r="FQ7" s="9"/>
      <c r="FR7" s="9"/>
      <c r="FS7" s="9"/>
      <c r="FT7" s="9">
        <f t="shared" si="3"/>
        <v>0</v>
      </c>
      <c r="FU7" s="10">
        <f t="shared" si="4"/>
        <v>432000</v>
      </c>
      <c r="FV7" s="11">
        <f t="shared" si="5"/>
        <v>0</v>
      </c>
      <c r="FW7" s="11">
        <f t="shared" si="6"/>
        <v>16</v>
      </c>
      <c r="FX7" s="12">
        <f t="shared" si="7"/>
        <v>0</v>
      </c>
      <c r="FY7" s="12">
        <f t="shared" si="8"/>
        <v>4</v>
      </c>
    </row>
    <row r="8" spans="1:181" ht="43.5" customHeight="1" thickBot="1" x14ac:dyDescent="0.3">
      <c r="A8" s="1">
        <v>3394</v>
      </c>
      <c r="B8" s="27" t="s">
        <v>151</v>
      </c>
      <c r="C8" s="27" t="s">
        <v>152</v>
      </c>
      <c r="D8" s="2"/>
      <c r="E8" s="3">
        <v>45913</v>
      </c>
      <c r="F8" s="3">
        <f t="shared" si="9"/>
        <v>46024</v>
      </c>
      <c r="G8" s="4">
        <v>80</v>
      </c>
      <c r="H8" s="377">
        <f t="shared" si="0"/>
        <v>40</v>
      </c>
      <c r="I8" s="377">
        <f t="shared" si="1"/>
        <v>40</v>
      </c>
      <c r="J8" s="355" t="s">
        <v>1340</v>
      </c>
      <c r="K8" s="15">
        <v>45000</v>
      </c>
      <c r="L8" s="7">
        <v>97200</v>
      </c>
      <c r="M8" s="8">
        <f t="shared" si="2"/>
        <v>6075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 t="s">
        <v>143</v>
      </c>
      <c r="EL8" s="9"/>
      <c r="EM8" s="9" t="s">
        <v>143</v>
      </c>
      <c r="EN8" s="9" t="s">
        <v>143</v>
      </c>
      <c r="EO8" s="9"/>
      <c r="EP8" s="9"/>
      <c r="EQ8" s="9"/>
      <c r="ER8" s="9"/>
      <c r="ES8" s="9" t="s">
        <v>143</v>
      </c>
      <c r="ET8" s="9"/>
      <c r="EU8" s="9"/>
      <c r="EV8" s="9" t="s">
        <v>143</v>
      </c>
      <c r="EW8" s="9"/>
      <c r="EX8" s="9"/>
      <c r="EY8" s="9"/>
      <c r="EZ8" s="9"/>
      <c r="FA8" s="9"/>
      <c r="FB8" s="9"/>
      <c r="FC8" s="9" t="s">
        <v>143</v>
      </c>
      <c r="FD8" s="9"/>
      <c r="FE8" s="9"/>
      <c r="FF8" s="9"/>
      <c r="FG8" s="9"/>
      <c r="FH8" s="9"/>
      <c r="FI8" s="9"/>
      <c r="FJ8" s="9"/>
      <c r="FK8" s="9"/>
      <c r="FL8" s="9">
        <v>24300</v>
      </c>
      <c r="FM8" s="9"/>
      <c r="FN8" s="9"/>
      <c r="FO8" s="9"/>
      <c r="FP8" s="43">
        <v>24300</v>
      </c>
      <c r="FQ8" s="43"/>
      <c r="FR8" s="9"/>
      <c r="FS8" s="9"/>
      <c r="FT8" s="9">
        <f t="shared" si="3"/>
        <v>48600</v>
      </c>
      <c r="FU8" s="10">
        <f t="shared" si="4"/>
        <v>48600</v>
      </c>
      <c r="FV8" s="11">
        <f t="shared" si="5"/>
        <v>8</v>
      </c>
      <c r="FW8" s="11">
        <f t="shared" si="6"/>
        <v>8</v>
      </c>
      <c r="FX8" s="12">
        <f t="shared" si="7"/>
        <v>2</v>
      </c>
      <c r="FY8" s="12">
        <f t="shared" si="8"/>
        <v>2</v>
      </c>
    </row>
    <row r="9" spans="1:181" ht="43.5" customHeight="1" thickBot="1" x14ac:dyDescent="0.3">
      <c r="A9" s="1">
        <v>3474</v>
      </c>
      <c r="B9" s="27" t="s">
        <v>151</v>
      </c>
      <c r="C9" s="27" t="s">
        <v>152</v>
      </c>
      <c r="D9" s="2"/>
      <c r="E9" s="3">
        <v>45962</v>
      </c>
      <c r="F9" s="3">
        <f t="shared" ref="F8:F31" si="10">WORKDAY(E9,G9)</f>
        <v>46001</v>
      </c>
      <c r="G9" s="4">
        <v>28</v>
      </c>
      <c r="H9" s="377" t="e">
        <f t="shared" si="0"/>
        <v>#VALUE!</v>
      </c>
      <c r="I9" s="377" t="e">
        <f t="shared" si="1"/>
        <v>#VALUE!</v>
      </c>
      <c r="J9" s="355" t="s">
        <v>403</v>
      </c>
      <c r="K9" s="7">
        <v>100000</v>
      </c>
      <c r="L9" s="7">
        <v>160000</v>
      </c>
      <c r="M9" s="8" t="s">
        <v>143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 t="s">
        <v>143</v>
      </c>
      <c r="EL9" s="9"/>
      <c r="EM9" s="9" t="s">
        <v>143</v>
      </c>
      <c r="EN9" s="9" t="s">
        <v>143</v>
      </c>
      <c r="EO9" s="9"/>
      <c r="EP9" s="9"/>
      <c r="EQ9" s="9"/>
      <c r="ER9" s="9"/>
      <c r="ES9" s="9" t="s">
        <v>143</v>
      </c>
      <c r="ET9" s="9"/>
      <c r="EU9" s="9"/>
      <c r="EV9" s="9" t="s">
        <v>143</v>
      </c>
      <c r="EW9" s="9"/>
      <c r="EX9" s="9"/>
      <c r="EY9" s="9"/>
      <c r="EZ9" s="9"/>
      <c r="FA9" s="9"/>
      <c r="FB9" s="9"/>
      <c r="FC9" s="9" t="s">
        <v>143</v>
      </c>
      <c r="FD9" s="9"/>
      <c r="FE9" s="9"/>
      <c r="FF9" s="9"/>
      <c r="FG9" s="9"/>
      <c r="FH9" s="9"/>
      <c r="FI9" s="9"/>
      <c r="FJ9" s="9"/>
      <c r="FK9" s="9"/>
      <c r="FL9" s="9" t="s">
        <v>143</v>
      </c>
      <c r="FM9" s="9"/>
      <c r="FN9" s="9"/>
      <c r="FO9" s="9"/>
      <c r="FP9" s="9"/>
      <c r="FQ9" s="9"/>
      <c r="FR9" s="9"/>
      <c r="FS9" s="9"/>
      <c r="FT9" s="9">
        <f t="shared" si="3"/>
        <v>0</v>
      </c>
      <c r="FU9" s="10">
        <f t="shared" si="4"/>
        <v>160000</v>
      </c>
      <c r="FV9" s="11" t="e">
        <f t="shared" si="5"/>
        <v>#VALUE!</v>
      </c>
      <c r="FW9" s="11" t="e">
        <f t="shared" si="6"/>
        <v>#VALUE!</v>
      </c>
      <c r="FX9" s="12" t="e">
        <f t="shared" si="7"/>
        <v>#VALUE!</v>
      </c>
      <c r="FY9" s="12" t="e">
        <f t="shared" si="8"/>
        <v>#VALUE!</v>
      </c>
    </row>
    <row r="10" spans="1:181" ht="43.5" customHeight="1" thickBot="1" x14ac:dyDescent="0.3">
      <c r="A10" s="1">
        <v>3368</v>
      </c>
      <c r="B10" s="27" t="s">
        <v>156</v>
      </c>
      <c r="C10" s="27" t="s">
        <v>157</v>
      </c>
      <c r="D10" s="2"/>
      <c r="E10" s="3">
        <v>45894</v>
      </c>
      <c r="F10" s="3">
        <f>WORKDAY(E10,G10)</f>
        <v>45992</v>
      </c>
      <c r="G10" s="4">
        <v>70</v>
      </c>
      <c r="H10" s="377">
        <f t="shared" si="0"/>
        <v>40</v>
      </c>
      <c r="I10" s="377">
        <f t="shared" si="1"/>
        <v>30</v>
      </c>
      <c r="J10" s="355" t="s">
        <v>1321</v>
      </c>
      <c r="K10" s="7">
        <v>454000</v>
      </c>
      <c r="L10" s="7">
        <v>987000</v>
      </c>
      <c r="M10" s="8">
        <f t="shared" ref="M10:M35" si="11">(L10/G10)*5</f>
        <v>70500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 t="s">
        <v>143</v>
      </c>
      <c r="EL10" s="9"/>
      <c r="EM10" s="9" t="s">
        <v>143</v>
      </c>
      <c r="EN10" s="9" t="s">
        <v>143</v>
      </c>
      <c r="EO10" s="9"/>
      <c r="EP10" s="9"/>
      <c r="EQ10" s="9"/>
      <c r="ER10" s="9"/>
      <c r="ES10" s="9" t="s">
        <v>143</v>
      </c>
      <c r="ET10" s="9"/>
      <c r="EU10" s="9"/>
      <c r="EV10" s="9" t="s">
        <v>143</v>
      </c>
      <c r="EW10" s="9"/>
      <c r="EX10" s="9"/>
      <c r="EY10" s="9"/>
      <c r="EZ10" s="9"/>
      <c r="FA10" s="9"/>
      <c r="FB10" s="9"/>
      <c r="FC10" s="9" t="s">
        <v>143</v>
      </c>
      <c r="FD10" s="9"/>
      <c r="FE10" s="9"/>
      <c r="FF10" s="9"/>
      <c r="FG10" s="9">
        <v>100000</v>
      </c>
      <c r="FH10" s="9">
        <v>41000</v>
      </c>
      <c r="FI10" s="9">
        <v>141000</v>
      </c>
      <c r="FJ10" s="9"/>
      <c r="FK10" s="9"/>
      <c r="FL10" s="9">
        <v>141000</v>
      </c>
      <c r="FM10" s="9"/>
      <c r="FN10" s="9"/>
      <c r="FO10" s="9"/>
      <c r="FP10" s="9">
        <v>100000</v>
      </c>
      <c r="FQ10" s="9">
        <v>41000</v>
      </c>
      <c r="FR10" s="9"/>
      <c r="FS10" s="9"/>
      <c r="FT10" s="9">
        <f t="shared" si="3"/>
        <v>564000</v>
      </c>
      <c r="FU10" s="10">
        <f t="shared" si="4"/>
        <v>423000</v>
      </c>
      <c r="FV10" s="11">
        <f t="shared" si="5"/>
        <v>8</v>
      </c>
      <c r="FW10" s="11">
        <f t="shared" si="6"/>
        <v>6</v>
      </c>
      <c r="FX10" s="12">
        <f t="shared" si="7"/>
        <v>2</v>
      </c>
      <c r="FY10" s="12">
        <f t="shared" si="8"/>
        <v>1.5</v>
      </c>
    </row>
    <row r="11" spans="1:181" ht="43.5" customHeight="1" thickBot="1" x14ac:dyDescent="0.3">
      <c r="A11" s="1">
        <v>3464</v>
      </c>
      <c r="B11" s="27" t="s">
        <v>1429</v>
      </c>
      <c r="C11" s="155" t="s">
        <v>973</v>
      </c>
      <c r="D11" s="44"/>
      <c r="E11" s="156">
        <v>45957</v>
      </c>
      <c r="F11" s="3">
        <f t="shared" si="10"/>
        <v>46027</v>
      </c>
      <c r="G11" s="164">
        <v>50</v>
      </c>
      <c r="H11" s="377">
        <f t="shared" si="0"/>
        <v>25</v>
      </c>
      <c r="I11" s="377">
        <f t="shared" si="1"/>
        <v>25</v>
      </c>
      <c r="J11" s="155" t="s">
        <v>1384</v>
      </c>
      <c r="K11" s="162">
        <v>200000</v>
      </c>
      <c r="L11" s="162">
        <v>500000</v>
      </c>
      <c r="M11" s="8">
        <f t="shared" si="11"/>
        <v>50000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 t="s">
        <v>143</v>
      </c>
      <c r="EL11" s="9"/>
      <c r="EM11" s="9" t="s">
        <v>143</v>
      </c>
      <c r="EN11" s="9" t="s">
        <v>143</v>
      </c>
      <c r="EO11" s="9"/>
      <c r="EP11" s="9"/>
      <c r="EQ11" s="9"/>
      <c r="ER11" s="9"/>
      <c r="ES11" s="9" t="s">
        <v>143</v>
      </c>
      <c r="ET11" s="9"/>
      <c r="EU11" s="9"/>
      <c r="EV11" s="9" t="s">
        <v>143</v>
      </c>
      <c r="EW11" s="9"/>
      <c r="EX11" s="9"/>
      <c r="EY11" s="9"/>
      <c r="EZ11" s="9"/>
      <c r="FA11" s="9"/>
      <c r="FB11" s="9"/>
      <c r="FC11" s="9" t="s">
        <v>143</v>
      </c>
      <c r="FD11" s="9"/>
      <c r="FE11" s="9"/>
      <c r="FF11" s="9"/>
      <c r="FG11" s="9"/>
      <c r="FH11" s="9"/>
      <c r="FI11" s="9"/>
      <c r="FJ11" s="9"/>
      <c r="FK11" s="9"/>
      <c r="FL11" s="9" t="s">
        <v>143</v>
      </c>
      <c r="FM11" s="9"/>
      <c r="FN11" s="9">
        <v>50000</v>
      </c>
      <c r="FO11" s="9">
        <v>50000</v>
      </c>
      <c r="FP11" s="9">
        <v>50000</v>
      </c>
      <c r="FQ11" s="9">
        <v>50000</v>
      </c>
      <c r="FR11" s="9"/>
      <c r="FS11" s="9">
        <v>50000</v>
      </c>
      <c r="FT11" s="9">
        <f t="shared" si="3"/>
        <v>250000</v>
      </c>
      <c r="FU11" s="10">
        <f t="shared" si="4"/>
        <v>250000</v>
      </c>
      <c r="FV11" s="11">
        <f t="shared" si="5"/>
        <v>5</v>
      </c>
      <c r="FW11" s="11">
        <f t="shared" si="6"/>
        <v>5</v>
      </c>
      <c r="FX11" s="12">
        <f t="shared" si="7"/>
        <v>1.25</v>
      </c>
      <c r="FY11" s="12">
        <f t="shared" si="8"/>
        <v>1.25</v>
      </c>
    </row>
    <row r="12" spans="1:181" ht="43.5" customHeight="1" thickBot="1" x14ac:dyDescent="0.3">
      <c r="A12" s="1">
        <v>3296</v>
      </c>
      <c r="B12" s="27" t="s">
        <v>159</v>
      </c>
      <c r="C12" s="27" t="s">
        <v>160</v>
      </c>
      <c r="D12" s="2"/>
      <c r="E12" s="3">
        <v>45857</v>
      </c>
      <c r="F12" s="3">
        <f t="shared" si="10"/>
        <v>46010</v>
      </c>
      <c r="G12" s="4">
        <v>110</v>
      </c>
      <c r="H12" s="377">
        <f t="shared" si="0"/>
        <v>82.467948717948715</v>
      </c>
      <c r="I12" s="377">
        <f t="shared" si="1"/>
        <v>27.532051282051285</v>
      </c>
      <c r="J12" s="155" t="s">
        <v>1277</v>
      </c>
      <c r="K12" s="7">
        <v>130000</v>
      </c>
      <c r="L12" s="7">
        <v>343200</v>
      </c>
      <c r="M12" s="8">
        <f t="shared" si="11"/>
        <v>15600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 t="s">
        <v>143</v>
      </c>
      <c r="EL12" s="9"/>
      <c r="EM12" s="9" t="s">
        <v>143</v>
      </c>
      <c r="EN12" s="9" t="s">
        <v>143</v>
      </c>
      <c r="EO12" s="9"/>
      <c r="EP12" s="9"/>
      <c r="EQ12" s="9"/>
      <c r="ER12" s="9"/>
      <c r="ES12" s="9" t="s">
        <v>143</v>
      </c>
      <c r="ET12" s="9"/>
      <c r="EU12" s="9"/>
      <c r="EV12" s="9" t="s">
        <v>143</v>
      </c>
      <c r="EW12" s="9"/>
      <c r="EX12" s="9"/>
      <c r="EY12" s="9"/>
      <c r="EZ12" s="9">
        <v>6000</v>
      </c>
      <c r="FA12" s="9">
        <v>25200</v>
      </c>
      <c r="FB12" s="9">
        <v>15600</v>
      </c>
      <c r="FC12" s="9">
        <v>15600</v>
      </c>
      <c r="FD12" s="9">
        <v>15700</v>
      </c>
      <c r="FE12" s="9">
        <v>9400</v>
      </c>
      <c r="FF12" s="9">
        <v>15600</v>
      </c>
      <c r="FG12" s="9">
        <v>15600</v>
      </c>
      <c r="FH12" s="9">
        <v>15600</v>
      </c>
      <c r="FI12" s="9"/>
      <c r="FJ12" s="9">
        <v>30000</v>
      </c>
      <c r="FK12" s="9">
        <v>15600</v>
      </c>
      <c r="FL12" s="9">
        <v>15600</v>
      </c>
      <c r="FM12" s="9">
        <v>15600</v>
      </c>
      <c r="FN12" s="9">
        <v>15600</v>
      </c>
      <c r="FO12" s="9">
        <v>15600</v>
      </c>
      <c r="FP12" s="9">
        <v>15000</v>
      </c>
      <c r="FQ12" s="9"/>
      <c r="FR12" s="9"/>
      <c r="FS12" s="9"/>
      <c r="FT12" s="9">
        <f t="shared" si="3"/>
        <v>257300</v>
      </c>
      <c r="FU12" s="10">
        <f t="shared" si="4"/>
        <v>85900</v>
      </c>
      <c r="FV12" s="11">
        <f t="shared" si="5"/>
        <v>16.493589743589745</v>
      </c>
      <c r="FW12" s="11">
        <f t="shared" si="6"/>
        <v>5.5064102564102573</v>
      </c>
      <c r="FX12" s="12">
        <f t="shared" si="7"/>
        <v>4.1233974358974361</v>
      </c>
      <c r="FY12" s="12">
        <f t="shared" si="8"/>
        <v>1.3766025641025643</v>
      </c>
    </row>
    <row r="13" spans="1:181" ht="43.5" customHeight="1" thickBot="1" x14ac:dyDescent="0.3">
      <c r="A13" s="1">
        <v>3395</v>
      </c>
      <c r="B13" s="27" t="s">
        <v>159</v>
      </c>
      <c r="C13" s="27" t="s">
        <v>160</v>
      </c>
      <c r="D13" s="2"/>
      <c r="E13" s="3">
        <v>45913</v>
      </c>
      <c r="F13" s="3">
        <f t="shared" si="10"/>
        <v>46014</v>
      </c>
      <c r="G13" s="4">
        <v>72</v>
      </c>
      <c r="H13" s="377">
        <f t="shared" si="0"/>
        <v>54.9</v>
      </c>
      <c r="I13" s="377">
        <f t="shared" si="1"/>
        <v>17.100000000000001</v>
      </c>
      <c r="J13" s="155" t="s">
        <v>165</v>
      </c>
      <c r="K13" s="7">
        <v>200000</v>
      </c>
      <c r="L13" s="7">
        <v>432000</v>
      </c>
      <c r="M13" s="8">
        <f t="shared" si="11"/>
        <v>30000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 t="s">
        <v>143</v>
      </c>
      <c r="EL13" s="9"/>
      <c r="EM13" s="9" t="s">
        <v>143</v>
      </c>
      <c r="EN13" s="9" t="s">
        <v>143</v>
      </c>
      <c r="EO13" s="9"/>
      <c r="EP13" s="9"/>
      <c r="EQ13" s="9"/>
      <c r="ER13" s="9"/>
      <c r="ES13" s="9" t="s">
        <v>143</v>
      </c>
      <c r="ET13" s="9"/>
      <c r="EU13" s="9"/>
      <c r="EV13" s="9" t="s">
        <v>143</v>
      </c>
      <c r="EW13" s="9"/>
      <c r="EX13" s="9"/>
      <c r="EY13" s="9"/>
      <c r="EZ13" s="9"/>
      <c r="FA13" s="9"/>
      <c r="FB13" s="9"/>
      <c r="FC13" s="9" t="s">
        <v>143</v>
      </c>
      <c r="FD13" s="9"/>
      <c r="FE13" s="9"/>
      <c r="FF13" s="9"/>
      <c r="FG13" s="9"/>
      <c r="FH13" s="9">
        <v>29400</v>
      </c>
      <c r="FI13" s="9"/>
      <c r="FJ13" s="9">
        <v>60000</v>
      </c>
      <c r="FK13" s="9">
        <v>30000</v>
      </c>
      <c r="FL13" s="9">
        <v>30000</v>
      </c>
      <c r="FM13" s="9">
        <v>30000</v>
      </c>
      <c r="FN13" s="9">
        <v>30000</v>
      </c>
      <c r="FO13" s="9">
        <v>30000</v>
      </c>
      <c r="FP13" s="9">
        <v>30000</v>
      </c>
      <c r="FQ13" s="9"/>
      <c r="FR13" s="9">
        <v>60000</v>
      </c>
      <c r="FS13" s="9"/>
      <c r="FT13" s="9">
        <f t="shared" si="3"/>
        <v>329400</v>
      </c>
      <c r="FU13" s="10">
        <f t="shared" si="4"/>
        <v>102600</v>
      </c>
      <c r="FV13" s="11">
        <f t="shared" si="5"/>
        <v>10.98</v>
      </c>
      <c r="FW13" s="11">
        <f t="shared" si="6"/>
        <v>3.4200000000000004</v>
      </c>
      <c r="FX13" s="12">
        <f t="shared" si="7"/>
        <v>2.7450000000000001</v>
      </c>
      <c r="FY13" s="12">
        <f t="shared" si="8"/>
        <v>0.85500000000000009</v>
      </c>
    </row>
    <row r="14" spans="1:181" ht="43.5" customHeight="1" thickBot="1" x14ac:dyDescent="0.3">
      <c r="A14" s="1">
        <v>3448</v>
      </c>
      <c r="B14" s="27" t="s">
        <v>159</v>
      </c>
      <c r="C14" s="27" t="s">
        <v>160</v>
      </c>
      <c r="D14" s="2"/>
      <c r="E14" s="3">
        <v>45948</v>
      </c>
      <c r="F14" s="3">
        <f t="shared" si="10"/>
        <v>46049</v>
      </c>
      <c r="G14" s="4">
        <v>72</v>
      </c>
      <c r="H14" s="377">
        <f t="shared" si="0"/>
        <v>33.333333333333336</v>
      </c>
      <c r="I14" s="377">
        <f t="shared" si="1"/>
        <v>38.666666666666664</v>
      </c>
      <c r="J14" s="155" t="s">
        <v>161</v>
      </c>
      <c r="K14" s="7">
        <v>100000</v>
      </c>
      <c r="L14" s="7">
        <v>216000</v>
      </c>
      <c r="M14" s="21">
        <f t="shared" si="11"/>
        <v>15000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 t="s">
        <v>143</v>
      </c>
      <c r="EL14" s="9"/>
      <c r="EM14" s="9" t="s">
        <v>143</v>
      </c>
      <c r="EN14" s="9" t="s">
        <v>143</v>
      </c>
      <c r="EO14" s="9"/>
      <c r="EP14" s="9"/>
      <c r="EQ14" s="9"/>
      <c r="ER14" s="9"/>
      <c r="ES14" s="9" t="s">
        <v>143</v>
      </c>
      <c r="ET14" s="9"/>
      <c r="EU14" s="9"/>
      <c r="EV14" s="9" t="s">
        <v>143</v>
      </c>
      <c r="EW14" s="9"/>
      <c r="EX14" s="9"/>
      <c r="EY14" s="9"/>
      <c r="EZ14" s="9"/>
      <c r="FA14" s="9"/>
      <c r="FB14" s="9"/>
      <c r="FC14" s="9" t="s">
        <v>143</v>
      </c>
      <c r="FD14" s="9"/>
      <c r="FE14" s="9"/>
      <c r="FF14" s="9"/>
      <c r="FG14" s="9"/>
      <c r="FH14" s="9"/>
      <c r="FI14" s="9"/>
      <c r="FJ14" s="9"/>
      <c r="FK14" s="9"/>
      <c r="FL14" s="9"/>
      <c r="FM14" s="9">
        <v>15000</v>
      </c>
      <c r="FN14" s="9">
        <v>15000</v>
      </c>
      <c r="FO14" s="9">
        <v>15000</v>
      </c>
      <c r="FP14" s="9">
        <v>15000</v>
      </c>
      <c r="FQ14" s="9"/>
      <c r="FR14" s="9">
        <v>40000</v>
      </c>
      <c r="FS14" s="9"/>
      <c r="FT14" s="9">
        <f t="shared" si="3"/>
        <v>100000</v>
      </c>
      <c r="FU14" s="10">
        <f t="shared" si="4"/>
        <v>116000</v>
      </c>
      <c r="FV14" s="11">
        <f t="shared" si="5"/>
        <v>6.666666666666667</v>
      </c>
      <c r="FW14" s="11">
        <f t="shared" si="6"/>
        <v>7.7333333333333325</v>
      </c>
      <c r="FX14" s="12">
        <f t="shared" si="7"/>
        <v>1.6666666666666667</v>
      </c>
      <c r="FY14" s="12">
        <f t="shared" si="8"/>
        <v>1.9333333333333331</v>
      </c>
    </row>
    <row r="15" spans="1:181" ht="43.5" customHeight="1" thickBot="1" x14ac:dyDescent="0.3">
      <c r="A15" s="1">
        <v>3466</v>
      </c>
      <c r="B15" s="27" t="s">
        <v>159</v>
      </c>
      <c r="C15" s="27" t="s">
        <v>160</v>
      </c>
      <c r="D15" s="2"/>
      <c r="E15" s="3">
        <v>45958</v>
      </c>
      <c r="F15" s="3">
        <f t="shared" si="10"/>
        <v>46058</v>
      </c>
      <c r="G15" s="4">
        <v>72</v>
      </c>
      <c r="H15" s="377">
        <f t="shared" si="0"/>
        <v>25</v>
      </c>
      <c r="I15" s="377">
        <f t="shared" si="1"/>
        <v>47</v>
      </c>
      <c r="J15" s="155" t="s">
        <v>165</v>
      </c>
      <c r="K15" s="10">
        <v>200000</v>
      </c>
      <c r="L15" s="10">
        <v>432000</v>
      </c>
      <c r="M15" s="8">
        <f t="shared" si="11"/>
        <v>30000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 t="s">
        <v>143</v>
      </c>
      <c r="EL15" s="9"/>
      <c r="EM15" s="9" t="s">
        <v>143</v>
      </c>
      <c r="EN15" s="9" t="s">
        <v>143</v>
      </c>
      <c r="EO15" s="9"/>
      <c r="EP15" s="9"/>
      <c r="EQ15" s="9"/>
      <c r="ER15" s="9"/>
      <c r="ES15" s="9" t="s">
        <v>143</v>
      </c>
      <c r="ET15" s="9"/>
      <c r="EU15" s="9"/>
      <c r="EV15" s="9" t="s">
        <v>143</v>
      </c>
      <c r="EW15" s="9"/>
      <c r="EX15" s="9"/>
      <c r="EY15" s="9"/>
      <c r="EZ15" s="9"/>
      <c r="FA15" s="9"/>
      <c r="FB15" s="9"/>
      <c r="FC15" s="9" t="s">
        <v>143</v>
      </c>
      <c r="FD15" s="9"/>
      <c r="FE15" s="9"/>
      <c r="FF15" s="9"/>
      <c r="FG15" s="9"/>
      <c r="FH15" s="9"/>
      <c r="FI15" s="9"/>
      <c r="FJ15" s="9"/>
      <c r="FK15" s="9"/>
      <c r="FL15" s="9" t="s">
        <v>143</v>
      </c>
      <c r="FM15" s="9"/>
      <c r="FN15" s="9">
        <v>30000</v>
      </c>
      <c r="FO15" s="9">
        <v>30000</v>
      </c>
      <c r="FP15" s="9">
        <v>30000</v>
      </c>
      <c r="FQ15" s="9"/>
      <c r="FR15" s="9">
        <v>60000</v>
      </c>
      <c r="FS15" s="9"/>
      <c r="FT15" s="9">
        <f t="shared" si="3"/>
        <v>150000</v>
      </c>
      <c r="FU15" s="10">
        <f t="shared" si="4"/>
        <v>282000</v>
      </c>
      <c r="FV15" s="11">
        <f t="shared" si="5"/>
        <v>5</v>
      </c>
      <c r="FW15" s="11">
        <f t="shared" si="6"/>
        <v>9.4</v>
      </c>
      <c r="FX15" s="12">
        <f t="shared" si="7"/>
        <v>1.25</v>
      </c>
      <c r="FY15" s="12">
        <f t="shared" si="8"/>
        <v>2.35</v>
      </c>
    </row>
    <row r="16" spans="1:181" ht="43.5" customHeight="1" thickBot="1" x14ac:dyDescent="0.3">
      <c r="A16" s="17">
        <v>3522</v>
      </c>
      <c r="B16" s="27" t="s">
        <v>159</v>
      </c>
      <c r="C16" s="27" t="s">
        <v>160</v>
      </c>
      <c r="D16" s="2"/>
      <c r="E16" s="3">
        <v>45990</v>
      </c>
      <c r="F16" s="3">
        <f t="shared" si="10"/>
        <v>46091</v>
      </c>
      <c r="G16" s="4">
        <v>72</v>
      </c>
      <c r="H16" s="377">
        <f t="shared" si="0"/>
        <v>0</v>
      </c>
      <c r="I16" s="377">
        <f t="shared" si="1"/>
        <v>72</v>
      </c>
      <c r="J16" s="155" t="s">
        <v>227</v>
      </c>
      <c r="K16" s="10">
        <v>50000</v>
      </c>
      <c r="L16" s="10">
        <v>108000</v>
      </c>
      <c r="M16" s="8">
        <f t="shared" si="11"/>
        <v>7500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 t="s">
        <v>143</v>
      </c>
      <c r="EL16" s="9"/>
      <c r="EM16" s="9" t="s">
        <v>143</v>
      </c>
      <c r="EN16" s="9" t="s">
        <v>143</v>
      </c>
      <c r="EO16" s="9"/>
      <c r="EP16" s="9"/>
      <c r="EQ16" s="9"/>
      <c r="ER16" s="9"/>
      <c r="ES16" s="9" t="s">
        <v>143</v>
      </c>
      <c r="ET16" s="9"/>
      <c r="EU16" s="9"/>
      <c r="EV16" s="9" t="s">
        <v>143</v>
      </c>
      <c r="EW16" s="9"/>
      <c r="EX16" s="9"/>
      <c r="EY16" s="9"/>
      <c r="EZ16" s="9"/>
      <c r="FA16" s="9"/>
      <c r="FB16" s="9"/>
      <c r="FC16" s="9" t="s">
        <v>143</v>
      </c>
      <c r="FD16" s="9"/>
      <c r="FE16" s="9"/>
      <c r="FF16" s="9"/>
      <c r="FG16" s="9"/>
      <c r="FH16" s="9"/>
      <c r="FI16" s="9"/>
      <c r="FJ16" s="9"/>
      <c r="FK16" s="9"/>
      <c r="FL16" s="9" t="s">
        <v>143</v>
      </c>
      <c r="FM16" s="9"/>
      <c r="FN16" s="9"/>
      <c r="FO16" s="9"/>
      <c r="FP16" s="9"/>
      <c r="FQ16" s="9"/>
      <c r="FR16" s="9"/>
      <c r="FS16" s="9"/>
      <c r="FT16" s="9">
        <f t="shared" si="3"/>
        <v>0</v>
      </c>
      <c r="FU16" s="10">
        <f t="shared" si="4"/>
        <v>108000</v>
      </c>
      <c r="FV16" s="11">
        <f t="shared" si="5"/>
        <v>0</v>
      </c>
      <c r="FW16" s="11">
        <f t="shared" si="6"/>
        <v>14.4</v>
      </c>
      <c r="FX16" s="12">
        <f t="shared" si="7"/>
        <v>0</v>
      </c>
      <c r="FY16" s="12">
        <f t="shared" si="8"/>
        <v>3.6</v>
      </c>
    </row>
    <row r="17" spans="1:181" ht="43.5" customHeight="1" thickBot="1" x14ac:dyDescent="0.3">
      <c r="A17" s="1">
        <v>3233</v>
      </c>
      <c r="B17" s="27" t="s">
        <v>166</v>
      </c>
      <c r="C17" s="27" t="s">
        <v>167</v>
      </c>
      <c r="D17" s="2"/>
      <c r="E17" s="3">
        <v>45818</v>
      </c>
      <c r="F17" s="3">
        <f t="shared" si="10"/>
        <v>45986</v>
      </c>
      <c r="G17" s="4">
        <v>120</v>
      </c>
      <c r="H17" s="377">
        <f t="shared" si="0"/>
        <v>81.060606060606062</v>
      </c>
      <c r="I17" s="377">
        <f t="shared" si="1"/>
        <v>38.939393939393938</v>
      </c>
      <c r="J17" s="355" t="s">
        <v>1241</v>
      </c>
      <c r="K17" s="7">
        <v>120000</v>
      </c>
      <c r="L17" s="7">
        <v>316800</v>
      </c>
      <c r="M17" s="8">
        <f t="shared" si="11"/>
        <v>13200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 t="s">
        <v>143</v>
      </c>
      <c r="EL17" s="9"/>
      <c r="EM17" s="9" t="s">
        <v>143</v>
      </c>
      <c r="EN17" s="9" t="s">
        <v>143</v>
      </c>
      <c r="EO17" s="9"/>
      <c r="EP17" s="9"/>
      <c r="EQ17" s="9"/>
      <c r="ER17" s="9"/>
      <c r="ES17" s="9" t="s">
        <v>143</v>
      </c>
      <c r="ET17" s="9"/>
      <c r="EU17" s="9"/>
      <c r="EV17" s="9"/>
      <c r="EW17" s="9"/>
      <c r="EX17" s="9"/>
      <c r="EY17" s="9"/>
      <c r="EZ17" s="9">
        <v>50000</v>
      </c>
      <c r="FA17" s="9"/>
      <c r="FB17" s="9"/>
      <c r="FC17" s="9"/>
      <c r="FD17" s="9"/>
      <c r="FE17" s="9"/>
      <c r="FF17" s="9">
        <v>50000</v>
      </c>
      <c r="FG17" s="9"/>
      <c r="FH17" s="9"/>
      <c r="FI17" s="9">
        <v>56000</v>
      </c>
      <c r="FJ17" s="9"/>
      <c r="FK17" s="9"/>
      <c r="FL17" s="9"/>
      <c r="FM17" s="9"/>
      <c r="FN17" s="9"/>
      <c r="FO17" s="9"/>
      <c r="FP17" s="9">
        <v>58000</v>
      </c>
      <c r="FQ17" s="9"/>
      <c r="FR17" s="9"/>
      <c r="FS17" s="9"/>
      <c r="FT17" s="9">
        <f t="shared" si="3"/>
        <v>214000</v>
      </c>
      <c r="FU17" s="10">
        <f t="shared" si="4"/>
        <v>102800</v>
      </c>
      <c r="FV17" s="11">
        <f t="shared" si="5"/>
        <v>16.212121212121211</v>
      </c>
      <c r="FW17" s="11">
        <f t="shared" si="6"/>
        <v>7.7878787878787872</v>
      </c>
      <c r="FX17" s="12">
        <f t="shared" si="7"/>
        <v>4.0530303030303028</v>
      </c>
      <c r="FY17" s="12">
        <f t="shared" si="8"/>
        <v>1.9469696969696968</v>
      </c>
    </row>
    <row r="18" spans="1:181" ht="43.5" customHeight="1" thickBot="1" x14ac:dyDescent="0.3">
      <c r="A18" s="1">
        <v>3147</v>
      </c>
      <c r="B18" s="27" t="s">
        <v>169</v>
      </c>
      <c r="C18" s="27" t="s">
        <v>170</v>
      </c>
      <c r="D18" s="2">
        <v>27252034574</v>
      </c>
      <c r="E18" s="3">
        <v>45757</v>
      </c>
      <c r="F18" s="3">
        <f>WORKDAY(E18,G18)</f>
        <v>45981</v>
      </c>
      <c r="G18" s="4">
        <v>160</v>
      </c>
      <c r="H18" s="377">
        <f t="shared" si="0"/>
        <v>119.82456140350877</v>
      </c>
      <c r="I18" s="377">
        <f t="shared" si="1"/>
        <v>40.175438596491233</v>
      </c>
      <c r="J18" s="192" t="s">
        <v>1188</v>
      </c>
      <c r="K18" s="7">
        <v>300000</v>
      </c>
      <c r="L18" s="7">
        <v>912000</v>
      </c>
      <c r="M18" s="23">
        <f t="shared" si="11"/>
        <v>28500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 t="s">
        <v>143</v>
      </c>
      <c r="EL18" s="9" t="s">
        <v>143</v>
      </c>
      <c r="EM18" s="9"/>
      <c r="EN18" s="9"/>
      <c r="EO18" s="9">
        <v>57000</v>
      </c>
      <c r="EP18" s="9"/>
      <c r="EQ18" s="9">
        <v>58000</v>
      </c>
      <c r="ER18" s="9"/>
      <c r="ES18" s="9"/>
      <c r="ET18" s="9">
        <v>51000</v>
      </c>
      <c r="EU18" s="9">
        <v>57000</v>
      </c>
      <c r="EV18" s="9"/>
      <c r="EW18" s="9"/>
      <c r="EX18" s="9"/>
      <c r="EY18" s="9">
        <v>57000</v>
      </c>
      <c r="EZ18" s="9"/>
      <c r="FA18" s="9"/>
      <c r="FB18" s="9">
        <v>58000</v>
      </c>
      <c r="FC18" s="9"/>
      <c r="FD18" s="9">
        <v>57000</v>
      </c>
      <c r="FE18" s="9"/>
      <c r="FF18" s="9">
        <v>57000</v>
      </c>
      <c r="FG18" s="9"/>
      <c r="FH18" s="9">
        <v>58000</v>
      </c>
      <c r="FI18" s="9"/>
      <c r="FJ18" s="9"/>
      <c r="FK18" s="9">
        <v>57000</v>
      </c>
      <c r="FL18" s="9"/>
      <c r="FM18" s="9"/>
      <c r="FN18" s="9"/>
      <c r="FO18" s="9">
        <v>58000</v>
      </c>
      <c r="FP18" s="9"/>
      <c r="FQ18" s="9">
        <v>58000</v>
      </c>
      <c r="FR18" s="9"/>
      <c r="FS18" s="9"/>
      <c r="FT18" s="9">
        <f t="shared" si="3"/>
        <v>683000</v>
      </c>
      <c r="FU18" s="10">
        <f t="shared" si="4"/>
        <v>229000</v>
      </c>
      <c r="FV18" s="11">
        <f t="shared" si="5"/>
        <v>23.964912280701753</v>
      </c>
      <c r="FW18" s="11">
        <f t="shared" si="6"/>
        <v>8.0350877192982466</v>
      </c>
      <c r="FX18" s="12">
        <f t="shared" si="7"/>
        <v>5.9912280701754383</v>
      </c>
      <c r="FY18" s="12">
        <f t="shared" si="8"/>
        <v>2.0087719298245617</v>
      </c>
    </row>
    <row r="19" spans="1:181" ht="43.5" customHeight="1" thickBot="1" x14ac:dyDescent="0.3">
      <c r="A19" s="1">
        <v>3279</v>
      </c>
      <c r="B19" s="27" t="s">
        <v>169</v>
      </c>
      <c r="C19" s="27" t="s">
        <v>170</v>
      </c>
      <c r="D19" s="2">
        <v>27252034574</v>
      </c>
      <c r="E19" s="3">
        <v>45846</v>
      </c>
      <c r="F19" s="3">
        <f t="shared" si="10"/>
        <v>45874</v>
      </c>
      <c r="G19" s="4">
        <v>20</v>
      </c>
      <c r="H19" s="377">
        <f t="shared" si="0"/>
        <v>14.444444444444445</v>
      </c>
      <c r="I19" s="377">
        <f t="shared" si="1"/>
        <v>5.5555555555555554</v>
      </c>
      <c r="J19" s="155" t="s">
        <v>1268</v>
      </c>
      <c r="K19" s="19">
        <v>150000</v>
      </c>
      <c r="L19" s="7">
        <v>234000</v>
      </c>
      <c r="M19" s="8">
        <f t="shared" si="11"/>
        <v>58500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 t="s">
        <v>143</v>
      </c>
      <c r="EL19" s="9"/>
      <c r="EM19" s="9" t="s">
        <v>143</v>
      </c>
      <c r="EN19" s="9" t="s">
        <v>143</v>
      </c>
      <c r="EO19" s="9"/>
      <c r="EP19" s="9"/>
      <c r="EQ19" s="9"/>
      <c r="ER19" s="9"/>
      <c r="ES19" s="9" t="s">
        <v>143</v>
      </c>
      <c r="ET19" s="9"/>
      <c r="EU19" s="9"/>
      <c r="EV19" s="9" t="s">
        <v>143</v>
      </c>
      <c r="EW19" s="9"/>
      <c r="EX19" s="9"/>
      <c r="EY19" s="9">
        <v>52000</v>
      </c>
      <c r="EZ19" s="9"/>
      <c r="FA19" s="9"/>
      <c r="FB19" s="9"/>
      <c r="FC19" s="9"/>
      <c r="FD19" s="9"/>
      <c r="FE19" s="9"/>
      <c r="FF19" s="9"/>
      <c r="FG19" s="9"/>
      <c r="FH19" s="9"/>
      <c r="FI19" s="9">
        <v>25000</v>
      </c>
      <c r="FJ19" s="9"/>
      <c r="FK19" s="9"/>
      <c r="FL19" s="9">
        <v>22000</v>
      </c>
      <c r="FM19" s="9">
        <v>20000</v>
      </c>
      <c r="FN19" s="9"/>
      <c r="FO19" s="9"/>
      <c r="FP19" s="9"/>
      <c r="FQ19" s="9">
        <v>50000</v>
      </c>
      <c r="FR19" s="9"/>
      <c r="FS19" s="9"/>
      <c r="FT19" s="9">
        <f t="shared" si="3"/>
        <v>169000</v>
      </c>
      <c r="FU19" s="10">
        <f t="shared" si="4"/>
        <v>65000</v>
      </c>
      <c r="FV19" s="11">
        <f t="shared" si="5"/>
        <v>2.8888888888888888</v>
      </c>
      <c r="FW19" s="11">
        <f t="shared" si="6"/>
        <v>1.1111111111111112</v>
      </c>
      <c r="FX19" s="12">
        <f t="shared" si="7"/>
        <v>0.72222222222222221</v>
      </c>
      <c r="FY19" s="12">
        <f t="shared" si="8"/>
        <v>0.27777777777777779</v>
      </c>
    </row>
    <row r="20" spans="1:181" ht="43.5" customHeight="1" thickBot="1" x14ac:dyDescent="0.3">
      <c r="A20" s="1">
        <v>2991</v>
      </c>
      <c r="B20" s="27" t="s">
        <v>172</v>
      </c>
      <c r="C20" s="27" t="s">
        <v>173</v>
      </c>
      <c r="D20" s="2" t="s">
        <v>174</v>
      </c>
      <c r="E20" s="3">
        <v>45664</v>
      </c>
      <c r="F20" s="3">
        <f t="shared" si="10"/>
        <v>45944</v>
      </c>
      <c r="G20" s="4">
        <v>200</v>
      </c>
      <c r="H20" s="377">
        <f t="shared" si="0"/>
        <v>160.0297619047619</v>
      </c>
      <c r="I20" s="377">
        <f t="shared" si="1"/>
        <v>39.970238095238102</v>
      </c>
      <c r="J20" s="355" t="s">
        <v>177</v>
      </c>
      <c r="K20" s="7">
        <v>400000</v>
      </c>
      <c r="L20" s="7">
        <v>1344000</v>
      </c>
      <c r="M20" s="8">
        <f t="shared" si="11"/>
        <v>33600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>
        <v>134400</v>
      </c>
      <c r="ED20" s="9"/>
      <c r="EE20" s="9"/>
      <c r="EF20" s="9"/>
      <c r="EG20" s="9">
        <v>134400</v>
      </c>
      <c r="EH20" s="9"/>
      <c r="EI20" s="9"/>
      <c r="EJ20" s="9"/>
      <c r="EK20" s="9">
        <v>134400</v>
      </c>
      <c r="EL20" s="9"/>
      <c r="EM20" s="9"/>
      <c r="EN20" s="9"/>
      <c r="EO20" s="9"/>
      <c r="EP20" s="9">
        <v>134400</v>
      </c>
      <c r="EQ20" s="9"/>
      <c r="ER20" s="9"/>
      <c r="ES20" s="9"/>
      <c r="ET20" s="9"/>
      <c r="EU20" s="9"/>
      <c r="EV20" s="9"/>
      <c r="EW20" s="9">
        <v>134550</v>
      </c>
      <c r="EX20" s="9"/>
      <c r="EY20" s="9">
        <v>50</v>
      </c>
      <c r="EZ20" s="9"/>
      <c r="FA20" s="9"/>
      <c r="FB20" s="9">
        <v>134400</v>
      </c>
      <c r="FC20" s="9"/>
      <c r="FD20" s="9"/>
      <c r="FE20" s="9"/>
      <c r="FF20" s="9"/>
      <c r="FG20" s="9"/>
      <c r="FH20" s="9">
        <v>134400</v>
      </c>
      <c r="FI20" s="9"/>
      <c r="FJ20" s="9"/>
      <c r="FK20" s="9"/>
      <c r="FL20" s="9"/>
      <c r="FM20" s="9"/>
      <c r="FN20" s="9"/>
      <c r="FO20" s="9">
        <v>134400</v>
      </c>
      <c r="FP20" s="9"/>
      <c r="FQ20" s="9"/>
      <c r="FR20" s="9"/>
      <c r="FS20" s="9"/>
      <c r="FT20" s="9">
        <f t="shared" si="3"/>
        <v>1075400</v>
      </c>
      <c r="FU20" s="10">
        <f t="shared" si="4"/>
        <v>268600</v>
      </c>
      <c r="FV20" s="11">
        <f t="shared" si="5"/>
        <v>32.00595238095238</v>
      </c>
      <c r="FW20" s="11">
        <f t="shared" si="6"/>
        <v>7.9940476190476204</v>
      </c>
      <c r="FX20" s="12">
        <f t="shared" si="7"/>
        <v>8.0014880952380949</v>
      </c>
      <c r="FY20" s="12">
        <f t="shared" si="8"/>
        <v>1.9985119047619051</v>
      </c>
    </row>
    <row r="21" spans="1:181" ht="43.5" customHeight="1" thickBot="1" x14ac:dyDescent="0.3">
      <c r="A21" s="1">
        <v>3139</v>
      </c>
      <c r="B21" s="27" t="s">
        <v>172</v>
      </c>
      <c r="C21" s="27" t="s">
        <v>173</v>
      </c>
      <c r="D21" s="2" t="s">
        <v>174</v>
      </c>
      <c r="E21" s="3">
        <v>45750</v>
      </c>
      <c r="F21" s="3">
        <f>WORKDAY(E21,G21)</f>
        <v>45974</v>
      </c>
      <c r="G21" s="4">
        <v>160</v>
      </c>
      <c r="H21" s="377">
        <f t="shared" si="0"/>
        <v>91.671111111111117</v>
      </c>
      <c r="I21" s="377">
        <f t="shared" si="1"/>
        <v>68.328888888888883</v>
      </c>
      <c r="J21" s="355" t="s">
        <v>178</v>
      </c>
      <c r="K21" s="7">
        <v>300000</v>
      </c>
      <c r="L21" s="7">
        <v>900000</v>
      </c>
      <c r="M21" s="8">
        <f t="shared" si="11"/>
        <v>28125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 t="s">
        <v>143</v>
      </c>
      <c r="EJ21" s="9"/>
      <c r="EK21" s="9" t="s">
        <v>143</v>
      </c>
      <c r="EL21" s="9"/>
      <c r="EM21" s="9"/>
      <c r="EN21" s="9"/>
      <c r="EO21" s="9"/>
      <c r="EP21" s="9">
        <v>112500</v>
      </c>
      <c r="EQ21" s="9"/>
      <c r="ER21" s="9"/>
      <c r="ES21" s="9"/>
      <c r="ET21" s="9"/>
      <c r="EU21" s="9"/>
      <c r="EV21" s="9"/>
      <c r="EW21" s="9">
        <v>112500</v>
      </c>
      <c r="EX21" s="9"/>
      <c r="EY21" s="9"/>
      <c r="EZ21" s="9"/>
      <c r="FA21" s="9"/>
      <c r="FB21" s="9">
        <v>112500</v>
      </c>
      <c r="FC21" s="9"/>
      <c r="FD21" s="9"/>
      <c r="FE21" s="9"/>
      <c r="FF21" s="9"/>
      <c r="FG21" s="9"/>
      <c r="FH21" s="9">
        <v>65650</v>
      </c>
      <c r="FI21" s="9"/>
      <c r="FJ21" s="9"/>
      <c r="FK21" s="9"/>
      <c r="FL21" s="9"/>
      <c r="FM21" s="9"/>
      <c r="FN21" s="9"/>
      <c r="FO21" s="9">
        <v>112500</v>
      </c>
      <c r="FP21" s="9"/>
      <c r="FQ21" s="9"/>
      <c r="FR21" s="9"/>
      <c r="FS21" s="9"/>
      <c r="FT21" s="9">
        <f t="shared" si="3"/>
        <v>515650</v>
      </c>
      <c r="FU21" s="10">
        <f t="shared" si="4"/>
        <v>384350</v>
      </c>
      <c r="FV21" s="11">
        <f t="shared" si="5"/>
        <v>18.334222222222223</v>
      </c>
      <c r="FW21" s="11">
        <f t="shared" si="6"/>
        <v>13.665777777777777</v>
      </c>
      <c r="FX21" s="12">
        <f t="shared" si="7"/>
        <v>4.5835555555555558</v>
      </c>
      <c r="FY21" s="12">
        <f t="shared" si="8"/>
        <v>3.4164444444444442</v>
      </c>
    </row>
    <row r="22" spans="1:181" ht="43.5" customHeight="1" thickBot="1" x14ac:dyDescent="0.3">
      <c r="A22" s="1">
        <v>3341</v>
      </c>
      <c r="B22" s="27" t="s">
        <v>172</v>
      </c>
      <c r="C22" s="27" t="s">
        <v>173</v>
      </c>
      <c r="D22" s="2" t="s">
        <v>174</v>
      </c>
      <c r="E22" s="3">
        <v>45878</v>
      </c>
      <c r="F22" s="3">
        <f t="shared" si="10"/>
        <v>46157</v>
      </c>
      <c r="G22" s="4">
        <v>200</v>
      </c>
      <c r="H22" s="377">
        <f t="shared" si="0"/>
        <v>3.4038461538461537</v>
      </c>
      <c r="I22" s="377">
        <f t="shared" si="1"/>
        <v>196.59615384615384</v>
      </c>
      <c r="J22" s="355" t="s">
        <v>1298</v>
      </c>
      <c r="K22" s="10">
        <v>1000000</v>
      </c>
      <c r="L22" s="10">
        <v>3120000</v>
      </c>
      <c r="M22" s="8">
        <f t="shared" si="11"/>
        <v>78000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 t="s">
        <v>143</v>
      </c>
      <c r="EL22" s="9"/>
      <c r="EM22" s="9" t="s">
        <v>143</v>
      </c>
      <c r="EN22" s="9" t="s">
        <v>143</v>
      </c>
      <c r="EO22" s="9"/>
      <c r="EP22" s="9"/>
      <c r="EQ22" s="9"/>
      <c r="ER22" s="9"/>
      <c r="ES22" s="9" t="s">
        <v>143</v>
      </c>
      <c r="ET22" s="9"/>
      <c r="EU22" s="9"/>
      <c r="EV22" s="9" t="s">
        <v>143</v>
      </c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>
        <v>53100</v>
      </c>
      <c r="FP22" s="9"/>
      <c r="FQ22" s="9"/>
      <c r="FR22" s="9"/>
      <c r="FS22" s="9"/>
      <c r="FT22" s="9">
        <f t="shared" si="3"/>
        <v>53100</v>
      </c>
      <c r="FU22" s="10">
        <f t="shared" si="4"/>
        <v>3066900</v>
      </c>
      <c r="FV22" s="11">
        <f t="shared" si="5"/>
        <v>0.68076923076923079</v>
      </c>
      <c r="FW22" s="11">
        <f t="shared" si="6"/>
        <v>39.319230769230771</v>
      </c>
      <c r="FX22" s="12">
        <f t="shared" si="7"/>
        <v>0.1701923076923077</v>
      </c>
      <c r="FY22" s="12">
        <f t="shared" si="8"/>
        <v>9.8298076923076927</v>
      </c>
    </row>
    <row r="23" spans="1:181" ht="43.5" customHeight="1" thickBot="1" x14ac:dyDescent="0.3">
      <c r="A23" s="1">
        <v>3347</v>
      </c>
      <c r="B23" s="27" t="s">
        <v>1207</v>
      </c>
      <c r="C23" s="27" t="s">
        <v>1208</v>
      </c>
      <c r="D23" s="2"/>
      <c r="E23" s="3">
        <v>45883</v>
      </c>
      <c r="F23" s="3">
        <f t="shared" si="10"/>
        <v>46051</v>
      </c>
      <c r="G23" s="4">
        <v>120</v>
      </c>
      <c r="H23" s="377">
        <f t="shared" si="0"/>
        <v>80</v>
      </c>
      <c r="I23" s="377">
        <f t="shared" si="1"/>
        <v>40</v>
      </c>
      <c r="J23" s="355" t="s">
        <v>1276</v>
      </c>
      <c r="K23" s="10">
        <v>400000</v>
      </c>
      <c r="L23" s="10">
        <v>1056000</v>
      </c>
      <c r="M23" s="8">
        <f t="shared" si="11"/>
        <v>44000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 t="s">
        <v>143</v>
      </c>
      <c r="EL23" s="9"/>
      <c r="EM23" s="9" t="s">
        <v>143</v>
      </c>
      <c r="EN23" s="9" t="s">
        <v>143</v>
      </c>
      <c r="EO23" s="9"/>
      <c r="EP23" s="9"/>
      <c r="EQ23" s="9"/>
      <c r="ER23" s="9"/>
      <c r="ES23" s="9" t="s">
        <v>143</v>
      </c>
      <c r="ET23" s="9"/>
      <c r="EU23" s="9"/>
      <c r="EV23" s="9" t="s">
        <v>143</v>
      </c>
      <c r="EW23" s="9"/>
      <c r="EX23" s="9"/>
      <c r="EY23" s="9"/>
      <c r="EZ23" s="9"/>
      <c r="FA23" s="9"/>
      <c r="FB23" s="9"/>
      <c r="FC23" s="9"/>
      <c r="FD23" s="9"/>
      <c r="FE23" s="9"/>
      <c r="FF23" s="9">
        <v>176000</v>
      </c>
      <c r="FG23" s="9"/>
      <c r="FH23" s="9"/>
      <c r="FI23" s="9"/>
      <c r="FJ23" s="9">
        <v>176000</v>
      </c>
      <c r="FK23" s="9"/>
      <c r="FL23" s="9"/>
      <c r="FM23" s="9" t="s">
        <v>143</v>
      </c>
      <c r="FN23" s="9"/>
      <c r="FO23" s="9">
        <v>176000</v>
      </c>
      <c r="FP23" s="9"/>
      <c r="FQ23" s="9"/>
      <c r="FR23" s="9"/>
      <c r="FS23" s="9">
        <v>176000</v>
      </c>
      <c r="FT23" s="9">
        <f t="shared" si="3"/>
        <v>704000</v>
      </c>
      <c r="FU23" s="10">
        <f t="shared" si="4"/>
        <v>352000</v>
      </c>
      <c r="FV23" s="11">
        <f t="shared" si="5"/>
        <v>16</v>
      </c>
      <c r="FW23" s="11">
        <f t="shared" si="6"/>
        <v>8</v>
      </c>
      <c r="FX23" s="12">
        <f t="shared" si="7"/>
        <v>4</v>
      </c>
      <c r="FY23" s="12">
        <f t="shared" si="8"/>
        <v>2</v>
      </c>
    </row>
    <row r="24" spans="1:181" ht="43.5" customHeight="1" thickBot="1" x14ac:dyDescent="0.3">
      <c r="A24" s="1">
        <v>3391</v>
      </c>
      <c r="B24" s="27" t="s">
        <v>1207</v>
      </c>
      <c r="C24" s="27" t="s">
        <v>1208</v>
      </c>
      <c r="D24" s="2"/>
      <c r="E24" s="3">
        <v>45912</v>
      </c>
      <c r="F24" s="3">
        <f>WORKDAY(E24,G24)</f>
        <v>46014</v>
      </c>
      <c r="G24" s="4">
        <v>72</v>
      </c>
      <c r="H24" s="377">
        <f t="shared" si="0"/>
        <v>60.057471264367813</v>
      </c>
      <c r="I24" s="377">
        <f t="shared" si="1"/>
        <v>11.942528735632187</v>
      </c>
      <c r="J24" s="155" t="s">
        <v>1346</v>
      </c>
      <c r="K24" s="7">
        <v>290000</v>
      </c>
      <c r="L24" s="7">
        <v>626400</v>
      </c>
      <c r="M24" s="8">
        <f t="shared" si="11"/>
        <v>43500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 t="s">
        <v>143</v>
      </c>
      <c r="EL24" s="9"/>
      <c r="EM24" s="9" t="s">
        <v>143</v>
      </c>
      <c r="EN24" s="9" t="s">
        <v>143</v>
      </c>
      <c r="EO24" s="9"/>
      <c r="EP24" s="9"/>
      <c r="EQ24" s="9"/>
      <c r="ER24" s="9"/>
      <c r="ES24" s="9" t="s">
        <v>143</v>
      </c>
      <c r="ET24" s="9"/>
      <c r="EU24" s="9"/>
      <c r="EV24" s="9" t="s">
        <v>143</v>
      </c>
      <c r="EW24" s="9"/>
      <c r="EX24" s="9"/>
      <c r="EY24" s="9"/>
      <c r="EZ24" s="9"/>
      <c r="FA24" s="9"/>
      <c r="FB24" s="9"/>
      <c r="FC24" s="9" t="s">
        <v>143</v>
      </c>
      <c r="FD24" s="9"/>
      <c r="FE24" s="9"/>
      <c r="FF24" s="9"/>
      <c r="FG24" s="9"/>
      <c r="FH24" s="9">
        <v>43500</v>
      </c>
      <c r="FI24" s="9">
        <v>43500</v>
      </c>
      <c r="FJ24" s="9">
        <v>43500</v>
      </c>
      <c r="FK24" s="9">
        <v>43500</v>
      </c>
      <c r="FL24" s="9">
        <v>43500</v>
      </c>
      <c r="FM24" s="9">
        <v>44000</v>
      </c>
      <c r="FN24" s="9">
        <v>43500</v>
      </c>
      <c r="FO24" s="9">
        <v>43500</v>
      </c>
      <c r="FP24" s="9">
        <v>43500</v>
      </c>
      <c r="FQ24" s="9">
        <v>43500</v>
      </c>
      <c r="FR24" s="9">
        <v>43500</v>
      </c>
      <c r="FS24" s="9">
        <v>43500</v>
      </c>
      <c r="FT24" s="9">
        <f t="shared" si="3"/>
        <v>522500</v>
      </c>
      <c r="FU24" s="10">
        <f t="shared" si="4"/>
        <v>103900</v>
      </c>
      <c r="FV24" s="11">
        <f t="shared" si="5"/>
        <v>12.011494252873563</v>
      </c>
      <c r="FW24" s="11">
        <f t="shared" si="6"/>
        <v>2.3885057471264375</v>
      </c>
      <c r="FX24" s="12">
        <f t="shared" si="7"/>
        <v>3.0028735632183907</v>
      </c>
      <c r="FY24" s="12">
        <f t="shared" si="8"/>
        <v>0.59712643678160937</v>
      </c>
    </row>
    <row r="25" spans="1:181" ht="43.5" customHeight="1" thickBot="1" x14ac:dyDescent="0.3">
      <c r="A25" s="1">
        <v>3404</v>
      </c>
      <c r="B25" s="27" t="s">
        <v>179</v>
      </c>
      <c r="C25" s="27" t="s">
        <v>180</v>
      </c>
      <c r="D25" s="2"/>
      <c r="E25" s="3">
        <v>45919</v>
      </c>
      <c r="F25" s="3">
        <f t="shared" si="10"/>
        <v>46073</v>
      </c>
      <c r="G25" s="4">
        <v>110</v>
      </c>
      <c r="H25" s="377">
        <f t="shared" si="0"/>
        <v>34.479166666666664</v>
      </c>
      <c r="I25" s="377">
        <f t="shared" si="1"/>
        <v>75.520833333333343</v>
      </c>
      <c r="J25" s="155" t="s">
        <v>1348</v>
      </c>
      <c r="K25" s="7">
        <v>120000</v>
      </c>
      <c r="L25" s="7">
        <v>316800</v>
      </c>
      <c r="M25" s="8">
        <f t="shared" si="11"/>
        <v>14400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 t="s">
        <v>143</v>
      </c>
      <c r="EL25" s="9"/>
      <c r="EM25" s="9" t="s">
        <v>143</v>
      </c>
      <c r="EN25" s="9" t="s">
        <v>143</v>
      </c>
      <c r="EO25" s="9"/>
      <c r="EP25" s="9"/>
      <c r="EQ25" s="9"/>
      <c r="ER25" s="9"/>
      <c r="ES25" s="9" t="s">
        <v>143</v>
      </c>
      <c r="ET25" s="9"/>
      <c r="EU25" s="9"/>
      <c r="EV25" s="9" t="s">
        <v>143</v>
      </c>
      <c r="EW25" s="9"/>
      <c r="EX25" s="9"/>
      <c r="EY25" s="9"/>
      <c r="EZ25" s="9"/>
      <c r="FA25" s="9"/>
      <c r="FB25" s="9"/>
      <c r="FC25" s="9" t="s">
        <v>143</v>
      </c>
      <c r="FD25" s="9"/>
      <c r="FE25" s="9"/>
      <c r="FF25" s="9"/>
      <c r="FG25" s="9"/>
      <c r="FH25" s="9"/>
      <c r="FI25" s="9"/>
      <c r="FJ25" s="9"/>
      <c r="FK25" s="9">
        <v>14400</v>
      </c>
      <c r="FL25" s="9"/>
      <c r="FM25" s="9">
        <v>14600</v>
      </c>
      <c r="FN25" s="9">
        <v>13700</v>
      </c>
      <c r="FO25" s="9">
        <v>15000</v>
      </c>
      <c r="FP25" s="9">
        <v>10000</v>
      </c>
      <c r="FQ25" s="9">
        <v>10100</v>
      </c>
      <c r="FR25" s="9">
        <v>7500</v>
      </c>
      <c r="FS25" s="9">
        <v>14000</v>
      </c>
      <c r="FT25" s="9">
        <f t="shared" si="3"/>
        <v>99300</v>
      </c>
      <c r="FU25" s="10">
        <f t="shared" si="4"/>
        <v>217500</v>
      </c>
      <c r="FV25" s="11">
        <f t="shared" si="5"/>
        <v>6.895833333333333</v>
      </c>
      <c r="FW25" s="11">
        <f t="shared" si="6"/>
        <v>15.104166666666668</v>
      </c>
      <c r="FX25" s="12">
        <f t="shared" si="7"/>
        <v>1.7239583333333333</v>
      </c>
      <c r="FY25" s="12">
        <f t="shared" si="8"/>
        <v>3.776041666666667</v>
      </c>
    </row>
    <row r="26" spans="1:181" ht="43.5" customHeight="1" thickBot="1" x14ac:dyDescent="0.3">
      <c r="A26" s="1">
        <v>3414</v>
      </c>
      <c r="B26" s="2" t="s">
        <v>183</v>
      </c>
      <c r="C26" s="2" t="s">
        <v>184</v>
      </c>
      <c r="D26" s="28"/>
      <c r="E26" s="3">
        <v>45923</v>
      </c>
      <c r="F26" s="3">
        <f t="shared" si="10"/>
        <v>46007</v>
      </c>
      <c r="G26" s="4">
        <v>60</v>
      </c>
      <c r="H26" s="377">
        <f t="shared" si="0"/>
        <v>29.6875</v>
      </c>
      <c r="I26" s="377">
        <f t="shared" si="1"/>
        <v>30.3125</v>
      </c>
      <c r="J26" s="363" t="s">
        <v>1351</v>
      </c>
      <c r="K26" s="7">
        <v>2000000</v>
      </c>
      <c r="L26" s="7">
        <v>3840000</v>
      </c>
      <c r="M26" s="8">
        <f t="shared" si="11"/>
        <v>320000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 t="s">
        <v>143</v>
      </c>
      <c r="EL26" s="9"/>
      <c r="EM26" s="9" t="s">
        <v>143</v>
      </c>
      <c r="EN26" s="9" t="s">
        <v>143</v>
      </c>
      <c r="EO26" s="9"/>
      <c r="EP26" s="9"/>
      <c r="EQ26" s="9"/>
      <c r="ER26" s="9"/>
      <c r="ES26" s="9" t="s">
        <v>143</v>
      </c>
      <c r="ET26" s="9"/>
      <c r="EU26" s="9"/>
      <c r="EV26" s="9" t="s">
        <v>143</v>
      </c>
      <c r="EW26" s="9"/>
      <c r="EX26" s="9"/>
      <c r="EY26" s="9"/>
      <c r="EZ26" s="9"/>
      <c r="FA26" s="9"/>
      <c r="FB26" s="9"/>
      <c r="FC26" s="9" t="s">
        <v>143</v>
      </c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>
        <v>800000</v>
      </c>
      <c r="FO26" s="9">
        <v>400000</v>
      </c>
      <c r="FP26" s="9"/>
      <c r="FQ26" s="9"/>
      <c r="FR26" s="9">
        <v>700000</v>
      </c>
      <c r="FS26" s="9"/>
      <c r="FT26" s="9">
        <f t="shared" si="3"/>
        <v>1900000</v>
      </c>
      <c r="FU26" s="10">
        <f t="shared" si="4"/>
        <v>1940000</v>
      </c>
      <c r="FV26" s="11">
        <f t="shared" si="5"/>
        <v>5.9375</v>
      </c>
      <c r="FW26" s="11">
        <f t="shared" si="6"/>
        <v>6.0625</v>
      </c>
      <c r="FX26" s="12">
        <f t="shared" si="7"/>
        <v>1.484375</v>
      </c>
      <c r="FY26" s="12">
        <f t="shared" si="8"/>
        <v>1.515625</v>
      </c>
    </row>
    <row r="27" spans="1:181" ht="43.5" customHeight="1" thickBot="1" x14ac:dyDescent="0.3">
      <c r="A27" s="1">
        <v>3382</v>
      </c>
      <c r="B27" s="27" t="s">
        <v>186</v>
      </c>
      <c r="C27" s="27" t="s">
        <v>187</v>
      </c>
      <c r="D27" s="2"/>
      <c r="E27" s="3">
        <v>45908</v>
      </c>
      <c r="F27" s="3">
        <f t="shared" si="10"/>
        <v>46008</v>
      </c>
      <c r="G27" s="4">
        <v>72</v>
      </c>
      <c r="H27" s="377">
        <f t="shared" si="0"/>
        <v>40</v>
      </c>
      <c r="I27" s="377">
        <f t="shared" si="1"/>
        <v>32</v>
      </c>
      <c r="J27" s="155" t="s">
        <v>165</v>
      </c>
      <c r="K27" s="20">
        <v>200000</v>
      </c>
      <c r="L27" s="7">
        <v>432000</v>
      </c>
      <c r="M27" s="8">
        <f t="shared" si="11"/>
        <v>30000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 t="s">
        <v>143</v>
      </c>
      <c r="EL27" s="9"/>
      <c r="EM27" s="9" t="s">
        <v>143</v>
      </c>
      <c r="EN27" s="9" t="s">
        <v>143</v>
      </c>
      <c r="EO27" s="9"/>
      <c r="EP27" s="9"/>
      <c r="EQ27" s="9"/>
      <c r="ER27" s="9"/>
      <c r="ES27" s="9" t="s">
        <v>143</v>
      </c>
      <c r="ET27" s="9"/>
      <c r="EU27" s="9"/>
      <c r="EV27" s="9" t="s">
        <v>143</v>
      </c>
      <c r="EW27" s="9"/>
      <c r="EX27" s="9"/>
      <c r="EY27" s="9"/>
      <c r="EZ27" s="9"/>
      <c r="FA27" s="9"/>
      <c r="FB27" s="9"/>
      <c r="FC27" s="9" t="s">
        <v>143</v>
      </c>
      <c r="FD27" s="9"/>
      <c r="FE27" s="9"/>
      <c r="FF27" s="9"/>
      <c r="FG27" s="9"/>
      <c r="FH27" s="9">
        <v>30000</v>
      </c>
      <c r="FI27" s="9">
        <v>15000</v>
      </c>
      <c r="FJ27" s="9">
        <v>15000</v>
      </c>
      <c r="FK27" s="9"/>
      <c r="FL27" s="9"/>
      <c r="FM27" s="9">
        <v>30000</v>
      </c>
      <c r="FN27" s="9">
        <v>30000</v>
      </c>
      <c r="FO27" s="9">
        <v>30000</v>
      </c>
      <c r="FP27" s="9">
        <v>30000</v>
      </c>
      <c r="FQ27" s="9">
        <v>30000</v>
      </c>
      <c r="FR27" s="9"/>
      <c r="FS27" s="9">
        <v>30000</v>
      </c>
      <c r="FT27" s="9">
        <f t="shared" si="3"/>
        <v>240000</v>
      </c>
      <c r="FU27" s="10">
        <f t="shared" si="4"/>
        <v>192000</v>
      </c>
      <c r="FV27" s="11">
        <f t="shared" si="5"/>
        <v>8</v>
      </c>
      <c r="FW27" s="11">
        <f t="shared" si="6"/>
        <v>6.4</v>
      </c>
      <c r="FX27" s="12">
        <f t="shared" si="7"/>
        <v>2</v>
      </c>
      <c r="FY27" s="12">
        <f t="shared" si="8"/>
        <v>1.6</v>
      </c>
    </row>
    <row r="28" spans="1:181" ht="43.5" customHeight="1" thickBot="1" x14ac:dyDescent="0.3">
      <c r="A28" s="1">
        <v>3452</v>
      </c>
      <c r="B28" s="27" t="s">
        <v>186</v>
      </c>
      <c r="C28" s="27" t="s">
        <v>187</v>
      </c>
      <c r="D28" s="2"/>
      <c r="E28" s="3">
        <v>45948</v>
      </c>
      <c r="F28" s="3">
        <f t="shared" si="10"/>
        <v>46049</v>
      </c>
      <c r="G28" s="4">
        <v>72</v>
      </c>
      <c r="H28" s="377">
        <f t="shared" si="0"/>
        <v>30</v>
      </c>
      <c r="I28" s="377">
        <f t="shared" si="1"/>
        <v>42</v>
      </c>
      <c r="J28" s="155" t="s">
        <v>165</v>
      </c>
      <c r="K28" s="177">
        <v>200000</v>
      </c>
      <c r="L28" s="10">
        <v>432000</v>
      </c>
      <c r="M28" s="21">
        <f t="shared" si="11"/>
        <v>30000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 t="s">
        <v>143</v>
      </c>
      <c r="EL28" s="9"/>
      <c r="EM28" s="9" t="s">
        <v>143</v>
      </c>
      <c r="EN28" s="9" t="s">
        <v>143</v>
      </c>
      <c r="EO28" s="9"/>
      <c r="EP28" s="9"/>
      <c r="EQ28" s="9"/>
      <c r="ER28" s="9"/>
      <c r="ES28" s="9" t="s">
        <v>143</v>
      </c>
      <c r="ET28" s="9"/>
      <c r="EU28" s="9"/>
      <c r="EV28" s="9" t="s">
        <v>143</v>
      </c>
      <c r="EW28" s="9"/>
      <c r="EX28" s="9"/>
      <c r="EY28" s="9"/>
      <c r="EZ28" s="9"/>
      <c r="FA28" s="9"/>
      <c r="FB28" s="9"/>
      <c r="FC28" s="9" t="s">
        <v>143</v>
      </c>
      <c r="FD28" s="9"/>
      <c r="FE28" s="9"/>
      <c r="FF28" s="9"/>
      <c r="FG28" s="9"/>
      <c r="FH28" s="9"/>
      <c r="FI28" s="9"/>
      <c r="FJ28" s="9"/>
      <c r="FK28" s="9"/>
      <c r="FL28" s="9" t="s">
        <v>143</v>
      </c>
      <c r="FM28" s="9">
        <v>30000</v>
      </c>
      <c r="FN28" s="9">
        <v>30000</v>
      </c>
      <c r="FO28" s="9">
        <v>30000</v>
      </c>
      <c r="FP28" s="9">
        <v>30000</v>
      </c>
      <c r="FQ28" s="9">
        <v>30000</v>
      </c>
      <c r="FR28" s="9"/>
      <c r="FS28" s="9">
        <v>30000</v>
      </c>
      <c r="FT28" s="9">
        <f t="shared" si="3"/>
        <v>180000</v>
      </c>
      <c r="FU28" s="10">
        <f t="shared" si="4"/>
        <v>252000</v>
      </c>
      <c r="FV28" s="11">
        <f t="shared" si="5"/>
        <v>6</v>
      </c>
      <c r="FW28" s="11">
        <f t="shared" si="6"/>
        <v>8.4</v>
      </c>
      <c r="FX28" s="12">
        <f t="shared" si="7"/>
        <v>1.5</v>
      </c>
      <c r="FY28" s="12">
        <f t="shared" si="8"/>
        <v>2.1</v>
      </c>
    </row>
    <row r="29" spans="1:181" ht="43.5" customHeight="1" thickBot="1" x14ac:dyDescent="0.3">
      <c r="A29" s="1">
        <v>3346</v>
      </c>
      <c r="B29" s="27" t="s">
        <v>189</v>
      </c>
      <c r="C29" s="27" t="s">
        <v>1387</v>
      </c>
      <c r="D29" s="2">
        <v>24016318</v>
      </c>
      <c r="E29" s="3">
        <v>45883</v>
      </c>
      <c r="F29" s="3">
        <f t="shared" si="10"/>
        <v>46037</v>
      </c>
      <c r="G29" s="4">
        <v>110</v>
      </c>
      <c r="H29" s="377">
        <f t="shared" si="0"/>
        <v>28.385416666666668</v>
      </c>
      <c r="I29" s="377">
        <f t="shared" si="1"/>
        <v>81.614583333333329</v>
      </c>
      <c r="J29" s="355" t="s">
        <v>1306</v>
      </c>
      <c r="K29" s="7">
        <v>800000</v>
      </c>
      <c r="L29" s="7">
        <v>2112000</v>
      </c>
      <c r="M29" s="8">
        <f t="shared" si="11"/>
        <v>96000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 t="s">
        <v>143</v>
      </c>
      <c r="EL29" s="9"/>
      <c r="EM29" s="9" t="s">
        <v>143</v>
      </c>
      <c r="EN29" s="9" t="s">
        <v>143</v>
      </c>
      <c r="EO29" s="9"/>
      <c r="EP29" s="9"/>
      <c r="EQ29" s="9"/>
      <c r="ER29" s="9"/>
      <c r="ES29" s="9" t="s">
        <v>143</v>
      </c>
      <c r="ET29" s="9"/>
      <c r="EU29" s="9"/>
      <c r="EV29" s="9" t="s">
        <v>143</v>
      </c>
      <c r="EW29" s="9"/>
      <c r="EX29" s="9"/>
      <c r="EY29" s="9"/>
      <c r="EZ29" s="9"/>
      <c r="FA29" s="9"/>
      <c r="FB29" s="9"/>
      <c r="FC29" s="9" t="s">
        <v>143</v>
      </c>
      <c r="FD29" s="9"/>
      <c r="FE29" s="9"/>
      <c r="FF29" s="9">
        <v>97000</v>
      </c>
      <c r="FG29" s="9"/>
      <c r="FH29" s="9">
        <v>97000</v>
      </c>
      <c r="FI29" s="9"/>
      <c r="FJ29" s="9"/>
      <c r="FK29" s="9">
        <v>97000</v>
      </c>
      <c r="FL29" s="9"/>
      <c r="FM29" s="9">
        <v>50000</v>
      </c>
      <c r="FN29" s="9">
        <v>47000</v>
      </c>
      <c r="FO29" s="9">
        <v>60000</v>
      </c>
      <c r="FP29" s="9"/>
      <c r="FQ29" s="9">
        <v>97000</v>
      </c>
      <c r="FR29" s="9"/>
      <c r="FS29" s="9"/>
      <c r="FT29" s="9">
        <f t="shared" si="3"/>
        <v>545000</v>
      </c>
      <c r="FU29" s="10">
        <f t="shared" si="4"/>
        <v>1567000</v>
      </c>
      <c r="FV29" s="11">
        <f t="shared" si="5"/>
        <v>5.6770833333333339</v>
      </c>
      <c r="FW29" s="11">
        <f t="shared" si="6"/>
        <v>16.322916666666664</v>
      </c>
      <c r="FX29" s="12">
        <f t="shared" si="7"/>
        <v>1.4192708333333335</v>
      </c>
      <c r="FY29" s="12">
        <f t="shared" si="8"/>
        <v>4.0807291666666661</v>
      </c>
    </row>
    <row r="30" spans="1:181" ht="43.5" customHeight="1" thickBot="1" x14ac:dyDescent="0.3">
      <c r="A30" s="1">
        <v>3383</v>
      </c>
      <c r="B30" s="27" t="s">
        <v>191</v>
      </c>
      <c r="C30" s="27" t="s">
        <v>192</v>
      </c>
      <c r="D30" s="2"/>
      <c r="E30" s="3">
        <v>45909</v>
      </c>
      <c r="F30" s="3">
        <f>WORKDAY(E30,G30)</f>
        <v>46021</v>
      </c>
      <c r="G30" s="4">
        <v>80</v>
      </c>
      <c r="H30" s="377">
        <f t="shared" si="0"/>
        <v>40</v>
      </c>
      <c r="I30" s="377">
        <f t="shared" si="1"/>
        <v>40</v>
      </c>
      <c r="J30" s="356" t="s">
        <v>914</v>
      </c>
      <c r="K30" s="21">
        <v>200000</v>
      </c>
      <c r="L30" s="7">
        <v>432000</v>
      </c>
      <c r="M30" s="8">
        <f t="shared" si="11"/>
        <v>27000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 t="s">
        <v>143</v>
      </c>
      <c r="EL30" s="9"/>
      <c r="EM30" s="9" t="s">
        <v>143</v>
      </c>
      <c r="EN30" s="9" t="s">
        <v>143</v>
      </c>
      <c r="EO30" s="9"/>
      <c r="EP30" s="9"/>
      <c r="EQ30" s="9"/>
      <c r="ER30" s="9"/>
      <c r="ES30" s="9" t="s">
        <v>143</v>
      </c>
      <c r="ET30" s="9"/>
      <c r="EU30" s="9"/>
      <c r="EV30" s="9" t="s">
        <v>143</v>
      </c>
      <c r="EW30" s="9"/>
      <c r="EX30" s="9"/>
      <c r="EY30" s="9"/>
      <c r="EZ30" s="9"/>
      <c r="FA30" s="9"/>
      <c r="FB30" s="9"/>
      <c r="FC30" s="9" t="s">
        <v>143</v>
      </c>
      <c r="FD30" s="9"/>
      <c r="FE30" s="9"/>
      <c r="FF30" s="9"/>
      <c r="FG30" s="9"/>
      <c r="FH30" s="9"/>
      <c r="FI30" s="9"/>
      <c r="FJ30" s="9"/>
      <c r="FK30" s="9">
        <v>108000</v>
      </c>
      <c r="FL30" s="9"/>
      <c r="FM30" s="9"/>
      <c r="FN30" s="9"/>
      <c r="FO30" s="9"/>
      <c r="FP30" s="9">
        <v>108000</v>
      </c>
      <c r="FQ30" s="9"/>
      <c r="FR30" s="9"/>
      <c r="FS30" s="9"/>
      <c r="FT30" s="9">
        <f t="shared" si="3"/>
        <v>216000</v>
      </c>
      <c r="FU30" s="10">
        <f t="shared" si="4"/>
        <v>216000</v>
      </c>
      <c r="FV30" s="11">
        <f t="shared" si="5"/>
        <v>8</v>
      </c>
      <c r="FW30" s="11">
        <f t="shared" si="6"/>
        <v>8</v>
      </c>
      <c r="FX30" s="12">
        <f t="shared" si="7"/>
        <v>2</v>
      </c>
      <c r="FY30" s="12">
        <f t="shared" si="8"/>
        <v>2</v>
      </c>
    </row>
    <row r="31" spans="1:181" ht="43.5" customHeight="1" thickBot="1" x14ac:dyDescent="0.3">
      <c r="A31" s="17">
        <v>3517</v>
      </c>
      <c r="B31" s="27" t="s">
        <v>191</v>
      </c>
      <c r="C31" s="27" t="s">
        <v>192</v>
      </c>
      <c r="D31" s="2"/>
      <c r="E31" s="3">
        <v>45909</v>
      </c>
      <c r="F31" s="3">
        <f t="shared" si="10"/>
        <v>46077</v>
      </c>
      <c r="G31" s="4">
        <v>120</v>
      </c>
      <c r="H31" s="377">
        <f t="shared" si="0"/>
        <v>0</v>
      </c>
      <c r="I31" s="377">
        <f t="shared" si="1"/>
        <v>120</v>
      </c>
      <c r="J31" s="356" t="s">
        <v>1421</v>
      </c>
      <c r="K31" s="21">
        <v>300000</v>
      </c>
      <c r="L31" s="7">
        <v>792000</v>
      </c>
      <c r="M31" s="21">
        <f t="shared" si="11"/>
        <v>33000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 t="s">
        <v>143</v>
      </c>
      <c r="EL31" s="9"/>
      <c r="EM31" s="9" t="s">
        <v>143</v>
      </c>
      <c r="EN31" s="9" t="s">
        <v>143</v>
      </c>
      <c r="EO31" s="9"/>
      <c r="EP31" s="9"/>
      <c r="EQ31" s="9"/>
      <c r="ER31" s="9"/>
      <c r="ES31" s="9" t="s">
        <v>143</v>
      </c>
      <c r="ET31" s="9"/>
      <c r="EU31" s="9"/>
      <c r="EV31" s="9" t="s">
        <v>143</v>
      </c>
      <c r="EW31" s="9"/>
      <c r="EX31" s="9"/>
      <c r="EY31" s="9"/>
      <c r="EZ31" s="9"/>
      <c r="FA31" s="9"/>
      <c r="FB31" s="9"/>
      <c r="FC31" s="9" t="s">
        <v>143</v>
      </c>
      <c r="FD31" s="9"/>
      <c r="FE31" s="9"/>
      <c r="FF31" s="9"/>
      <c r="FG31" s="9"/>
      <c r="FH31" s="9"/>
      <c r="FI31" s="9"/>
      <c r="FJ31" s="9"/>
      <c r="FK31" s="9"/>
      <c r="FL31" s="9" t="s">
        <v>143</v>
      </c>
      <c r="FM31" s="9"/>
      <c r="FN31" s="9"/>
      <c r="FO31" s="9"/>
      <c r="FP31" s="9"/>
      <c r="FQ31" s="9"/>
      <c r="FR31" s="9"/>
      <c r="FS31" s="9"/>
      <c r="FT31" s="9">
        <f t="shared" si="3"/>
        <v>0</v>
      </c>
      <c r="FU31" s="10">
        <f t="shared" si="4"/>
        <v>792000</v>
      </c>
      <c r="FV31" s="11">
        <f t="shared" si="5"/>
        <v>0</v>
      </c>
      <c r="FW31" s="11">
        <f t="shared" si="6"/>
        <v>24</v>
      </c>
      <c r="FX31" s="12">
        <f t="shared" si="7"/>
        <v>0</v>
      </c>
      <c r="FY31" s="12">
        <f t="shared" si="8"/>
        <v>6</v>
      </c>
    </row>
    <row r="32" spans="1:181" ht="43.5" customHeight="1" thickBot="1" x14ac:dyDescent="0.3">
      <c r="A32" s="17">
        <v>3490</v>
      </c>
      <c r="B32" s="27" t="s">
        <v>195</v>
      </c>
      <c r="C32" s="27" t="s">
        <v>196</v>
      </c>
      <c r="D32" s="2"/>
      <c r="E32" s="3">
        <v>45974</v>
      </c>
      <c r="F32" s="3">
        <f>WORKDAY(E32,G32)</f>
        <v>46198</v>
      </c>
      <c r="G32" s="4">
        <v>160</v>
      </c>
      <c r="H32" s="377">
        <f t="shared" si="0"/>
        <v>0</v>
      </c>
      <c r="I32" s="377">
        <f t="shared" si="1"/>
        <v>160</v>
      </c>
      <c r="J32" s="192" t="s">
        <v>1406</v>
      </c>
      <c r="K32" s="7">
        <v>300000</v>
      </c>
      <c r="L32" s="7">
        <v>864000</v>
      </c>
      <c r="M32" s="8">
        <f t="shared" si="11"/>
        <v>27000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 t="s">
        <v>143</v>
      </c>
      <c r="EL32" s="9"/>
      <c r="EM32" s="9" t="s">
        <v>143</v>
      </c>
      <c r="EN32" s="9" t="s">
        <v>143</v>
      </c>
      <c r="EO32" s="9"/>
      <c r="EP32" s="9"/>
      <c r="EQ32" s="9"/>
      <c r="ER32" s="9"/>
      <c r="ES32" s="9" t="s">
        <v>143</v>
      </c>
      <c r="ET32" s="9"/>
      <c r="EU32" s="9"/>
      <c r="EV32" s="9" t="s">
        <v>143</v>
      </c>
      <c r="EW32" s="9"/>
      <c r="EX32" s="9"/>
      <c r="EY32" s="9"/>
      <c r="EZ32" s="9"/>
      <c r="FA32" s="9"/>
      <c r="FB32" s="9"/>
      <c r="FC32" s="9" t="s">
        <v>143</v>
      </c>
      <c r="FD32" s="9"/>
      <c r="FE32" s="9"/>
      <c r="FF32" s="9"/>
      <c r="FG32" s="9"/>
      <c r="FH32" s="9"/>
      <c r="FI32" s="9"/>
      <c r="FJ32" s="9"/>
      <c r="FK32" s="9"/>
      <c r="FL32" s="9" t="s">
        <v>143</v>
      </c>
      <c r="FM32" s="9"/>
      <c r="FN32" s="9"/>
      <c r="FO32" s="9"/>
      <c r="FP32" s="9"/>
      <c r="FQ32" s="9"/>
      <c r="FR32" s="9"/>
      <c r="FS32" s="9"/>
      <c r="FT32" s="9">
        <f t="shared" si="3"/>
        <v>0</v>
      </c>
      <c r="FU32" s="10">
        <f t="shared" si="4"/>
        <v>864000</v>
      </c>
      <c r="FV32" s="11">
        <f t="shared" si="5"/>
        <v>0</v>
      </c>
      <c r="FW32" s="11">
        <f t="shared" si="6"/>
        <v>32</v>
      </c>
      <c r="FX32" s="12">
        <f t="shared" si="7"/>
        <v>0</v>
      </c>
      <c r="FY32" s="12">
        <f t="shared" si="8"/>
        <v>8</v>
      </c>
    </row>
    <row r="33" spans="1:181" ht="43.5" customHeight="1" thickBot="1" x14ac:dyDescent="0.3">
      <c r="A33" s="1">
        <v>3377</v>
      </c>
      <c r="B33" s="27" t="s">
        <v>201</v>
      </c>
      <c r="C33" s="27" t="s">
        <v>202</v>
      </c>
      <c r="D33" s="2">
        <v>20386454729</v>
      </c>
      <c r="E33" s="3">
        <v>45906</v>
      </c>
      <c r="F33" s="3">
        <f t="shared" ref="F29:F35" si="12">WORKDAY(E33,G33)</f>
        <v>46017</v>
      </c>
      <c r="G33" s="4">
        <v>80</v>
      </c>
      <c r="H33" s="377">
        <f t="shared" si="0"/>
        <v>40</v>
      </c>
      <c r="I33" s="377">
        <f t="shared" si="1"/>
        <v>40</v>
      </c>
      <c r="J33" s="355" t="s">
        <v>1325</v>
      </c>
      <c r="K33" s="7">
        <v>300000</v>
      </c>
      <c r="L33" s="7">
        <v>648000</v>
      </c>
      <c r="M33" s="21">
        <f t="shared" si="11"/>
        <v>40500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 t="s">
        <v>143</v>
      </c>
      <c r="EL33" s="9"/>
      <c r="EM33" s="9" t="s">
        <v>143</v>
      </c>
      <c r="EN33" s="9" t="s">
        <v>143</v>
      </c>
      <c r="EO33" s="9"/>
      <c r="EP33" s="9"/>
      <c r="EQ33" s="9"/>
      <c r="ER33" s="9"/>
      <c r="ES33" s="9" t="s">
        <v>143</v>
      </c>
      <c r="ET33" s="9"/>
      <c r="EU33" s="9"/>
      <c r="EV33" s="9" t="s">
        <v>143</v>
      </c>
      <c r="EW33" s="9"/>
      <c r="EX33" s="9"/>
      <c r="EY33" s="9"/>
      <c r="EZ33" s="9"/>
      <c r="FA33" s="9"/>
      <c r="FB33" s="9"/>
      <c r="FC33" s="9" t="s">
        <v>143</v>
      </c>
      <c r="FD33" s="9"/>
      <c r="FE33" s="9"/>
      <c r="FF33" s="9"/>
      <c r="FG33" s="9"/>
      <c r="FH33" s="9"/>
      <c r="FI33" s="9"/>
      <c r="FJ33" s="9"/>
      <c r="FK33" s="9">
        <v>162000</v>
      </c>
      <c r="FL33" s="9"/>
      <c r="FM33" s="9"/>
      <c r="FN33" s="9"/>
      <c r="FO33" s="9">
        <v>162000</v>
      </c>
      <c r="FP33" s="9"/>
      <c r="FQ33" s="9"/>
      <c r="FR33" s="9"/>
      <c r="FS33" s="9"/>
      <c r="FT33" s="9">
        <f t="shared" si="3"/>
        <v>324000</v>
      </c>
      <c r="FU33" s="10">
        <f t="shared" si="4"/>
        <v>324000</v>
      </c>
      <c r="FV33" s="11">
        <f t="shared" si="5"/>
        <v>8</v>
      </c>
      <c r="FW33" s="11">
        <f t="shared" si="6"/>
        <v>8</v>
      </c>
      <c r="FX33" s="12">
        <f t="shared" si="7"/>
        <v>2</v>
      </c>
      <c r="FY33" s="12">
        <f t="shared" si="8"/>
        <v>2</v>
      </c>
    </row>
    <row r="34" spans="1:181" ht="43.5" customHeight="1" thickBot="1" x14ac:dyDescent="0.3">
      <c r="A34" s="1">
        <v>3462</v>
      </c>
      <c r="B34" s="27" t="s">
        <v>201</v>
      </c>
      <c r="C34" s="27" t="s">
        <v>202</v>
      </c>
      <c r="D34" s="2">
        <v>20386454729</v>
      </c>
      <c r="E34" s="3">
        <v>45955</v>
      </c>
      <c r="F34" s="3">
        <f t="shared" si="12"/>
        <v>46066</v>
      </c>
      <c r="G34" s="4">
        <v>80</v>
      </c>
      <c r="H34" s="377">
        <f t="shared" ref="H34:H65" si="13">(FT34* 5)/M34</f>
        <v>20</v>
      </c>
      <c r="I34" s="377">
        <f t="shared" ref="I34:I65" si="14">G34-H34</f>
        <v>60</v>
      </c>
      <c r="J34" s="355" t="s">
        <v>1382</v>
      </c>
      <c r="K34" s="7">
        <v>100000</v>
      </c>
      <c r="L34" s="7">
        <v>216000</v>
      </c>
      <c r="M34" s="8">
        <f t="shared" si="11"/>
        <v>13500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 t="s">
        <v>143</v>
      </c>
      <c r="EL34" s="9"/>
      <c r="EM34" s="9" t="s">
        <v>143</v>
      </c>
      <c r="EN34" s="9" t="s">
        <v>143</v>
      </c>
      <c r="EO34" s="9"/>
      <c r="EP34" s="9"/>
      <c r="EQ34" s="9"/>
      <c r="ER34" s="9"/>
      <c r="ES34" s="9" t="s">
        <v>143</v>
      </c>
      <c r="ET34" s="9"/>
      <c r="EU34" s="9"/>
      <c r="EV34" s="9" t="s">
        <v>143</v>
      </c>
      <c r="EW34" s="9"/>
      <c r="EX34" s="9"/>
      <c r="EY34" s="9"/>
      <c r="EZ34" s="9"/>
      <c r="FA34" s="9"/>
      <c r="FB34" s="9"/>
      <c r="FC34" s="9" t="s">
        <v>143</v>
      </c>
      <c r="FD34" s="9"/>
      <c r="FE34" s="9"/>
      <c r="FF34" s="9"/>
      <c r="FG34" s="9"/>
      <c r="FH34" s="9"/>
      <c r="FI34" s="9"/>
      <c r="FJ34" s="9"/>
      <c r="FK34" s="9"/>
      <c r="FL34" s="9" t="s">
        <v>143</v>
      </c>
      <c r="FM34" s="9"/>
      <c r="FN34" s="9"/>
      <c r="FO34" s="9">
        <v>54000</v>
      </c>
      <c r="FP34" s="9"/>
      <c r="FQ34" s="9"/>
      <c r="FR34" s="9"/>
      <c r="FS34" s="9"/>
      <c r="FT34" s="9">
        <f t="shared" si="3"/>
        <v>54000</v>
      </c>
      <c r="FU34" s="10">
        <f t="shared" si="4"/>
        <v>162000</v>
      </c>
      <c r="FV34" s="11">
        <f t="shared" si="5"/>
        <v>4</v>
      </c>
      <c r="FW34" s="11">
        <f t="shared" si="6"/>
        <v>12</v>
      </c>
      <c r="FX34" s="12">
        <f t="shared" si="7"/>
        <v>1</v>
      </c>
      <c r="FY34" s="12">
        <f t="shared" si="8"/>
        <v>3</v>
      </c>
    </row>
    <row r="35" spans="1:181" ht="43.5" customHeight="1" thickBot="1" x14ac:dyDescent="0.3">
      <c r="A35" s="1">
        <v>3486</v>
      </c>
      <c r="B35" s="27" t="s">
        <v>201</v>
      </c>
      <c r="C35" s="27" t="s">
        <v>202</v>
      </c>
      <c r="D35" s="2">
        <v>20386454729</v>
      </c>
      <c r="E35" s="3">
        <v>45972</v>
      </c>
      <c r="F35" s="3">
        <f t="shared" si="12"/>
        <v>46252</v>
      </c>
      <c r="G35" s="4">
        <v>200</v>
      </c>
      <c r="H35" s="377">
        <f t="shared" si="13"/>
        <v>0</v>
      </c>
      <c r="I35" s="377">
        <f t="shared" si="14"/>
        <v>200</v>
      </c>
      <c r="J35" s="355" t="s">
        <v>1402</v>
      </c>
      <c r="K35" s="10">
        <v>500000</v>
      </c>
      <c r="L35" s="10">
        <v>1560000</v>
      </c>
      <c r="M35" s="21">
        <f t="shared" si="11"/>
        <v>39000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 t="s">
        <v>143</v>
      </c>
      <c r="EL35" s="9"/>
      <c r="EM35" s="9" t="s">
        <v>143</v>
      </c>
      <c r="EN35" s="9" t="s">
        <v>143</v>
      </c>
      <c r="EO35" s="9"/>
      <c r="EP35" s="9"/>
      <c r="EQ35" s="9"/>
      <c r="ER35" s="9"/>
      <c r="ES35" s="9" t="s">
        <v>143</v>
      </c>
      <c r="ET35" s="9"/>
      <c r="EU35" s="9"/>
      <c r="EV35" s="9" t="s">
        <v>143</v>
      </c>
      <c r="EW35" s="9"/>
      <c r="EX35" s="9"/>
      <c r="EY35" s="9"/>
      <c r="EZ35" s="9"/>
      <c r="FA35" s="9"/>
      <c r="FB35" s="9"/>
      <c r="FC35" s="9" t="s">
        <v>143</v>
      </c>
      <c r="FD35" s="9"/>
      <c r="FE35" s="9"/>
      <c r="FF35" s="9"/>
      <c r="FG35" s="9"/>
      <c r="FH35" s="9"/>
      <c r="FI35" s="9"/>
      <c r="FJ35" s="9"/>
      <c r="FK35" s="9"/>
      <c r="FL35" s="9" t="s">
        <v>143</v>
      </c>
      <c r="FM35" s="9"/>
      <c r="FN35" s="9"/>
      <c r="FO35" s="9"/>
      <c r="FP35" s="9"/>
      <c r="FQ35" s="9"/>
      <c r="FR35" s="9"/>
      <c r="FS35" s="9"/>
      <c r="FT35" s="9">
        <f t="shared" si="3"/>
        <v>0</v>
      </c>
      <c r="FU35" s="10">
        <f t="shared" si="4"/>
        <v>1560000</v>
      </c>
      <c r="FV35" s="11">
        <f t="shared" si="5"/>
        <v>0</v>
      </c>
      <c r="FW35" s="11">
        <f t="shared" si="6"/>
        <v>40</v>
      </c>
      <c r="FX35" s="12">
        <f t="shared" si="7"/>
        <v>0</v>
      </c>
      <c r="FY35" s="12">
        <f t="shared" si="8"/>
        <v>10</v>
      </c>
    </row>
    <row r="36" spans="1:181" ht="43.5" customHeight="1" thickBot="1" x14ac:dyDescent="0.3">
      <c r="A36" s="1">
        <v>3429</v>
      </c>
      <c r="B36" s="27" t="s">
        <v>204</v>
      </c>
      <c r="C36" s="27" t="s">
        <v>205</v>
      </c>
      <c r="D36" s="2"/>
      <c r="E36" s="3">
        <v>45938</v>
      </c>
      <c r="F36" s="3">
        <f>WORKDAY(E36,G36)</f>
        <v>46050</v>
      </c>
      <c r="G36" s="4">
        <v>80</v>
      </c>
      <c r="H36" s="377">
        <f t="shared" si="13"/>
        <v>20</v>
      </c>
      <c r="I36" s="377">
        <f t="shared" si="14"/>
        <v>60</v>
      </c>
      <c r="J36" s="355" t="s">
        <v>273</v>
      </c>
      <c r="K36" s="7">
        <v>100000</v>
      </c>
      <c r="L36" s="7">
        <v>216000</v>
      </c>
      <c r="M36" s="23">
        <v>13500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 t="s">
        <v>143</v>
      </c>
      <c r="EL36" s="9"/>
      <c r="EM36" s="9" t="s">
        <v>143</v>
      </c>
      <c r="EN36" s="9" t="s">
        <v>143</v>
      </c>
      <c r="EO36" s="9"/>
      <c r="EP36" s="9"/>
      <c r="EQ36" s="9"/>
      <c r="ER36" s="9"/>
      <c r="ES36" s="9" t="s">
        <v>143</v>
      </c>
      <c r="ET36" s="9"/>
      <c r="EU36" s="9"/>
      <c r="EV36" s="9" t="s">
        <v>143</v>
      </c>
      <c r="EW36" s="9"/>
      <c r="EX36" s="9"/>
      <c r="EY36" s="9"/>
      <c r="EZ36" s="9"/>
      <c r="FA36" s="9"/>
      <c r="FB36" s="9"/>
      <c r="FC36" s="9" t="s">
        <v>143</v>
      </c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>
        <v>54000</v>
      </c>
      <c r="FQ36" s="9"/>
      <c r="FR36" s="9"/>
      <c r="FS36" s="9"/>
      <c r="FT36" s="9">
        <f t="shared" si="3"/>
        <v>54000</v>
      </c>
      <c r="FU36" s="10">
        <f t="shared" si="4"/>
        <v>162000</v>
      </c>
      <c r="FV36" s="11">
        <f t="shared" si="5"/>
        <v>4</v>
      </c>
      <c r="FW36" s="11">
        <f t="shared" si="6"/>
        <v>12</v>
      </c>
      <c r="FX36" s="12">
        <f t="shared" si="7"/>
        <v>1</v>
      </c>
      <c r="FY36" s="12">
        <f t="shared" si="8"/>
        <v>3</v>
      </c>
    </row>
    <row r="37" spans="1:181" ht="43.5" customHeight="1" thickBot="1" x14ac:dyDescent="0.3">
      <c r="A37" s="1">
        <v>3274</v>
      </c>
      <c r="B37" s="27" t="s">
        <v>207</v>
      </c>
      <c r="C37" s="27" t="s">
        <v>208</v>
      </c>
      <c r="D37" s="2"/>
      <c r="E37" s="3">
        <v>45810</v>
      </c>
      <c r="F37" s="3">
        <f>WORKDAY(E37,G37)</f>
        <v>46062</v>
      </c>
      <c r="G37" s="4">
        <v>180</v>
      </c>
      <c r="H37" s="377">
        <f t="shared" si="13"/>
        <v>100</v>
      </c>
      <c r="I37" s="377">
        <f t="shared" si="14"/>
        <v>80</v>
      </c>
      <c r="J37" s="355" t="s">
        <v>1266</v>
      </c>
      <c r="K37" s="7">
        <v>200000</v>
      </c>
      <c r="L37" s="7">
        <v>603000</v>
      </c>
      <c r="M37" s="8">
        <f t="shared" ref="M37:M68" si="15">(L37/G37)*5</f>
        <v>16750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 t="s">
        <v>143</v>
      </c>
      <c r="DX37" s="9"/>
      <c r="DY37" s="9"/>
      <c r="DZ37" s="9"/>
      <c r="EA37" s="9"/>
      <c r="EB37" s="9"/>
      <c r="EC37" s="9"/>
      <c r="ED37" s="9" t="s">
        <v>143</v>
      </c>
      <c r="EE37" s="9"/>
      <c r="EF37" s="9"/>
      <c r="EG37" s="9"/>
      <c r="EH37" s="9" t="s">
        <v>143</v>
      </c>
      <c r="EI37" s="9"/>
      <c r="EJ37" s="9"/>
      <c r="EK37" s="9"/>
      <c r="EL37" s="9" t="s">
        <v>143</v>
      </c>
      <c r="EM37" s="9"/>
      <c r="EN37" s="9"/>
      <c r="EO37" s="9"/>
      <c r="EP37" s="9" t="s">
        <v>143</v>
      </c>
      <c r="EQ37" s="9"/>
      <c r="ER37" s="9"/>
      <c r="ES37" s="9"/>
      <c r="ET37" s="9"/>
      <c r="EU37" s="9"/>
      <c r="EV37" s="9" t="s">
        <v>143</v>
      </c>
      <c r="EW37" s="9"/>
      <c r="EX37" s="9"/>
      <c r="EY37" s="9"/>
      <c r="EZ37" s="9"/>
      <c r="FA37" s="9">
        <v>67000</v>
      </c>
      <c r="FB37" s="9"/>
      <c r="FC37" s="9"/>
      <c r="FD37" s="9"/>
      <c r="FE37" s="9">
        <v>67000</v>
      </c>
      <c r="FF37" s="9"/>
      <c r="FG37" s="9"/>
      <c r="FH37" s="9"/>
      <c r="FI37" s="9"/>
      <c r="FJ37" s="9">
        <v>67000</v>
      </c>
      <c r="FK37" s="9"/>
      <c r="FL37" s="9"/>
      <c r="FM37" s="9"/>
      <c r="FN37" s="9">
        <v>67000</v>
      </c>
      <c r="FO37" s="9"/>
      <c r="FP37" s="9"/>
      <c r="FQ37" s="9"/>
      <c r="FR37" s="9">
        <v>67000</v>
      </c>
      <c r="FS37" s="9"/>
      <c r="FT37" s="9">
        <f t="shared" si="3"/>
        <v>335000</v>
      </c>
      <c r="FU37" s="10">
        <f t="shared" si="4"/>
        <v>268000</v>
      </c>
      <c r="FV37" s="11">
        <f t="shared" si="5"/>
        <v>20</v>
      </c>
      <c r="FW37" s="11">
        <f t="shared" si="6"/>
        <v>16</v>
      </c>
      <c r="FX37" s="12">
        <f t="shared" si="7"/>
        <v>5</v>
      </c>
      <c r="FY37" s="12">
        <f t="shared" si="8"/>
        <v>4</v>
      </c>
    </row>
    <row r="38" spans="1:181" ht="43.5" customHeight="1" thickBot="1" x14ac:dyDescent="0.3">
      <c r="A38" s="1">
        <v>3427</v>
      </c>
      <c r="B38" s="27" t="s">
        <v>207</v>
      </c>
      <c r="C38" s="27" t="s">
        <v>208</v>
      </c>
      <c r="D38" s="2"/>
      <c r="E38" s="3">
        <v>45937</v>
      </c>
      <c r="F38" s="3">
        <f t="shared" ref="F37:F72" si="16">WORKDAY(E38,G38)</f>
        <v>46091</v>
      </c>
      <c r="G38" s="4">
        <v>110</v>
      </c>
      <c r="H38" s="377">
        <f t="shared" si="13"/>
        <v>40</v>
      </c>
      <c r="I38" s="377">
        <f t="shared" si="14"/>
        <v>70</v>
      </c>
      <c r="J38" s="155" t="s">
        <v>279</v>
      </c>
      <c r="K38" s="7">
        <v>100000</v>
      </c>
      <c r="L38" s="7">
        <v>264000</v>
      </c>
      <c r="M38" s="8">
        <f t="shared" si="15"/>
        <v>12000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 t="s">
        <v>143</v>
      </c>
      <c r="EL38" s="9"/>
      <c r="EM38" s="9" t="s">
        <v>143</v>
      </c>
      <c r="EN38" s="9" t="s">
        <v>143</v>
      </c>
      <c r="EO38" s="9"/>
      <c r="EP38" s="9"/>
      <c r="EQ38" s="9"/>
      <c r="ER38" s="9"/>
      <c r="ES38" s="9" t="s">
        <v>143</v>
      </c>
      <c r="ET38" s="9"/>
      <c r="EU38" s="9"/>
      <c r="EV38" s="9" t="s">
        <v>143</v>
      </c>
      <c r="EW38" s="9"/>
      <c r="EX38" s="9"/>
      <c r="EY38" s="9"/>
      <c r="EZ38" s="9"/>
      <c r="FA38" s="9"/>
      <c r="FB38" s="9"/>
      <c r="FC38" s="9" t="s">
        <v>143</v>
      </c>
      <c r="FD38" s="9"/>
      <c r="FE38" s="9"/>
      <c r="FF38" s="9"/>
      <c r="FG38" s="9"/>
      <c r="FH38" s="9"/>
      <c r="FI38" s="9"/>
      <c r="FJ38" s="9"/>
      <c r="FK38" s="9"/>
      <c r="FL38" s="9">
        <v>24000</v>
      </c>
      <c r="FM38" s="9"/>
      <c r="FN38" s="9">
        <v>24000</v>
      </c>
      <c r="FO38" s="9"/>
      <c r="FP38" s="9">
        <v>24000</v>
      </c>
      <c r="FQ38" s="9">
        <v>24000</v>
      </c>
      <c r="FR38" s="9"/>
      <c r="FS38" s="9"/>
      <c r="FT38" s="9">
        <f t="shared" si="3"/>
        <v>96000</v>
      </c>
      <c r="FU38" s="10">
        <f t="shared" si="4"/>
        <v>168000</v>
      </c>
      <c r="FV38" s="11">
        <f t="shared" si="5"/>
        <v>8</v>
      </c>
      <c r="FW38" s="11">
        <f t="shared" si="6"/>
        <v>14</v>
      </c>
      <c r="FX38" s="12">
        <f t="shared" si="7"/>
        <v>2</v>
      </c>
      <c r="FY38" s="12">
        <f t="shared" si="8"/>
        <v>3.5</v>
      </c>
    </row>
    <row r="39" spans="1:181" ht="43.5" customHeight="1" thickBot="1" x14ac:dyDescent="0.3">
      <c r="A39" s="17">
        <v>3509</v>
      </c>
      <c r="B39" s="27" t="s">
        <v>207</v>
      </c>
      <c r="C39" s="27" t="s">
        <v>208</v>
      </c>
      <c r="D39" s="2"/>
      <c r="E39" s="3">
        <v>45983</v>
      </c>
      <c r="F39" s="3">
        <f t="shared" si="16"/>
        <v>46262</v>
      </c>
      <c r="G39" s="4">
        <v>200</v>
      </c>
      <c r="H39" s="377">
        <f t="shared" si="13"/>
        <v>0</v>
      </c>
      <c r="I39" s="377">
        <f t="shared" si="14"/>
        <v>200</v>
      </c>
      <c r="J39" s="355" t="s">
        <v>1413</v>
      </c>
      <c r="K39" s="7">
        <v>200000</v>
      </c>
      <c r="L39" s="7">
        <v>624000</v>
      </c>
      <c r="M39" s="21">
        <f t="shared" si="15"/>
        <v>15600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 t="s">
        <v>143</v>
      </c>
      <c r="EL39" s="9"/>
      <c r="EM39" s="9" t="s">
        <v>143</v>
      </c>
      <c r="EN39" s="9" t="s">
        <v>143</v>
      </c>
      <c r="EO39" s="9"/>
      <c r="EP39" s="9"/>
      <c r="EQ39" s="9"/>
      <c r="ER39" s="9"/>
      <c r="ES39" s="9" t="s">
        <v>143</v>
      </c>
      <c r="ET39" s="9"/>
      <c r="EU39" s="9"/>
      <c r="EV39" s="9" t="s">
        <v>143</v>
      </c>
      <c r="EW39" s="9"/>
      <c r="EX39" s="9"/>
      <c r="EY39" s="9"/>
      <c r="EZ39" s="9"/>
      <c r="FA39" s="9"/>
      <c r="FB39" s="9"/>
      <c r="FC39" s="9" t="s">
        <v>143</v>
      </c>
      <c r="FD39" s="9"/>
      <c r="FE39" s="9"/>
      <c r="FF39" s="9"/>
      <c r="FG39" s="9"/>
      <c r="FH39" s="9"/>
      <c r="FI39" s="9"/>
      <c r="FJ39" s="9"/>
      <c r="FK39" s="9"/>
      <c r="FL39" s="9" t="s">
        <v>143</v>
      </c>
      <c r="FM39" s="9"/>
      <c r="FN39" s="9"/>
      <c r="FO39" s="9"/>
      <c r="FP39" s="9"/>
      <c r="FQ39" s="9"/>
      <c r="FR39" s="9"/>
      <c r="FS39" s="9"/>
      <c r="FT39" s="9">
        <f t="shared" si="3"/>
        <v>0</v>
      </c>
      <c r="FU39" s="10">
        <f t="shared" si="4"/>
        <v>624000</v>
      </c>
      <c r="FV39" s="11">
        <f t="shared" si="5"/>
        <v>0</v>
      </c>
      <c r="FW39" s="11">
        <f t="shared" si="6"/>
        <v>40</v>
      </c>
      <c r="FX39" s="12">
        <f t="shared" si="7"/>
        <v>0</v>
      </c>
      <c r="FY39" s="12">
        <f t="shared" si="8"/>
        <v>10</v>
      </c>
    </row>
    <row r="40" spans="1:181" ht="43.5" customHeight="1" thickBot="1" x14ac:dyDescent="0.3">
      <c r="A40" s="1">
        <v>3378</v>
      </c>
      <c r="B40" s="27" t="s">
        <v>1326</v>
      </c>
      <c r="C40" s="27" t="s">
        <v>208</v>
      </c>
      <c r="D40" s="2"/>
      <c r="E40" s="3">
        <v>45906</v>
      </c>
      <c r="F40" s="3">
        <f>WORKDAY(E40,G40)</f>
        <v>46007</v>
      </c>
      <c r="G40" s="4">
        <v>72</v>
      </c>
      <c r="H40" s="377">
        <f t="shared" si="13"/>
        <v>45</v>
      </c>
      <c r="I40" s="377">
        <f t="shared" si="14"/>
        <v>27</v>
      </c>
      <c r="J40" s="155" t="s">
        <v>161</v>
      </c>
      <c r="K40" s="7">
        <v>100000</v>
      </c>
      <c r="L40" s="7">
        <v>216000</v>
      </c>
      <c r="M40" s="8">
        <f t="shared" si="15"/>
        <v>15000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 t="s">
        <v>143</v>
      </c>
      <c r="EL40" s="9"/>
      <c r="EM40" s="9" t="s">
        <v>143</v>
      </c>
      <c r="EN40" s="9" t="s">
        <v>143</v>
      </c>
      <c r="EO40" s="9"/>
      <c r="EP40" s="9"/>
      <c r="EQ40" s="9"/>
      <c r="ER40" s="9"/>
      <c r="ES40" s="9" t="s">
        <v>143</v>
      </c>
      <c r="ET40" s="9"/>
      <c r="EU40" s="9"/>
      <c r="EV40" s="9" t="s">
        <v>143</v>
      </c>
      <c r="EW40" s="9"/>
      <c r="EX40" s="9"/>
      <c r="EY40" s="9"/>
      <c r="EZ40" s="9"/>
      <c r="FA40" s="9"/>
      <c r="FB40" s="9"/>
      <c r="FC40" s="9" t="s">
        <v>143</v>
      </c>
      <c r="FD40" s="9"/>
      <c r="FE40" s="9"/>
      <c r="FF40" s="9"/>
      <c r="FG40" s="9">
        <v>15000</v>
      </c>
      <c r="FH40" s="9">
        <v>15000</v>
      </c>
      <c r="FI40" s="9">
        <v>15000</v>
      </c>
      <c r="FJ40" s="9">
        <v>15000</v>
      </c>
      <c r="FK40" s="9"/>
      <c r="FL40" s="9"/>
      <c r="FM40" s="9"/>
      <c r="FN40" s="9">
        <v>15000</v>
      </c>
      <c r="FO40" s="9">
        <v>15000</v>
      </c>
      <c r="FP40" s="9">
        <v>15000</v>
      </c>
      <c r="FQ40" s="9">
        <v>15000</v>
      </c>
      <c r="FR40" s="9">
        <v>15000</v>
      </c>
      <c r="FS40" s="9"/>
      <c r="FT40" s="9">
        <f t="shared" si="3"/>
        <v>135000</v>
      </c>
      <c r="FU40" s="10">
        <f t="shared" si="4"/>
        <v>81000</v>
      </c>
      <c r="FV40" s="11">
        <f t="shared" si="5"/>
        <v>9</v>
      </c>
      <c r="FW40" s="11">
        <f t="shared" si="6"/>
        <v>5.4</v>
      </c>
      <c r="FX40" s="12">
        <f t="shared" si="7"/>
        <v>2.25</v>
      </c>
      <c r="FY40" s="12">
        <f t="shared" si="8"/>
        <v>1.35</v>
      </c>
    </row>
    <row r="41" spans="1:181" ht="43.5" customHeight="1" thickBot="1" x14ac:dyDescent="0.3">
      <c r="A41" s="17">
        <v>3511</v>
      </c>
      <c r="B41" s="27" t="s">
        <v>1414</v>
      </c>
      <c r="C41" s="27" t="s">
        <v>208</v>
      </c>
      <c r="D41" s="2"/>
      <c r="E41" s="3">
        <v>45983</v>
      </c>
      <c r="F41" s="3">
        <f t="shared" ref="F41" si="17">WORKDAY(E41,G41)</f>
        <v>46150</v>
      </c>
      <c r="G41" s="4">
        <v>120</v>
      </c>
      <c r="H41" s="377">
        <f t="shared" si="13"/>
        <v>0</v>
      </c>
      <c r="I41" s="377">
        <f t="shared" si="14"/>
        <v>120</v>
      </c>
      <c r="J41" s="355" t="s">
        <v>1415</v>
      </c>
      <c r="K41" s="7">
        <v>50000</v>
      </c>
      <c r="L41" s="7">
        <v>132000</v>
      </c>
      <c r="M41" s="8">
        <f t="shared" si="15"/>
        <v>5500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 t="s">
        <v>143</v>
      </c>
      <c r="EL41" s="9"/>
      <c r="EM41" s="9" t="s">
        <v>143</v>
      </c>
      <c r="EN41" s="9" t="s">
        <v>143</v>
      </c>
      <c r="EO41" s="9"/>
      <c r="EP41" s="9"/>
      <c r="EQ41" s="9"/>
      <c r="ER41" s="9"/>
      <c r="ES41" s="9" t="s">
        <v>143</v>
      </c>
      <c r="ET41" s="9"/>
      <c r="EU41" s="9"/>
      <c r="EV41" s="9" t="s">
        <v>143</v>
      </c>
      <c r="EW41" s="9"/>
      <c r="EX41" s="9"/>
      <c r="EY41" s="9"/>
      <c r="EZ41" s="9"/>
      <c r="FA41" s="9"/>
      <c r="FB41" s="9"/>
      <c r="FC41" s="9" t="s">
        <v>143</v>
      </c>
      <c r="FD41" s="9"/>
      <c r="FE41" s="9"/>
      <c r="FF41" s="9"/>
      <c r="FG41" s="9"/>
      <c r="FH41" s="9"/>
      <c r="FI41" s="9"/>
      <c r="FJ41" s="9"/>
      <c r="FK41" s="9"/>
      <c r="FL41" s="9" t="s">
        <v>143</v>
      </c>
      <c r="FM41" s="9"/>
      <c r="FN41" s="9"/>
      <c r="FO41" s="9"/>
      <c r="FP41" s="9"/>
      <c r="FQ41" s="9"/>
      <c r="FR41" s="9"/>
      <c r="FS41" s="9"/>
      <c r="FT41" s="9">
        <f t="shared" si="3"/>
        <v>0</v>
      </c>
      <c r="FU41" s="10">
        <f t="shared" si="4"/>
        <v>132000</v>
      </c>
      <c r="FV41" s="11">
        <f t="shared" si="5"/>
        <v>0</v>
      </c>
      <c r="FW41" s="11">
        <f t="shared" si="6"/>
        <v>24</v>
      </c>
      <c r="FX41" s="12">
        <f t="shared" si="7"/>
        <v>0</v>
      </c>
      <c r="FY41" s="12">
        <f t="shared" si="8"/>
        <v>6</v>
      </c>
    </row>
    <row r="42" spans="1:181" ht="43.5" customHeight="1" thickBot="1" x14ac:dyDescent="0.3">
      <c r="A42" s="1">
        <v>2691</v>
      </c>
      <c r="B42" s="27" t="s">
        <v>212</v>
      </c>
      <c r="C42" s="27" t="s">
        <v>213</v>
      </c>
      <c r="D42" s="2"/>
      <c r="E42" s="3">
        <v>45476</v>
      </c>
      <c r="F42" s="3">
        <f>WORKDAY(E42,G42)</f>
        <v>45700</v>
      </c>
      <c r="G42" s="4">
        <v>160</v>
      </c>
      <c r="H42" s="377">
        <f t="shared" si="13"/>
        <v>15.695652173913043</v>
      </c>
      <c r="I42" s="377">
        <f t="shared" si="14"/>
        <v>144.30434782608697</v>
      </c>
      <c r="J42" s="155" t="s">
        <v>214</v>
      </c>
      <c r="K42" s="7">
        <v>2557200</v>
      </c>
      <c r="L42" s="7">
        <v>3680000</v>
      </c>
      <c r="M42" s="8">
        <f t="shared" si="15"/>
        <v>115000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 t="s">
        <v>143</v>
      </c>
      <c r="CB42" s="9" t="s">
        <v>143</v>
      </c>
      <c r="CC42" s="9" t="s">
        <v>143</v>
      </c>
      <c r="CD42" s="9" t="s">
        <v>143</v>
      </c>
      <c r="CE42" s="9" t="s">
        <v>143</v>
      </c>
      <c r="CF42" s="9"/>
      <c r="CG42" s="9" t="s">
        <v>143</v>
      </c>
      <c r="CH42" s="9" t="s">
        <v>143</v>
      </c>
      <c r="CI42" s="9"/>
      <c r="CJ42" s="9"/>
      <c r="CK42" s="9"/>
      <c r="CL42" s="9" t="s">
        <v>143</v>
      </c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>
        <v>100000</v>
      </c>
      <c r="CY42" s="9"/>
      <c r="CZ42" s="9">
        <v>17000</v>
      </c>
      <c r="DA42" s="9"/>
      <c r="DB42" s="9">
        <v>19000</v>
      </c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>
        <v>30000</v>
      </c>
      <c r="EH42" s="9"/>
      <c r="EI42" s="9"/>
      <c r="EJ42" s="9"/>
      <c r="EK42" s="9">
        <v>30000</v>
      </c>
      <c r="EL42" s="9"/>
      <c r="EM42" s="9"/>
      <c r="EN42" s="9"/>
      <c r="EO42" s="9"/>
      <c r="EP42" s="9">
        <v>15000</v>
      </c>
      <c r="EQ42" s="9">
        <v>15000</v>
      </c>
      <c r="ER42" s="9">
        <v>15000</v>
      </c>
      <c r="ES42" s="9">
        <v>15000</v>
      </c>
      <c r="ET42" s="9">
        <v>15000</v>
      </c>
      <c r="EU42" s="9">
        <v>15000</v>
      </c>
      <c r="EV42" s="9"/>
      <c r="EW42" s="9"/>
      <c r="EX42" s="9"/>
      <c r="EY42" s="9">
        <v>15000</v>
      </c>
      <c r="EZ42" s="9"/>
      <c r="FA42" s="9"/>
      <c r="FB42" s="9">
        <v>15000</v>
      </c>
      <c r="FC42" s="9">
        <v>15000</v>
      </c>
      <c r="FD42" s="9"/>
      <c r="FE42" s="9"/>
      <c r="FF42" s="9"/>
      <c r="FG42" s="9"/>
      <c r="FH42" s="9"/>
      <c r="FI42" s="9"/>
      <c r="FJ42" s="9"/>
      <c r="FK42" s="9">
        <v>15000</v>
      </c>
      <c r="FL42" s="9"/>
      <c r="FM42" s="9"/>
      <c r="FN42" s="9"/>
      <c r="FO42" s="9"/>
      <c r="FP42" s="9"/>
      <c r="FQ42" s="9"/>
      <c r="FR42" s="9">
        <v>15000</v>
      </c>
      <c r="FS42" s="9"/>
      <c r="FT42" s="9">
        <f t="shared" si="3"/>
        <v>361000</v>
      </c>
      <c r="FU42" s="10">
        <f t="shared" si="4"/>
        <v>3319000</v>
      </c>
      <c r="FV42" s="11">
        <f t="shared" si="5"/>
        <v>3.1391304347826088</v>
      </c>
      <c r="FW42" s="11">
        <f t="shared" si="6"/>
        <v>28.860869565217392</v>
      </c>
      <c r="FX42" s="12">
        <f t="shared" si="7"/>
        <v>0.7847826086956522</v>
      </c>
      <c r="FY42" s="12">
        <f t="shared" si="8"/>
        <v>7.215217391304348</v>
      </c>
    </row>
    <row r="43" spans="1:181" ht="43.5" customHeight="1" thickBot="1" x14ac:dyDescent="0.3">
      <c r="A43" s="1">
        <v>3205</v>
      </c>
      <c r="B43" s="27" t="s">
        <v>215</v>
      </c>
      <c r="C43" s="27" t="s">
        <v>216</v>
      </c>
      <c r="D43" s="2"/>
      <c r="E43" s="3">
        <v>45798</v>
      </c>
      <c r="F43" s="3">
        <f t="shared" si="16"/>
        <v>45882</v>
      </c>
      <c r="G43" s="4">
        <v>60</v>
      </c>
      <c r="H43" s="377">
        <f t="shared" si="13"/>
        <v>40</v>
      </c>
      <c r="I43" s="377">
        <f t="shared" si="14"/>
        <v>20</v>
      </c>
      <c r="J43" s="355" t="s">
        <v>1222</v>
      </c>
      <c r="K43" s="7">
        <v>270000</v>
      </c>
      <c r="L43" s="7">
        <v>499500</v>
      </c>
      <c r="M43" s="21">
        <f t="shared" si="15"/>
        <v>41625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 t="s">
        <v>143</v>
      </c>
      <c r="EL43" s="9"/>
      <c r="EM43" s="9" t="s">
        <v>143</v>
      </c>
      <c r="EN43" s="9" t="s">
        <v>143</v>
      </c>
      <c r="EO43" s="9"/>
      <c r="EP43" s="9"/>
      <c r="EQ43" s="9"/>
      <c r="ER43" s="9"/>
      <c r="ES43" s="9"/>
      <c r="ET43" s="9"/>
      <c r="EU43" s="9">
        <v>166500</v>
      </c>
      <c r="EV43" s="9"/>
      <c r="EW43" s="9"/>
      <c r="EX43" s="9"/>
      <c r="EY43" s="9">
        <v>166500</v>
      </c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>
        <f t="shared" si="3"/>
        <v>333000</v>
      </c>
      <c r="FU43" s="10">
        <f t="shared" si="4"/>
        <v>166500</v>
      </c>
      <c r="FV43" s="11">
        <f t="shared" si="5"/>
        <v>8</v>
      </c>
      <c r="FW43" s="11">
        <f t="shared" si="6"/>
        <v>4</v>
      </c>
      <c r="FX43" s="12">
        <f t="shared" si="7"/>
        <v>2</v>
      </c>
      <c r="FY43" s="12">
        <f t="shared" si="8"/>
        <v>1</v>
      </c>
    </row>
    <row r="44" spans="1:181" ht="43.5" customHeight="1" thickBot="1" x14ac:dyDescent="0.3">
      <c r="A44" s="1">
        <v>2403</v>
      </c>
      <c r="B44" s="27" t="s">
        <v>219</v>
      </c>
      <c r="C44" s="27" t="s">
        <v>220</v>
      </c>
      <c r="D44" s="2"/>
      <c r="E44" s="3">
        <v>45297</v>
      </c>
      <c r="F44" s="3">
        <f>WORKDAY(E44,G44)</f>
        <v>45548</v>
      </c>
      <c r="G44" s="4">
        <v>180</v>
      </c>
      <c r="H44" s="377">
        <f t="shared" si="13"/>
        <v>99.475655430711612</v>
      </c>
      <c r="I44" s="377">
        <f t="shared" si="14"/>
        <v>80.524344569288388</v>
      </c>
      <c r="J44" s="355" t="s">
        <v>221</v>
      </c>
      <c r="K44" s="7">
        <v>150000</v>
      </c>
      <c r="L44" s="7">
        <v>480600</v>
      </c>
      <c r="M44" s="21">
        <f t="shared" si="15"/>
        <v>13350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 t="s">
        <v>143</v>
      </c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 t="s">
        <v>143</v>
      </c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>
        <v>54500</v>
      </c>
      <c r="CC44" s="9"/>
      <c r="CD44" s="9"/>
      <c r="CE44" s="9"/>
      <c r="CF44" s="9">
        <v>54500</v>
      </c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>
        <v>20000</v>
      </c>
      <c r="DE44" s="9"/>
      <c r="DF44" s="9"/>
      <c r="DG44" s="9"/>
      <c r="DH44" s="9"/>
      <c r="DI44" s="9"/>
      <c r="DJ44" s="9"/>
      <c r="DK44" s="9"/>
      <c r="DL44" s="9">
        <v>20000</v>
      </c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>
        <v>31600</v>
      </c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>
        <v>15000</v>
      </c>
      <c r="EW44" s="9">
        <v>13000</v>
      </c>
      <c r="EX44" s="9"/>
      <c r="EY44" s="9">
        <v>12000</v>
      </c>
      <c r="EZ44" s="9"/>
      <c r="FA44" s="9"/>
      <c r="FB44" s="9">
        <v>10000</v>
      </c>
      <c r="FC44" s="9">
        <v>25000</v>
      </c>
      <c r="FD44" s="9"/>
      <c r="FE44" s="9"/>
      <c r="FF44" s="9" t="s">
        <v>143</v>
      </c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>
        <v>10000</v>
      </c>
      <c r="FR44" s="9"/>
      <c r="FS44" s="9"/>
      <c r="FT44" s="9">
        <f t="shared" si="3"/>
        <v>265600</v>
      </c>
      <c r="FU44" s="10">
        <f t="shared" si="4"/>
        <v>215000</v>
      </c>
      <c r="FV44" s="11">
        <f t="shared" si="5"/>
        <v>19.895131086142321</v>
      </c>
      <c r="FW44" s="11">
        <f t="shared" si="6"/>
        <v>16.104868913857679</v>
      </c>
      <c r="FX44" s="12">
        <f t="shared" si="7"/>
        <v>4.9737827715355802</v>
      </c>
      <c r="FY44" s="12">
        <f t="shared" si="8"/>
        <v>4.0262172284644198</v>
      </c>
    </row>
    <row r="45" spans="1:181" ht="43.5" customHeight="1" thickBot="1" x14ac:dyDescent="0.3">
      <c r="A45" s="1">
        <v>3006</v>
      </c>
      <c r="B45" s="27" t="s">
        <v>222</v>
      </c>
      <c r="C45" s="182" t="s">
        <v>223</v>
      </c>
      <c r="D45" s="2">
        <v>22375673</v>
      </c>
      <c r="E45" s="3">
        <v>45674</v>
      </c>
      <c r="F45" s="3">
        <f t="shared" si="16"/>
        <v>46066</v>
      </c>
      <c r="G45" s="4">
        <v>280</v>
      </c>
      <c r="H45" s="377">
        <f t="shared" si="13"/>
        <v>150.38461538461539</v>
      </c>
      <c r="I45" s="377">
        <f t="shared" si="14"/>
        <v>129.61538461538461</v>
      </c>
      <c r="J45" s="355" t="s">
        <v>225</v>
      </c>
      <c r="K45" s="7">
        <v>1200000</v>
      </c>
      <c r="L45" s="7">
        <v>3640000</v>
      </c>
      <c r="M45" s="8">
        <f t="shared" si="15"/>
        <v>65000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>
        <v>200000</v>
      </c>
      <c r="EE45" s="9">
        <v>60000</v>
      </c>
      <c r="EF45" s="9"/>
      <c r="EG45" s="9"/>
      <c r="EH45" s="9"/>
      <c r="EI45" s="9">
        <v>260000</v>
      </c>
      <c r="EJ45" s="9"/>
      <c r="EK45" s="9"/>
      <c r="EL45" s="9">
        <v>260000</v>
      </c>
      <c r="EM45" s="9"/>
      <c r="EN45" s="9"/>
      <c r="EO45" s="9"/>
      <c r="EP45" s="9">
        <v>260000</v>
      </c>
      <c r="EQ45" s="9"/>
      <c r="ER45" s="9"/>
      <c r="ES45" s="9"/>
      <c r="ET45" s="9">
        <v>260000</v>
      </c>
      <c r="EU45" s="9"/>
      <c r="EV45" s="9"/>
      <c r="EW45" s="9"/>
      <c r="EX45" s="9"/>
      <c r="EY45" s="9"/>
      <c r="EZ45" s="9">
        <v>245000</v>
      </c>
      <c r="FA45" s="9"/>
      <c r="FB45" s="9">
        <v>150000</v>
      </c>
      <c r="FC45" s="9"/>
      <c r="FD45" s="9"/>
      <c r="FE45" s="9"/>
      <c r="FF45" s="9" t="s">
        <v>143</v>
      </c>
      <c r="FG45" s="9"/>
      <c r="FH45" s="9" t="s">
        <v>143</v>
      </c>
      <c r="FI45" s="9"/>
      <c r="FJ45" s="9"/>
      <c r="FK45" s="9">
        <v>200000</v>
      </c>
      <c r="FL45" s="9">
        <v>60000</v>
      </c>
      <c r="FM45" s="9"/>
      <c r="FN45" s="9"/>
      <c r="FO45" s="9"/>
      <c r="FP45" s="9"/>
      <c r="FQ45" s="9"/>
      <c r="FR45" s="9"/>
      <c r="FS45" s="9"/>
      <c r="FT45" s="9">
        <f t="shared" si="3"/>
        <v>1955000</v>
      </c>
      <c r="FU45" s="10">
        <f t="shared" si="4"/>
        <v>1685000</v>
      </c>
      <c r="FV45" s="11">
        <f t="shared" si="5"/>
        <v>30.076923076923077</v>
      </c>
      <c r="FW45" s="11">
        <f t="shared" si="6"/>
        <v>25.923076923076923</v>
      </c>
      <c r="FX45" s="12">
        <f t="shared" si="7"/>
        <v>7.5192307692307692</v>
      </c>
      <c r="FY45" s="12">
        <f t="shared" si="8"/>
        <v>6.4807692307692308</v>
      </c>
    </row>
    <row r="46" spans="1:181" ht="43.5" customHeight="1" thickBot="1" x14ac:dyDescent="0.3">
      <c r="A46" s="1">
        <v>3158</v>
      </c>
      <c r="B46" s="27" t="s">
        <v>222</v>
      </c>
      <c r="C46" s="182" t="s">
        <v>223</v>
      </c>
      <c r="D46" s="2">
        <v>22375673</v>
      </c>
      <c r="E46" s="3">
        <v>45768</v>
      </c>
      <c r="F46" s="3">
        <f t="shared" si="16"/>
        <v>46160</v>
      </c>
      <c r="G46" s="4">
        <v>280</v>
      </c>
      <c r="H46" s="377">
        <f t="shared" si="13"/>
        <v>91.724137931034477</v>
      </c>
      <c r="I46" s="377">
        <f t="shared" si="14"/>
        <v>188.27586206896552</v>
      </c>
      <c r="J46" s="355" t="s">
        <v>1196</v>
      </c>
      <c r="K46" s="10">
        <v>800000</v>
      </c>
      <c r="L46" s="10">
        <v>2436000</v>
      </c>
      <c r="M46" s="8">
        <f t="shared" si="15"/>
        <v>43500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 t="s">
        <v>143</v>
      </c>
      <c r="EL46" s="9"/>
      <c r="EM46" s="9"/>
      <c r="EN46" s="9"/>
      <c r="EO46" s="9"/>
      <c r="EP46" s="9"/>
      <c r="EQ46" s="9"/>
      <c r="ER46" s="9"/>
      <c r="ES46" s="9">
        <v>160000</v>
      </c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>
        <v>100000</v>
      </c>
      <c r="FE46" s="9">
        <v>74000</v>
      </c>
      <c r="FF46" s="9"/>
      <c r="FG46" s="9"/>
      <c r="FH46" s="9"/>
      <c r="FI46" s="9">
        <v>140000</v>
      </c>
      <c r="FJ46" s="9"/>
      <c r="FK46" s="9"/>
      <c r="FL46" s="9"/>
      <c r="FM46" s="9">
        <v>164000</v>
      </c>
      <c r="FN46" s="9"/>
      <c r="FO46" s="9"/>
      <c r="FP46" s="9"/>
      <c r="FQ46" s="9"/>
      <c r="FR46" s="9">
        <v>160000</v>
      </c>
      <c r="FS46" s="9"/>
      <c r="FT46" s="9">
        <f t="shared" si="3"/>
        <v>798000</v>
      </c>
      <c r="FU46" s="10">
        <f t="shared" si="4"/>
        <v>1638000</v>
      </c>
      <c r="FV46" s="11">
        <f t="shared" si="5"/>
        <v>18.344827586206897</v>
      </c>
      <c r="FW46" s="11">
        <f t="shared" si="6"/>
        <v>37.655172413793103</v>
      </c>
      <c r="FX46" s="12">
        <f t="shared" si="7"/>
        <v>4.5862068965517242</v>
      </c>
      <c r="FY46" s="12">
        <f t="shared" si="8"/>
        <v>9.4137931034482758</v>
      </c>
    </row>
    <row r="47" spans="1:181" ht="43.5" customHeight="1" thickBot="1" x14ac:dyDescent="0.3">
      <c r="A47" s="1">
        <v>3227</v>
      </c>
      <c r="B47" s="27" t="s">
        <v>222</v>
      </c>
      <c r="C47" s="182" t="s">
        <v>223</v>
      </c>
      <c r="D47" s="2">
        <v>22375673</v>
      </c>
      <c r="E47" s="3">
        <v>45813</v>
      </c>
      <c r="F47" s="3">
        <f t="shared" si="16"/>
        <v>46205</v>
      </c>
      <c r="G47" s="4">
        <v>280</v>
      </c>
      <c r="H47" s="377">
        <f t="shared" si="13"/>
        <v>54.46153846153846</v>
      </c>
      <c r="I47" s="377">
        <f t="shared" si="14"/>
        <v>225.53846153846155</v>
      </c>
      <c r="J47" s="355" t="s">
        <v>225</v>
      </c>
      <c r="K47" s="7">
        <v>1200000</v>
      </c>
      <c r="L47" s="7">
        <v>3640000</v>
      </c>
      <c r="M47" s="21">
        <f t="shared" si="15"/>
        <v>65000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 t="s">
        <v>143</v>
      </c>
      <c r="EL47" s="9"/>
      <c r="EM47" s="9" t="s">
        <v>143</v>
      </c>
      <c r="EN47" s="9" t="s">
        <v>143</v>
      </c>
      <c r="EO47" s="9"/>
      <c r="EP47" s="9"/>
      <c r="EQ47" s="9"/>
      <c r="ER47" s="9"/>
      <c r="ES47" s="9"/>
      <c r="ET47" s="9"/>
      <c r="EU47" s="9"/>
      <c r="EV47" s="9"/>
      <c r="EW47" s="9"/>
      <c r="EX47" s="9">
        <v>170000</v>
      </c>
      <c r="EY47" s="9"/>
      <c r="EZ47" s="9"/>
      <c r="FA47" s="9"/>
      <c r="FB47" s="9"/>
      <c r="FC47" s="9"/>
      <c r="FD47" s="9"/>
      <c r="FE47" s="9">
        <v>26000</v>
      </c>
      <c r="FF47" s="9"/>
      <c r="FG47" s="9">
        <v>250000</v>
      </c>
      <c r="FH47" s="9"/>
      <c r="FI47" s="9"/>
      <c r="FJ47" s="9"/>
      <c r="FK47" s="9"/>
      <c r="FL47" s="9"/>
      <c r="FM47" s="9"/>
      <c r="FN47" s="9"/>
      <c r="FO47" s="9"/>
      <c r="FP47" s="9">
        <v>262000</v>
      </c>
      <c r="FQ47" s="9"/>
      <c r="FR47" s="9"/>
      <c r="FS47" s="9"/>
      <c r="FT47" s="9">
        <f t="shared" si="3"/>
        <v>708000</v>
      </c>
      <c r="FU47" s="10">
        <f t="shared" si="4"/>
        <v>2932000</v>
      </c>
      <c r="FV47" s="11">
        <f t="shared" si="5"/>
        <v>10.892307692307693</v>
      </c>
      <c r="FW47" s="11">
        <f t="shared" si="6"/>
        <v>45.107692307692311</v>
      </c>
      <c r="FX47" s="12">
        <f t="shared" si="7"/>
        <v>2.7230769230769232</v>
      </c>
      <c r="FY47" s="12">
        <f t="shared" si="8"/>
        <v>11.276923076923078</v>
      </c>
    </row>
    <row r="48" spans="1:181" ht="43.5" customHeight="1" thickBot="1" x14ac:dyDescent="0.3">
      <c r="A48" s="1">
        <v>3431</v>
      </c>
      <c r="B48" s="27" t="s">
        <v>1364</v>
      </c>
      <c r="C48" s="182" t="s">
        <v>223</v>
      </c>
      <c r="D48" s="2">
        <v>22375673</v>
      </c>
      <c r="E48" s="3">
        <v>45939</v>
      </c>
      <c r="F48" s="3">
        <f>WORKDAY(E48,G48)</f>
        <v>46051</v>
      </c>
      <c r="G48" s="4">
        <v>80</v>
      </c>
      <c r="H48" s="377">
        <f t="shared" si="13"/>
        <v>20</v>
      </c>
      <c r="I48" s="377">
        <f t="shared" si="14"/>
        <v>60</v>
      </c>
      <c r="J48" s="355" t="s">
        <v>991</v>
      </c>
      <c r="K48" s="10">
        <v>300000</v>
      </c>
      <c r="L48" s="10">
        <v>648000</v>
      </c>
      <c r="M48" s="8">
        <f t="shared" si="15"/>
        <v>40500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 t="s">
        <v>143</v>
      </c>
      <c r="EL48" s="9"/>
      <c r="EM48" s="9" t="s">
        <v>143</v>
      </c>
      <c r="EN48" s="9" t="s">
        <v>143</v>
      </c>
      <c r="EO48" s="9"/>
      <c r="EP48" s="9"/>
      <c r="EQ48" s="9"/>
      <c r="ER48" s="9"/>
      <c r="ES48" s="9" t="s">
        <v>143</v>
      </c>
      <c r="ET48" s="9"/>
      <c r="EU48" s="9"/>
      <c r="EV48" s="9" t="s">
        <v>143</v>
      </c>
      <c r="EW48" s="9"/>
      <c r="EX48" s="9"/>
      <c r="EY48" s="9"/>
      <c r="EZ48" s="9"/>
      <c r="FA48" s="9"/>
      <c r="FB48" s="9"/>
      <c r="FC48" s="9" t="s">
        <v>143</v>
      </c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>
        <v>162000</v>
      </c>
      <c r="FQ48" s="9"/>
      <c r="FR48" s="9"/>
      <c r="FS48" s="9"/>
      <c r="FT48" s="9">
        <f t="shared" si="3"/>
        <v>162000</v>
      </c>
      <c r="FU48" s="10">
        <f t="shared" si="4"/>
        <v>486000</v>
      </c>
      <c r="FV48" s="11">
        <f t="shared" si="5"/>
        <v>4</v>
      </c>
      <c r="FW48" s="11">
        <f t="shared" si="6"/>
        <v>12</v>
      </c>
      <c r="FX48" s="12">
        <f t="shared" si="7"/>
        <v>1</v>
      </c>
      <c r="FY48" s="12">
        <f t="shared" si="8"/>
        <v>3</v>
      </c>
    </row>
    <row r="49" spans="1:181" ht="43.5" customHeight="1" thickBot="1" x14ac:dyDescent="0.3">
      <c r="A49" s="1">
        <v>3273</v>
      </c>
      <c r="B49" s="435" t="s">
        <v>228</v>
      </c>
      <c r="C49" s="27" t="s">
        <v>229</v>
      </c>
      <c r="D49" s="2"/>
      <c r="E49" s="3">
        <v>45881</v>
      </c>
      <c r="F49" s="3">
        <f t="shared" si="16"/>
        <v>46273</v>
      </c>
      <c r="G49" s="4">
        <v>280</v>
      </c>
      <c r="H49" s="377">
        <f t="shared" si="13"/>
        <v>60</v>
      </c>
      <c r="I49" s="377">
        <f t="shared" si="14"/>
        <v>220</v>
      </c>
      <c r="J49" s="355" t="s">
        <v>1372</v>
      </c>
      <c r="K49" s="7">
        <v>500000</v>
      </c>
      <c r="L49" s="7">
        <v>1400000</v>
      </c>
      <c r="M49" s="8">
        <f t="shared" si="15"/>
        <v>25000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 t="s">
        <v>143</v>
      </c>
      <c r="EL49" s="9"/>
      <c r="EM49" s="9" t="s">
        <v>143</v>
      </c>
      <c r="EN49" s="9" t="s">
        <v>143</v>
      </c>
      <c r="EO49" s="9"/>
      <c r="EP49" s="9"/>
      <c r="EQ49" s="9"/>
      <c r="ER49" s="9"/>
      <c r="ES49" s="9" t="s">
        <v>143</v>
      </c>
      <c r="ET49" s="9"/>
      <c r="EU49" s="9"/>
      <c r="EV49" s="9" t="s">
        <v>143</v>
      </c>
      <c r="EW49" s="9"/>
      <c r="EX49" s="9"/>
      <c r="EY49" s="9"/>
      <c r="EZ49" s="9"/>
      <c r="FA49" s="9"/>
      <c r="FB49" s="9"/>
      <c r="FC49" s="9"/>
      <c r="FD49" s="9"/>
      <c r="FE49" s="9"/>
      <c r="FF49" s="9">
        <v>100000</v>
      </c>
      <c r="FG49" s="9"/>
      <c r="FH49" s="9"/>
      <c r="FI49" s="9"/>
      <c r="FJ49" s="9"/>
      <c r="FK49" s="9"/>
      <c r="FL49" s="9">
        <v>100000</v>
      </c>
      <c r="FM49" s="9"/>
      <c r="FN49" s="9"/>
      <c r="FO49" s="9"/>
      <c r="FP49" s="9">
        <v>100000</v>
      </c>
      <c r="FQ49" s="9"/>
      <c r="FR49" s="9"/>
      <c r="FS49" s="9"/>
      <c r="FT49" s="9">
        <f t="shared" si="3"/>
        <v>300000</v>
      </c>
      <c r="FU49" s="10">
        <f t="shared" si="4"/>
        <v>1100000</v>
      </c>
      <c r="FV49" s="11">
        <f t="shared" si="5"/>
        <v>12</v>
      </c>
      <c r="FW49" s="11">
        <f t="shared" si="6"/>
        <v>44</v>
      </c>
      <c r="FX49" s="12">
        <f t="shared" si="7"/>
        <v>3</v>
      </c>
      <c r="FY49" s="12">
        <f t="shared" si="8"/>
        <v>11</v>
      </c>
    </row>
    <row r="50" spans="1:181" ht="43.5" customHeight="1" thickBot="1" x14ac:dyDescent="0.3">
      <c r="A50" s="1">
        <v>3219</v>
      </c>
      <c r="B50" s="27" t="s">
        <v>230</v>
      </c>
      <c r="C50" s="27" t="s">
        <v>231</v>
      </c>
      <c r="D50" s="2">
        <v>14154231</v>
      </c>
      <c r="E50" s="3">
        <v>45699</v>
      </c>
      <c r="F50" s="3">
        <f>WORKDAY(E50,G50)</f>
        <v>45811</v>
      </c>
      <c r="G50" s="4">
        <v>80</v>
      </c>
      <c r="H50" s="377">
        <f t="shared" si="13"/>
        <v>37.037037037037038</v>
      </c>
      <c r="I50" s="377">
        <f t="shared" si="14"/>
        <v>42.962962962962962</v>
      </c>
      <c r="J50" s="355" t="s">
        <v>232</v>
      </c>
      <c r="K50" s="10">
        <v>300000</v>
      </c>
      <c r="L50" s="10">
        <v>648000</v>
      </c>
      <c r="M50" s="21">
        <f t="shared" si="15"/>
        <v>40500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 t="s">
        <v>143</v>
      </c>
      <c r="EL50" s="9"/>
      <c r="EM50" s="9" t="s">
        <v>143</v>
      </c>
      <c r="EN50" s="9" t="s">
        <v>143</v>
      </c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>
        <v>100000</v>
      </c>
      <c r="FB50" s="9"/>
      <c r="FC50" s="9"/>
      <c r="FD50" s="9"/>
      <c r="FE50" s="9">
        <v>100000</v>
      </c>
      <c r="FF50" s="9"/>
      <c r="FG50" s="9"/>
      <c r="FH50" s="9"/>
      <c r="FI50" s="9"/>
      <c r="FJ50" s="9"/>
      <c r="FK50" s="9"/>
      <c r="FL50" s="9"/>
      <c r="FM50" s="9"/>
      <c r="FN50" s="9"/>
      <c r="FO50" s="9">
        <v>100000</v>
      </c>
      <c r="FP50" s="9"/>
      <c r="FQ50" s="9"/>
      <c r="FR50" s="9"/>
      <c r="FS50" s="9"/>
      <c r="FT50" s="9">
        <f t="shared" si="3"/>
        <v>300000</v>
      </c>
      <c r="FU50" s="7">
        <f t="shared" si="4"/>
        <v>348000</v>
      </c>
      <c r="FV50" s="11">
        <f t="shared" si="5"/>
        <v>7.4074074074074074</v>
      </c>
      <c r="FW50" s="11">
        <f t="shared" si="6"/>
        <v>8.5925925925925917</v>
      </c>
      <c r="FX50" s="12">
        <f t="shared" si="7"/>
        <v>1.8518518518518519</v>
      </c>
      <c r="FY50" s="12">
        <f t="shared" si="8"/>
        <v>2.1481481481481479</v>
      </c>
    </row>
    <row r="51" spans="1:181" ht="43.5" customHeight="1" thickBot="1" x14ac:dyDescent="0.3">
      <c r="A51" s="1">
        <v>3004</v>
      </c>
      <c r="B51" s="27" t="s">
        <v>233</v>
      </c>
      <c r="C51" s="27" t="s">
        <v>234</v>
      </c>
      <c r="D51" s="2" t="s">
        <v>235</v>
      </c>
      <c r="E51" s="3">
        <v>45672</v>
      </c>
      <c r="F51" s="3">
        <f t="shared" si="16"/>
        <v>45868</v>
      </c>
      <c r="G51" s="4">
        <v>140</v>
      </c>
      <c r="H51" s="377">
        <f t="shared" si="13"/>
        <v>134.1580121212121</v>
      </c>
      <c r="I51" s="377">
        <f t="shared" si="14"/>
        <v>5.8419878787879043</v>
      </c>
      <c r="J51" s="355" t="s">
        <v>238</v>
      </c>
      <c r="K51" s="177">
        <v>300000</v>
      </c>
      <c r="L51" s="10">
        <v>825000</v>
      </c>
      <c r="M51" s="21">
        <f t="shared" si="15"/>
        <v>29464.285714285717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  <c r="CW51" s="43"/>
      <c r="CX51" s="43"/>
      <c r="CY51" s="43"/>
      <c r="CZ51" s="43"/>
      <c r="DA51" s="43"/>
      <c r="DB51" s="43"/>
      <c r="DC51" s="43"/>
      <c r="DD51" s="43"/>
      <c r="DE51" s="43"/>
      <c r="DF51" s="43"/>
      <c r="DG51" s="43"/>
      <c r="DH51" s="43"/>
      <c r="DI51" s="43"/>
      <c r="DJ51" s="43"/>
      <c r="DK51" s="43"/>
      <c r="DL51" s="43"/>
      <c r="DM51" s="43"/>
      <c r="DN51" s="43"/>
      <c r="DO51" s="43"/>
      <c r="DP51" s="43"/>
      <c r="DQ51" s="43"/>
      <c r="DR51" s="43"/>
      <c r="DS51" s="43"/>
      <c r="DT51" s="43"/>
      <c r="DU51" s="43"/>
      <c r="DV51" s="43"/>
      <c r="DW51" s="43"/>
      <c r="DX51" s="43"/>
      <c r="DY51" s="43"/>
      <c r="DZ51" s="43"/>
      <c r="EA51" s="43"/>
      <c r="EB51" s="43"/>
      <c r="EC51" s="43">
        <v>85400</v>
      </c>
      <c r="ED51" s="43">
        <v>32500</v>
      </c>
      <c r="EE51" s="43"/>
      <c r="EF51" s="43"/>
      <c r="EG51" s="43"/>
      <c r="EH51" s="43">
        <v>88400</v>
      </c>
      <c r="EI51" s="43">
        <v>30000</v>
      </c>
      <c r="EJ51" s="43"/>
      <c r="EK51" s="43"/>
      <c r="EL51" s="43">
        <v>42200</v>
      </c>
      <c r="EM51" s="43">
        <v>70000</v>
      </c>
      <c r="EN51" s="43"/>
      <c r="EO51" s="43"/>
      <c r="EP51" s="43">
        <v>9000</v>
      </c>
      <c r="EQ51" s="9">
        <v>60000</v>
      </c>
      <c r="ER51" s="9">
        <v>10000</v>
      </c>
      <c r="ES51" s="9">
        <v>38858</v>
      </c>
      <c r="ET51" s="9"/>
      <c r="EU51" s="9">
        <v>11500</v>
      </c>
      <c r="EV51" s="9"/>
      <c r="EW51" s="9">
        <v>117858</v>
      </c>
      <c r="EX51" s="9"/>
      <c r="EY51" s="9"/>
      <c r="EZ51" s="9"/>
      <c r="FA51" s="9">
        <v>14642</v>
      </c>
      <c r="FB51" s="9">
        <v>100000</v>
      </c>
      <c r="FC51" s="9">
        <v>3216</v>
      </c>
      <c r="FD51" s="9"/>
      <c r="FE51" s="9"/>
      <c r="FF51" s="9"/>
      <c r="FG51" s="9"/>
      <c r="FH51" s="9"/>
      <c r="FI51" s="9">
        <v>19500</v>
      </c>
      <c r="FJ51" s="9"/>
      <c r="FK51" s="9"/>
      <c r="FL51" s="9"/>
      <c r="FM51" s="9"/>
      <c r="FN51" s="9"/>
      <c r="FO51" s="9">
        <v>27500</v>
      </c>
      <c r="FP51" s="9"/>
      <c r="FQ51" s="9"/>
      <c r="FR51" s="9"/>
      <c r="FS51" s="9">
        <v>30000</v>
      </c>
      <c r="FT51" s="9">
        <f t="shared" si="3"/>
        <v>790574</v>
      </c>
      <c r="FU51" s="7">
        <f t="shared" si="4"/>
        <v>34426</v>
      </c>
      <c r="FV51" s="11">
        <f t="shared" si="5"/>
        <v>26.831602424242419</v>
      </c>
      <c r="FW51" s="11">
        <f t="shared" si="6"/>
        <v>1.1683975757575809</v>
      </c>
      <c r="FX51" s="12">
        <f t="shared" si="7"/>
        <v>6.7079006060606048</v>
      </c>
      <c r="FY51" s="12">
        <f t="shared" si="8"/>
        <v>0.29209939393939521</v>
      </c>
    </row>
    <row r="52" spans="1:181" ht="43.5" customHeight="1" thickBot="1" x14ac:dyDescent="0.3">
      <c r="A52" s="1">
        <v>3146</v>
      </c>
      <c r="B52" s="27" t="s">
        <v>233</v>
      </c>
      <c r="C52" s="27" t="s">
        <v>234</v>
      </c>
      <c r="D52" s="2" t="s">
        <v>235</v>
      </c>
      <c r="E52" s="3">
        <v>45756</v>
      </c>
      <c r="F52" s="3">
        <f t="shared" si="16"/>
        <v>46050</v>
      </c>
      <c r="G52" s="4">
        <v>210</v>
      </c>
      <c r="H52" s="377">
        <f t="shared" si="13"/>
        <v>135</v>
      </c>
      <c r="I52" s="377">
        <f t="shared" si="14"/>
        <v>75</v>
      </c>
      <c r="J52" s="155" t="s">
        <v>1187</v>
      </c>
      <c r="K52" s="7">
        <v>500000</v>
      </c>
      <c r="L52" s="7">
        <v>1701000</v>
      </c>
      <c r="M52" s="21">
        <f t="shared" si="15"/>
        <v>40500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 t="s">
        <v>143</v>
      </c>
      <c r="EL52" s="9"/>
      <c r="EM52" s="9">
        <v>40500</v>
      </c>
      <c r="EN52" s="9">
        <v>40500</v>
      </c>
      <c r="EO52" s="9">
        <v>40500</v>
      </c>
      <c r="EP52" s="9">
        <v>40500</v>
      </c>
      <c r="EQ52" s="9">
        <v>40500</v>
      </c>
      <c r="ER52" s="9">
        <v>40500</v>
      </c>
      <c r="ES52" s="9">
        <v>40500</v>
      </c>
      <c r="ET52" s="9">
        <v>40500</v>
      </c>
      <c r="EU52" s="9">
        <v>40500</v>
      </c>
      <c r="EV52" s="9">
        <v>40500</v>
      </c>
      <c r="EW52" s="9">
        <v>40500</v>
      </c>
      <c r="EX52" s="9">
        <v>40500</v>
      </c>
      <c r="EY52" s="9">
        <v>40500</v>
      </c>
      <c r="EZ52" s="9">
        <v>40500</v>
      </c>
      <c r="FA52" s="9">
        <v>40500</v>
      </c>
      <c r="FB52" s="9">
        <v>40500</v>
      </c>
      <c r="FC52" s="9">
        <v>40500</v>
      </c>
      <c r="FD52" s="9">
        <v>40500</v>
      </c>
      <c r="FE52" s="9">
        <v>40500</v>
      </c>
      <c r="FF52" s="9">
        <v>40500</v>
      </c>
      <c r="FG52" s="9">
        <v>40500</v>
      </c>
      <c r="FH52" s="9">
        <v>40500</v>
      </c>
      <c r="FI52" s="9">
        <v>40500</v>
      </c>
      <c r="FJ52" s="9">
        <v>40500</v>
      </c>
      <c r="FK52" s="9"/>
      <c r="FL52" s="9">
        <v>40500</v>
      </c>
      <c r="FM52" s="9"/>
      <c r="FN52" s="9">
        <v>40500</v>
      </c>
      <c r="FO52" s="9">
        <v>40500</v>
      </c>
      <c r="FP52" s="9"/>
      <c r="FQ52" s="9"/>
      <c r="FR52" s="9"/>
      <c r="FS52" s="9"/>
      <c r="FT52" s="9">
        <f t="shared" si="3"/>
        <v>1093500</v>
      </c>
      <c r="FU52" s="10">
        <f t="shared" si="4"/>
        <v>607500</v>
      </c>
      <c r="FV52" s="11">
        <f t="shared" si="5"/>
        <v>27</v>
      </c>
      <c r="FW52" s="11">
        <f t="shared" si="6"/>
        <v>15</v>
      </c>
      <c r="FX52" s="12">
        <f t="shared" si="7"/>
        <v>6.75</v>
      </c>
      <c r="FY52" s="12">
        <f t="shared" si="8"/>
        <v>3.75</v>
      </c>
    </row>
    <row r="53" spans="1:181" ht="43.5" customHeight="1" thickBot="1" x14ac:dyDescent="0.3">
      <c r="A53" s="1">
        <v>3176</v>
      </c>
      <c r="B53" s="27" t="s">
        <v>233</v>
      </c>
      <c r="C53" s="27" t="s">
        <v>234</v>
      </c>
      <c r="D53" s="2" t="s">
        <v>235</v>
      </c>
      <c r="E53" s="3">
        <v>45777</v>
      </c>
      <c r="F53" s="3">
        <f>WORKDAY(E53,G53)</f>
        <v>46001</v>
      </c>
      <c r="G53" s="4">
        <v>160</v>
      </c>
      <c r="H53" s="377">
        <f t="shared" si="13"/>
        <v>49.70453333333333</v>
      </c>
      <c r="I53" s="377">
        <f t="shared" si="14"/>
        <v>110.29546666666667</v>
      </c>
      <c r="J53" s="355" t="s">
        <v>1204</v>
      </c>
      <c r="K53" s="177">
        <v>400000</v>
      </c>
      <c r="L53" s="10">
        <v>1200000</v>
      </c>
      <c r="M53" s="21">
        <f t="shared" si="15"/>
        <v>37500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  <c r="CS53" s="43"/>
      <c r="CT53" s="43"/>
      <c r="CU53" s="43"/>
      <c r="CV53" s="43"/>
      <c r="CW53" s="43"/>
      <c r="CX53" s="43"/>
      <c r="CY53" s="43"/>
      <c r="CZ53" s="43"/>
      <c r="DA53" s="43"/>
      <c r="DB53" s="43"/>
      <c r="DC53" s="43"/>
      <c r="DD53" s="43"/>
      <c r="DE53" s="43"/>
      <c r="DF53" s="43"/>
      <c r="DG53" s="43"/>
      <c r="DH53" s="43"/>
      <c r="DI53" s="43"/>
      <c r="DJ53" s="43"/>
      <c r="DK53" s="43"/>
      <c r="DL53" s="43"/>
      <c r="DM53" s="43"/>
      <c r="DN53" s="43"/>
      <c r="DO53" s="43"/>
      <c r="DP53" s="43"/>
      <c r="DQ53" s="43"/>
      <c r="DR53" s="43"/>
      <c r="DS53" s="43"/>
      <c r="DT53" s="43"/>
      <c r="DU53" s="43"/>
      <c r="DV53" s="43"/>
      <c r="DW53" s="43"/>
      <c r="DX53" s="43"/>
      <c r="DY53" s="43"/>
      <c r="DZ53" s="43"/>
      <c r="EA53" s="43"/>
      <c r="EB53" s="43"/>
      <c r="EC53" s="43"/>
      <c r="ED53" s="43"/>
      <c r="EE53" s="43"/>
      <c r="EF53" s="43"/>
      <c r="EG53" s="43"/>
      <c r="EH53" s="43"/>
      <c r="EI53" s="43"/>
      <c r="EJ53" s="43"/>
      <c r="EK53" s="43"/>
      <c r="EL53" s="43"/>
      <c r="EM53" s="43"/>
      <c r="EN53" s="43"/>
      <c r="EO53" s="43"/>
      <c r="EP53" s="43"/>
      <c r="EQ53" s="9"/>
      <c r="ER53" s="9"/>
      <c r="ES53" s="9"/>
      <c r="ET53" s="9"/>
      <c r="EU53" s="9"/>
      <c r="EV53" s="9"/>
      <c r="EW53" s="9">
        <v>83642</v>
      </c>
      <c r="EX53" s="9"/>
      <c r="EY53" s="9">
        <v>36858</v>
      </c>
      <c r="EZ53" s="9">
        <v>60000</v>
      </c>
      <c r="FA53" s="9"/>
      <c r="FB53" s="9"/>
      <c r="FC53" s="9">
        <v>38284</v>
      </c>
      <c r="FD53" s="9">
        <v>41500</v>
      </c>
      <c r="FE53" s="9"/>
      <c r="FF53" s="9">
        <v>29500</v>
      </c>
      <c r="FG53" s="9"/>
      <c r="FH53" s="9">
        <v>39500</v>
      </c>
      <c r="FI53" s="9">
        <v>40000</v>
      </c>
      <c r="FJ53" s="9"/>
      <c r="FK53" s="9"/>
      <c r="FL53" s="9"/>
      <c r="FM53" s="9"/>
      <c r="FN53" s="9">
        <v>3500</v>
      </c>
      <c r="FO53" s="9"/>
      <c r="FP53" s="9"/>
      <c r="FQ53" s="9"/>
      <c r="FR53" s="9"/>
      <c r="FS53" s="9"/>
      <c r="FT53" s="9">
        <f t="shared" si="3"/>
        <v>372784</v>
      </c>
      <c r="FU53" s="7">
        <f t="shared" si="4"/>
        <v>827216</v>
      </c>
      <c r="FV53" s="11">
        <f t="shared" si="5"/>
        <v>9.9409066666666668</v>
      </c>
      <c r="FW53" s="11">
        <f t="shared" si="6"/>
        <v>22.059093333333333</v>
      </c>
      <c r="FX53" s="12">
        <f t="shared" si="7"/>
        <v>2.4852266666666667</v>
      </c>
      <c r="FY53" s="12">
        <f t="shared" si="8"/>
        <v>5.5147733333333333</v>
      </c>
    </row>
    <row r="54" spans="1:181" ht="43.5" customHeight="1" thickBot="1" x14ac:dyDescent="0.3">
      <c r="A54" s="1">
        <v>3322</v>
      </c>
      <c r="B54" s="27" t="s">
        <v>233</v>
      </c>
      <c r="C54" s="27" t="s">
        <v>234</v>
      </c>
      <c r="D54" s="2" t="s">
        <v>235</v>
      </c>
      <c r="E54" s="3">
        <v>45866</v>
      </c>
      <c r="F54" s="3">
        <f t="shared" si="16"/>
        <v>46034</v>
      </c>
      <c r="G54" s="4">
        <v>120</v>
      </c>
      <c r="H54" s="377">
        <f t="shared" si="13"/>
        <v>2.5568181818181817</v>
      </c>
      <c r="I54" s="377">
        <f t="shared" si="14"/>
        <v>117.44318181818181</v>
      </c>
      <c r="J54" s="355" t="s">
        <v>1276</v>
      </c>
      <c r="K54" s="20">
        <v>400000</v>
      </c>
      <c r="L54" s="7">
        <v>1056000</v>
      </c>
      <c r="M54" s="8">
        <f t="shared" si="15"/>
        <v>44000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43"/>
      <c r="CZ54" s="43"/>
      <c r="DA54" s="43"/>
      <c r="DB54" s="43"/>
      <c r="DC54" s="43"/>
      <c r="DD54" s="43"/>
      <c r="DE54" s="43"/>
      <c r="DF54" s="43"/>
      <c r="DG54" s="43"/>
      <c r="DH54" s="43"/>
      <c r="DI54" s="43"/>
      <c r="DJ54" s="43"/>
      <c r="DK54" s="43"/>
      <c r="DL54" s="43"/>
      <c r="DM54" s="43"/>
      <c r="DN54" s="43"/>
      <c r="DO54" s="43"/>
      <c r="DP54" s="43"/>
      <c r="DQ54" s="43"/>
      <c r="DR54" s="43"/>
      <c r="DS54" s="43"/>
      <c r="DT54" s="43"/>
      <c r="DU54" s="43"/>
      <c r="DV54" s="43"/>
      <c r="DW54" s="43"/>
      <c r="DX54" s="43"/>
      <c r="DY54" s="43"/>
      <c r="DZ54" s="43"/>
      <c r="EA54" s="43"/>
      <c r="EB54" s="43"/>
      <c r="EC54" s="43"/>
      <c r="ED54" s="43"/>
      <c r="EE54" s="43"/>
      <c r="EF54" s="43"/>
      <c r="EG54" s="43"/>
      <c r="EH54" s="43"/>
      <c r="EI54" s="43"/>
      <c r="EJ54" s="43"/>
      <c r="EK54" s="43" t="s">
        <v>143</v>
      </c>
      <c r="EL54" s="43"/>
      <c r="EM54" s="43" t="s">
        <v>143</v>
      </c>
      <c r="EN54" s="43" t="s">
        <v>143</v>
      </c>
      <c r="EO54" s="43"/>
      <c r="EP54" s="43"/>
      <c r="EQ54" s="9"/>
      <c r="ER54" s="9"/>
      <c r="ES54" s="9" t="s">
        <v>143</v>
      </c>
      <c r="ET54" s="9"/>
      <c r="EU54" s="9"/>
      <c r="EV54" s="9" t="s">
        <v>143</v>
      </c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>
        <v>22500</v>
      </c>
      <c r="FK54" s="9"/>
      <c r="FL54" s="9"/>
      <c r="FM54" s="9"/>
      <c r="FN54" s="9"/>
      <c r="FO54" s="9"/>
      <c r="FP54" s="9"/>
      <c r="FQ54" s="9"/>
      <c r="FR54" s="9"/>
      <c r="FS54" s="9"/>
      <c r="FT54" s="9">
        <f t="shared" si="3"/>
        <v>22500</v>
      </c>
      <c r="FU54" s="7">
        <f t="shared" si="4"/>
        <v>1033500</v>
      </c>
      <c r="FV54" s="11">
        <f t="shared" si="5"/>
        <v>0.51136363636363635</v>
      </c>
      <c r="FW54" s="11">
        <f t="shared" si="6"/>
        <v>23.488636363636363</v>
      </c>
      <c r="FX54" s="12">
        <f t="shared" si="7"/>
        <v>0.12784090909090909</v>
      </c>
      <c r="FY54" s="12">
        <f t="shared" si="8"/>
        <v>5.8721590909090908</v>
      </c>
    </row>
    <row r="55" spans="1:181" ht="43.5" customHeight="1" thickBot="1" x14ac:dyDescent="0.3">
      <c r="A55" s="1">
        <v>3421</v>
      </c>
      <c r="B55" s="27" t="s">
        <v>233</v>
      </c>
      <c r="C55" s="27" t="s">
        <v>234</v>
      </c>
      <c r="D55" s="2" t="s">
        <v>235</v>
      </c>
      <c r="E55" s="3">
        <v>45929</v>
      </c>
      <c r="F55" s="3">
        <f>WORKDAY(E55,G55)</f>
        <v>46153</v>
      </c>
      <c r="G55" s="4">
        <v>160</v>
      </c>
      <c r="H55" s="377">
        <f t="shared" si="13"/>
        <v>16.018518518518519</v>
      </c>
      <c r="I55" s="377">
        <f t="shared" si="14"/>
        <v>143.98148148148147</v>
      </c>
      <c r="J55" s="155" t="s">
        <v>1356</v>
      </c>
      <c r="K55" s="10">
        <v>300000</v>
      </c>
      <c r="L55" s="10">
        <v>864000</v>
      </c>
      <c r="M55" s="8">
        <f t="shared" si="15"/>
        <v>27000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DD55" s="43"/>
      <c r="DE55" s="43"/>
      <c r="DF55" s="43"/>
      <c r="DG55" s="43"/>
      <c r="DH55" s="43"/>
      <c r="DI55" s="43"/>
      <c r="DJ55" s="43"/>
      <c r="DK55" s="43"/>
      <c r="DL55" s="43"/>
      <c r="DM55" s="43"/>
      <c r="DN55" s="43"/>
      <c r="DO55" s="43"/>
      <c r="DP55" s="43"/>
      <c r="DQ55" s="43"/>
      <c r="DR55" s="43"/>
      <c r="DS55" s="43"/>
      <c r="DT55" s="43"/>
      <c r="DU55" s="43"/>
      <c r="DV55" s="43"/>
      <c r="DW55" s="43"/>
      <c r="DX55" s="43"/>
      <c r="DY55" s="43"/>
      <c r="DZ55" s="43"/>
      <c r="EA55" s="43"/>
      <c r="EB55" s="43"/>
      <c r="EC55" s="43"/>
      <c r="ED55" s="43"/>
      <c r="EE55" s="43"/>
      <c r="EF55" s="43"/>
      <c r="EG55" s="43"/>
      <c r="EH55" s="43"/>
      <c r="EI55" s="43"/>
      <c r="EJ55" s="43"/>
      <c r="EK55" s="43" t="s">
        <v>143</v>
      </c>
      <c r="EL55" s="43"/>
      <c r="EM55" s="43" t="s">
        <v>143</v>
      </c>
      <c r="EN55" s="43" t="s">
        <v>143</v>
      </c>
      <c r="EO55" s="43"/>
      <c r="EP55" s="43"/>
      <c r="EQ55" s="9"/>
      <c r="ER55" s="9"/>
      <c r="ES55" s="9" t="s">
        <v>143</v>
      </c>
      <c r="ET55" s="9"/>
      <c r="EU55" s="9"/>
      <c r="EV55" s="9" t="s">
        <v>143</v>
      </c>
      <c r="EW55" s="9"/>
      <c r="EX55" s="9"/>
      <c r="EY55" s="9"/>
      <c r="EZ55" s="9"/>
      <c r="FA55" s="9"/>
      <c r="FB55" s="9"/>
      <c r="FC55" s="9" t="s">
        <v>143</v>
      </c>
      <c r="FD55" s="9"/>
      <c r="FE55" s="9"/>
      <c r="FF55" s="9"/>
      <c r="FG55" s="9"/>
      <c r="FH55" s="9"/>
      <c r="FI55" s="9"/>
      <c r="FJ55" s="9">
        <v>27000</v>
      </c>
      <c r="FK55" s="9"/>
      <c r="FL55" s="9">
        <v>27000</v>
      </c>
      <c r="FM55" s="9">
        <v>32500</v>
      </c>
      <c r="FN55" s="9"/>
      <c r="FO55" s="9"/>
      <c r="FP55" s="9"/>
      <c r="FQ55" s="9"/>
      <c r="FR55" s="9"/>
      <c r="FS55" s="9"/>
      <c r="FT55" s="9">
        <f t="shared" si="3"/>
        <v>86500</v>
      </c>
      <c r="FU55" s="7">
        <f t="shared" si="4"/>
        <v>777500</v>
      </c>
      <c r="FV55" s="11">
        <f t="shared" si="5"/>
        <v>3.2037037037037037</v>
      </c>
      <c r="FW55" s="11">
        <f t="shared" si="6"/>
        <v>28.796296296296294</v>
      </c>
      <c r="FX55" s="12">
        <f t="shared" si="7"/>
        <v>0.80092592592592593</v>
      </c>
      <c r="FY55" s="12">
        <f t="shared" si="8"/>
        <v>7.1990740740740735</v>
      </c>
    </row>
    <row r="56" spans="1:181" ht="43.5" customHeight="1" thickBot="1" x14ac:dyDescent="0.3">
      <c r="A56" s="1">
        <v>3371</v>
      </c>
      <c r="B56" s="27" t="s">
        <v>239</v>
      </c>
      <c r="C56" s="27" t="s">
        <v>240</v>
      </c>
      <c r="D56" s="2"/>
      <c r="E56" s="3">
        <v>45897</v>
      </c>
      <c r="F56" s="3">
        <f t="shared" si="16"/>
        <v>46051</v>
      </c>
      <c r="G56" s="4">
        <v>110</v>
      </c>
      <c r="H56" s="377">
        <f t="shared" si="13"/>
        <v>65</v>
      </c>
      <c r="I56" s="377">
        <f t="shared" si="14"/>
        <v>45</v>
      </c>
      <c r="J56" s="155" t="s">
        <v>1318</v>
      </c>
      <c r="K56" s="7">
        <v>500000</v>
      </c>
      <c r="L56" s="7">
        <v>1320000</v>
      </c>
      <c r="M56" s="8">
        <f t="shared" si="15"/>
        <v>60000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CY56" s="43"/>
      <c r="CZ56" s="43"/>
      <c r="DA56" s="43"/>
      <c r="DB56" s="43"/>
      <c r="DC56" s="43"/>
      <c r="DD56" s="43"/>
      <c r="DE56" s="43"/>
      <c r="DF56" s="43"/>
      <c r="DG56" s="43"/>
      <c r="DH56" s="43"/>
      <c r="DI56" s="43"/>
      <c r="DJ56" s="43"/>
      <c r="DK56" s="43"/>
      <c r="DL56" s="43"/>
      <c r="DM56" s="43"/>
      <c r="DN56" s="43"/>
      <c r="DO56" s="43"/>
      <c r="DP56" s="43"/>
      <c r="DQ56" s="43"/>
      <c r="DR56" s="43"/>
      <c r="DS56" s="43"/>
      <c r="DT56" s="43"/>
      <c r="DU56" s="43"/>
      <c r="DV56" s="43"/>
      <c r="DW56" s="43"/>
      <c r="DX56" s="43"/>
      <c r="DY56" s="43"/>
      <c r="DZ56" s="43"/>
      <c r="EA56" s="43"/>
      <c r="EB56" s="43"/>
      <c r="EC56" s="43"/>
      <c r="ED56" s="43"/>
      <c r="EE56" s="43"/>
      <c r="EF56" s="43"/>
      <c r="EG56" s="43"/>
      <c r="EH56" s="43"/>
      <c r="EI56" s="43"/>
      <c r="EJ56" s="43"/>
      <c r="EK56" s="43" t="s">
        <v>143</v>
      </c>
      <c r="EL56" s="43"/>
      <c r="EM56" s="43" t="s">
        <v>143</v>
      </c>
      <c r="EN56" s="43" t="s">
        <v>143</v>
      </c>
      <c r="EO56" s="43"/>
      <c r="EP56" s="43"/>
      <c r="EQ56" s="9"/>
      <c r="ER56" s="9"/>
      <c r="ES56" s="9" t="s">
        <v>143</v>
      </c>
      <c r="ET56" s="9"/>
      <c r="EU56" s="9"/>
      <c r="EV56" s="9" t="s">
        <v>143</v>
      </c>
      <c r="EW56" s="9"/>
      <c r="EX56" s="9"/>
      <c r="EY56" s="9"/>
      <c r="EZ56" s="9"/>
      <c r="FA56" s="9"/>
      <c r="FB56" s="9"/>
      <c r="FC56" s="9" t="s">
        <v>143</v>
      </c>
      <c r="FD56" s="9"/>
      <c r="FE56" s="9"/>
      <c r="FF56" s="9"/>
      <c r="FG56" s="9">
        <v>60000</v>
      </c>
      <c r="FH56" s="9">
        <v>60000</v>
      </c>
      <c r="FI56" s="9">
        <v>60000</v>
      </c>
      <c r="FJ56" s="9"/>
      <c r="FK56" s="9">
        <v>120000</v>
      </c>
      <c r="FL56" s="9">
        <v>60000</v>
      </c>
      <c r="FM56" s="9">
        <v>60000</v>
      </c>
      <c r="FN56" s="9">
        <v>60000</v>
      </c>
      <c r="FO56" s="9"/>
      <c r="FP56" s="9">
        <v>120000</v>
      </c>
      <c r="FQ56" s="9"/>
      <c r="FR56" s="9">
        <v>120000</v>
      </c>
      <c r="FS56" s="9">
        <v>60000</v>
      </c>
      <c r="FT56" s="9">
        <f t="shared" si="3"/>
        <v>780000</v>
      </c>
      <c r="FU56" s="7">
        <f t="shared" si="4"/>
        <v>540000</v>
      </c>
      <c r="FV56" s="11">
        <f t="shared" si="5"/>
        <v>13</v>
      </c>
      <c r="FW56" s="11">
        <f t="shared" si="6"/>
        <v>9</v>
      </c>
      <c r="FX56" s="12">
        <f t="shared" si="7"/>
        <v>3.25</v>
      </c>
      <c r="FY56" s="12">
        <f t="shared" si="8"/>
        <v>2.25</v>
      </c>
    </row>
    <row r="57" spans="1:181" ht="43.5" customHeight="1" thickBot="1" x14ac:dyDescent="0.3">
      <c r="A57" s="1">
        <v>3441</v>
      </c>
      <c r="B57" s="27" t="s">
        <v>239</v>
      </c>
      <c r="C57" s="27" t="s">
        <v>240</v>
      </c>
      <c r="D57" s="2"/>
      <c r="E57" s="3">
        <v>45944</v>
      </c>
      <c r="F57" s="3">
        <f t="shared" si="16"/>
        <v>46168</v>
      </c>
      <c r="G57" s="4">
        <v>160</v>
      </c>
      <c r="H57" s="377">
        <f t="shared" si="13"/>
        <v>32.222222222222221</v>
      </c>
      <c r="I57" s="377">
        <f t="shared" si="14"/>
        <v>127.77777777777777</v>
      </c>
      <c r="J57" s="155" t="s">
        <v>1370</v>
      </c>
      <c r="K57" s="7">
        <v>1000000</v>
      </c>
      <c r="L57" s="7">
        <v>2880000</v>
      </c>
      <c r="M57" s="21">
        <f t="shared" si="15"/>
        <v>90000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/>
      <c r="CX57" s="43"/>
      <c r="CY57" s="43"/>
      <c r="CZ57" s="43"/>
      <c r="DA57" s="43"/>
      <c r="DB57" s="43"/>
      <c r="DC57" s="43"/>
      <c r="DD57" s="43"/>
      <c r="DE57" s="43"/>
      <c r="DF57" s="43"/>
      <c r="DG57" s="43"/>
      <c r="DH57" s="43"/>
      <c r="DI57" s="43"/>
      <c r="DJ57" s="43"/>
      <c r="DK57" s="43"/>
      <c r="DL57" s="43"/>
      <c r="DM57" s="43"/>
      <c r="DN57" s="43"/>
      <c r="DO57" s="43"/>
      <c r="DP57" s="43"/>
      <c r="DQ57" s="43"/>
      <c r="DR57" s="43"/>
      <c r="DS57" s="43"/>
      <c r="DT57" s="43"/>
      <c r="DU57" s="43"/>
      <c r="DV57" s="43"/>
      <c r="DW57" s="43"/>
      <c r="DX57" s="43"/>
      <c r="DY57" s="43"/>
      <c r="DZ57" s="43"/>
      <c r="EA57" s="43"/>
      <c r="EB57" s="43"/>
      <c r="EC57" s="43"/>
      <c r="ED57" s="43"/>
      <c r="EE57" s="43"/>
      <c r="EF57" s="43"/>
      <c r="EG57" s="43"/>
      <c r="EH57" s="43"/>
      <c r="EI57" s="43"/>
      <c r="EJ57" s="43"/>
      <c r="EK57" s="43" t="s">
        <v>143</v>
      </c>
      <c r="EL57" s="43"/>
      <c r="EM57" s="43" t="s">
        <v>143</v>
      </c>
      <c r="EN57" s="43" t="s">
        <v>143</v>
      </c>
      <c r="EO57" s="43"/>
      <c r="EP57" s="43"/>
      <c r="EQ57" s="9"/>
      <c r="ER57" s="9"/>
      <c r="ES57" s="9" t="s">
        <v>143</v>
      </c>
      <c r="ET57" s="9"/>
      <c r="EU57" s="9"/>
      <c r="EV57" s="9" t="s">
        <v>143</v>
      </c>
      <c r="EW57" s="9"/>
      <c r="EX57" s="9"/>
      <c r="EY57" s="9"/>
      <c r="EZ57" s="9"/>
      <c r="FA57" s="9"/>
      <c r="FB57" s="9"/>
      <c r="FC57" s="9" t="s">
        <v>143</v>
      </c>
      <c r="FD57" s="9"/>
      <c r="FE57" s="9"/>
      <c r="FF57" s="9"/>
      <c r="FG57" s="9"/>
      <c r="FH57" s="9"/>
      <c r="FI57" s="9"/>
      <c r="FJ57" s="9"/>
      <c r="FK57" s="9"/>
      <c r="FL57" s="9"/>
      <c r="FM57" s="9">
        <v>90000</v>
      </c>
      <c r="FN57" s="9">
        <v>90000</v>
      </c>
      <c r="FO57" s="9"/>
      <c r="FP57" s="9">
        <v>180000</v>
      </c>
      <c r="FQ57" s="9"/>
      <c r="FR57" s="9">
        <v>130000</v>
      </c>
      <c r="FS57" s="9">
        <v>90000</v>
      </c>
      <c r="FT57" s="9">
        <f t="shared" si="3"/>
        <v>580000</v>
      </c>
      <c r="FU57" s="7">
        <f t="shared" si="4"/>
        <v>2300000</v>
      </c>
      <c r="FV57" s="11">
        <f t="shared" si="5"/>
        <v>6.4444444444444446</v>
      </c>
      <c r="FW57" s="11">
        <f t="shared" si="6"/>
        <v>25.555555555555554</v>
      </c>
      <c r="FX57" s="12">
        <f t="shared" si="7"/>
        <v>1.6111111111111112</v>
      </c>
      <c r="FY57" s="12">
        <f t="shared" si="8"/>
        <v>6.3888888888888884</v>
      </c>
    </row>
    <row r="58" spans="1:181" ht="43.5" customHeight="1" thickBot="1" x14ac:dyDescent="0.3">
      <c r="A58" s="1">
        <v>3275</v>
      </c>
      <c r="B58" s="27" t="s">
        <v>242</v>
      </c>
      <c r="C58" s="27" t="s">
        <v>243</v>
      </c>
      <c r="D58" s="2"/>
      <c r="E58" s="3">
        <v>45840</v>
      </c>
      <c r="F58" s="3">
        <f t="shared" si="16"/>
        <v>46092</v>
      </c>
      <c r="G58" s="4">
        <v>180</v>
      </c>
      <c r="H58" s="377">
        <f t="shared" si="13"/>
        <v>100</v>
      </c>
      <c r="I58" s="377">
        <f t="shared" si="14"/>
        <v>80</v>
      </c>
      <c r="J58" s="355" t="s">
        <v>1266</v>
      </c>
      <c r="K58" s="7">
        <v>200000</v>
      </c>
      <c r="L58" s="7">
        <v>603000</v>
      </c>
      <c r="M58" s="8">
        <f t="shared" si="15"/>
        <v>16750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3"/>
      <c r="DO58" s="43"/>
      <c r="DP58" s="43"/>
      <c r="DQ58" s="43"/>
      <c r="DR58" s="43"/>
      <c r="DS58" s="43"/>
      <c r="DT58" s="43"/>
      <c r="DU58" s="43"/>
      <c r="DV58" s="43"/>
      <c r="DW58" s="43"/>
      <c r="DX58" s="43"/>
      <c r="DY58" s="43"/>
      <c r="DZ58" s="43"/>
      <c r="EA58" s="43"/>
      <c r="EB58" s="43"/>
      <c r="EC58" s="43"/>
      <c r="ED58" s="43"/>
      <c r="EE58" s="43"/>
      <c r="EF58" s="43"/>
      <c r="EG58" s="43"/>
      <c r="EH58" s="43"/>
      <c r="EI58" s="43"/>
      <c r="EJ58" s="43"/>
      <c r="EK58" s="43" t="s">
        <v>143</v>
      </c>
      <c r="EL58" s="43"/>
      <c r="EM58" s="43" t="s">
        <v>143</v>
      </c>
      <c r="EN58" s="43" t="s">
        <v>143</v>
      </c>
      <c r="EO58" s="43"/>
      <c r="EP58" s="43"/>
      <c r="EQ58" s="9"/>
      <c r="ER58" s="9"/>
      <c r="ES58" s="9" t="s">
        <v>143</v>
      </c>
      <c r="ET58" s="9"/>
      <c r="EU58" s="9"/>
      <c r="EV58" s="9" t="s">
        <v>143</v>
      </c>
      <c r="EW58" s="9"/>
      <c r="EX58" s="9"/>
      <c r="EY58" s="9"/>
      <c r="EZ58" s="9">
        <v>67000</v>
      </c>
      <c r="FA58" s="9"/>
      <c r="FB58" s="9"/>
      <c r="FC58" s="9"/>
      <c r="FD58" s="9">
        <v>67000</v>
      </c>
      <c r="FE58" s="9"/>
      <c r="FF58" s="9"/>
      <c r="FG58" s="9"/>
      <c r="FH58" s="9"/>
      <c r="FI58" s="9">
        <v>67000</v>
      </c>
      <c r="FJ58" s="9"/>
      <c r="FK58" s="9"/>
      <c r="FL58" s="9"/>
      <c r="FM58" s="9">
        <v>67000</v>
      </c>
      <c r="FN58" s="9"/>
      <c r="FO58" s="9"/>
      <c r="FP58" s="9"/>
      <c r="FQ58" s="9">
        <v>67000</v>
      </c>
      <c r="FR58" s="9"/>
      <c r="FS58" s="9"/>
      <c r="FT58" s="9">
        <f t="shared" si="3"/>
        <v>335000</v>
      </c>
      <c r="FU58" s="7">
        <f t="shared" si="4"/>
        <v>268000</v>
      </c>
      <c r="FV58" s="11">
        <f t="shared" si="5"/>
        <v>20</v>
      </c>
      <c r="FW58" s="11">
        <f t="shared" si="6"/>
        <v>16</v>
      </c>
      <c r="FX58" s="12">
        <f t="shared" si="7"/>
        <v>5</v>
      </c>
      <c r="FY58" s="12">
        <f t="shared" si="8"/>
        <v>4</v>
      </c>
    </row>
    <row r="59" spans="1:181" ht="43.5" customHeight="1" thickBot="1" x14ac:dyDescent="0.3">
      <c r="A59" s="1">
        <v>3327</v>
      </c>
      <c r="B59" s="27" t="s">
        <v>242</v>
      </c>
      <c r="C59" s="27" t="s">
        <v>243</v>
      </c>
      <c r="D59" s="2"/>
      <c r="E59" s="3">
        <v>45868</v>
      </c>
      <c r="F59" s="3">
        <f t="shared" si="16"/>
        <v>46036</v>
      </c>
      <c r="G59" s="4">
        <v>120</v>
      </c>
      <c r="H59" s="377">
        <f t="shared" si="13"/>
        <v>60.090909090909093</v>
      </c>
      <c r="I59" s="377">
        <f t="shared" si="14"/>
        <v>59.909090909090907</v>
      </c>
      <c r="J59" s="355" t="s">
        <v>1295</v>
      </c>
      <c r="K59" s="7">
        <v>100000</v>
      </c>
      <c r="L59" s="7">
        <v>264000</v>
      </c>
      <c r="M59" s="8">
        <f t="shared" si="15"/>
        <v>11000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  <c r="CW59" s="43"/>
      <c r="CX59" s="43"/>
      <c r="CY59" s="43"/>
      <c r="CZ59" s="43"/>
      <c r="DA59" s="43"/>
      <c r="DB59" s="43"/>
      <c r="DC59" s="43"/>
      <c r="DD59" s="43"/>
      <c r="DE59" s="43"/>
      <c r="DF59" s="43"/>
      <c r="DG59" s="43"/>
      <c r="DH59" s="43"/>
      <c r="DI59" s="43"/>
      <c r="DJ59" s="43"/>
      <c r="DK59" s="43"/>
      <c r="DL59" s="43"/>
      <c r="DM59" s="43"/>
      <c r="DN59" s="43"/>
      <c r="DO59" s="43"/>
      <c r="DP59" s="43"/>
      <c r="DQ59" s="43"/>
      <c r="DR59" s="43"/>
      <c r="DS59" s="43"/>
      <c r="DT59" s="43"/>
      <c r="DU59" s="43"/>
      <c r="DV59" s="43"/>
      <c r="DW59" s="43"/>
      <c r="DX59" s="43"/>
      <c r="DY59" s="43"/>
      <c r="DZ59" s="43"/>
      <c r="EA59" s="43"/>
      <c r="EB59" s="43"/>
      <c r="EC59" s="43"/>
      <c r="ED59" s="43"/>
      <c r="EE59" s="43"/>
      <c r="EF59" s="43"/>
      <c r="EG59" s="43"/>
      <c r="EH59" s="43"/>
      <c r="EI59" s="43"/>
      <c r="EJ59" s="43"/>
      <c r="EK59" s="43" t="s">
        <v>143</v>
      </c>
      <c r="EL59" s="43"/>
      <c r="EM59" s="43" t="s">
        <v>143</v>
      </c>
      <c r="EN59" s="43" t="s">
        <v>143</v>
      </c>
      <c r="EO59" s="43"/>
      <c r="EP59" s="43"/>
      <c r="EQ59" s="9"/>
      <c r="ER59" s="9"/>
      <c r="ES59" s="9" t="s">
        <v>143</v>
      </c>
      <c r="ET59" s="9"/>
      <c r="EU59" s="9"/>
      <c r="EV59" s="9" t="s">
        <v>143</v>
      </c>
      <c r="EW59" s="9"/>
      <c r="EX59" s="9"/>
      <c r="EY59" s="9"/>
      <c r="EZ59" s="9"/>
      <c r="FA59" s="9"/>
      <c r="FB59" s="9"/>
      <c r="FC59" s="9"/>
      <c r="FD59" s="9">
        <v>44000</v>
      </c>
      <c r="FE59" s="9"/>
      <c r="FF59" s="9"/>
      <c r="FG59" s="9"/>
      <c r="FH59" s="9"/>
      <c r="FI59" s="9">
        <v>44000</v>
      </c>
      <c r="FJ59" s="9"/>
      <c r="FK59" s="9"/>
      <c r="FL59" s="9"/>
      <c r="FM59" s="9">
        <v>44000</v>
      </c>
      <c r="FN59" s="9"/>
      <c r="FO59" s="9"/>
      <c r="FP59" s="9"/>
      <c r="FQ59" s="9">
        <v>200</v>
      </c>
      <c r="FR59" s="9"/>
      <c r="FS59" s="9"/>
      <c r="FT59" s="9">
        <f t="shared" si="3"/>
        <v>132200</v>
      </c>
      <c r="FU59" s="7">
        <f t="shared" si="4"/>
        <v>131800</v>
      </c>
      <c r="FV59" s="11">
        <f t="shared" si="5"/>
        <v>12.018181818181819</v>
      </c>
      <c r="FW59" s="11">
        <f t="shared" si="6"/>
        <v>11.981818181818181</v>
      </c>
      <c r="FX59" s="12">
        <f t="shared" si="7"/>
        <v>3.0045454545454549</v>
      </c>
      <c r="FY59" s="12">
        <f t="shared" si="8"/>
        <v>2.9954545454545451</v>
      </c>
    </row>
    <row r="60" spans="1:181" ht="43.5" customHeight="1" thickBot="1" x14ac:dyDescent="0.3">
      <c r="A60" s="1">
        <v>3349</v>
      </c>
      <c r="B60" s="27" t="s">
        <v>242</v>
      </c>
      <c r="C60" s="27" t="s">
        <v>243</v>
      </c>
      <c r="D60" s="2"/>
      <c r="E60" s="3">
        <v>45884</v>
      </c>
      <c r="F60" s="3">
        <f>WORKDAY(E60,G60)</f>
        <v>45996</v>
      </c>
      <c r="G60" s="4">
        <v>80</v>
      </c>
      <c r="H60" s="377">
        <f t="shared" si="13"/>
        <v>40</v>
      </c>
      <c r="I60" s="377">
        <f t="shared" si="14"/>
        <v>40</v>
      </c>
      <c r="J60" s="355" t="s">
        <v>1308</v>
      </c>
      <c r="K60" s="7">
        <v>10000</v>
      </c>
      <c r="L60" s="7">
        <v>21600</v>
      </c>
      <c r="M60" s="8">
        <f t="shared" si="15"/>
        <v>1350</v>
      </c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3"/>
      <c r="DL60" s="43"/>
      <c r="DM60" s="43"/>
      <c r="DN60" s="43"/>
      <c r="DO60" s="43"/>
      <c r="DP60" s="43"/>
      <c r="DQ60" s="43"/>
      <c r="DR60" s="43"/>
      <c r="DS60" s="43"/>
      <c r="DT60" s="43"/>
      <c r="DU60" s="43"/>
      <c r="DV60" s="43"/>
      <c r="DW60" s="43"/>
      <c r="DX60" s="43"/>
      <c r="DY60" s="43"/>
      <c r="DZ60" s="43"/>
      <c r="EA60" s="43"/>
      <c r="EB60" s="43"/>
      <c r="EC60" s="43"/>
      <c r="ED60" s="43"/>
      <c r="EE60" s="43"/>
      <c r="EF60" s="43"/>
      <c r="EG60" s="43"/>
      <c r="EH60" s="43"/>
      <c r="EI60" s="43"/>
      <c r="EJ60" s="43"/>
      <c r="EK60" s="43" t="s">
        <v>143</v>
      </c>
      <c r="EL60" s="43"/>
      <c r="EM60" s="43" t="s">
        <v>143</v>
      </c>
      <c r="EN60" s="43" t="s">
        <v>143</v>
      </c>
      <c r="EO60" s="43"/>
      <c r="EP60" s="43"/>
      <c r="EQ60" s="9"/>
      <c r="ER60" s="9"/>
      <c r="ES60" s="9" t="s">
        <v>143</v>
      </c>
      <c r="ET60" s="9"/>
      <c r="EU60" s="9"/>
      <c r="EV60" s="9" t="s">
        <v>143</v>
      </c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>
        <v>5400</v>
      </c>
      <c r="FJ60" s="9"/>
      <c r="FK60" s="9"/>
      <c r="FL60" s="9"/>
      <c r="FM60" s="9">
        <v>5400</v>
      </c>
      <c r="FN60" s="9"/>
      <c r="FO60" s="9"/>
      <c r="FP60" s="9"/>
      <c r="FQ60" s="9"/>
      <c r="FR60" s="9"/>
      <c r="FS60" s="9"/>
      <c r="FT60" s="9">
        <f t="shared" si="3"/>
        <v>10800</v>
      </c>
      <c r="FU60" s="7">
        <f t="shared" si="4"/>
        <v>10800</v>
      </c>
      <c r="FV60" s="11">
        <f t="shared" si="5"/>
        <v>8</v>
      </c>
      <c r="FW60" s="11">
        <f t="shared" si="6"/>
        <v>8</v>
      </c>
      <c r="FX60" s="12">
        <f t="shared" si="7"/>
        <v>2</v>
      </c>
      <c r="FY60" s="12">
        <f t="shared" si="8"/>
        <v>2</v>
      </c>
    </row>
    <row r="61" spans="1:181" ht="43.5" customHeight="1" thickBot="1" x14ac:dyDescent="0.3">
      <c r="A61" s="1">
        <v>3367</v>
      </c>
      <c r="B61" s="27" t="s">
        <v>242</v>
      </c>
      <c r="C61" s="27" t="s">
        <v>243</v>
      </c>
      <c r="D61" s="2"/>
      <c r="E61" s="3">
        <v>45894</v>
      </c>
      <c r="F61" s="3">
        <f t="shared" ref="F61" si="18">WORKDAY(E61,G61)</f>
        <v>46062</v>
      </c>
      <c r="G61" s="4">
        <v>120</v>
      </c>
      <c r="H61" s="377">
        <f t="shared" si="13"/>
        <v>40</v>
      </c>
      <c r="I61" s="377">
        <f t="shared" si="14"/>
        <v>80</v>
      </c>
      <c r="J61" s="355" t="s">
        <v>1317</v>
      </c>
      <c r="K61" s="10">
        <v>50000</v>
      </c>
      <c r="L61" s="10">
        <v>132000</v>
      </c>
      <c r="M61" s="21">
        <f t="shared" si="15"/>
        <v>5500</v>
      </c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/>
      <c r="CX61" s="43"/>
      <c r="CY61" s="43"/>
      <c r="CZ61" s="43"/>
      <c r="DA61" s="43"/>
      <c r="DB61" s="43"/>
      <c r="DC61" s="43"/>
      <c r="DD61" s="43"/>
      <c r="DE61" s="43"/>
      <c r="DF61" s="43"/>
      <c r="DG61" s="43"/>
      <c r="DH61" s="43"/>
      <c r="DI61" s="43"/>
      <c r="DJ61" s="43"/>
      <c r="DK61" s="43"/>
      <c r="DL61" s="43"/>
      <c r="DM61" s="43"/>
      <c r="DN61" s="43"/>
      <c r="DO61" s="43"/>
      <c r="DP61" s="43"/>
      <c r="DQ61" s="43"/>
      <c r="DR61" s="43"/>
      <c r="DS61" s="43"/>
      <c r="DT61" s="43"/>
      <c r="DU61" s="43"/>
      <c r="DV61" s="43"/>
      <c r="DW61" s="43"/>
      <c r="DX61" s="43"/>
      <c r="DY61" s="43"/>
      <c r="DZ61" s="43"/>
      <c r="EA61" s="43"/>
      <c r="EB61" s="43"/>
      <c r="EC61" s="43"/>
      <c r="ED61" s="43"/>
      <c r="EE61" s="43"/>
      <c r="EF61" s="43"/>
      <c r="EG61" s="43"/>
      <c r="EH61" s="43"/>
      <c r="EI61" s="43"/>
      <c r="EJ61" s="43"/>
      <c r="EK61" s="43" t="s">
        <v>143</v>
      </c>
      <c r="EL61" s="43"/>
      <c r="EM61" s="43" t="s">
        <v>143</v>
      </c>
      <c r="EN61" s="43" t="s">
        <v>143</v>
      </c>
      <c r="EO61" s="43"/>
      <c r="EP61" s="43"/>
      <c r="EQ61" s="9"/>
      <c r="ER61" s="9"/>
      <c r="ES61" s="9" t="s">
        <v>143</v>
      </c>
      <c r="ET61" s="9"/>
      <c r="EU61" s="9"/>
      <c r="EV61" s="9" t="s">
        <v>143</v>
      </c>
      <c r="EW61" s="9"/>
      <c r="EX61" s="9"/>
      <c r="EY61" s="9"/>
      <c r="EZ61" s="9"/>
      <c r="FA61" s="9"/>
      <c r="FB61" s="9"/>
      <c r="FC61" s="9" t="s">
        <v>143</v>
      </c>
      <c r="FD61" s="9"/>
      <c r="FE61" s="9"/>
      <c r="FF61" s="9"/>
      <c r="FG61" s="9"/>
      <c r="FH61" s="9"/>
      <c r="FI61" s="9">
        <v>22000</v>
      </c>
      <c r="FJ61" s="9"/>
      <c r="FK61" s="9"/>
      <c r="FL61" s="9"/>
      <c r="FM61" s="9">
        <v>22000</v>
      </c>
      <c r="FN61" s="9"/>
      <c r="FO61" s="9"/>
      <c r="FP61" s="9"/>
      <c r="FQ61" s="9"/>
      <c r="FR61" s="9"/>
      <c r="FS61" s="9"/>
      <c r="FT61" s="9">
        <f t="shared" si="3"/>
        <v>44000</v>
      </c>
      <c r="FU61" s="7">
        <f t="shared" si="4"/>
        <v>88000</v>
      </c>
      <c r="FV61" s="11">
        <f t="shared" si="5"/>
        <v>8</v>
      </c>
      <c r="FW61" s="11">
        <f t="shared" si="6"/>
        <v>16</v>
      </c>
      <c r="FX61" s="12">
        <f t="shared" si="7"/>
        <v>2</v>
      </c>
      <c r="FY61" s="12">
        <f t="shared" si="8"/>
        <v>4</v>
      </c>
    </row>
    <row r="62" spans="1:181" ht="43.5" customHeight="1" thickBot="1" x14ac:dyDescent="0.3">
      <c r="A62" s="1">
        <v>3385</v>
      </c>
      <c r="B62" s="27" t="s">
        <v>242</v>
      </c>
      <c r="C62" s="27" t="s">
        <v>243</v>
      </c>
      <c r="D62" s="2"/>
      <c r="E62" s="3">
        <v>45909</v>
      </c>
      <c r="F62" s="3">
        <f t="shared" si="16"/>
        <v>46021</v>
      </c>
      <c r="G62" s="4">
        <v>80</v>
      </c>
      <c r="H62" s="377">
        <f t="shared" si="13"/>
        <v>40</v>
      </c>
      <c r="I62" s="377">
        <f t="shared" si="14"/>
        <v>40</v>
      </c>
      <c r="J62" s="355" t="s">
        <v>759</v>
      </c>
      <c r="K62" s="7">
        <v>20000</v>
      </c>
      <c r="L62" s="7">
        <v>43200</v>
      </c>
      <c r="M62" s="21">
        <f t="shared" si="15"/>
        <v>2700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  <c r="CW62" s="43"/>
      <c r="CX62" s="43"/>
      <c r="CY62" s="43"/>
      <c r="CZ62" s="43"/>
      <c r="DA62" s="43"/>
      <c r="DB62" s="43"/>
      <c r="DC62" s="43"/>
      <c r="DD62" s="43"/>
      <c r="DE62" s="43"/>
      <c r="DF62" s="43"/>
      <c r="DG62" s="43"/>
      <c r="DH62" s="43"/>
      <c r="DI62" s="43"/>
      <c r="DJ62" s="43"/>
      <c r="DK62" s="43"/>
      <c r="DL62" s="43"/>
      <c r="DM62" s="43"/>
      <c r="DN62" s="43"/>
      <c r="DO62" s="43"/>
      <c r="DP62" s="43"/>
      <c r="DQ62" s="43"/>
      <c r="DR62" s="43"/>
      <c r="DS62" s="43"/>
      <c r="DT62" s="43"/>
      <c r="DU62" s="43"/>
      <c r="DV62" s="43"/>
      <c r="DW62" s="43"/>
      <c r="DX62" s="43"/>
      <c r="DY62" s="43"/>
      <c r="DZ62" s="43"/>
      <c r="EA62" s="43"/>
      <c r="EB62" s="43"/>
      <c r="EC62" s="43"/>
      <c r="ED62" s="43"/>
      <c r="EE62" s="43"/>
      <c r="EF62" s="43"/>
      <c r="EG62" s="43"/>
      <c r="EH62" s="43"/>
      <c r="EI62" s="43"/>
      <c r="EJ62" s="43"/>
      <c r="EK62" s="43" t="s">
        <v>143</v>
      </c>
      <c r="EL62" s="43"/>
      <c r="EM62" s="43" t="s">
        <v>143</v>
      </c>
      <c r="EN62" s="43" t="s">
        <v>143</v>
      </c>
      <c r="EO62" s="43"/>
      <c r="EP62" s="43"/>
      <c r="EQ62" s="9"/>
      <c r="ER62" s="9"/>
      <c r="ES62" s="9" t="s">
        <v>143</v>
      </c>
      <c r="ET62" s="9"/>
      <c r="EU62" s="9"/>
      <c r="EV62" s="9" t="s">
        <v>143</v>
      </c>
      <c r="EW62" s="9"/>
      <c r="EX62" s="9"/>
      <c r="EY62" s="9"/>
      <c r="EZ62" s="9"/>
      <c r="FA62" s="9"/>
      <c r="FB62" s="9"/>
      <c r="FC62" s="9" t="s">
        <v>143</v>
      </c>
      <c r="FD62" s="9"/>
      <c r="FE62" s="9"/>
      <c r="FF62" s="9"/>
      <c r="FG62" s="9"/>
      <c r="FH62" s="9"/>
      <c r="FI62" s="9">
        <v>10800</v>
      </c>
      <c r="FJ62" s="9"/>
      <c r="FK62" s="9"/>
      <c r="FL62" s="9"/>
      <c r="FM62" s="9">
        <v>10800</v>
      </c>
      <c r="FN62" s="9"/>
      <c r="FO62" s="9"/>
      <c r="FP62" s="9"/>
      <c r="FQ62" s="9"/>
      <c r="FR62" s="9"/>
      <c r="FS62" s="9"/>
      <c r="FT62" s="9">
        <f t="shared" si="3"/>
        <v>21600</v>
      </c>
      <c r="FU62" s="7">
        <f t="shared" si="4"/>
        <v>21600</v>
      </c>
      <c r="FV62" s="11">
        <f t="shared" si="5"/>
        <v>8</v>
      </c>
      <c r="FW62" s="11">
        <f t="shared" si="6"/>
        <v>8</v>
      </c>
      <c r="FX62" s="12">
        <f t="shared" si="7"/>
        <v>2</v>
      </c>
      <c r="FY62" s="12">
        <f t="shared" si="8"/>
        <v>2</v>
      </c>
    </row>
    <row r="63" spans="1:181" ht="43.5" customHeight="1" thickBot="1" x14ac:dyDescent="0.3">
      <c r="A63" s="1">
        <v>3415</v>
      </c>
      <c r="B63" s="27" t="s">
        <v>242</v>
      </c>
      <c r="C63" s="27" t="s">
        <v>243</v>
      </c>
      <c r="D63" s="2"/>
      <c r="E63" s="3">
        <v>45924</v>
      </c>
      <c r="F63" s="3">
        <f t="shared" si="16"/>
        <v>46036</v>
      </c>
      <c r="G63" s="4">
        <v>80</v>
      </c>
      <c r="H63" s="377">
        <f t="shared" si="13"/>
        <v>20</v>
      </c>
      <c r="I63" s="377">
        <f t="shared" si="14"/>
        <v>60</v>
      </c>
      <c r="J63" s="355" t="s">
        <v>759</v>
      </c>
      <c r="K63" s="10">
        <v>20000</v>
      </c>
      <c r="L63" s="10">
        <v>43200</v>
      </c>
      <c r="M63" s="8">
        <f t="shared" si="15"/>
        <v>2700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  <c r="CW63" s="43"/>
      <c r="CX63" s="43"/>
      <c r="CY63" s="43"/>
      <c r="CZ63" s="43"/>
      <c r="DA63" s="43"/>
      <c r="DB63" s="43"/>
      <c r="DC63" s="43"/>
      <c r="DD63" s="43"/>
      <c r="DE63" s="43"/>
      <c r="DF63" s="43"/>
      <c r="DG63" s="43"/>
      <c r="DH63" s="43"/>
      <c r="DI63" s="43"/>
      <c r="DJ63" s="43"/>
      <c r="DK63" s="43"/>
      <c r="DL63" s="43"/>
      <c r="DM63" s="43"/>
      <c r="DN63" s="43"/>
      <c r="DO63" s="43"/>
      <c r="DP63" s="43"/>
      <c r="DQ63" s="43"/>
      <c r="DR63" s="43"/>
      <c r="DS63" s="43"/>
      <c r="DT63" s="43"/>
      <c r="DU63" s="43"/>
      <c r="DV63" s="43"/>
      <c r="DW63" s="43"/>
      <c r="DX63" s="43"/>
      <c r="DY63" s="43"/>
      <c r="DZ63" s="43"/>
      <c r="EA63" s="43"/>
      <c r="EB63" s="43"/>
      <c r="EC63" s="43"/>
      <c r="ED63" s="43"/>
      <c r="EE63" s="43"/>
      <c r="EF63" s="43"/>
      <c r="EG63" s="43"/>
      <c r="EH63" s="43"/>
      <c r="EI63" s="43"/>
      <c r="EJ63" s="43"/>
      <c r="EK63" s="43" t="s">
        <v>143</v>
      </c>
      <c r="EL63" s="43"/>
      <c r="EM63" s="43" t="s">
        <v>143</v>
      </c>
      <c r="EN63" s="43" t="s">
        <v>143</v>
      </c>
      <c r="EO63" s="43"/>
      <c r="EP63" s="43"/>
      <c r="EQ63" s="9"/>
      <c r="ER63" s="9"/>
      <c r="ES63" s="9" t="s">
        <v>143</v>
      </c>
      <c r="ET63" s="9"/>
      <c r="EU63" s="9"/>
      <c r="EV63" s="9" t="s">
        <v>143</v>
      </c>
      <c r="EW63" s="9"/>
      <c r="EX63" s="9"/>
      <c r="EY63" s="9"/>
      <c r="EZ63" s="9"/>
      <c r="FA63" s="9"/>
      <c r="FB63" s="9"/>
      <c r="FC63" s="9" t="s">
        <v>143</v>
      </c>
      <c r="FD63" s="9"/>
      <c r="FE63" s="9"/>
      <c r="FF63" s="9"/>
      <c r="FG63" s="9"/>
      <c r="FH63" s="9"/>
      <c r="FI63" s="9"/>
      <c r="FJ63" s="9"/>
      <c r="FK63" s="9"/>
      <c r="FL63" s="9"/>
      <c r="FM63" s="9">
        <v>10800</v>
      </c>
      <c r="FN63" s="9"/>
      <c r="FO63" s="9"/>
      <c r="FP63" s="9"/>
      <c r="FQ63" s="9"/>
      <c r="FR63" s="9"/>
      <c r="FS63" s="9"/>
      <c r="FT63" s="9">
        <f t="shared" si="3"/>
        <v>10800</v>
      </c>
      <c r="FU63" s="7">
        <f t="shared" si="4"/>
        <v>32400</v>
      </c>
      <c r="FV63" s="11">
        <f t="shared" si="5"/>
        <v>4</v>
      </c>
      <c r="FW63" s="11">
        <f t="shared" si="6"/>
        <v>12</v>
      </c>
      <c r="FX63" s="12">
        <f t="shared" si="7"/>
        <v>1</v>
      </c>
      <c r="FY63" s="12">
        <f t="shared" si="8"/>
        <v>3</v>
      </c>
    </row>
    <row r="64" spans="1:181" ht="43.5" customHeight="1" thickBot="1" x14ac:dyDescent="0.3">
      <c r="A64" s="1">
        <v>3423</v>
      </c>
      <c r="B64" s="27" t="s">
        <v>242</v>
      </c>
      <c r="C64" s="27" t="s">
        <v>243</v>
      </c>
      <c r="D64" s="2"/>
      <c r="E64" s="3">
        <v>45930</v>
      </c>
      <c r="F64" s="3">
        <f t="shared" si="16"/>
        <v>46042</v>
      </c>
      <c r="G64" s="4">
        <v>80</v>
      </c>
      <c r="H64" s="377">
        <f t="shared" si="13"/>
        <v>20</v>
      </c>
      <c r="I64" s="377">
        <f t="shared" si="14"/>
        <v>60</v>
      </c>
      <c r="J64" s="355" t="s">
        <v>1358</v>
      </c>
      <c r="K64" s="10">
        <v>100000</v>
      </c>
      <c r="L64" s="10">
        <v>216000</v>
      </c>
      <c r="M64" s="8">
        <f t="shared" si="15"/>
        <v>13500</v>
      </c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  <c r="CW64" s="43"/>
      <c r="CX64" s="43"/>
      <c r="CY64" s="43"/>
      <c r="CZ64" s="43"/>
      <c r="DA64" s="43"/>
      <c r="DB64" s="43"/>
      <c r="DC64" s="43"/>
      <c r="DD64" s="43"/>
      <c r="DE64" s="43"/>
      <c r="DF64" s="43"/>
      <c r="DG64" s="43"/>
      <c r="DH64" s="43"/>
      <c r="DI64" s="43"/>
      <c r="DJ64" s="43"/>
      <c r="DK64" s="43"/>
      <c r="DL64" s="43"/>
      <c r="DM64" s="43"/>
      <c r="DN64" s="43"/>
      <c r="DO64" s="43"/>
      <c r="DP64" s="43"/>
      <c r="DQ64" s="43"/>
      <c r="DR64" s="43"/>
      <c r="DS64" s="43"/>
      <c r="DT64" s="43"/>
      <c r="DU64" s="43"/>
      <c r="DV64" s="43"/>
      <c r="DW64" s="43"/>
      <c r="DX64" s="43"/>
      <c r="DY64" s="43"/>
      <c r="DZ64" s="43"/>
      <c r="EA64" s="43"/>
      <c r="EB64" s="43"/>
      <c r="EC64" s="43"/>
      <c r="ED64" s="43"/>
      <c r="EE64" s="43"/>
      <c r="EF64" s="43"/>
      <c r="EG64" s="43"/>
      <c r="EH64" s="43"/>
      <c r="EI64" s="43"/>
      <c r="EJ64" s="43"/>
      <c r="EK64" s="43" t="s">
        <v>143</v>
      </c>
      <c r="EL64" s="43"/>
      <c r="EM64" s="43" t="s">
        <v>143</v>
      </c>
      <c r="EN64" s="43" t="s">
        <v>143</v>
      </c>
      <c r="EO64" s="43"/>
      <c r="EP64" s="43"/>
      <c r="EQ64" s="9"/>
      <c r="ER64" s="9"/>
      <c r="ES64" s="9" t="s">
        <v>143</v>
      </c>
      <c r="ET64" s="9"/>
      <c r="EU64" s="9"/>
      <c r="EV64" s="9" t="s">
        <v>143</v>
      </c>
      <c r="EW64" s="9"/>
      <c r="EX64" s="9"/>
      <c r="EY64" s="9"/>
      <c r="EZ64" s="9"/>
      <c r="FA64" s="9"/>
      <c r="FB64" s="9"/>
      <c r="FC64" s="9" t="s">
        <v>143</v>
      </c>
      <c r="FD64" s="9"/>
      <c r="FE64" s="9"/>
      <c r="FF64" s="9"/>
      <c r="FG64" s="9"/>
      <c r="FH64" s="9"/>
      <c r="FI64" s="9"/>
      <c r="FJ64" s="9"/>
      <c r="FK64" s="9"/>
      <c r="FL64" s="9"/>
      <c r="FM64" s="9">
        <v>54000</v>
      </c>
      <c r="FN64" s="9"/>
      <c r="FO64" s="9"/>
      <c r="FP64" s="9"/>
      <c r="FQ64" s="9"/>
      <c r="FR64" s="9"/>
      <c r="FS64" s="9"/>
      <c r="FT64" s="9">
        <f t="shared" si="3"/>
        <v>54000</v>
      </c>
      <c r="FU64" s="7">
        <f t="shared" si="4"/>
        <v>162000</v>
      </c>
      <c r="FV64" s="11">
        <f t="shared" si="5"/>
        <v>4</v>
      </c>
      <c r="FW64" s="11">
        <f t="shared" si="6"/>
        <v>12</v>
      </c>
      <c r="FX64" s="12">
        <f t="shared" si="7"/>
        <v>1</v>
      </c>
      <c r="FY64" s="12">
        <f t="shared" si="8"/>
        <v>3</v>
      </c>
    </row>
    <row r="65" spans="1:183" ht="43.5" customHeight="1" thickBot="1" x14ac:dyDescent="0.3">
      <c r="A65" s="1">
        <v>3456</v>
      </c>
      <c r="B65" s="27" t="s">
        <v>242</v>
      </c>
      <c r="C65" s="27" t="s">
        <v>243</v>
      </c>
      <c r="D65" s="2"/>
      <c r="E65" s="3">
        <v>45953</v>
      </c>
      <c r="F65" s="3">
        <f t="shared" si="16"/>
        <v>46121</v>
      </c>
      <c r="G65" s="4">
        <v>120</v>
      </c>
      <c r="H65" s="377">
        <f t="shared" si="13"/>
        <v>0</v>
      </c>
      <c r="I65" s="377">
        <f t="shared" si="14"/>
        <v>120</v>
      </c>
      <c r="J65" s="355" t="s">
        <v>1381</v>
      </c>
      <c r="K65" s="7">
        <v>51200</v>
      </c>
      <c r="L65" s="7">
        <v>135168</v>
      </c>
      <c r="M65" s="8">
        <f t="shared" si="15"/>
        <v>5632</v>
      </c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  <c r="CV65" s="43"/>
      <c r="CW65" s="43"/>
      <c r="CX65" s="43"/>
      <c r="CY65" s="43"/>
      <c r="CZ65" s="43"/>
      <c r="DA65" s="43"/>
      <c r="DB65" s="43"/>
      <c r="DC65" s="43"/>
      <c r="DD65" s="43"/>
      <c r="DE65" s="43"/>
      <c r="DF65" s="43"/>
      <c r="DG65" s="43"/>
      <c r="DH65" s="43"/>
      <c r="DI65" s="43"/>
      <c r="DJ65" s="43"/>
      <c r="DK65" s="43"/>
      <c r="DL65" s="43"/>
      <c r="DM65" s="43"/>
      <c r="DN65" s="43"/>
      <c r="DO65" s="43"/>
      <c r="DP65" s="43"/>
      <c r="DQ65" s="43"/>
      <c r="DR65" s="43"/>
      <c r="DS65" s="43"/>
      <c r="DT65" s="43"/>
      <c r="DU65" s="43"/>
      <c r="DV65" s="43"/>
      <c r="DW65" s="43"/>
      <c r="DX65" s="43"/>
      <c r="DY65" s="43"/>
      <c r="DZ65" s="43"/>
      <c r="EA65" s="43"/>
      <c r="EB65" s="43"/>
      <c r="EC65" s="43"/>
      <c r="ED65" s="43"/>
      <c r="EE65" s="43"/>
      <c r="EF65" s="43"/>
      <c r="EG65" s="43"/>
      <c r="EH65" s="43"/>
      <c r="EI65" s="43"/>
      <c r="EJ65" s="43"/>
      <c r="EK65" s="43" t="s">
        <v>143</v>
      </c>
      <c r="EL65" s="43"/>
      <c r="EM65" s="43" t="s">
        <v>143</v>
      </c>
      <c r="EN65" s="43" t="s">
        <v>143</v>
      </c>
      <c r="EO65" s="43"/>
      <c r="EP65" s="43"/>
      <c r="EQ65" s="9"/>
      <c r="ER65" s="9"/>
      <c r="ES65" s="9" t="s">
        <v>143</v>
      </c>
      <c r="ET65" s="9"/>
      <c r="EU65" s="9"/>
      <c r="EV65" s="9" t="s">
        <v>143</v>
      </c>
      <c r="EW65" s="9"/>
      <c r="EX65" s="9"/>
      <c r="EY65" s="9"/>
      <c r="EZ65" s="9"/>
      <c r="FA65" s="9"/>
      <c r="FB65" s="9"/>
      <c r="FC65" s="9" t="s">
        <v>143</v>
      </c>
      <c r="FD65" s="9"/>
      <c r="FE65" s="9"/>
      <c r="FF65" s="9"/>
      <c r="FG65" s="9"/>
      <c r="FH65" s="9"/>
      <c r="FI65" s="9"/>
      <c r="FJ65" s="9"/>
      <c r="FK65" s="9"/>
      <c r="FL65" s="9" t="s">
        <v>143</v>
      </c>
      <c r="FM65" s="9"/>
      <c r="FN65" s="9"/>
      <c r="FO65" s="9"/>
      <c r="FP65" s="9"/>
      <c r="FQ65" s="9"/>
      <c r="FR65" s="9"/>
      <c r="FS65" s="9"/>
      <c r="FT65" s="9">
        <f t="shared" si="3"/>
        <v>0</v>
      </c>
      <c r="FU65" s="7">
        <f t="shared" si="4"/>
        <v>135168</v>
      </c>
      <c r="FV65" s="11">
        <f t="shared" si="5"/>
        <v>0</v>
      </c>
      <c r="FW65" s="11">
        <f t="shared" si="6"/>
        <v>24</v>
      </c>
      <c r="FX65" s="12">
        <f t="shared" si="7"/>
        <v>0</v>
      </c>
      <c r="FY65" s="12">
        <f t="shared" si="8"/>
        <v>6</v>
      </c>
      <c r="GA65" s="417">
        <v>136528</v>
      </c>
    </row>
    <row r="66" spans="1:183" ht="43.5" customHeight="1" thickBot="1" x14ac:dyDescent="0.3">
      <c r="A66" s="17">
        <v>3499</v>
      </c>
      <c r="B66" s="27" t="s">
        <v>242</v>
      </c>
      <c r="C66" s="27" t="s">
        <v>243</v>
      </c>
      <c r="D66" s="2"/>
      <c r="E66" s="3">
        <v>45978</v>
      </c>
      <c r="F66" s="3">
        <f>WORKDAY(E66,G66)</f>
        <v>46090</v>
      </c>
      <c r="G66" s="4">
        <v>80</v>
      </c>
      <c r="H66" s="377">
        <f t="shared" ref="H66:H100" si="19">(FT66* 5)/M66</f>
        <v>0</v>
      </c>
      <c r="I66" s="377">
        <f t="shared" ref="I66:I97" si="20">G66-H66</f>
        <v>80</v>
      </c>
      <c r="J66" s="355" t="s">
        <v>759</v>
      </c>
      <c r="K66" s="7">
        <v>20000</v>
      </c>
      <c r="L66" s="7">
        <v>43200</v>
      </c>
      <c r="M66" s="21">
        <f t="shared" si="15"/>
        <v>2700</v>
      </c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43"/>
      <c r="DM66" s="43"/>
      <c r="DN66" s="43"/>
      <c r="DO66" s="43"/>
      <c r="DP66" s="43"/>
      <c r="DQ66" s="43"/>
      <c r="DR66" s="43"/>
      <c r="DS66" s="43"/>
      <c r="DT66" s="43"/>
      <c r="DU66" s="43"/>
      <c r="DV66" s="43"/>
      <c r="DW66" s="43"/>
      <c r="DX66" s="43"/>
      <c r="DY66" s="43"/>
      <c r="DZ66" s="43"/>
      <c r="EA66" s="43"/>
      <c r="EB66" s="43"/>
      <c r="EC66" s="43"/>
      <c r="ED66" s="43"/>
      <c r="EE66" s="43"/>
      <c r="EF66" s="43"/>
      <c r="EG66" s="43"/>
      <c r="EH66" s="43"/>
      <c r="EI66" s="43"/>
      <c r="EJ66" s="43"/>
      <c r="EK66" s="43" t="s">
        <v>143</v>
      </c>
      <c r="EL66" s="43"/>
      <c r="EM66" s="43" t="s">
        <v>143</v>
      </c>
      <c r="EN66" s="43" t="s">
        <v>143</v>
      </c>
      <c r="EO66" s="43"/>
      <c r="EP66" s="43"/>
      <c r="EQ66" s="9"/>
      <c r="ER66" s="9"/>
      <c r="ES66" s="9" t="s">
        <v>143</v>
      </c>
      <c r="ET66" s="9"/>
      <c r="EU66" s="9"/>
      <c r="EV66" s="9" t="s">
        <v>143</v>
      </c>
      <c r="EW66" s="9"/>
      <c r="EX66" s="9"/>
      <c r="EY66" s="9"/>
      <c r="EZ66" s="9"/>
      <c r="FA66" s="9"/>
      <c r="FB66" s="9"/>
      <c r="FC66" s="9" t="s">
        <v>143</v>
      </c>
      <c r="FD66" s="9"/>
      <c r="FE66" s="9"/>
      <c r="FF66" s="9"/>
      <c r="FG66" s="9"/>
      <c r="FH66" s="9"/>
      <c r="FI66" s="9"/>
      <c r="FJ66" s="9"/>
      <c r="FK66" s="9"/>
      <c r="FL66" s="9" t="s">
        <v>143</v>
      </c>
      <c r="FM66" s="9"/>
      <c r="FN66" s="9"/>
      <c r="FO66" s="9"/>
      <c r="FP66" s="9"/>
      <c r="FQ66" s="9"/>
      <c r="FR66" s="9"/>
      <c r="FS66" s="9"/>
      <c r="FT66" s="9">
        <f t="shared" ref="FT66:FT129" si="21">SUM(N66:FS66)</f>
        <v>0</v>
      </c>
      <c r="FU66" s="7">
        <f t="shared" ref="FU66:FU129" si="22">SUM(L66-FT66)</f>
        <v>43200</v>
      </c>
      <c r="FV66" s="11">
        <f t="shared" ref="FV66:FV129" si="23">SUM( H66/5)</f>
        <v>0</v>
      </c>
      <c r="FW66" s="11">
        <f t="shared" ref="FW66:FW129" si="24">SUM( I66/5)</f>
        <v>16</v>
      </c>
      <c r="FX66" s="12">
        <f t="shared" ref="FX66:FX129" si="25">SUM(FV66/4)</f>
        <v>0</v>
      </c>
      <c r="FY66" s="12">
        <f t="shared" ref="FY66:FY129" si="26">SUM(FW66/4)</f>
        <v>4</v>
      </c>
    </row>
    <row r="67" spans="1:183" ht="43.5" customHeight="1" thickBot="1" x14ac:dyDescent="0.3">
      <c r="A67" s="1">
        <v>3432</v>
      </c>
      <c r="B67" s="27" t="s">
        <v>1334</v>
      </c>
      <c r="C67" s="27" t="s">
        <v>1337</v>
      </c>
      <c r="D67" s="2">
        <v>27350892988</v>
      </c>
      <c r="E67" s="3">
        <v>45939</v>
      </c>
      <c r="F67" s="3">
        <f t="shared" si="16"/>
        <v>46023</v>
      </c>
      <c r="G67" s="4">
        <v>60</v>
      </c>
      <c r="H67" s="377">
        <f t="shared" si="19"/>
        <v>20</v>
      </c>
      <c r="I67" s="377">
        <f t="shared" si="20"/>
        <v>40</v>
      </c>
      <c r="J67" s="155" t="s">
        <v>1365</v>
      </c>
      <c r="K67" s="7">
        <v>500000</v>
      </c>
      <c r="L67" s="7">
        <v>960000</v>
      </c>
      <c r="M67" s="8">
        <f t="shared" si="15"/>
        <v>80000</v>
      </c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  <c r="DM67" s="43"/>
      <c r="DN67" s="43"/>
      <c r="DO67" s="43"/>
      <c r="DP67" s="43"/>
      <c r="DQ67" s="43"/>
      <c r="DR67" s="43"/>
      <c r="DS67" s="43"/>
      <c r="DT67" s="43"/>
      <c r="DU67" s="43"/>
      <c r="DV67" s="43"/>
      <c r="DW67" s="43"/>
      <c r="DX67" s="43"/>
      <c r="DY67" s="43"/>
      <c r="DZ67" s="43"/>
      <c r="EA67" s="43"/>
      <c r="EB67" s="43"/>
      <c r="EC67" s="43"/>
      <c r="ED67" s="43"/>
      <c r="EE67" s="43"/>
      <c r="EF67" s="43"/>
      <c r="EG67" s="43"/>
      <c r="EH67" s="43"/>
      <c r="EI67" s="43"/>
      <c r="EJ67" s="43"/>
      <c r="EK67" s="43" t="s">
        <v>143</v>
      </c>
      <c r="EL67" s="43"/>
      <c r="EM67" s="43" t="s">
        <v>143</v>
      </c>
      <c r="EN67" s="43" t="s">
        <v>143</v>
      </c>
      <c r="EO67" s="43"/>
      <c r="EP67" s="43"/>
      <c r="EQ67" s="9"/>
      <c r="ER67" s="9"/>
      <c r="ES67" s="9" t="s">
        <v>143</v>
      </c>
      <c r="ET67" s="9"/>
      <c r="EU67" s="9"/>
      <c r="EV67" s="9" t="s">
        <v>143</v>
      </c>
      <c r="EW67" s="9"/>
      <c r="EX67" s="9"/>
      <c r="EY67" s="9"/>
      <c r="EZ67" s="9"/>
      <c r="FA67" s="9"/>
      <c r="FB67" s="9"/>
      <c r="FC67" s="9" t="s">
        <v>143</v>
      </c>
      <c r="FD67" s="9"/>
      <c r="FE67" s="9"/>
      <c r="FF67" s="9"/>
      <c r="FG67" s="9"/>
      <c r="FH67" s="9"/>
      <c r="FI67" s="9"/>
      <c r="FJ67" s="9"/>
      <c r="FK67" s="9"/>
      <c r="FL67" s="9"/>
      <c r="FM67" s="9">
        <v>80000</v>
      </c>
      <c r="FN67" s="9">
        <v>80000</v>
      </c>
      <c r="FO67" s="9">
        <v>80000</v>
      </c>
      <c r="FP67" s="9"/>
      <c r="FQ67" s="9"/>
      <c r="FR67" s="9">
        <v>80000</v>
      </c>
      <c r="FS67" s="9"/>
      <c r="FT67" s="9">
        <f t="shared" si="21"/>
        <v>320000</v>
      </c>
      <c r="FU67" s="7">
        <f t="shared" si="22"/>
        <v>640000</v>
      </c>
      <c r="FV67" s="11">
        <f t="shared" si="23"/>
        <v>4</v>
      </c>
      <c r="FW67" s="11">
        <f t="shared" si="24"/>
        <v>8</v>
      </c>
      <c r="FX67" s="12">
        <f t="shared" si="25"/>
        <v>1</v>
      </c>
      <c r="FY67" s="12">
        <f t="shared" si="26"/>
        <v>2</v>
      </c>
    </row>
    <row r="68" spans="1:183" ht="43.5" customHeight="1" thickBot="1" x14ac:dyDescent="0.3">
      <c r="A68" s="1">
        <v>3102</v>
      </c>
      <c r="B68" s="27" t="s">
        <v>246</v>
      </c>
      <c r="C68" s="27" t="s">
        <v>247</v>
      </c>
      <c r="D68" s="2">
        <v>27212523</v>
      </c>
      <c r="E68" s="3">
        <v>45728</v>
      </c>
      <c r="F68" s="3">
        <f t="shared" si="16"/>
        <v>45882</v>
      </c>
      <c r="G68" s="4">
        <v>110</v>
      </c>
      <c r="H68" s="377">
        <f t="shared" si="19"/>
        <v>82</v>
      </c>
      <c r="I68" s="377">
        <f t="shared" si="20"/>
        <v>28</v>
      </c>
      <c r="J68" s="192" t="s">
        <v>1209</v>
      </c>
      <c r="K68" s="7">
        <v>100000</v>
      </c>
      <c r="L68" s="7">
        <v>264000</v>
      </c>
      <c r="M68" s="8">
        <f t="shared" si="15"/>
        <v>12000</v>
      </c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/>
      <c r="CX68" s="43"/>
      <c r="CY68" s="43"/>
      <c r="CZ68" s="43"/>
      <c r="DA68" s="43"/>
      <c r="DB68" s="43"/>
      <c r="DC68" s="43"/>
      <c r="DD68" s="43"/>
      <c r="DE68" s="43"/>
      <c r="DF68" s="43"/>
      <c r="DG68" s="43"/>
      <c r="DH68" s="43"/>
      <c r="DI68" s="43"/>
      <c r="DJ68" s="43"/>
      <c r="DK68" s="43"/>
      <c r="DL68" s="43"/>
      <c r="DM68" s="43"/>
      <c r="DN68" s="43"/>
      <c r="DO68" s="43"/>
      <c r="DP68" s="43"/>
      <c r="DQ68" s="43"/>
      <c r="DR68" s="43"/>
      <c r="DS68" s="43"/>
      <c r="DT68" s="43"/>
      <c r="DU68" s="43"/>
      <c r="DV68" s="43"/>
      <c r="DW68" s="43"/>
      <c r="DX68" s="43"/>
      <c r="DY68" s="43"/>
      <c r="DZ68" s="43"/>
      <c r="EA68" s="43"/>
      <c r="EB68" s="43"/>
      <c r="EC68" s="43"/>
      <c r="ED68" s="43"/>
      <c r="EE68" s="43"/>
      <c r="EF68" s="43"/>
      <c r="EG68" s="43"/>
      <c r="EH68" s="43">
        <v>19200</v>
      </c>
      <c r="EI68" s="43"/>
      <c r="EJ68" s="43"/>
      <c r="EK68" s="43"/>
      <c r="EL68" s="43">
        <v>19200</v>
      </c>
      <c r="EM68" s="43">
        <v>19200</v>
      </c>
      <c r="EN68" s="43"/>
      <c r="EO68" s="43">
        <v>19200</v>
      </c>
      <c r="EP68" s="43"/>
      <c r="EQ68" s="9"/>
      <c r="ER68" s="9">
        <v>24000</v>
      </c>
      <c r="ES68" s="9"/>
      <c r="ET68" s="9">
        <v>24000</v>
      </c>
      <c r="EU68" s="9"/>
      <c r="EV68" s="9"/>
      <c r="EW68" s="9">
        <v>24000</v>
      </c>
      <c r="EX68" s="9"/>
      <c r="EY68" s="9">
        <v>24000</v>
      </c>
      <c r="EZ68" s="9"/>
      <c r="FA68" s="9"/>
      <c r="FB68" s="9"/>
      <c r="FC68" s="9"/>
      <c r="FD68" s="9">
        <v>24000</v>
      </c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>
        <f t="shared" si="21"/>
        <v>196800</v>
      </c>
      <c r="FU68" s="7">
        <f t="shared" si="22"/>
        <v>67200</v>
      </c>
      <c r="FV68" s="11">
        <f t="shared" si="23"/>
        <v>16.399999999999999</v>
      </c>
      <c r="FW68" s="11">
        <f t="shared" si="24"/>
        <v>5.6</v>
      </c>
      <c r="FX68" s="12">
        <f t="shared" si="25"/>
        <v>4.0999999999999996</v>
      </c>
      <c r="FY68" s="12">
        <f t="shared" si="26"/>
        <v>1.4</v>
      </c>
    </row>
    <row r="69" spans="1:183" ht="43.5" customHeight="1" thickBot="1" x14ac:dyDescent="0.3">
      <c r="A69" s="1">
        <v>3161</v>
      </c>
      <c r="B69" s="27" t="s">
        <v>246</v>
      </c>
      <c r="C69" s="27" t="s">
        <v>247</v>
      </c>
      <c r="D69" s="2">
        <v>27212523</v>
      </c>
      <c r="E69" s="3">
        <v>45770</v>
      </c>
      <c r="F69" s="3">
        <f t="shared" si="16"/>
        <v>45994</v>
      </c>
      <c r="G69" s="4">
        <v>160</v>
      </c>
      <c r="H69" s="377">
        <f t="shared" si="19"/>
        <v>56.60693333333333</v>
      </c>
      <c r="I69" s="377">
        <f t="shared" si="20"/>
        <v>103.39306666666667</v>
      </c>
      <c r="J69" s="192" t="s">
        <v>1197</v>
      </c>
      <c r="K69" s="7">
        <v>250000</v>
      </c>
      <c r="L69" s="7">
        <v>750000</v>
      </c>
      <c r="M69" s="8">
        <f t="shared" ref="M69:M100" si="27">(L69/G69)*5</f>
        <v>23437.5</v>
      </c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43"/>
      <c r="DC69" s="43"/>
      <c r="DD69" s="43"/>
      <c r="DE69" s="43"/>
      <c r="DF69" s="43"/>
      <c r="DG69" s="43"/>
      <c r="DH69" s="43"/>
      <c r="DI69" s="43"/>
      <c r="DJ69" s="43"/>
      <c r="DK69" s="43"/>
      <c r="DL69" s="43"/>
      <c r="DM69" s="43"/>
      <c r="DN69" s="43"/>
      <c r="DO69" s="43"/>
      <c r="DP69" s="43"/>
      <c r="DQ69" s="43"/>
      <c r="DR69" s="43"/>
      <c r="DS69" s="43"/>
      <c r="DT69" s="43"/>
      <c r="DU69" s="43"/>
      <c r="DV69" s="43"/>
      <c r="DW69" s="43"/>
      <c r="DX69" s="43"/>
      <c r="DY69" s="43"/>
      <c r="DZ69" s="43"/>
      <c r="EA69" s="43"/>
      <c r="EB69" s="43"/>
      <c r="EC69" s="43"/>
      <c r="ED69" s="43"/>
      <c r="EE69" s="43"/>
      <c r="EF69" s="43"/>
      <c r="EG69" s="43"/>
      <c r="EH69" s="43"/>
      <c r="EI69" s="43"/>
      <c r="EJ69" s="43"/>
      <c r="EK69" s="43" t="s">
        <v>143</v>
      </c>
      <c r="EL69" s="43"/>
      <c r="EM69" s="43"/>
      <c r="EN69" s="43"/>
      <c r="EO69" s="43">
        <v>30970</v>
      </c>
      <c r="EP69" s="43"/>
      <c r="EQ69" s="9"/>
      <c r="ER69" s="9">
        <v>46875</v>
      </c>
      <c r="ES69" s="9"/>
      <c r="ET69" s="9">
        <v>46875</v>
      </c>
      <c r="EU69" s="9"/>
      <c r="EV69" s="9"/>
      <c r="EW69" s="9">
        <v>46875</v>
      </c>
      <c r="EX69" s="9"/>
      <c r="EY69" s="9">
        <v>46875</v>
      </c>
      <c r="EZ69" s="9"/>
      <c r="FA69" s="9"/>
      <c r="FB69" s="9"/>
      <c r="FC69" s="9"/>
      <c r="FD69" s="9">
        <v>46875</v>
      </c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>
        <f t="shared" si="21"/>
        <v>265345</v>
      </c>
      <c r="FU69" s="7">
        <f t="shared" si="22"/>
        <v>484655</v>
      </c>
      <c r="FV69" s="11">
        <f t="shared" si="23"/>
        <v>11.321386666666665</v>
      </c>
      <c r="FW69" s="11">
        <f t="shared" si="24"/>
        <v>20.678613333333335</v>
      </c>
      <c r="FX69" s="12">
        <f t="shared" si="25"/>
        <v>2.8303466666666663</v>
      </c>
      <c r="FY69" s="12">
        <f t="shared" si="26"/>
        <v>5.1696533333333337</v>
      </c>
    </row>
    <row r="70" spans="1:183" ht="43.5" customHeight="1" thickBot="1" x14ac:dyDescent="0.3">
      <c r="A70" s="1">
        <v>3167</v>
      </c>
      <c r="B70" s="27" t="s">
        <v>246</v>
      </c>
      <c r="C70" s="27" t="s">
        <v>247</v>
      </c>
      <c r="D70" s="2">
        <v>27212523</v>
      </c>
      <c r="E70" s="3">
        <v>45770</v>
      </c>
      <c r="F70" s="3">
        <f t="shared" si="16"/>
        <v>45994</v>
      </c>
      <c r="G70" s="4">
        <v>160</v>
      </c>
      <c r="H70" s="377">
        <f t="shared" si="19"/>
        <v>50</v>
      </c>
      <c r="I70" s="377">
        <f t="shared" si="20"/>
        <v>110</v>
      </c>
      <c r="J70" s="192" t="s">
        <v>1198</v>
      </c>
      <c r="K70" s="10">
        <v>50000</v>
      </c>
      <c r="L70" s="10">
        <v>150000</v>
      </c>
      <c r="M70" s="8">
        <f t="shared" si="27"/>
        <v>4687.5</v>
      </c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3"/>
      <c r="DO70" s="43"/>
      <c r="DP70" s="43"/>
      <c r="DQ70" s="43"/>
      <c r="DR70" s="43"/>
      <c r="DS70" s="43"/>
      <c r="DT70" s="43"/>
      <c r="DU70" s="43"/>
      <c r="DV70" s="43"/>
      <c r="DW70" s="43"/>
      <c r="DX70" s="43"/>
      <c r="DY70" s="43"/>
      <c r="DZ70" s="43"/>
      <c r="EA70" s="43"/>
      <c r="EB70" s="43"/>
      <c r="EC70" s="43"/>
      <c r="ED70" s="43"/>
      <c r="EE70" s="43"/>
      <c r="EF70" s="43"/>
      <c r="EG70" s="43"/>
      <c r="EH70" s="43"/>
      <c r="EI70" s="43"/>
      <c r="EJ70" s="43"/>
      <c r="EK70" s="43"/>
      <c r="EL70" s="43"/>
      <c r="EM70" s="43"/>
      <c r="EN70" s="43"/>
      <c r="EO70" s="43" t="s">
        <v>143</v>
      </c>
      <c r="EP70" s="43"/>
      <c r="EQ70" s="9"/>
      <c r="ER70" s="9">
        <v>9375</v>
      </c>
      <c r="ES70" s="9"/>
      <c r="ET70" s="9">
        <v>9375</v>
      </c>
      <c r="EU70" s="9"/>
      <c r="EV70" s="9"/>
      <c r="EW70" s="9">
        <v>9375</v>
      </c>
      <c r="EX70" s="9"/>
      <c r="EY70" s="9">
        <v>9375</v>
      </c>
      <c r="EZ70" s="9"/>
      <c r="FA70" s="9"/>
      <c r="FB70" s="9"/>
      <c r="FC70" s="9"/>
      <c r="FD70" s="9">
        <v>9375</v>
      </c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>
        <f t="shared" si="21"/>
        <v>46875</v>
      </c>
      <c r="FU70" s="7">
        <f t="shared" si="22"/>
        <v>103125</v>
      </c>
      <c r="FV70" s="11">
        <f t="shared" si="23"/>
        <v>10</v>
      </c>
      <c r="FW70" s="11">
        <f t="shared" si="24"/>
        <v>22</v>
      </c>
      <c r="FX70" s="12">
        <f t="shared" si="25"/>
        <v>2.5</v>
      </c>
      <c r="FY70" s="12">
        <f t="shared" si="26"/>
        <v>5.5</v>
      </c>
    </row>
    <row r="71" spans="1:183" ht="43.5" customHeight="1" thickBot="1" x14ac:dyDescent="0.3">
      <c r="A71" s="1">
        <v>3183</v>
      </c>
      <c r="B71" s="27" t="s">
        <v>246</v>
      </c>
      <c r="C71" s="27" t="s">
        <v>247</v>
      </c>
      <c r="D71" s="2">
        <v>27212523</v>
      </c>
      <c r="E71" s="3">
        <v>45785</v>
      </c>
      <c r="F71" s="3">
        <f t="shared" si="16"/>
        <v>45939</v>
      </c>
      <c r="G71" s="4">
        <v>110</v>
      </c>
      <c r="H71" s="377">
        <f t="shared" si="19"/>
        <v>52.083333333333336</v>
      </c>
      <c r="I71" s="377">
        <f t="shared" si="20"/>
        <v>57.916666666666664</v>
      </c>
      <c r="J71" s="192" t="s">
        <v>1209</v>
      </c>
      <c r="K71" s="7">
        <v>100000</v>
      </c>
      <c r="L71" s="7">
        <v>264000</v>
      </c>
      <c r="M71" s="8">
        <f t="shared" si="27"/>
        <v>12000</v>
      </c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3"/>
      <c r="DO71" s="43"/>
      <c r="DP71" s="43"/>
      <c r="DQ71" s="43"/>
      <c r="DR71" s="43"/>
      <c r="DS71" s="43"/>
      <c r="DT71" s="43"/>
      <c r="DU71" s="43"/>
      <c r="DV71" s="43"/>
      <c r="DW71" s="43"/>
      <c r="DX71" s="43"/>
      <c r="DY71" s="43"/>
      <c r="DZ71" s="43"/>
      <c r="EA71" s="43"/>
      <c r="EB71" s="43"/>
      <c r="EC71" s="43"/>
      <c r="ED71" s="43"/>
      <c r="EE71" s="43"/>
      <c r="EF71" s="43"/>
      <c r="EG71" s="43"/>
      <c r="EH71" s="43"/>
      <c r="EI71" s="43"/>
      <c r="EJ71" s="43"/>
      <c r="EK71" s="43" t="s">
        <v>143</v>
      </c>
      <c r="EL71" s="43"/>
      <c r="EM71" s="43" t="s">
        <v>143</v>
      </c>
      <c r="EN71" s="43" t="s">
        <v>143</v>
      </c>
      <c r="EO71" s="43"/>
      <c r="EP71" s="43"/>
      <c r="EQ71" s="9"/>
      <c r="ER71" s="9">
        <v>24000</v>
      </c>
      <c r="ES71" s="9"/>
      <c r="ET71" s="9">
        <v>29000</v>
      </c>
      <c r="EU71" s="9"/>
      <c r="EV71" s="9"/>
      <c r="EW71" s="9">
        <v>24000</v>
      </c>
      <c r="EX71" s="9"/>
      <c r="EY71" s="9">
        <v>24000</v>
      </c>
      <c r="EZ71" s="9"/>
      <c r="FA71" s="9"/>
      <c r="FB71" s="9"/>
      <c r="FC71" s="9"/>
      <c r="FD71" s="9">
        <v>24000</v>
      </c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>
        <f t="shared" si="21"/>
        <v>125000</v>
      </c>
      <c r="FU71" s="7">
        <f t="shared" si="22"/>
        <v>139000</v>
      </c>
      <c r="FV71" s="11">
        <f t="shared" si="23"/>
        <v>10.416666666666668</v>
      </c>
      <c r="FW71" s="11">
        <f t="shared" si="24"/>
        <v>11.583333333333332</v>
      </c>
      <c r="FX71" s="12">
        <f t="shared" si="25"/>
        <v>2.604166666666667</v>
      </c>
      <c r="FY71" s="12">
        <f t="shared" si="26"/>
        <v>2.895833333333333</v>
      </c>
    </row>
    <row r="72" spans="1:183" ht="43.5" customHeight="1" thickBot="1" x14ac:dyDescent="0.3">
      <c r="A72" s="1">
        <v>3224</v>
      </c>
      <c r="B72" s="27" t="s">
        <v>246</v>
      </c>
      <c r="C72" s="27" t="s">
        <v>247</v>
      </c>
      <c r="D72" s="2">
        <v>27212523</v>
      </c>
      <c r="E72" s="3">
        <v>45807</v>
      </c>
      <c r="F72" s="3">
        <f t="shared" si="16"/>
        <v>45961</v>
      </c>
      <c r="G72" s="4">
        <v>110</v>
      </c>
      <c r="H72" s="377">
        <f t="shared" si="19"/>
        <v>8.6812500000000004</v>
      </c>
      <c r="I72" s="377">
        <f t="shared" si="20"/>
        <v>101.31874999999999</v>
      </c>
      <c r="J72" s="192" t="s">
        <v>171</v>
      </c>
      <c r="K72" s="7">
        <v>200000</v>
      </c>
      <c r="L72" s="7">
        <v>528000</v>
      </c>
      <c r="M72" s="8">
        <f t="shared" si="27"/>
        <v>24000</v>
      </c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  <c r="DM72" s="43"/>
      <c r="DN72" s="43"/>
      <c r="DO72" s="43"/>
      <c r="DP72" s="43"/>
      <c r="DQ72" s="43"/>
      <c r="DR72" s="43"/>
      <c r="DS72" s="43"/>
      <c r="DT72" s="43"/>
      <c r="DU72" s="43"/>
      <c r="DV72" s="43"/>
      <c r="DW72" s="43"/>
      <c r="DX72" s="43"/>
      <c r="DY72" s="43"/>
      <c r="DZ72" s="43"/>
      <c r="EA72" s="43"/>
      <c r="EB72" s="43"/>
      <c r="EC72" s="43"/>
      <c r="ED72" s="43"/>
      <c r="EE72" s="43"/>
      <c r="EF72" s="43"/>
      <c r="EG72" s="43"/>
      <c r="EH72" s="43"/>
      <c r="EI72" s="43"/>
      <c r="EJ72" s="43"/>
      <c r="EK72" s="43" t="s">
        <v>143</v>
      </c>
      <c r="EL72" s="43"/>
      <c r="EM72" s="43" t="s">
        <v>143</v>
      </c>
      <c r="EN72" s="43" t="s">
        <v>143</v>
      </c>
      <c r="EO72" s="43"/>
      <c r="EP72" s="43"/>
      <c r="EQ72" s="9"/>
      <c r="ER72" s="9"/>
      <c r="ES72" s="9"/>
      <c r="ET72" s="9"/>
      <c r="EU72" s="9"/>
      <c r="EV72" s="9"/>
      <c r="EW72" s="9">
        <v>5120</v>
      </c>
      <c r="EX72" s="9"/>
      <c r="EY72" s="9">
        <v>20550</v>
      </c>
      <c r="EZ72" s="9"/>
      <c r="FA72" s="9"/>
      <c r="FB72" s="9"/>
      <c r="FC72" s="9"/>
      <c r="FD72" s="9">
        <v>16000</v>
      </c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>
        <f t="shared" si="21"/>
        <v>41670</v>
      </c>
      <c r="FU72" s="7">
        <f t="shared" si="22"/>
        <v>486330</v>
      </c>
      <c r="FV72" s="11">
        <f t="shared" si="23"/>
        <v>1.7362500000000001</v>
      </c>
      <c r="FW72" s="11">
        <f t="shared" si="24"/>
        <v>20.263749999999998</v>
      </c>
      <c r="FX72" s="12">
        <f t="shared" si="25"/>
        <v>0.43406250000000002</v>
      </c>
      <c r="FY72" s="12">
        <f t="shared" si="26"/>
        <v>5.0659374999999995</v>
      </c>
    </row>
    <row r="73" spans="1:183" ht="43.5" customHeight="1" thickBot="1" x14ac:dyDescent="0.3">
      <c r="A73" s="1">
        <v>3265</v>
      </c>
      <c r="B73" s="2" t="s">
        <v>1260</v>
      </c>
      <c r="C73" s="2" t="s">
        <v>252</v>
      </c>
      <c r="D73" s="418"/>
      <c r="E73" s="3">
        <v>45835</v>
      </c>
      <c r="F73" s="3">
        <f>WORKDAY(E73,G73)</f>
        <v>46059</v>
      </c>
      <c r="G73" s="4">
        <v>160</v>
      </c>
      <c r="H73" s="377">
        <f t="shared" si="19"/>
        <v>100</v>
      </c>
      <c r="I73" s="377">
        <f t="shared" si="20"/>
        <v>60</v>
      </c>
      <c r="J73" s="355" t="s">
        <v>1258</v>
      </c>
      <c r="K73" s="7">
        <v>1000000</v>
      </c>
      <c r="L73" s="7">
        <v>3000000</v>
      </c>
      <c r="M73" s="8">
        <f t="shared" si="27"/>
        <v>93750</v>
      </c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  <c r="DK73" s="43"/>
      <c r="DL73" s="43"/>
      <c r="DM73" s="43"/>
      <c r="DN73" s="43"/>
      <c r="DO73" s="43"/>
      <c r="DP73" s="43"/>
      <c r="DQ73" s="43"/>
      <c r="DR73" s="43"/>
      <c r="DS73" s="43"/>
      <c r="DT73" s="43"/>
      <c r="DU73" s="43"/>
      <c r="DV73" s="43"/>
      <c r="DW73" s="43"/>
      <c r="DX73" s="43"/>
      <c r="DY73" s="43"/>
      <c r="DZ73" s="43"/>
      <c r="EA73" s="43"/>
      <c r="EB73" s="43"/>
      <c r="EC73" s="43"/>
      <c r="ED73" s="43"/>
      <c r="EE73" s="43"/>
      <c r="EF73" s="43"/>
      <c r="EG73" s="43"/>
      <c r="EH73" s="43"/>
      <c r="EI73" s="43"/>
      <c r="EJ73" s="43"/>
      <c r="EK73" s="43" t="s">
        <v>143</v>
      </c>
      <c r="EL73" s="43"/>
      <c r="EM73" s="43" t="s">
        <v>143</v>
      </c>
      <c r="EN73" s="43" t="s">
        <v>143</v>
      </c>
      <c r="EO73" s="43"/>
      <c r="EP73" s="43"/>
      <c r="EQ73" s="9"/>
      <c r="ER73" s="9"/>
      <c r="ES73" s="9" t="s">
        <v>143</v>
      </c>
      <c r="ET73" s="9"/>
      <c r="EU73" s="9"/>
      <c r="EV73" s="9"/>
      <c r="EW73" s="9"/>
      <c r="EX73" s="9"/>
      <c r="EY73" s="9"/>
      <c r="EZ73" s="9"/>
      <c r="FA73" s="9"/>
      <c r="FB73" s="9">
        <v>375000</v>
      </c>
      <c r="FC73" s="9"/>
      <c r="FD73" s="9"/>
      <c r="FE73" s="9"/>
      <c r="FF73" s="9">
        <v>375000</v>
      </c>
      <c r="FG73" s="9"/>
      <c r="FH73" s="9"/>
      <c r="FI73" s="9"/>
      <c r="FJ73" s="9">
        <v>375000</v>
      </c>
      <c r="FK73" s="9"/>
      <c r="FL73" s="9"/>
      <c r="FM73" s="9"/>
      <c r="FN73" s="9"/>
      <c r="FO73" s="9">
        <v>375000</v>
      </c>
      <c r="FP73" s="9"/>
      <c r="FQ73" s="9"/>
      <c r="FR73" s="9"/>
      <c r="FS73" s="9">
        <v>375000</v>
      </c>
      <c r="FT73" s="9">
        <f t="shared" si="21"/>
        <v>1875000</v>
      </c>
      <c r="FU73" s="7">
        <f t="shared" si="22"/>
        <v>1125000</v>
      </c>
      <c r="FV73" s="11">
        <f t="shared" si="23"/>
        <v>20</v>
      </c>
      <c r="FW73" s="11">
        <f t="shared" si="24"/>
        <v>12</v>
      </c>
      <c r="FX73" s="12">
        <f t="shared" si="25"/>
        <v>5</v>
      </c>
      <c r="FY73" s="12">
        <f t="shared" si="26"/>
        <v>3</v>
      </c>
    </row>
    <row r="74" spans="1:183" ht="43.5" customHeight="1" thickBot="1" x14ac:dyDescent="0.3">
      <c r="A74" s="4">
        <v>3426</v>
      </c>
      <c r="B74" s="2" t="s">
        <v>1260</v>
      </c>
      <c r="C74" s="2" t="s">
        <v>252</v>
      </c>
      <c r="D74" s="2" t="s">
        <v>259</v>
      </c>
      <c r="E74" s="3">
        <v>45937</v>
      </c>
      <c r="F74" s="3">
        <f t="shared" ref="F74:F75" si="28">WORKDAY(E74,G74)</f>
        <v>46049</v>
      </c>
      <c r="G74" s="4">
        <v>80</v>
      </c>
      <c r="H74" s="377">
        <f t="shared" si="19"/>
        <v>40</v>
      </c>
      <c r="I74" s="377">
        <f t="shared" si="20"/>
        <v>40</v>
      </c>
      <c r="J74" s="355" t="s">
        <v>1392</v>
      </c>
      <c r="K74" s="26">
        <v>200000</v>
      </c>
      <c r="L74" s="7">
        <v>432000</v>
      </c>
      <c r="M74" s="21">
        <f t="shared" si="27"/>
        <v>27000</v>
      </c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 t="s">
        <v>143</v>
      </c>
      <c r="EL74" s="43"/>
      <c r="EM74" s="43" t="s">
        <v>143</v>
      </c>
      <c r="EN74" s="43" t="s">
        <v>143</v>
      </c>
      <c r="EO74" s="43"/>
      <c r="EP74" s="43"/>
      <c r="EQ74" s="9"/>
      <c r="ER74" s="9"/>
      <c r="ES74" s="9" t="s">
        <v>143</v>
      </c>
      <c r="ET74" s="9"/>
      <c r="EU74" s="9"/>
      <c r="EV74" s="9" t="s">
        <v>143</v>
      </c>
      <c r="EW74" s="9"/>
      <c r="EX74" s="9"/>
      <c r="EY74" s="9"/>
      <c r="EZ74" s="9"/>
      <c r="FA74" s="9"/>
      <c r="FB74" s="9"/>
      <c r="FC74" s="9" t="s">
        <v>143</v>
      </c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>
        <v>108000</v>
      </c>
      <c r="FP74" s="9"/>
      <c r="FQ74" s="9"/>
      <c r="FR74" s="9"/>
      <c r="FS74" s="9">
        <v>108000</v>
      </c>
      <c r="FT74" s="9">
        <f t="shared" si="21"/>
        <v>216000</v>
      </c>
      <c r="FU74" s="7">
        <f t="shared" si="22"/>
        <v>216000</v>
      </c>
      <c r="FV74" s="11">
        <f t="shared" si="23"/>
        <v>8</v>
      </c>
      <c r="FW74" s="11">
        <f t="shared" si="24"/>
        <v>8</v>
      </c>
      <c r="FX74" s="12">
        <f t="shared" si="25"/>
        <v>2</v>
      </c>
      <c r="FY74" s="12">
        <f t="shared" si="26"/>
        <v>2</v>
      </c>
    </row>
    <row r="75" spans="1:183" ht="43.5" customHeight="1" thickBot="1" x14ac:dyDescent="0.3">
      <c r="A75" s="4">
        <v>2710</v>
      </c>
      <c r="B75" s="27" t="s">
        <v>254</v>
      </c>
      <c r="C75" s="27" t="s">
        <v>255</v>
      </c>
      <c r="D75" s="2"/>
      <c r="E75" s="3">
        <v>45488</v>
      </c>
      <c r="F75" s="3">
        <f t="shared" si="28"/>
        <v>45600</v>
      </c>
      <c r="G75" s="4">
        <v>80</v>
      </c>
      <c r="H75" s="377">
        <f t="shared" si="19"/>
        <v>42.098765432098766</v>
      </c>
      <c r="I75" s="377">
        <f t="shared" si="20"/>
        <v>37.901234567901234</v>
      </c>
      <c r="J75" s="192" t="s">
        <v>256</v>
      </c>
      <c r="K75" s="7">
        <v>150000</v>
      </c>
      <c r="L75" s="7">
        <v>324000</v>
      </c>
      <c r="M75" s="8">
        <f t="shared" si="27"/>
        <v>20250</v>
      </c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 t="s">
        <v>143</v>
      </c>
      <c r="CB75" s="43" t="s">
        <v>143</v>
      </c>
      <c r="CC75" s="43" t="s">
        <v>143</v>
      </c>
      <c r="CD75" s="43" t="s">
        <v>143</v>
      </c>
      <c r="CE75" s="43" t="s">
        <v>143</v>
      </c>
      <c r="CF75" s="43"/>
      <c r="CG75" s="43" t="s">
        <v>143</v>
      </c>
      <c r="CH75" s="43" t="s">
        <v>143</v>
      </c>
      <c r="CI75" s="43"/>
      <c r="CJ75" s="43"/>
      <c r="CK75" s="43"/>
      <c r="CL75" s="43" t="s">
        <v>143</v>
      </c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>
        <v>40500</v>
      </c>
      <c r="DB75" s="43"/>
      <c r="DC75" s="43"/>
      <c r="DD75" s="43"/>
      <c r="DE75" s="43"/>
      <c r="DF75" s="43"/>
      <c r="DG75" s="43"/>
      <c r="DH75" s="43"/>
      <c r="DI75" s="43">
        <v>30000</v>
      </c>
      <c r="DJ75" s="43"/>
      <c r="DK75" s="43"/>
      <c r="DL75" s="43"/>
      <c r="DM75" s="43"/>
      <c r="DN75" s="43">
        <v>50000</v>
      </c>
      <c r="DO75" s="43"/>
      <c r="DP75" s="43"/>
      <c r="DQ75" s="43"/>
      <c r="DR75" s="43"/>
      <c r="DS75" s="43">
        <v>50000</v>
      </c>
      <c r="DT75" s="43"/>
      <c r="DU75" s="43"/>
      <c r="DV75" s="43"/>
      <c r="DW75" s="43"/>
      <c r="DX75" s="43"/>
      <c r="DY75" s="43"/>
      <c r="DZ75" s="43"/>
      <c r="EA75" s="43"/>
      <c r="EB75" s="43"/>
      <c r="EC75" s="43"/>
      <c r="ED75" s="43"/>
      <c r="EE75" s="43"/>
      <c r="EF75" s="43"/>
      <c r="EG75" s="43"/>
      <c r="EH75" s="43"/>
      <c r="EI75" s="43"/>
      <c r="EJ75" s="43"/>
      <c r="EK75" s="43"/>
      <c r="EL75" s="43"/>
      <c r="EM75" s="43"/>
      <c r="EN75" s="43"/>
      <c r="EO75" s="43"/>
      <c r="EP75" s="43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>
        <f t="shared" si="21"/>
        <v>170500</v>
      </c>
      <c r="FU75" s="7">
        <f t="shared" si="22"/>
        <v>153500</v>
      </c>
      <c r="FV75" s="11">
        <f t="shared" si="23"/>
        <v>8.4197530864197532</v>
      </c>
      <c r="FW75" s="11">
        <f t="shared" si="24"/>
        <v>7.5802469135802468</v>
      </c>
      <c r="FX75" s="12">
        <f t="shared" si="25"/>
        <v>2.1049382716049383</v>
      </c>
      <c r="FY75" s="12">
        <f t="shared" si="26"/>
        <v>1.8950617283950617</v>
      </c>
    </row>
    <row r="76" spans="1:183" ht="43.5" customHeight="1" thickBot="1" x14ac:dyDescent="0.3">
      <c r="A76" s="372">
        <v>3521</v>
      </c>
      <c r="B76" s="27" t="s">
        <v>257</v>
      </c>
      <c r="C76" s="27" t="s">
        <v>258</v>
      </c>
      <c r="D76" s="2" t="s">
        <v>259</v>
      </c>
      <c r="E76" s="3">
        <v>45989</v>
      </c>
      <c r="F76" s="3">
        <f>WORKDAY(E76,G76)</f>
        <v>46087</v>
      </c>
      <c r="G76" s="4">
        <v>70</v>
      </c>
      <c r="H76" s="377">
        <f t="shared" si="19"/>
        <v>0</v>
      </c>
      <c r="I76" s="377">
        <f t="shared" si="20"/>
        <v>70</v>
      </c>
      <c r="J76" s="192" t="s">
        <v>1426</v>
      </c>
      <c r="K76" s="7">
        <v>100000</v>
      </c>
      <c r="L76" s="7">
        <v>216000</v>
      </c>
      <c r="M76" s="8">
        <f t="shared" si="27"/>
        <v>15428.571428571429</v>
      </c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DD76" s="43"/>
      <c r="DE76" s="43"/>
      <c r="DF76" s="43"/>
      <c r="DG76" s="43"/>
      <c r="DH76" s="43"/>
      <c r="DI76" s="43"/>
      <c r="DJ76" s="43"/>
      <c r="DK76" s="43"/>
      <c r="DL76" s="43"/>
      <c r="DM76" s="43"/>
      <c r="DN76" s="43"/>
      <c r="DO76" s="43"/>
      <c r="DP76" s="43"/>
      <c r="DQ76" s="43"/>
      <c r="DR76" s="43"/>
      <c r="DS76" s="43"/>
      <c r="DT76" s="43"/>
      <c r="DU76" s="43"/>
      <c r="DV76" s="43"/>
      <c r="DW76" s="43"/>
      <c r="DX76" s="43"/>
      <c r="DY76" s="43"/>
      <c r="DZ76" s="43"/>
      <c r="EA76" s="43"/>
      <c r="EB76" s="43"/>
      <c r="EC76" s="43"/>
      <c r="ED76" s="43"/>
      <c r="EE76" s="43"/>
      <c r="EF76" s="43"/>
      <c r="EG76" s="43"/>
      <c r="EH76" s="43"/>
      <c r="EI76" s="43"/>
      <c r="EJ76" s="43"/>
      <c r="EK76" s="43" t="s">
        <v>143</v>
      </c>
      <c r="EL76" s="43"/>
      <c r="EM76" s="43" t="s">
        <v>143</v>
      </c>
      <c r="EN76" s="43" t="s">
        <v>143</v>
      </c>
      <c r="EO76" s="43"/>
      <c r="EP76" s="43"/>
      <c r="EQ76" s="9"/>
      <c r="ER76" s="9"/>
      <c r="ES76" s="9" t="s">
        <v>143</v>
      </c>
      <c r="ET76" s="9"/>
      <c r="EU76" s="9"/>
      <c r="EV76" s="9" t="s">
        <v>143</v>
      </c>
      <c r="EW76" s="9"/>
      <c r="EX76" s="9"/>
      <c r="EY76" s="9"/>
      <c r="EZ76" s="9"/>
      <c r="FA76" s="9"/>
      <c r="FB76" s="9"/>
      <c r="FC76" s="9" t="s">
        <v>143</v>
      </c>
      <c r="FD76" s="9"/>
      <c r="FE76" s="9"/>
      <c r="FF76" s="9"/>
      <c r="FG76" s="9"/>
      <c r="FH76" s="9"/>
      <c r="FI76" s="9"/>
      <c r="FJ76" s="9"/>
      <c r="FK76" s="9"/>
      <c r="FL76" s="9" t="s">
        <v>143</v>
      </c>
      <c r="FM76" s="9"/>
      <c r="FN76" s="9"/>
      <c r="FO76" s="9"/>
      <c r="FP76" s="9"/>
      <c r="FQ76" s="9"/>
      <c r="FR76" s="9"/>
      <c r="FS76" s="9"/>
      <c r="FT76" s="9">
        <f t="shared" si="21"/>
        <v>0</v>
      </c>
      <c r="FU76" s="7">
        <f t="shared" si="22"/>
        <v>216000</v>
      </c>
      <c r="FV76" s="11">
        <f t="shared" si="23"/>
        <v>0</v>
      </c>
      <c r="FW76" s="11">
        <f t="shared" si="24"/>
        <v>14</v>
      </c>
      <c r="FX76" s="12">
        <f t="shared" si="25"/>
        <v>0</v>
      </c>
      <c r="FY76" s="12">
        <f t="shared" si="26"/>
        <v>3.5</v>
      </c>
    </row>
    <row r="77" spans="1:183" ht="43.5" customHeight="1" thickBot="1" x14ac:dyDescent="0.3">
      <c r="A77" s="4">
        <v>3362</v>
      </c>
      <c r="B77" s="2" t="s">
        <v>809</v>
      </c>
      <c r="C77" s="2" t="s">
        <v>810</v>
      </c>
      <c r="D77" s="3">
        <v>45329</v>
      </c>
      <c r="E77" s="3">
        <v>45892</v>
      </c>
      <c r="F77" s="3">
        <f t="shared" ref="F77:F78" si="29">WORKDAY(E77,G77)</f>
        <v>46045</v>
      </c>
      <c r="G77" s="182">
        <v>110</v>
      </c>
      <c r="H77" s="377">
        <f t="shared" si="19"/>
        <v>60</v>
      </c>
      <c r="I77" s="377">
        <f t="shared" si="20"/>
        <v>50</v>
      </c>
      <c r="J77" s="2" t="s">
        <v>279</v>
      </c>
      <c r="K77" s="10">
        <v>100000</v>
      </c>
      <c r="L77" s="10">
        <v>264000</v>
      </c>
      <c r="M77" s="8">
        <f t="shared" si="27"/>
        <v>12000</v>
      </c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3"/>
      <c r="CQ77" s="43"/>
      <c r="CR77" s="43"/>
      <c r="CS77" s="43"/>
      <c r="CT77" s="43"/>
      <c r="CU77" s="43"/>
      <c r="CV77" s="43"/>
      <c r="CW77" s="43"/>
      <c r="CX77" s="43"/>
      <c r="CY77" s="43"/>
      <c r="CZ77" s="43"/>
      <c r="DA77" s="43"/>
      <c r="DB77" s="43"/>
      <c r="DC77" s="43"/>
      <c r="DD77" s="43"/>
      <c r="DE77" s="43"/>
      <c r="DF77" s="43"/>
      <c r="DG77" s="43"/>
      <c r="DH77" s="43"/>
      <c r="DI77" s="43"/>
      <c r="DJ77" s="43"/>
      <c r="DK77" s="43"/>
      <c r="DL77" s="43"/>
      <c r="DM77" s="43"/>
      <c r="DN77" s="43"/>
      <c r="DO77" s="43"/>
      <c r="DP77" s="43"/>
      <c r="DQ77" s="43"/>
      <c r="DR77" s="43"/>
      <c r="DS77" s="43"/>
      <c r="DT77" s="43"/>
      <c r="DU77" s="43"/>
      <c r="DV77" s="43"/>
      <c r="DW77" s="43"/>
      <c r="DX77" s="43"/>
      <c r="DY77" s="43"/>
      <c r="DZ77" s="43"/>
      <c r="EA77" s="43"/>
      <c r="EB77" s="43"/>
      <c r="EC77" s="43"/>
      <c r="ED77" s="43"/>
      <c r="EE77" s="43"/>
      <c r="EF77" s="43"/>
      <c r="EG77" s="43"/>
      <c r="EH77" s="43"/>
      <c r="EI77" s="43"/>
      <c r="EJ77" s="43"/>
      <c r="EK77" s="43" t="s">
        <v>143</v>
      </c>
      <c r="EL77" s="43"/>
      <c r="EM77" s="43" t="s">
        <v>143</v>
      </c>
      <c r="EN77" s="43" t="s">
        <v>143</v>
      </c>
      <c r="EO77" s="43"/>
      <c r="EP77" s="43"/>
      <c r="EQ77" s="9"/>
      <c r="ER77" s="9"/>
      <c r="ES77" s="9" t="s">
        <v>143</v>
      </c>
      <c r="ET77" s="9"/>
      <c r="EU77" s="9"/>
      <c r="EV77" s="9" t="s">
        <v>143</v>
      </c>
      <c r="EW77" s="9"/>
      <c r="EX77" s="9"/>
      <c r="EY77" s="9"/>
      <c r="EZ77" s="9"/>
      <c r="FA77" s="9"/>
      <c r="FB77" s="9"/>
      <c r="FC77" s="9" t="s">
        <v>143</v>
      </c>
      <c r="FD77" s="9"/>
      <c r="FE77" s="9"/>
      <c r="FF77" s="9"/>
      <c r="FG77" s="9">
        <v>24000</v>
      </c>
      <c r="FH77" s="9"/>
      <c r="FI77" s="9">
        <v>24000</v>
      </c>
      <c r="FJ77" s="9"/>
      <c r="FK77" s="9">
        <v>24000</v>
      </c>
      <c r="FL77" s="9"/>
      <c r="FM77" s="9">
        <v>24000</v>
      </c>
      <c r="FN77" s="9"/>
      <c r="FO77" s="9"/>
      <c r="FP77" s="9">
        <v>24000</v>
      </c>
      <c r="FQ77" s="9"/>
      <c r="FR77" s="9">
        <v>24000</v>
      </c>
      <c r="FS77" s="9"/>
      <c r="FT77" s="9">
        <f t="shared" si="21"/>
        <v>144000</v>
      </c>
      <c r="FU77" s="7">
        <f t="shared" si="22"/>
        <v>120000</v>
      </c>
      <c r="FV77" s="11">
        <f t="shared" si="23"/>
        <v>12</v>
      </c>
      <c r="FW77" s="11">
        <f t="shared" si="24"/>
        <v>10</v>
      </c>
      <c r="FX77" s="12">
        <f t="shared" si="25"/>
        <v>3</v>
      </c>
      <c r="FY77" s="12">
        <f t="shared" si="26"/>
        <v>2.5</v>
      </c>
    </row>
    <row r="78" spans="1:183" ht="43.5" customHeight="1" thickBot="1" x14ac:dyDescent="0.3">
      <c r="A78" s="372">
        <v>3512</v>
      </c>
      <c r="B78" s="2" t="s">
        <v>809</v>
      </c>
      <c r="C78" s="2" t="s">
        <v>810</v>
      </c>
      <c r="D78" s="3">
        <v>45329</v>
      </c>
      <c r="E78" s="3">
        <v>45985</v>
      </c>
      <c r="F78" s="3">
        <f t="shared" si="29"/>
        <v>46139</v>
      </c>
      <c r="G78" s="182">
        <v>110</v>
      </c>
      <c r="H78" s="377">
        <f t="shared" si="19"/>
        <v>0</v>
      </c>
      <c r="I78" s="377">
        <f t="shared" si="20"/>
        <v>110</v>
      </c>
      <c r="J78" s="2" t="s">
        <v>279</v>
      </c>
      <c r="K78" s="493">
        <v>100000</v>
      </c>
      <c r="L78" s="10">
        <v>264000</v>
      </c>
      <c r="M78" s="8">
        <f t="shared" si="27"/>
        <v>12000</v>
      </c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3"/>
      <c r="CU78" s="43"/>
      <c r="CV78" s="43"/>
      <c r="CW78" s="43"/>
      <c r="CX78" s="43"/>
      <c r="CY78" s="43"/>
      <c r="CZ78" s="43"/>
      <c r="DA78" s="43"/>
      <c r="DB78" s="43"/>
      <c r="DC78" s="43"/>
      <c r="DD78" s="43"/>
      <c r="DE78" s="43"/>
      <c r="DF78" s="43"/>
      <c r="DG78" s="43"/>
      <c r="DH78" s="43"/>
      <c r="DI78" s="43"/>
      <c r="DJ78" s="43"/>
      <c r="DK78" s="43"/>
      <c r="DL78" s="43"/>
      <c r="DM78" s="43"/>
      <c r="DN78" s="43"/>
      <c r="DO78" s="43"/>
      <c r="DP78" s="43"/>
      <c r="DQ78" s="43"/>
      <c r="DR78" s="43"/>
      <c r="DS78" s="43"/>
      <c r="DT78" s="43"/>
      <c r="DU78" s="43"/>
      <c r="DV78" s="43"/>
      <c r="DW78" s="43"/>
      <c r="DX78" s="43"/>
      <c r="DY78" s="43"/>
      <c r="DZ78" s="43"/>
      <c r="EA78" s="43"/>
      <c r="EB78" s="43"/>
      <c r="EC78" s="43"/>
      <c r="ED78" s="43"/>
      <c r="EE78" s="43"/>
      <c r="EF78" s="43"/>
      <c r="EG78" s="43"/>
      <c r="EH78" s="43"/>
      <c r="EI78" s="43"/>
      <c r="EJ78" s="43"/>
      <c r="EK78" s="43" t="s">
        <v>143</v>
      </c>
      <c r="EL78" s="43"/>
      <c r="EM78" s="43" t="s">
        <v>143</v>
      </c>
      <c r="EN78" s="43" t="s">
        <v>143</v>
      </c>
      <c r="EO78" s="43"/>
      <c r="EP78" s="43"/>
      <c r="EQ78" s="9"/>
      <c r="ER78" s="9"/>
      <c r="ES78" s="9" t="s">
        <v>143</v>
      </c>
      <c r="ET78" s="9"/>
      <c r="EU78" s="9"/>
      <c r="EV78" s="9" t="s">
        <v>143</v>
      </c>
      <c r="EW78" s="9"/>
      <c r="EX78" s="9"/>
      <c r="EY78" s="9"/>
      <c r="EZ78" s="9"/>
      <c r="FA78" s="9"/>
      <c r="FB78" s="9"/>
      <c r="FC78" s="9" t="s">
        <v>143</v>
      </c>
      <c r="FD78" s="9"/>
      <c r="FE78" s="9"/>
      <c r="FF78" s="9"/>
      <c r="FG78" s="9"/>
      <c r="FH78" s="9"/>
      <c r="FI78" s="9"/>
      <c r="FJ78" s="9"/>
      <c r="FK78" s="9"/>
      <c r="FL78" s="9" t="s">
        <v>143</v>
      </c>
      <c r="FM78" s="9"/>
      <c r="FN78" s="9"/>
      <c r="FO78" s="9"/>
      <c r="FP78" s="9"/>
      <c r="FQ78" s="9"/>
      <c r="FR78" s="9"/>
      <c r="FS78" s="9"/>
      <c r="FT78" s="9">
        <f t="shared" si="21"/>
        <v>0</v>
      </c>
      <c r="FU78" s="7">
        <f t="shared" si="22"/>
        <v>264000</v>
      </c>
      <c r="FV78" s="11">
        <f t="shared" si="23"/>
        <v>0</v>
      </c>
      <c r="FW78" s="11">
        <f t="shared" si="24"/>
        <v>22</v>
      </c>
      <c r="FX78" s="12">
        <f t="shared" si="25"/>
        <v>0</v>
      </c>
      <c r="FY78" s="12">
        <f t="shared" si="26"/>
        <v>5.5</v>
      </c>
    </row>
    <row r="79" spans="1:183" ht="43.5" customHeight="1" thickBot="1" x14ac:dyDescent="0.3">
      <c r="A79" s="4">
        <v>1936</v>
      </c>
      <c r="B79" s="27" t="s">
        <v>263</v>
      </c>
      <c r="C79" s="27" t="s">
        <v>264</v>
      </c>
      <c r="D79" s="2">
        <v>42259096</v>
      </c>
      <c r="E79" s="3">
        <v>44929</v>
      </c>
      <c r="F79" s="3">
        <f t="shared" ref="F79:F103" si="30">WORKDAY(E79,G79)</f>
        <v>45349</v>
      </c>
      <c r="G79" s="4">
        <v>300</v>
      </c>
      <c r="H79" s="377">
        <f t="shared" si="19"/>
        <v>140</v>
      </c>
      <c r="I79" s="377">
        <f t="shared" si="20"/>
        <v>160</v>
      </c>
      <c r="J79" s="355" t="s">
        <v>265</v>
      </c>
      <c r="K79" s="10">
        <v>80000</v>
      </c>
      <c r="L79" s="10">
        <v>214350</v>
      </c>
      <c r="M79" s="8">
        <f t="shared" si="27"/>
        <v>3572.5</v>
      </c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>
        <v>14290</v>
      </c>
      <c r="AB79" s="43"/>
      <c r="AC79" s="43"/>
      <c r="AD79" s="43"/>
      <c r="AE79" s="43"/>
      <c r="AF79" s="43"/>
      <c r="AG79" s="43"/>
      <c r="AH79" s="43"/>
      <c r="AI79" s="43">
        <v>14290</v>
      </c>
      <c r="AJ79" s="43"/>
      <c r="AK79" s="43"/>
      <c r="AL79" s="43"/>
      <c r="AM79" s="43">
        <v>14290</v>
      </c>
      <c r="AN79" s="43"/>
      <c r="AO79" s="43"/>
      <c r="AP79" s="43"/>
      <c r="AQ79" s="43"/>
      <c r="AR79" s="43">
        <v>14290</v>
      </c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>
        <v>14290</v>
      </c>
      <c r="BF79" s="43"/>
      <c r="BG79" s="43"/>
      <c r="BH79" s="43"/>
      <c r="BI79" s="43">
        <v>14290</v>
      </c>
      <c r="BJ79" s="43"/>
      <c r="BK79" s="43"/>
      <c r="BL79" s="43"/>
      <c r="BM79" s="43"/>
      <c r="BN79" s="43">
        <v>14290</v>
      </c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/>
      <c r="CM79" s="43"/>
      <c r="CN79" s="43"/>
      <c r="CO79" s="43"/>
      <c r="CP79" s="43"/>
      <c r="CQ79" s="43"/>
      <c r="CR79" s="43"/>
      <c r="CS79" s="43"/>
      <c r="CT79" s="43"/>
      <c r="CU79" s="43"/>
      <c r="CV79" s="43"/>
      <c r="CW79" s="43"/>
      <c r="CX79" s="43"/>
      <c r="CY79" s="43"/>
      <c r="CZ79" s="43"/>
      <c r="DA79" s="43"/>
      <c r="DB79" s="43"/>
      <c r="DC79" s="43"/>
      <c r="DD79" s="43"/>
      <c r="DE79" s="43"/>
      <c r="DF79" s="43"/>
      <c r="DG79" s="43"/>
      <c r="DH79" s="43"/>
      <c r="DI79" s="43"/>
      <c r="DJ79" s="43"/>
      <c r="DK79" s="43"/>
      <c r="DL79" s="43"/>
      <c r="DM79" s="43"/>
      <c r="DN79" s="43"/>
      <c r="DO79" s="43"/>
      <c r="DP79" s="43"/>
      <c r="DQ79" s="43"/>
      <c r="DR79" s="43"/>
      <c r="DS79" s="43"/>
      <c r="DT79" s="43"/>
      <c r="DU79" s="43"/>
      <c r="DV79" s="43"/>
      <c r="DW79" s="43"/>
      <c r="DX79" s="43"/>
      <c r="DY79" s="43"/>
      <c r="DZ79" s="43"/>
      <c r="EA79" s="43"/>
      <c r="EB79" s="43"/>
      <c r="EC79" s="43"/>
      <c r="ED79" s="43"/>
      <c r="EE79" s="43"/>
      <c r="EF79" s="43"/>
      <c r="EG79" s="43"/>
      <c r="EH79" s="43"/>
      <c r="EI79" s="43"/>
      <c r="EJ79" s="43"/>
      <c r="EK79" s="43"/>
      <c r="EL79" s="43"/>
      <c r="EM79" s="43"/>
      <c r="EN79" s="43"/>
      <c r="EO79" s="43"/>
      <c r="EP79" s="43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>
        <f t="shared" si="21"/>
        <v>100030</v>
      </c>
      <c r="FU79" s="7">
        <f t="shared" si="22"/>
        <v>114320</v>
      </c>
      <c r="FV79" s="11">
        <f t="shared" si="23"/>
        <v>28</v>
      </c>
      <c r="FW79" s="11">
        <f t="shared" si="24"/>
        <v>32</v>
      </c>
      <c r="FX79" s="12">
        <f t="shared" si="25"/>
        <v>7</v>
      </c>
      <c r="FY79" s="12">
        <f t="shared" si="26"/>
        <v>8</v>
      </c>
    </row>
    <row r="80" spans="1:183" ht="43.5" customHeight="1" thickBot="1" x14ac:dyDescent="0.3">
      <c r="A80" s="4">
        <v>1949</v>
      </c>
      <c r="B80" s="27" t="s">
        <v>263</v>
      </c>
      <c r="C80" s="27" t="s">
        <v>264</v>
      </c>
      <c r="D80" s="2"/>
      <c r="E80" s="3">
        <v>44939</v>
      </c>
      <c r="F80" s="3">
        <f t="shared" si="30"/>
        <v>45275</v>
      </c>
      <c r="G80" s="4">
        <v>240</v>
      </c>
      <c r="H80" s="377">
        <f t="shared" si="19"/>
        <v>120</v>
      </c>
      <c r="I80" s="377">
        <f t="shared" si="20"/>
        <v>120</v>
      </c>
      <c r="J80" s="355" t="s">
        <v>266</v>
      </c>
      <c r="K80" s="10">
        <v>30000</v>
      </c>
      <c r="L80" s="10">
        <v>84000</v>
      </c>
      <c r="M80" s="8">
        <f t="shared" si="27"/>
        <v>1750</v>
      </c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>
        <v>7000</v>
      </c>
      <c r="AJ80" s="43"/>
      <c r="AK80" s="43"/>
      <c r="AL80" s="43"/>
      <c r="AM80" s="43">
        <v>7000</v>
      </c>
      <c r="AN80" s="43"/>
      <c r="AO80" s="43"/>
      <c r="AP80" s="43"/>
      <c r="AQ80" s="43"/>
      <c r="AR80" s="43">
        <v>7000</v>
      </c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>
        <v>7000</v>
      </c>
      <c r="BF80" s="43"/>
      <c r="BG80" s="43"/>
      <c r="BH80" s="43"/>
      <c r="BI80" s="43">
        <v>7000</v>
      </c>
      <c r="BJ80" s="43"/>
      <c r="BK80" s="43"/>
      <c r="BL80" s="43"/>
      <c r="BM80" s="43"/>
      <c r="BN80" s="43">
        <v>7000</v>
      </c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3"/>
      <c r="CY80" s="43"/>
      <c r="CZ80" s="43"/>
      <c r="DA80" s="43"/>
      <c r="DB80" s="43"/>
      <c r="DC80" s="43"/>
      <c r="DD80" s="43"/>
      <c r="DE80" s="43"/>
      <c r="DF80" s="43"/>
      <c r="DG80" s="43"/>
      <c r="DH80" s="43"/>
      <c r="DI80" s="43"/>
      <c r="DJ80" s="43"/>
      <c r="DK80" s="43"/>
      <c r="DL80" s="43"/>
      <c r="DM80" s="43"/>
      <c r="DN80" s="43"/>
      <c r="DO80" s="43"/>
      <c r="DP80" s="43"/>
      <c r="DQ80" s="43"/>
      <c r="DR80" s="43"/>
      <c r="DS80" s="43"/>
      <c r="DT80" s="43"/>
      <c r="DU80" s="43"/>
      <c r="DV80" s="43"/>
      <c r="DW80" s="43"/>
      <c r="DX80" s="43"/>
      <c r="DY80" s="43"/>
      <c r="DZ80" s="43"/>
      <c r="EA80" s="43"/>
      <c r="EB80" s="43"/>
      <c r="EC80" s="43"/>
      <c r="ED80" s="43"/>
      <c r="EE80" s="43"/>
      <c r="EF80" s="43"/>
      <c r="EG80" s="43"/>
      <c r="EH80" s="43"/>
      <c r="EI80" s="43"/>
      <c r="EJ80" s="43"/>
      <c r="EK80" s="43"/>
      <c r="EL80" s="43"/>
      <c r="EM80" s="43"/>
      <c r="EN80" s="43"/>
      <c r="EO80" s="43"/>
      <c r="EP80" s="43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 t="s">
        <v>143</v>
      </c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>
        <f t="shared" si="21"/>
        <v>42000</v>
      </c>
      <c r="FU80" s="7">
        <f t="shared" si="22"/>
        <v>42000</v>
      </c>
      <c r="FV80" s="11">
        <f t="shared" si="23"/>
        <v>24</v>
      </c>
      <c r="FW80" s="11">
        <f t="shared" si="24"/>
        <v>24</v>
      </c>
      <c r="FX80" s="12">
        <f t="shared" si="25"/>
        <v>6</v>
      </c>
      <c r="FY80" s="12">
        <f t="shared" si="26"/>
        <v>6</v>
      </c>
    </row>
    <row r="81" spans="1:181" ht="43.5" customHeight="1" thickBot="1" x14ac:dyDescent="0.3">
      <c r="A81" s="4">
        <v>1980</v>
      </c>
      <c r="B81" s="27" t="s">
        <v>263</v>
      </c>
      <c r="C81" s="27" t="s">
        <v>264</v>
      </c>
      <c r="D81" s="2"/>
      <c r="E81" s="3">
        <v>44972</v>
      </c>
      <c r="F81" s="3">
        <f t="shared" si="30"/>
        <v>45308</v>
      </c>
      <c r="G81" s="4">
        <v>240</v>
      </c>
      <c r="H81" s="377">
        <f t="shared" si="19"/>
        <v>120</v>
      </c>
      <c r="I81" s="377">
        <f t="shared" si="20"/>
        <v>120</v>
      </c>
      <c r="J81" s="355" t="s">
        <v>266</v>
      </c>
      <c r="K81" s="10">
        <v>30000</v>
      </c>
      <c r="L81" s="10">
        <v>84000</v>
      </c>
      <c r="M81" s="8">
        <f t="shared" si="27"/>
        <v>1750</v>
      </c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>
        <v>7000</v>
      </c>
      <c r="AJ81" s="43"/>
      <c r="AK81" s="43"/>
      <c r="AL81" s="43"/>
      <c r="AM81" s="43">
        <v>7000</v>
      </c>
      <c r="AN81" s="43"/>
      <c r="AO81" s="43"/>
      <c r="AP81" s="43"/>
      <c r="AQ81" s="43"/>
      <c r="AR81" s="43">
        <v>7000</v>
      </c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>
        <v>7000</v>
      </c>
      <c r="BF81" s="43"/>
      <c r="BG81" s="43"/>
      <c r="BH81" s="43"/>
      <c r="BI81" s="43">
        <v>7000</v>
      </c>
      <c r="BJ81" s="43"/>
      <c r="BK81" s="43"/>
      <c r="BL81" s="43"/>
      <c r="BM81" s="43"/>
      <c r="BN81" s="43">
        <v>7000</v>
      </c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3"/>
      <c r="CT81" s="43"/>
      <c r="CU81" s="43"/>
      <c r="CV81" s="43"/>
      <c r="CW81" s="43"/>
      <c r="CX81" s="43"/>
      <c r="CY81" s="43"/>
      <c r="CZ81" s="43"/>
      <c r="DA81" s="43"/>
      <c r="DB81" s="43"/>
      <c r="DC81" s="43"/>
      <c r="DD81" s="43"/>
      <c r="DE81" s="43"/>
      <c r="DF81" s="43"/>
      <c r="DG81" s="43"/>
      <c r="DH81" s="43"/>
      <c r="DI81" s="43"/>
      <c r="DJ81" s="43"/>
      <c r="DK81" s="43"/>
      <c r="DL81" s="43"/>
      <c r="DM81" s="43"/>
      <c r="DN81" s="43"/>
      <c r="DO81" s="43"/>
      <c r="DP81" s="43"/>
      <c r="DQ81" s="43"/>
      <c r="DR81" s="43"/>
      <c r="DS81" s="43"/>
      <c r="DT81" s="43"/>
      <c r="DU81" s="43"/>
      <c r="DV81" s="43"/>
      <c r="DW81" s="43"/>
      <c r="DX81" s="43"/>
      <c r="DY81" s="43"/>
      <c r="DZ81" s="43"/>
      <c r="EA81" s="43"/>
      <c r="EB81" s="43"/>
      <c r="EC81" s="43"/>
      <c r="ED81" s="43"/>
      <c r="EE81" s="43"/>
      <c r="EF81" s="43"/>
      <c r="EG81" s="43"/>
      <c r="EH81" s="43"/>
      <c r="EI81" s="43"/>
      <c r="EJ81" s="43"/>
      <c r="EK81" s="43"/>
      <c r="EL81" s="43"/>
      <c r="EM81" s="43"/>
      <c r="EN81" s="43"/>
      <c r="EO81" s="43"/>
      <c r="EP81" s="43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 t="s">
        <v>143</v>
      </c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>
        <f t="shared" si="21"/>
        <v>42000</v>
      </c>
      <c r="FU81" s="7">
        <f t="shared" si="22"/>
        <v>42000</v>
      </c>
      <c r="FV81" s="11">
        <f t="shared" si="23"/>
        <v>24</v>
      </c>
      <c r="FW81" s="11">
        <f t="shared" si="24"/>
        <v>24</v>
      </c>
      <c r="FX81" s="12">
        <f t="shared" si="25"/>
        <v>6</v>
      </c>
      <c r="FY81" s="12">
        <f t="shared" si="26"/>
        <v>6</v>
      </c>
    </row>
    <row r="82" spans="1:181" ht="43.5" customHeight="1" thickBot="1" x14ac:dyDescent="0.3">
      <c r="A82" s="4">
        <v>1991</v>
      </c>
      <c r="B82" s="27" t="s">
        <v>263</v>
      </c>
      <c r="C82" s="27" t="s">
        <v>264</v>
      </c>
      <c r="D82" s="2"/>
      <c r="E82" s="3">
        <v>44979</v>
      </c>
      <c r="F82" s="3">
        <f t="shared" si="30"/>
        <v>45315</v>
      </c>
      <c r="G82" s="4">
        <v>240</v>
      </c>
      <c r="H82" s="377">
        <f t="shared" si="19"/>
        <v>120</v>
      </c>
      <c r="I82" s="377">
        <f t="shared" si="20"/>
        <v>120</v>
      </c>
      <c r="J82" s="355" t="s">
        <v>267</v>
      </c>
      <c r="K82" s="7">
        <v>10000</v>
      </c>
      <c r="L82" s="7">
        <v>28200</v>
      </c>
      <c r="M82" s="8">
        <f t="shared" si="27"/>
        <v>587.5</v>
      </c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>
        <v>2350</v>
      </c>
      <c r="AJ82" s="43"/>
      <c r="AK82" s="43"/>
      <c r="AL82" s="43"/>
      <c r="AM82" s="43">
        <v>2350</v>
      </c>
      <c r="AN82" s="43"/>
      <c r="AO82" s="43"/>
      <c r="AP82" s="43"/>
      <c r="AQ82" s="43"/>
      <c r="AR82" s="43">
        <v>2350</v>
      </c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>
        <v>2350</v>
      </c>
      <c r="BF82" s="43"/>
      <c r="BG82" s="43"/>
      <c r="BH82" s="43"/>
      <c r="BI82" s="43">
        <v>2350</v>
      </c>
      <c r="BJ82" s="43"/>
      <c r="BK82" s="43"/>
      <c r="BL82" s="43"/>
      <c r="BM82" s="43"/>
      <c r="BN82" s="43">
        <v>2350</v>
      </c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3"/>
      <c r="CT82" s="43"/>
      <c r="CU82" s="43"/>
      <c r="CV82" s="43"/>
      <c r="CW82" s="43"/>
      <c r="CX82" s="43"/>
      <c r="CY82" s="43"/>
      <c r="CZ82" s="43"/>
      <c r="DA82" s="43"/>
      <c r="DB82" s="43"/>
      <c r="DC82" s="43"/>
      <c r="DD82" s="43"/>
      <c r="DE82" s="43"/>
      <c r="DF82" s="43"/>
      <c r="DG82" s="43"/>
      <c r="DH82" s="43"/>
      <c r="DI82" s="43"/>
      <c r="DJ82" s="43"/>
      <c r="DK82" s="43"/>
      <c r="DL82" s="43"/>
      <c r="DM82" s="43"/>
      <c r="DN82" s="43"/>
      <c r="DO82" s="43"/>
      <c r="DP82" s="43"/>
      <c r="DQ82" s="43"/>
      <c r="DR82" s="43"/>
      <c r="DS82" s="43"/>
      <c r="DT82" s="43"/>
      <c r="DU82" s="43"/>
      <c r="DV82" s="43"/>
      <c r="DW82" s="43"/>
      <c r="DX82" s="43"/>
      <c r="DY82" s="43"/>
      <c r="DZ82" s="43"/>
      <c r="EA82" s="43"/>
      <c r="EB82" s="43"/>
      <c r="EC82" s="43"/>
      <c r="ED82" s="43"/>
      <c r="EE82" s="43"/>
      <c r="EF82" s="43"/>
      <c r="EG82" s="43"/>
      <c r="EH82" s="43"/>
      <c r="EI82" s="43"/>
      <c r="EJ82" s="43"/>
      <c r="EK82" s="43"/>
      <c r="EL82" s="43"/>
      <c r="EM82" s="43"/>
      <c r="EN82" s="43"/>
      <c r="EO82" s="43"/>
      <c r="EP82" s="43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>
        <f t="shared" si="21"/>
        <v>14100</v>
      </c>
      <c r="FU82" s="7">
        <f t="shared" si="22"/>
        <v>14100</v>
      </c>
      <c r="FV82" s="11">
        <f t="shared" si="23"/>
        <v>24</v>
      </c>
      <c r="FW82" s="11">
        <f t="shared" si="24"/>
        <v>24</v>
      </c>
      <c r="FX82" s="12">
        <f t="shared" si="25"/>
        <v>6</v>
      </c>
      <c r="FY82" s="12">
        <f t="shared" si="26"/>
        <v>6</v>
      </c>
    </row>
    <row r="83" spans="1:181" ht="43.5" customHeight="1" thickBot="1" x14ac:dyDescent="0.3">
      <c r="A83" s="4">
        <v>2062</v>
      </c>
      <c r="B83" s="27" t="s">
        <v>263</v>
      </c>
      <c r="C83" s="27" t="s">
        <v>264</v>
      </c>
      <c r="D83" s="2"/>
      <c r="E83" s="3">
        <v>45031</v>
      </c>
      <c r="F83" s="3">
        <f t="shared" si="30"/>
        <v>45198</v>
      </c>
      <c r="G83" s="4">
        <v>120</v>
      </c>
      <c r="H83" s="377">
        <f t="shared" si="19"/>
        <v>100</v>
      </c>
      <c r="I83" s="377">
        <f t="shared" si="20"/>
        <v>20</v>
      </c>
      <c r="J83" s="355" t="s">
        <v>268</v>
      </c>
      <c r="K83" s="10">
        <v>20000</v>
      </c>
      <c r="L83" s="10">
        <v>52800</v>
      </c>
      <c r="M83" s="8">
        <f t="shared" si="27"/>
        <v>2200</v>
      </c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>
        <v>8800</v>
      </c>
      <c r="AN83" s="43"/>
      <c r="AO83" s="43"/>
      <c r="AP83" s="43"/>
      <c r="AQ83" s="43"/>
      <c r="AR83" s="43">
        <v>8800</v>
      </c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>
        <v>8800</v>
      </c>
      <c r="BF83" s="43"/>
      <c r="BG83" s="43"/>
      <c r="BH83" s="43"/>
      <c r="BI83" s="43">
        <v>8800</v>
      </c>
      <c r="BJ83" s="43"/>
      <c r="BK83" s="43"/>
      <c r="BL83" s="43"/>
      <c r="BM83" s="43"/>
      <c r="BN83" s="43">
        <v>8800</v>
      </c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43"/>
      <c r="EH83" s="43"/>
      <c r="EI83" s="43"/>
      <c r="EJ83" s="43"/>
      <c r="EK83" s="43"/>
      <c r="EL83" s="43"/>
      <c r="EM83" s="43"/>
      <c r="EN83" s="43"/>
      <c r="EO83" s="43"/>
      <c r="EP83" s="43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>
        <f t="shared" si="21"/>
        <v>44000</v>
      </c>
      <c r="FU83" s="7">
        <f t="shared" si="22"/>
        <v>8800</v>
      </c>
      <c r="FV83" s="11">
        <f t="shared" si="23"/>
        <v>20</v>
      </c>
      <c r="FW83" s="11">
        <f t="shared" si="24"/>
        <v>4</v>
      </c>
      <c r="FX83" s="12">
        <f t="shared" si="25"/>
        <v>5</v>
      </c>
      <c r="FY83" s="12">
        <f t="shared" si="26"/>
        <v>1</v>
      </c>
    </row>
    <row r="84" spans="1:181" ht="43.5" customHeight="1" thickBot="1" x14ac:dyDescent="0.3">
      <c r="A84" s="4">
        <v>3022</v>
      </c>
      <c r="B84" s="27" t="s">
        <v>269</v>
      </c>
      <c r="C84" s="27" t="s">
        <v>270</v>
      </c>
      <c r="D84" s="2"/>
      <c r="E84" s="3">
        <v>45681</v>
      </c>
      <c r="F84" s="3">
        <f t="shared" si="30"/>
        <v>45849</v>
      </c>
      <c r="G84" s="4">
        <v>120</v>
      </c>
      <c r="H84" s="377">
        <f t="shared" si="19"/>
        <v>20</v>
      </c>
      <c r="I84" s="377">
        <f t="shared" si="20"/>
        <v>100</v>
      </c>
      <c r="J84" s="355" t="s">
        <v>271</v>
      </c>
      <c r="K84" s="7">
        <v>150000</v>
      </c>
      <c r="L84" s="7">
        <v>396000</v>
      </c>
      <c r="M84" s="8">
        <f t="shared" si="27"/>
        <v>16500</v>
      </c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  <c r="EB84" s="43"/>
      <c r="EC84" s="43"/>
      <c r="ED84" s="43">
        <v>66000</v>
      </c>
      <c r="EE84" s="43"/>
      <c r="EF84" s="43"/>
      <c r="EG84" s="43"/>
      <c r="EH84" s="43"/>
      <c r="EI84" s="43"/>
      <c r="EJ84" s="43"/>
      <c r="EK84" s="43"/>
      <c r="EL84" s="43"/>
      <c r="EM84" s="43"/>
      <c r="EN84" s="43"/>
      <c r="EO84" s="43"/>
      <c r="EP84" s="43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>
        <f t="shared" si="21"/>
        <v>66000</v>
      </c>
      <c r="FU84" s="7">
        <f t="shared" si="22"/>
        <v>330000</v>
      </c>
      <c r="FV84" s="11">
        <f t="shared" si="23"/>
        <v>4</v>
      </c>
      <c r="FW84" s="11">
        <f t="shared" si="24"/>
        <v>20</v>
      </c>
      <c r="FX84" s="12">
        <f t="shared" si="25"/>
        <v>1</v>
      </c>
      <c r="FY84" s="12">
        <f t="shared" si="26"/>
        <v>5</v>
      </c>
    </row>
    <row r="85" spans="1:181" ht="43.5" customHeight="1" thickBot="1" x14ac:dyDescent="0.3">
      <c r="A85" s="4">
        <v>3090</v>
      </c>
      <c r="B85" s="27" t="s">
        <v>269</v>
      </c>
      <c r="C85" s="27" t="s">
        <v>270</v>
      </c>
      <c r="D85" s="2"/>
      <c r="E85" s="3">
        <v>45719</v>
      </c>
      <c r="F85" s="3">
        <f t="shared" si="30"/>
        <v>45943</v>
      </c>
      <c r="G85" s="4">
        <v>160</v>
      </c>
      <c r="H85" s="377">
        <f t="shared" si="19"/>
        <v>101.33333333333333</v>
      </c>
      <c r="I85" s="377">
        <f t="shared" si="20"/>
        <v>58.666666666666671</v>
      </c>
      <c r="J85" s="355" t="s">
        <v>272</v>
      </c>
      <c r="K85" s="10">
        <v>200000</v>
      </c>
      <c r="L85" s="10">
        <v>600000</v>
      </c>
      <c r="M85" s="23">
        <f t="shared" si="27"/>
        <v>18750</v>
      </c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3"/>
      <c r="CB85" s="43"/>
      <c r="CC85" s="43"/>
      <c r="CD85" s="43"/>
      <c r="CE85" s="43"/>
      <c r="CF85" s="43"/>
      <c r="CG85" s="43"/>
      <c r="CH85" s="43"/>
      <c r="CI85" s="43"/>
      <c r="CJ85" s="43"/>
      <c r="CK85" s="43"/>
      <c r="CL85" s="43"/>
      <c r="CM85" s="43"/>
      <c r="CN85" s="43"/>
      <c r="CO85" s="43"/>
      <c r="CP85" s="43"/>
      <c r="CQ85" s="43"/>
      <c r="CR85" s="43"/>
      <c r="CS85" s="43"/>
      <c r="CT85" s="43"/>
      <c r="CU85" s="43"/>
      <c r="CV85" s="43"/>
      <c r="CW85" s="43"/>
      <c r="CX85" s="43"/>
      <c r="CY85" s="43"/>
      <c r="CZ85" s="43"/>
      <c r="DA85" s="43"/>
      <c r="DB85" s="43"/>
      <c r="DC85" s="43"/>
      <c r="DD85" s="43"/>
      <c r="DE85" s="43"/>
      <c r="DF85" s="43"/>
      <c r="DG85" s="43"/>
      <c r="DH85" s="43"/>
      <c r="DI85" s="43"/>
      <c r="DJ85" s="43"/>
      <c r="DK85" s="43"/>
      <c r="DL85" s="43"/>
      <c r="DM85" s="43"/>
      <c r="DN85" s="43"/>
      <c r="DO85" s="43"/>
      <c r="DP85" s="43"/>
      <c r="DQ85" s="43"/>
      <c r="DR85" s="43"/>
      <c r="DS85" s="43"/>
      <c r="DT85" s="43"/>
      <c r="DU85" s="43"/>
      <c r="DV85" s="43"/>
      <c r="DW85" s="43"/>
      <c r="DX85" s="43"/>
      <c r="DY85" s="43"/>
      <c r="DZ85" s="43"/>
      <c r="EA85" s="43"/>
      <c r="EB85" s="43"/>
      <c r="EC85" s="43"/>
      <c r="ED85" s="43"/>
      <c r="EE85" s="43"/>
      <c r="EF85" s="43" t="s">
        <v>143</v>
      </c>
      <c r="EG85" s="43"/>
      <c r="EH85" s="43"/>
      <c r="EI85" s="43"/>
      <c r="EJ85" s="43"/>
      <c r="EK85" s="43"/>
      <c r="EL85" s="43"/>
      <c r="EM85" s="43">
        <v>75000</v>
      </c>
      <c r="EN85" s="43"/>
      <c r="EO85" s="43"/>
      <c r="EP85" s="43"/>
      <c r="EQ85" s="9"/>
      <c r="ER85" s="9">
        <v>75000</v>
      </c>
      <c r="ES85" s="9"/>
      <c r="ET85" s="9"/>
      <c r="EU85" s="9"/>
      <c r="EV85" s="9">
        <v>40000</v>
      </c>
      <c r="EW85" s="9"/>
      <c r="EX85" s="9">
        <v>35000</v>
      </c>
      <c r="EY85" s="9"/>
      <c r="EZ85" s="9"/>
      <c r="FA85" s="9">
        <v>30000</v>
      </c>
      <c r="FB85" s="9"/>
      <c r="FC85" s="9"/>
      <c r="FD85" s="9">
        <v>15000</v>
      </c>
      <c r="FE85" s="9"/>
      <c r="FF85" s="9">
        <v>15000</v>
      </c>
      <c r="FG85" s="9"/>
      <c r="FH85" s="9">
        <v>15000</v>
      </c>
      <c r="FI85" s="9"/>
      <c r="FJ85" s="9"/>
      <c r="FK85" s="9">
        <v>20000</v>
      </c>
      <c r="FL85" s="9"/>
      <c r="FM85" s="9"/>
      <c r="FN85" s="9">
        <v>20000</v>
      </c>
      <c r="FO85" s="9"/>
      <c r="FP85" s="9">
        <v>20000</v>
      </c>
      <c r="FQ85" s="9"/>
      <c r="FR85" s="9"/>
      <c r="FS85" s="9">
        <v>20000</v>
      </c>
      <c r="FT85" s="9">
        <f t="shared" si="21"/>
        <v>380000</v>
      </c>
      <c r="FU85" s="7">
        <f t="shared" si="22"/>
        <v>220000</v>
      </c>
      <c r="FV85" s="11">
        <f t="shared" si="23"/>
        <v>20.266666666666666</v>
      </c>
      <c r="FW85" s="11">
        <f t="shared" si="24"/>
        <v>11.733333333333334</v>
      </c>
      <c r="FX85" s="12">
        <f t="shared" si="25"/>
        <v>5.0666666666666664</v>
      </c>
      <c r="FY85" s="12">
        <f t="shared" si="26"/>
        <v>2.9333333333333336</v>
      </c>
    </row>
    <row r="86" spans="1:181" ht="43.5" customHeight="1" thickBot="1" x14ac:dyDescent="0.3">
      <c r="A86" s="4">
        <v>3128</v>
      </c>
      <c r="B86" s="27" t="s">
        <v>269</v>
      </c>
      <c r="C86" s="27" t="s">
        <v>270</v>
      </c>
      <c r="D86" s="2"/>
      <c r="E86" s="3">
        <v>45744</v>
      </c>
      <c r="F86" s="3">
        <f t="shared" si="30"/>
        <v>45968</v>
      </c>
      <c r="G86" s="4">
        <v>160</v>
      </c>
      <c r="H86" s="377">
        <f t="shared" si="19"/>
        <v>73.333333333333329</v>
      </c>
      <c r="I86" s="377">
        <f t="shared" si="20"/>
        <v>86.666666666666671</v>
      </c>
      <c r="J86" s="355" t="s">
        <v>1193</v>
      </c>
      <c r="K86" s="7">
        <v>200000</v>
      </c>
      <c r="L86" s="7">
        <v>600000</v>
      </c>
      <c r="M86" s="8">
        <f t="shared" si="27"/>
        <v>18750</v>
      </c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  <c r="EB86" s="43"/>
      <c r="EC86" s="43"/>
      <c r="ED86" s="43"/>
      <c r="EE86" s="43"/>
      <c r="EF86" s="43"/>
      <c r="EG86" s="43"/>
      <c r="EH86" s="43"/>
      <c r="EI86" s="43"/>
      <c r="EJ86" s="43"/>
      <c r="EK86" s="43"/>
      <c r="EL86" s="43"/>
      <c r="EM86" s="43"/>
      <c r="EN86" s="43"/>
      <c r="EO86" s="43"/>
      <c r="EP86" s="43"/>
      <c r="EQ86" s="9"/>
      <c r="ER86" s="9">
        <v>75000</v>
      </c>
      <c r="ES86" s="9"/>
      <c r="ET86" s="9"/>
      <c r="EU86" s="9"/>
      <c r="EV86" s="9"/>
      <c r="EW86" s="9"/>
      <c r="EX86" s="9">
        <v>5000</v>
      </c>
      <c r="EY86" s="9">
        <v>40000</v>
      </c>
      <c r="EZ86" s="9"/>
      <c r="FA86" s="9"/>
      <c r="FB86" s="9">
        <v>30000</v>
      </c>
      <c r="FC86" s="9"/>
      <c r="FD86" s="9">
        <v>15000</v>
      </c>
      <c r="FE86" s="9"/>
      <c r="FF86" s="9">
        <v>15000</v>
      </c>
      <c r="FG86" s="9"/>
      <c r="FH86" s="9">
        <v>15000</v>
      </c>
      <c r="FI86" s="9"/>
      <c r="FJ86" s="9"/>
      <c r="FK86" s="9">
        <v>20000</v>
      </c>
      <c r="FL86" s="9"/>
      <c r="FM86" s="9"/>
      <c r="FN86" s="9">
        <v>20000</v>
      </c>
      <c r="FO86" s="9"/>
      <c r="FP86" s="9">
        <v>20000</v>
      </c>
      <c r="FQ86" s="9"/>
      <c r="FR86" s="9"/>
      <c r="FS86" s="9">
        <v>20000</v>
      </c>
      <c r="FT86" s="9">
        <f t="shared" si="21"/>
        <v>275000</v>
      </c>
      <c r="FU86" s="7">
        <f t="shared" si="22"/>
        <v>325000</v>
      </c>
      <c r="FV86" s="11">
        <f t="shared" si="23"/>
        <v>14.666666666666666</v>
      </c>
      <c r="FW86" s="11">
        <f t="shared" si="24"/>
        <v>17.333333333333336</v>
      </c>
      <c r="FX86" s="12">
        <f t="shared" si="25"/>
        <v>3.6666666666666665</v>
      </c>
      <c r="FY86" s="12">
        <f t="shared" si="26"/>
        <v>4.3333333333333339</v>
      </c>
    </row>
    <row r="87" spans="1:181" ht="43.5" customHeight="1" thickBot="1" x14ac:dyDescent="0.3">
      <c r="A87" s="4">
        <v>3184</v>
      </c>
      <c r="B87" s="27" t="s">
        <v>274</v>
      </c>
      <c r="C87" s="27" t="s">
        <v>270</v>
      </c>
      <c r="D87" s="2"/>
      <c r="E87" s="3">
        <v>45785</v>
      </c>
      <c r="F87" s="3">
        <f>WORKDAY(E87,G87)</f>
        <v>45887</v>
      </c>
      <c r="G87" s="4">
        <v>72</v>
      </c>
      <c r="H87" s="377">
        <f t="shared" si="19"/>
        <v>57.558739255014324</v>
      </c>
      <c r="I87" s="377">
        <f t="shared" si="20"/>
        <v>14.441260744985676</v>
      </c>
      <c r="J87" s="155" t="s">
        <v>161</v>
      </c>
      <c r="K87" s="7">
        <v>150000</v>
      </c>
      <c r="L87" s="7">
        <v>349000</v>
      </c>
      <c r="M87" s="8">
        <f t="shared" si="27"/>
        <v>24236.111111111113</v>
      </c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  <c r="CR87" s="43"/>
      <c r="CS87" s="43"/>
      <c r="CT87" s="43"/>
      <c r="CU87" s="43"/>
      <c r="CV87" s="43"/>
      <c r="CW87" s="43"/>
      <c r="CX87" s="43"/>
      <c r="CY87" s="43"/>
      <c r="CZ87" s="43"/>
      <c r="DA87" s="43"/>
      <c r="DB87" s="43"/>
      <c r="DC87" s="43"/>
      <c r="DD87" s="43"/>
      <c r="DE87" s="43"/>
      <c r="DF87" s="43"/>
      <c r="DG87" s="43"/>
      <c r="DH87" s="43"/>
      <c r="DI87" s="43"/>
      <c r="DJ87" s="43"/>
      <c r="DK87" s="43"/>
      <c r="DL87" s="43"/>
      <c r="DM87" s="43"/>
      <c r="DN87" s="43"/>
      <c r="DO87" s="43"/>
      <c r="DP87" s="43"/>
      <c r="DQ87" s="43"/>
      <c r="DR87" s="43"/>
      <c r="DS87" s="43"/>
      <c r="DT87" s="43"/>
      <c r="DU87" s="43"/>
      <c r="DV87" s="43"/>
      <c r="DW87" s="43"/>
      <c r="DX87" s="43"/>
      <c r="DY87" s="43"/>
      <c r="DZ87" s="43"/>
      <c r="EA87" s="43"/>
      <c r="EB87" s="43"/>
      <c r="EC87" s="43"/>
      <c r="ED87" s="43"/>
      <c r="EE87" s="43"/>
      <c r="EF87" s="43"/>
      <c r="EG87" s="43"/>
      <c r="EH87" s="43"/>
      <c r="EI87" s="43"/>
      <c r="EJ87" s="43"/>
      <c r="EK87" s="43" t="s">
        <v>143</v>
      </c>
      <c r="EL87" s="43"/>
      <c r="EM87" s="43" t="s">
        <v>143</v>
      </c>
      <c r="EN87" s="43" t="s">
        <v>143</v>
      </c>
      <c r="EO87" s="43"/>
      <c r="EP87" s="43">
        <v>22500</v>
      </c>
      <c r="EQ87" s="9">
        <v>22500</v>
      </c>
      <c r="ER87" s="9">
        <v>22500</v>
      </c>
      <c r="ES87" s="9"/>
      <c r="ET87" s="9"/>
      <c r="EU87" s="9">
        <v>22500</v>
      </c>
      <c r="EV87" s="9"/>
      <c r="EW87" s="9">
        <v>22500</v>
      </c>
      <c r="EX87" s="9">
        <v>22500</v>
      </c>
      <c r="EY87" s="9"/>
      <c r="EZ87" s="9"/>
      <c r="FA87" s="9"/>
      <c r="FB87" s="9">
        <v>22500</v>
      </c>
      <c r="FC87" s="9">
        <v>22500</v>
      </c>
      <c r="FD87" s="9"/>
      <c r="FE87" s="9"/>
      <c r="FF87" s="9">
        <v>22500</v>
      </c>
      <c r="FG87" s="9">
        <v>22500</v>
      </c>
      <c r="FH87" s="9"/>
      <c r="FI87" s="9"/>
      <c r="FJ87" s="9"/>
      <c r="FK87" s="9">
        <v>14000</v>
      </c>
      <c r="FL87" s="9"/>
      <c r="FM87" s="9"/>
      <c r="FN87" s="9"/>
      <c r="FO87" s="9"/>
      <c r="FP87" s="9">
        <v>20000</v>
      </c>
      <c r="FQ87" s="9"/>
      <c r="FR87" s="9"/>
      <c r="FS87" s="9">
        <v>20000</v>
      </c>
      <c r="FT87" s="9">
        <f t="shared" si="21"/>
        <v>279000</v>
      </c>
      <c r="FU87" s="7">
        <f t="shared" si="22"/>
        <v>70000</v>
      </c>
      <c r="FV87" s="11">
        <f t="shared" si="23"/>
        <v>11.511747851002864</v>
      </c>
      <c r="FW87" s="11">
        <f t="shared" si="24"/>
        <v>2.8882521489971351</v>
      </c>
      <c r="FX87" s="12">
        <f t="shared" si="25"/>
        <v>2.8779369627507161</v>
      </c>
      <c r="FY87" s="12">
        <f t="shared" si="26"/>
        <v>0.72206303724928378</v>
      </c>
    </row>
    <row r="88" spans="1:181" ht="43.5" customHeight="1" thickBot="1" x14ac:dyDescent="0.3">
      <c r="A88" s="4">
        <v>3155</v>
      </c>
      <c r="B88" s="27" t="s">
        <v>275</v>
      </c>
      <c r="C88" s="27"/>
      <c r="D88" s="2"/>
      <c r="E88" s="3">
        <v>45764</v>
      </c>
      <c r="F88" s="3">
        <f>WORKDAY(E88,G88)</f>
        <v>45876</v>
      </c>
      <c r="G88" s="4">
        <v>80</v>
      </c>
      <c r="H88" s="377">
        <f t="shared" si="19"/>
        <v>80</v>
      </c>
      <c r="I88" s="377">
        <f t="shared" si="20"/>
        <v>0</v>
      </c>
      <c r="J88" s="355" t="s">
        <v>276</v>
      </c>
      <c r="K88" s="7">
        <v>100000</v>
      </c>
      <c r="L88" s="7">
        <v>216000</v>
      </c>
      <c r="M88" s="8">
        <f t="shared" si="27"/>
        <v>13500</v>
      </c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3"/>
      <c r="CT88" s="43"/>
      <c r="CU88" s="43"/>
      <c r="CV88" s="43"/>
      <c r="CW88" s="43"/>
      <c r="CX88" s="43"/>
      <c r="CY88" s="43"/>
      <c r="CZ88" s="43"/>
      <c r="DA88" s="43"/>
      <c r="DB88" s="43"/>
      <c r="DC88" s="43"/>
      <c r="DD88" s="43"/>
      <c r="DE88" s="43"/>
      <c r="DF88" s="43"/>
      <c r="DG88" s="43"/>
      <c r="DH88" s="43"/>
      <c r="DI88" s="43"/>
      <c r="DJ88" s="43"/>
      <c r="DK88" s="43"/>
      <c r="DL88" s="43"/>
      <c r="DM88" s="43"/>
      <c r="DN88" s="43"/>
      <c r="DO88" s="43"/>
      <c r="DP88" s="43"/>
      <c r="DQ88" s="43"/>
      <c r="DR88" s="43"/>
      <c r="DS88" s="43"/>
      <c r="DT88" s="43"/>
      <c r="DU88" s="43"/>
      <c r="DV88" s="43"/>
      <c r="DW88" s="43"/>
      <c r="DX88" s="43"/>
      <c r="DY88" s="43"/>
      <c r="DZ88" s="43"/>
      <c r="EA88" s="43"/>
      <c r="EB88" s="43"/>
      <c r="EC88" s="43"/>
      <c r="ED88" s="43"/>
      <c r="EE88" s="43"/>
      <c r="EF88" s="43"/>
      <c r="EG88" s="43"/>
      <c r="EH88" s="43"/>
      <c r="EI88" s="43"/>
      <c r="EJ88" s="43"/>
      <c r="EK88" s="43" t="s">
        <v>143</v>
      </c>
      <c r="EL88" s="43"/>
      <c r="EM88" s="43"/>
      <c r="EN88" s="43"/>
      <c r="EO88" s="43"/>
      <c r="EP88" s="43" t="s">
        <v>143</v>
      </c>
      <c r="EQ88" s="9"/>
      <c r="ER88" s="9"/>
      <c r="ES88" s="9"/>
      <c r="ET88" s="9"/>
      <c r="EU88" s="9"/>
      <c r="EV88" s="9"/>
      <c r="EW88" s="9">
        <v>54000</v>
      </c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>
        <v>54000</v>
      </c>
      <c r="FM88" s="9"/>
      <c r="FN88" s="9"/>
      <c r="FO88" s="9"/>
      <c r="FP88" s="9">
        <v>54000</v>
      </c>
      <c r="FQ88" s="9"/>
      <c r="FR88" s="9"/>
      <c r="FS88" s="9">
        <v>54000</v>
      </c>
      <c r="FT88" s="9">
        <f t="shared" si="21"/>
        <v>216000</v>
      </c>
      <c r="FU88" s="7">
        <f t="shared" si="22"/>
        <v>0</v>
      </c>
      <c r="FV88" s="11">
        <f t="shared" si="23"/>
        <v>16</v>
      </c>
      <c r="FW88" s="11">
        <f t="shared" si="24"/>
        <v>0</v>
      </c>
      <c r="FX88" s="12">
        <f t="shared" si="25"/>
        <v>4</v>
      </c>
      <c r="FY88" s="12">
        <f t="shared" si="26"/>
        <v>0</v>
      </c>
    </row>
    <row r="89" spans="1:181" ht="43.5" customHeight="1" thickBot="1" x14ac:dyDescent="0.3">
      <c r="A89" s="4">
        <v>3412</v>
      </c>
      <c r="B89" s="27" t="s">
        <v>278</v>
      </c>
      <c r="C89" s="27" t="s">
        <v>208</v>
      </c>
      <c r="D89" s="2"/>
      <c r="E89" s="3">
        <v>45922</v>
      </c>
      <c r="F89" s="3">
        <f>WORKDAY(E89,G89)</f>
        <v>46022</v>
      </c>
      <c r="G89" s="4">
        <v>72</v>
      </c>
      <c r="H89" s="377">
        <f t="shared" si="19"/>
        <v>40</v>
      </c>
      <c r="I89" s="377">
        <f t="shared" si="20"/>
        <v>32</v>
      </c>
      <c r="J89" s="155" t="s">
        <v>165</v>
      </c>
      <c r="K89" s="7">
        <v>200000</v>
      </c>
      <c r="L89" s="7">
        <v>432000</v>
      </c>
      <c r="M89" s="8">
        <f t="shared" si="27"/>
        <v>30000</v>
      </c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  <c r="BZ89" s="43"/>
      <c r="CA89" s="43"/>
      <c r="CB89" s="43"/>
      <c r="CC89" s="43"/>
      <c r="CD89" s="43"/>
      <c r="CE89" s="43"/>
      <c r="CF89" s="43"/>
      <c r="CG89" s="43"/>
      <c r="CH89" s="43"/>
      <c r="CI89" s="43"/>
      <c r="CJ89" s="43"/>
      <c r="CK89" s="43"/>
      <c r="CL89" s="43"/>
      <c r="CM89" s="43"/>
      <c r="CN89" s="43"/>
      <c r="CO89" s="43"/>
      <c r="CP89" s="43"/>
      <c r="CQ89" s="43"/>
      <c r="CR89" s="43"/>
      <c r="CS89" s="43"/>
      <c r="CT89" s="43"/>
      <c r="CU89" s="43"/>
      <c r="CV89" s="43"/>
      <c r="CW89" s="43"/>
      <c r="CX89" s="43"/>
      <c r="CY89" s="43"/>
      <c r="CZ89" s="43"/>
      <c r="DA89" s="43"/>
      <c r="DB89" s="43"/>
      <c r="DC89" s="43"/>
      <c r="DD89" s="43"/>
      <c r="DE89" s="43"/>
      <c r="DF89" s="43"/>
      <c r="DG89" s="43"/>
      <c r="DH89" s="43"/>
      <c r="DI89" s="43"/>
      <c r="DJ89" s="43"/>
      <c r="DK89" s="43"/>
      <c r="DL89" s="43"/>
      <c r="DM89" s="43"/>
      <c r="DN89" s="43"/>
      <c r="DO89" s="43"/>
      <c r="DP89" s="43"/>
      <c r="DQ89" s="43"/>
      <c r="DR89" s="43"/>
      <c r="DS89" s="43"/>
      <c r="DT89" s="43"/>
      <c r="DU89" s="43"/>
      <c r="DV89" s="43"/>
      <c r="DW89" s="43"/>
      <c r="DX89" s="43"/>
      <c r="DY89" s="43"/>
      <c r="DZ89" s="43"/>
      <c r="EA89" s="43"/>
      <c r="EB89" s="43"/>
      <c r="EC89" s="43"/>
      <c r="ED89" s="43"/>
      <c r="EE89" s="43"/>
      <c r="EF89" s="43"/>
      <c r="EG89" s="43"/>
      <c r="EH89" s="43"/>
      <c r="EI89" s="43"/>
      <c r="EJ89" s="43"/>
      <c r="EK89" s="43" t="s">
        <v>143</v>
      </c>
      <c r="EL89" s="43"/>
      <c r="EM89" s="43" t="s">
        <v>143</v>
      </c>
      <c r="EN89" s="43" t="s">
        <v>143</v>
      </c>
      <c r="EO89" s="43"/>
      <c r="EP89" s="43"/>
      <c r="EQ89" s="9"/>
      <c r="ER89" s="9"/>
      <c r="ES89" s="9" t="s">
        <v>143</v>
      </c>
      <c r="ET89" s="9"/>
      <c r="EU89" s="9"/>
      <c r="EV89" s="9" t="s">
        <v>143</v>
      </c>
      <c r="EW89" s="9"/>
      <c r="EX89" s="9"/>
      <c r="EY89" s="9"/>
      <c r="EZ89" s="9"/>
      <c r="FA89" s="9"/>
      <c r="FB89" s="9"/>
      <c r="FC89" s="9" t="s">
        <v>143</v>
      </c>
      <c r="FD89" s="9"/>
      <c r="FE89" s="9"/>
      <c r="FF89" s="9"/>
      <c r="FG89" s="9"/>
      <c r="FH89" s="9"/>
      <c r="FI89" s="9">
        <v>30000</v>
      </c>
      <c r="FJ89" s="9">
        <v>30000</v>
      </c>
      <c r="FK89" s="9">
        <v>30000</v>
      </c>
      <c r="FL89" s="9">
        <v>30000</v>
      </c>
      <c r="FM89" s="9"/>
      <c r="FN89" s="9" t="s">
        <v>143</v>
      </c>
      <c r="FO89" s="9">
        <v>30000</v>
      </c>
      <c r="FP89" s="9">
        <v>30000</v>
      </c>
      <c r="FQ89" s="9">
        <v>30000</v>
      </c>
      <c r="FR89" s="9">
        <v>30000</v>
      </c>
      <c r="FS89" s="9"/>
      <c r="FT89" s="9">
        <f t="shared" si="21"/>
        <v>240000</v>
      </c>
      <c r="FU89" s="7">
        <f t="shared" si="22"/>
        <v>192000</v>
      </c>
      <c r="FV89" s="11">
        <f t="shared" si="23"/>
        <v>8</v>
      </c>
      <c r="FW89" s="11">
        <f t="shared" si="24"/>
        <v>6.4</v>
      </c>
      <c r="FX89" s="12">
        <f t="shared" si="25"/>
        <v>2</v>
      </c>
      <c r="FY89" s="12">
        <f t="shared" si="26"/>
        <v>1.6</v>
      </c>
    </row>
    <row r="90" spans="1:181" ht="43.5" customHeight="1" thickBot="1" x14ac:dyDescent="0.3">
      <c r="A90" s="4">
        <v>3450</v>
      </c>
      <c r="B90" s="27" t="s">
        <v>278</v>
      </c>
      <c r="C90" s="27" t="s">
        <v>208</v>
      </c>
      <c r="D90" s="2"/>
      <c r="E90" s="3">
        <v>45948</v>
      </c>
      <c r="F90" s="3">
        <f t="shared" ref="F90" si="31">WORKDAY(E90,G90)</f>
        <v>46101</v>
      </c>
      <c r="G90" s="4">
        <v>110</v>
      </c>
      <c r="H90" s="377">
        <f t="shared" si="19"/>
        <v>30</v>
      </c>
      <c r="I90" s="377">
        <f t="shared" si="20"/>
        <v>80</v>
      </c>
      <c r="J90" s="192" t="s">
        <v>279</v>
      </c>
      <c r="K90" s="10">
        <v>100000</v>
      </c>
      <c r="L90" s="10">
        <v>264000</v>
      </c>
      <c r="M90" s="8">
        <f t="shared" si="27"/>
        <v>12000</v>
      </c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3"/>
      <c r="CB90" s="43"/>
      <c r="CC90" s="43"/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  <c r="CS90" s="43"/>
      <c r="CT90" s="43"/>
      <c r="CU90" s="43"/>
      <c r="CV90" s="43"/>
      <c r="CW90" s="43"/>
      <c r="CX90" s="43"/>
      <c r="CY90" s="43"/>
      <c r="CZ90" s="43"/>
      <c r="DA90" s="43"/>
      <c r="DB90" s="43"/>
      <c r="DC90" s="43"/>
      <c r="DD90" s="43"/>
      <c r="DE90" s="43"/>
      <c r="DF90" s="43"/>
      <c r="DG90" s="43"/>
      <c r="DH90" s="43"/>
      <c r="DI90" s="43"/>
      <c r="DJ90" s="43"/>
      <c r="DK90" s="43"/>
      <c r="DL90" s="43"/>
      <c r="DM90" s="43"/>
      <c r="DN90" s="43"/>
      <c r="DO90" s="43"/>
      <c r="DP90" s="43"/>
      <c r="DQ90" s="43"/>
      <c r="DR90" s="43"/>
      <c r="DS90" s="43"/>
      <c r="DT90" s="43"/>
      <c r="DU90" s="43"/>
      <c r="DV90" s="43"/>
      <c r="DW90" s="43"/>
      <c r="DX90" s="43"/>
      <c r="DY90" s="43"/>
      <c r="DZ90" s="43"/>
      <c r="EA90" s="43"/>
      <c r="EB90" s="43"/>
      <c r="EC90" s="43"/>
      <c r="ED90" s="43"/>
      <c r="EE90" s="43"/>
      <c r="EF90" s="43"/>
      <c r="EG90" s="43"/>
      <c r="EH90" s="43"/>
      <c r="EI90" s="43"/>
      <c r="EJ90" s="43"/>
      <c r="EK90" s="43" t="s">
        <v>143</v>
      </c>
      <c r="EL90" s="43"/>
      <c r="EM90" s="43" t="s">
        <v>143</v>
      </c>
      <c r="EN90" s="43" t="s">
        <v>143</v>
      </c>
      <c r="EO90" s="43"/>
      <c r="EP90" s="43"/>
      <c r="EQ90" s="9"/>
      <c r="ER90" s="9"/>
      <c r="ES90" s="9" t="s">
        <v>143</v>
      </c>
      <c r="ET90" s="9"/>
      <c r="EU90" s="9"/>
      <c r="EV90" s="9" t="s">
        <v>143</v>
      </c>
      <c r="EW90" s="9"/>
      <c r="EX90" s="9"/>
      <c r="EY90" s="9"/>
      <c r="EZ90" s="9"/>
      <c r="FA90" s="9"/>
      <c r="FB90" s="9"/>
      <c r="FC90" s="9" t="s">
        <v>143</v>
      </c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>
        <v>24000</v>
      </c>
      <c r="FO90" s="9"/>
      <c r="FP90" s="9">
        <v>24000</v>
      </c>
      <c r="FQ90" s="9"/>
      <c r="FR90" s="9">
        <v>24000</v>
      </c>
      <c r="FS90" s="9"/>
      <c r="FT90" s="9">
        <f t="shared" si="21"/>
        <v>72000</v>
      </c>
      <c r="FU90" s="7">
        <f t="shared" si="22"/>
        <v>192000</v>
      </c>
      <c r="FV90" s="11">
        <f t="shared" si="23"/>
        <v>6</v>
      </c>
      <c r="FW90" s="11">
        <f t="shared" si="24"/>
        <v>16</v>
      </c>
      <c r="FX90" s="12">
        <f t="shared" si="25"/>
        <v>1.5</v>
      </c>
      <c r="FY90" s="12">
        <f t="shared" si="26"/>
        <v>4</v>
      </c>
    </row>
    <row r="91" spans="1:181" ht="43.5" customHeight="1" thickBot="1" x14ac:dyDescent="0.3">
      <c r="A91" s="4">
        <v>3488</v>
      </c>
      <c r="B91" s="27" t="s">
        <v>278</v>
      </c>
      <c r="C91" s="27" t="s">
        <v>208</v>
      </c>
      <c r="D91" s="2"/>
      <c r="E91" s="3">
        <v>45973</v>
      </c>
      <c r="F91" s="3">
        <f>WORKDAY(E91,G91)</f>
        <v>46073</v>
      </c>
      <c r="G91" s="4">
        <v>72</v>
      </c>
      <c r="H91" s="377">
        <f t="shared" si="19"/>
        <v>10</v>
      </c>
      <c r="I91" s="377">
        <f t="shared" si="20"/>
        <v>62</v>
      </c>
      <c r="J91" s="155" t="s">
        <v>227</v>
      </c>
      <c r="K91" s="7">
        <v>50000</v>
      </c>
      <c r="L91" s="7">
        <v>108000</v>
      </c>
      <c r="M91" s="8">
        <f t="shared" si="27"/>
        <v>7500</v>
      </c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  <c r="BZ91" s="43"/>
      <c r="CA91" s="43"/>
      <c r="CB91" s="43"/>
      <c r="CC91" s="43"/>
      <c r="CD91" s="43"/>
      <c r="CE91" s="43"/>
      <c r="CF91" s="43"/>
      <c r="CG91" s="43"/>
      <c r="CH91" s="43"/>
      <c r="CI91" s="43"/>
      <c r="CJ91" s="43"/>
      <c r="CK91" s="43"/>
      <c r="CL91" s="43"/>
      <c r="CM91" s="43"/>
      <c r="CN91" s="43"/>
      <c r="CO91" s="43"/>
      <c r="CP91" s="43"/>
      <c r="CQ91" s="43"/>
      <c r="CR91" s="43"/>
      <c r="CS91" s="43"/>
      <c r="CT91" s="43"/>
      <c r="CU91" s="43"/>
      <c r="CV91" s="43"/>
      <c r="CW91" s="43"/>
      <c r="CX91" s="43"/>
      <c r="CY91" s="43"/>
      <c r="CZ91" s="43"/>
      <c r="DA91" s="43"/>
      <c r="DB91" s="43"/>
      <c r="DC91" s="43"/>
      <c r="DD91" s="43"/>
      <c r="DE91" s="43"/>
      <c r="DF91" s="43"/>
      <c r="DG91" s="43"/>
      <c r="DH91" s="43"/>
      <c r="DI91" s="43"/>
      <c r="DJ91" s="43"/>
      <c r="DK91" s="43"/>
      <c r="DL91" s="43"/>
      <c r="DM91" s="43"/>
      <c r="DN91" s="43"/>
      <c r="DO91" s="43"/>
      <c r="DP91" s="43"/>
      <c r="DQ91" s="43"/>
      <c r="DR91" s="43"/>
      <c r="DS91" s="43"/>
      <c r="DT91" s="43"/>
      <c r="DU91" s="43"/>
      <c r="DV91" s="43"/>
      <c r="DW91" s="43"/>
      <c r="DX91" s="43"/>
      <c r="DY91" s="43"/>
      <c r="DZ91" s="43"/>
      <c r="EA91" s="43"/>
      <c r="EB91" s="43"/>
      <c r="EC91" s="43"/>
      <c r="ED91" s="43"/>
      <c r="EE91" s="43"/>
      <c r="EF91" s="43"/>
      <c r="EG91" s="43"/>
      <c r="EH91" s="43"/>
      <c r="EI91" s="43"/>
      <c r="EJ91" s="43"/>
      <c r="EK91" s="43" t="s">
        <v>143</v>
      </c>
      <c r="EL91" s="43"/>
      <c r="EM91" s="43" t="s">
        <v>143</v>
      </c>
      <c r="EN91" s="43" t="s">
        <v>143</v>
      </c>
      <c r="EO91" s="43"/>
      <c r="EP91" s="43"/>
      <c r="EQ91" s="9"/>
      <c r="ER91" s="9"/>
      <c r="ES91" s="9" t="s">
        <v>143</v>
      </c>
      <c r="ET91" s="9"/>
      <c r="EU91" s="9"/>
      <c r="EV91" s="9" t="s">
        <v>143</v>
      </c>
      <c r="EW91" s="9"/>
      <c r="EX91" s="9"/>
      <c r="EY91" s="9"/>
      <c r="EZ91" s="9"/>
      <c r="FA91" s="9"/>
      <c r="FB91" s="9"/>
      <c r="FC91" s="9" t="s">
        <v>143</v>
      </c>
      <c r="FD91" s="9"/>
      <c r="FE91" s="9"/>
      <c r="FF91" s="9"/>
      <c r="FG91" s="9"/>
      <c r="FH91" s="9"/>
      <c r="FI91" s="9"/>
      <c r="FJ91" s="9"/>
      <c r="FK91" s="9"/>
      <c r="FL91" s="9" t="s">
        <v>143</v>
      </c>
      <c r="FM91" s="9"/>
      <c r="FN91" s="9"/>
      <c r="FO91" s="9"/>
      <c r="FP91" s="9"/>
      <c r="FQ91" s="9">
        <v>7500</v>
      </c>
      <c r="FR91" s="9">
        <v>7500</v>
      </c>
      <c r="FS91" s="9"/>
      <c r="FT91" s="9">
        <f t="shared" si="21"/>
        <v>15000</v>
      </c>
      <c r="FU91" s="7">
        <f t="shared" si="22"/>
        <v>93000</v>
      </c>
      <c r="FV91" s="11">
        <f t="shared" si="23"/>
        <v>2</v>
      </c>
      <c r="FW91" s="11">
        <f t="shared" si="24"/>
        <v>12.4</v>
      </c>
      <c r="FX91" s="12">
        <f t="shared" si="25"/>
        <v>0.5</v>
      </c>
      <c r="FY91" s="12">
        <f t="shared" si="26"/>
        <v>3.1</v>
      </c>
    </row>
    <row r="92" spans="1:181" ht="43.5" customHeight="1" thickBot="1" x14ac:dyDescent="0.3">
      <c r="A92" s="4">
        <v>3144</v>
      </c>
      <c r="B92" s="27" t="s">
        <v>280</v>
      </c>
      <c r="C92" s="27" t="s">
        <v>281</v>
      </c>
      <c r="D92" s="2"/>
      <c r="E92" s="3">
        <v>45755</v>
      </c>
      <c r="F92" s="3">
        <f t="shared" ref="F92:F93" si="32">WORKDAY(E92,G92)</f>
        <v>45923</v>
      </c>
      <c r="G92" s="4">
        <v>120</v>
      </c>
      <c r="H92" s="377">
        <f t="shared" si="19"/>
        <v>100</v>
      </c>
      <c r="I92" s="377">
        <f t="shared" si="20"/>
        <v>20</v>
      </c>
      <c r="J92" s="355" t="s">
        <v>975</v>
      </c>
      <c r="K92" s="7">
        <v>50000</v>
      </c>
      <c r="L92" s="7">
        <v>132000</v>
      </c>
      <c r="M92" s="8">
        <f t="shared" si="27"/>
        <v>5500</v>
      </c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3"/>
      <c r="CB92" s="43"/>
      <c r="CC92" s="43"/>
      <c r="CD92" s="43"/>
      <c r="CE92" s="43"/>
      <c r="CF92" s="43"/>
      <c r="CG92" s="43"/>
      <c r="CH92" s="43"/>
      <c r="CI92" s="43"/>
      <c r="CJ92" s="43"/>
      <c r="CK92" s="43"/>
      <c r="CL92" s="43"/>
      <c r="CM92" s="43"/>
      <c r="CN92" s="43"/>
      <c r="CO92" s="43"/>
      <c r="CP92" s="43"/>
      <c r="CQ92" s="43"/>
      <c r="CR92" s="43"/>
      <c r="CS92" s="43"/>
      <c r="CT92" s="43"/>
      <c r="CU92" s="43"/>
      <c r="CV92" s="43"/>
      <c r="CW92" s="43"/>
      <c r="CX92" s="43"/>
      <c r="CY92" s="43"/>
      <c r="CZ92" s="43"/>
      <c r="DA92" s="43"/>
      <c r="DB92" s="43"/>
      <c r="DC92" s="43"/>
      <c r="DD92" s="43"/>
      <c r="DE92" s="43"/>
      <c r="DF92" s="43"/>
      <c r="DG92" s="43"/>
      <c r="DH92" s="43"/>
      <c r="DI92" s="43"/>
      <c r="DJ92" s="43"/>
      <c r="DK92" s="43"/>
      <c r="DL92" s="43"/>
      <c r="DM92" s="43"/>
      <c r="DN92" s="43"/>
      <c r="DO92" s="43"/>
      <c r="DP92" s="43"/>
      <c r="DQ92" s="43"/>
      <c r="DR92" s="43"/>
      <c r="DS92" s="43"/>
      <c r="DT92" s="43"/>
      <c r="DU92" s="43"/>
      <c r="DV92" s="43"/>
      <c r="DW92" s="43"/>
      <c r="DX92" s="43"/>
      <c r="DY92" s="43"/>
      <c r="DZ92" s="43"/>
      <c r="EA92" s="43"/>
      <c r="EB92" s="43"/>
      <c r="EC92" s="43"/>
      <c r="ED92" s="43"/>
      <c r="EE92" s="43"/>
      <c r="EF92" s="43"/>
      <c r="EG92" s="43"/>
      <c r="EH92" s="43"/>
      <c r="EI92" s="43"/>
      <c r="EJ92" s="43"/>
      <c r="EK92" s="43"/>
      <c r="EL92" s="43"/>
      <c r="EM92" s="43"/>
      <c r="EN92" s="43">
        <v>22000</v>
      </c>
      <c r="EO92" s="43"/>
      <c r="EP92" s="43"/>
      <c r="EQ92" s="9"/>
      <c r="ER92" s="9"/>
      <c r="ES92" s="9"/>
      <c r="ET92" s="9"/>
      <c r="EU92" s="9"/>
      <c r="EV92" s="9">
        <v>22000</v>
      </c>
      <c r="EW92" s="9"/>
      <c r="EX92" s="9" t="s">
        <v>143</v>
      </c>
      <c r="EY92" s="9"/>
      <c r="EZ92" s="9"/>
      <c r="FA92" s="9">
        <v>22000</v>
      </c>
      <c r="FB92" s="9"/>
      <c r="FC92" s="9"/>
      <c r="FD92" s="9"/>
      <c r="FE92" s="9">
        <v>22000</v>
      </c>
      <c r="FF92" s="9"/>
      <c r="FG92" s="9"/>
      <c r="FH92" s="9"/>
      <c r="FI92" s="9"/>
      <c r="FJ92" s="9"/>
      <c r="FK92" s="9"/>
      <c r="FL92" s="9"/>
      <c r="FM92" s="9"/>
      <c r="FN92" s="9">
        <v>22000</v>
      </c>
      <c r="FO92" s="9"/>
      <c r="FP92" s="9"/>
      <c r="FQ92" s="9"/>
      <c r="FR92" s="9"/>
      <c r="FS92" s="9"/>
      <c r="FT92" s="9">
        <f t="shared" si="21"/>
        <v>110000</v>
      </c>
      <c r="FU92" s="7">
        <f t="shared" si="22"/>
        <v>22000</v>
      </c>
      <c r="FV92" s="11">
        <f t="shared" si="23"/>
        <v>20</v>
      </c>
      <c r="FW92" s="11">
        <f t="shared" si="24"/>
        <v>4</v>
      </c>
      <c r="FX92" s="12">
        <f t="shared" si="25"/>
        <v>5</v>
      </c>
      <c r="FY92" s="12">
        <f t="shared" si="26"/>
        <v>1</v>
      </c>
    </row>
    <row r="93" spans="1:181" ht="43.5" customHeight="1" thickBot="1" x14ac:dyDescent="0.3">
      <c r="A93" s="4">
        <v>3180</v>
      </c>
      <c r="B93" s="27" t="s">
        <v>280</v>
      </c>
      <c r="C93" s="27" t="s">
        <v>281</v>
      </c>
      <c r="D93" s="2"/>
      <c r="E93" s="3">
        <v>45782</v>
      </c>
      <c r="F93" s="3">
        <f t="shared" si="32"/>
        <v>45950</v>
      </c>
      <c r="G93" s="4">
        <v>120</v>
      </c>
      <c r="H93" s="377">
        <f t="shared" si="19"/>
        <v>73.13636363636364</v>
      </c>
      <c r="I93" s="377">
        <f t="shared" si="20"/>
        <v>46.86363636363636</v>
      </c>
      <c r="J93" s="355" t="s">
        <v>1206</v>
      </c>
      <c r="K93" s="19">
        <v>200000</v>
      </c>
      <c r="L93" s="7">
        <v>528000</v>
      </c>
      <c r="M93" s="21">
        <f t="shared" si="27"/>
        <v>22000</v>
      </c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  <c r="CC93" s="43"/>
      <c r="CD93" s="43"/>
      <c r="CE93" s="43"/>
      <c r="CF93" s="43"/>
      <c r="CG93" s="43"/>
      <c r="CH93" s="43"/>
      <c r="CI93" s="43"/>
      <c r="CJ93" s="43"/>
      <c r="CK93" s="43"/>
      <c r="CL93" s="43"/>
      <c r="CM93" s="43"/>
      <c r="CN93" s="43"/>
      <c r="CO93" s="43"/>
      <c r="CP93" s="43"/>
      <c r="CQ93" s="43"/>
      <c r="CR93" s="43"/>
      <c r="CS93" s="43"/>
      <c r="CT93" s="43"/>
      <c r="CU93" s="43"/>
      <c r="CV93" s="43"/>
      <c r="CW93" s="43"/>
      <c r="CX93" s="43"/>
      <c r="CY93" s="43"/>
      <c r="CZ93" s="43"/>
      <c r="DA93" s="43"/>
      <c r="DB93" s="43"/>
      <c r="DC93" s="43"/>
      <c r="DD93" s="43"/>
      <c r="DE93" s="43"/>
      <c r="DF93" s="43"/>
      <c r="DG93" s="43"/>
      <c r="DH93" s="43"/>
      <c r="DI93" s="43"/>
      <c r="DJ93" s="43"/>
      <c r="DK93" s="43"/>
      <c r="DL93" s="43"/>
      <c r="DM93" s="43"/>
      <c r="DN93" s="43"/>
      <c r="DO93" s="43"/>
      <c r="DP93" s="43"/>
      <c r="DQ93" s="43"/>
      <c r="DR93" s="43"/>
      <c r="DS93" s="43"/>
      <c r="DT93" s="43"/>
      <c r="DU93" s="43"/>
      <c r="DV93" s="43"/>
      <c r="DW93" s="43"/>
      <c r="DX93" s="43"/>
      <c r="DY93" s="43"/>
      <c r="DZ93" s="43"/>
      <c r="EA93" s="43"/>
      <c r="EB93" s="43"/>
      <c r="EC93" s="43"/>
      <c r="ED93" s="43"/>
      <c r="EE93" s="43"/>
      <c r="EF93" s="43"/>
      <c r="EG93" s="43"/>
      <c r="EH93" s="43"/>
      <c r="EI93" s="43"/>
      <c r="EJ93" s="43"/>
      <c r="EK93" s="43"/>
      <c r="EL93" s="43"/>
      <c r="EM93" s="43"/>
      <c r="EN93" s="43"/>
      <c r="EO93" s="43"/>
      <c r="EP93" s="43"/>
      <c r="EQ93" s="9"/>
      <c r="ER93" s="9">
        <v>50000</v>
      </c>
      <c r="ES93" s="9"/>
      <c r="ET93" s="9"/>
      <c r="EU93" s="9"/>
      <c r="EV93" s="9">
        <v>7800</v>
      </c>
      <c r="EW93" s="9"/>
      <c r="EX93" s="9" t="s">
        <v>143</v>
      </c>
      <c r="EY93" s="9"/>
      <c r="EZ93" s="9"/>
      <c r="FA93" s="9">
        <v>88000</v>
      </c>
      <c r="FB93" s="9"/>
      <c r="FC93" s="9"/>
      <c r="FD93" s="9"/>
      <c r="FE93" s="9">
        <v>88000</v>
      </c>
      <c r="FF93" s="9"/>
      <c r="FG93" s="9"/>
      <c r="FH93" s="9"/>
      <c r="FI93" s="9"/>
      <c r="FJ93" s="9"/>
      <c r="FK93" s="9"/>
      <c r="FL93" s="9"/>
      <c r="FM93" s="9"/>
      <c r="FN93" s="9">
        <v>88000</v>
      </c>
      <c r="FO93" s="9"/>
      <c r="FP93" s="9"/>
      <c r="FQ93" s="9"/>
      <c r="FR93" s="9"/>
      <c r="FS93" s="9"/>
      <c r="FT93" s="9">
        <f t="shared" si="21"/>
        <v>321800</v>
      </c>
      <c r="FU93" s="7">
        <f t="shared" si="22"/>
        <v>206200</v>
      </c>
      <c r="FV93" s="11">
        <f t="shared" si="23"/>
        <v>14.627272727272729</v>
      </c>
      <c r="FW93" s="11">
        <f t="shared" si="24"/>
        <v>9.3727272727272712</v>
      </c>
      <c r="FX93" s="12">
        <f t="shared" si="25"/>
        <v>3.6568181818181822</v>
      </c>
      <c r="FY93" s="12">
        <f t="shared" si="26"/>
        <v>2.3431818181818178</v>
      </c>
    </row>
    <row r="94" spans="1:181" ht="43.5" customHeight="1" thickBot="1" x14ac:dyDescent="0.3">
      <c r="A94" s="4">
        <v>3331</v>
      </c>
      <c r="B94" s="27" t="s">
        <v>280</v>
      </c>
      <c r="C94" s="27" t="s">
        <v>281</v>
      </c>
      <c r="D94" s="2"/>
      <c r="E94" s="3">
        <v>45873</v>
      </c>
      <c r="F94" s="3">
        <f t="shared" si="30"/>
        <v>45985</v>
      </c>
      <c r="G94" s="4">
        <v>80</v>
      </c>
      <c r="H94" s="377">
        <f t="shared" si="19"/>
        <v>40</v>
      </c>
      <c r="I94" s="377">
        <f t="shared" si="20"/>
        <v>40</v>
      </c>
      <c r="J94" s="355" t="s">
        <v>283</v>
      </c>
      <c r="K94" s="19">
        <v>50000</v>
      </c>
      <c r="L94" s="7">
        <v>108000</v>
      </c>
      <c r="M94" s="21">
        <f t="shared" si="27"/>
        <v>6750</v>
      </c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  <c r="DY94" s="43"/>
      <c r="DZ94" s="43"/>
      <c r="EA94" s="43"/>
      <c r="EB94" s="43"/>
      <c r="EC94" s="43"/>
      <c r="ED94" s="43"/>
      <c r="EE94" s="43"/>
      <c r="EF94" s="43"/>
      <c r="EG94" s="43"/>
      <c r="EH94" s="43"/>
      <c r="EI94" s="43"/>
      <c r="EJ94" s="43"/>
      <c r="EK94" s="43" t="s">
        <v>143</v>
      </c>
      <c r="EL94" s="43"/>
      <c r="EM94" s="43" t="s">
        <v>143</v>
      </c>
      <c r="EN94" s="43" t="s">
        <v>143</v>
      </c>
      <c r="EO94" s="43"/>
      <c r="EP94" s="43"/>
      <c r="EQ94" s="9"/>
      <c r="ER94" s="9"/>
      <c r="ES94" s="9" t="s">
        <v>143</v>
      </c>
      <c r="ET94" s="9"/>
      <c r="EU94" s="9"/>
      <c r="EV94" s="9" t="s">
        <v>143</v>
      </c>
      <c r="EW94" s="9"/>
      <c r="EX94" s="9"/>
      <c r="EY94" s="9"/>
      <c r="EZ94" s="9"/>
      <c r="FA94" s="9"/>
      <c r="FB94" s="9"/>
      <c r="FC94" s="9"/>
      <c r="FD94" s="9"/>
      <c r="FE94" s="9">
        <v>27000</v>
      </c>
      <c r="FF94" s="9"/>
      <c r="FG94" s="9"/>
      <c r="FH94" s="9"/>
      <c r="FI94" s="9"/>
      <c r="FJ94" s="9"/>
      <c r="FK94" s="9"/>
      <c r="FL94" s="9"/>
      <c r="FM94" s="9"/>
      <c r="FN94" s="9">
        <v>27000</v>
      </c>
      <c r="FO94" s="9"/>
      <c r="FP94" s="9"/>
      <c r="FQ94" s="9"/>
      <c r="FR94" s="9"/>
      <c r="FS94" s="9"/>
      <c r="FT94" s="9">
        <f t="shared" si="21"/>
        <v>54000</v>
      </c>
      <c r="FU94" s="7">
        <f t="shared" si="22"/>
        <v>54000</v>
      </c>
      <c r="FV94" s="11">
        <f t="shared" si="23"/>
        <v>8</v>
      </c>
      <c r="FW94" s="11">
        <f t="shared" si="24"/>
        <v>8</v>
      </c>
      <c r="FX94" s="12">
        <f t="shared" si="25"/>
        <v>2</v>
      </c>
      <c r="FY94" s="12">
        <f t="shared" si="26"/>
        <v>2</v>
      </c>
    </row>
    <row r="95" spans="1:181" ht="43.5" customHeight="1" thickBot="1" x14ac:dyDescent="0.3">
      <c r="A95" s="4">
        <v>3360</v>
      </c>
      <c r="B95" s="27" t="s">
        <v>280</v>
      </c>
      <c r="C95" s="27" t="s">
        <v>281</v>
      </c>
      <c r="D95" s="2"/>
      <c r="E95" s="3">
        <v>45891</v>
      </c>
      <c r="F95" s="3">
        <f t="shared" si="30"/>
        <v>46003</v>
      </c>
      <c r="G95" s="4">
        <v>80</v>
      </c>
      <c r="H95" s="377">
        <f t="shared" si="19"/>
        <v>8.4656084656084651</v>
      </c>
      <c r="I95" s="377">
        <f t="shared" si="20"/>
        <v>71.534391534391531</v>
      </c>
      <c r="J95" s="355" t="s">
        <v>951</v>
      </c>
      <c r="K95" s="7">
        <v>70000</v>
      </c>
      <c r="L95" s="7">
        <v>151200</v>
      </c>
      <c r="M95" s="8">
        <f t="shared" si="27"/>
        <v>9450</v>
      </c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3"/>
      <c r="CD95" s="43"/>
      <c r="CE95" s="43"/>
      <c r="CF95" s="43"/>
      <c r="CG95" s="43"/>
      <c r="CH95" s="43"/>
      <c r="CI95" s="43"/>
      <c r="CJ95" s="43"/>
      <c r="CK95" s="43"/>
      <c r="CL95" s="43"/>
      <c r="CM95" s="43"/>
      <c r="CN95" s="43"/>
      <c r="CO95" s="43"/>
      <c r="CP95" s="43"/>
      <c r="CQ95" s="43"/>
      <c r="CR95" s="43"/>
      <c r="CS95" s="43"/>
      <c r="CT95" s="43"/>
      <c r="CU95" s="43"/>
      <c r="CV95" s="43"/>
      <c r="CW95" s="43"/>
      <c r="CX95" s="43"/>
      <c r="CY95" s="43"/>
      <c r="CZ95" s="43"/>
      <c r="DA95" s="43"/>
      <c r="DB95" s="43"/>
      <c r="DC95" s="43"/>
      <c r="DD95" s="43"/>
      <c r="DE95" s="43"/>
      <c r="DF95" s="43"/>
      <c r="DG95" s="43"/>
      <c r="DH95" s="43"/>
      <c r="DI95" s="43"/>
      <c r="DJ95" s="43"/>
      <c r="DK95" s="43"/>
      <c r="DL95" s="43"/>
      <c r="DM95" s="43"/>
      <c r="DN95" s="43"/>
      <c r="DO95" s="43"/>
      <c r="DP95" s="43"/>
      <c r="DQ95" s="43"/>
      <c r="DR95" s="43"/>
      <c r="DS95" s="43"/>
      <c r="DT95" s="43"/>
      <c r="DU95" s="43"/>
      <c r="DV95" s="43"/>
      <c r="DW95" s="43"/>
      <c r="DX95" s="43"/>
      <c r="DY95" s="43"/>
      <c r="DZ95" s="43"/>
      <c r="EA95" s="43"/>
      <c r="EB95" s="43"/>
      <c r="EC95" s="43"/>
      <c r="ED95" s="43"/>
      <c r="EE95" s="43"/>
      <c r="EF95" s="43"/>
      <c r="EG95" s="43"/>
      <c r="EH95" s="43"/>
      <c r="EI95" s="43"/>
      <c r="EJ95" s="43"/>
      <c r="EK95" s="43" t="s">
        <v>143</v>
      </c>
      <c r="EL95" s="43"/>
      <c r="EM95" s="43" t="s">
        <v>143</v>
      </c>
      <c r="EN95" s="43" t="s">
        <v>143</v>
      </c>
      <c r="EO95" s="43"/>
      <c r="EP95" s="43"/>
      <c r="EQ95" s="9"/>
      <c r="ER95" s="9"/>
      <c r="ES95" s="9" t="s">
        <v>143</v>
      </c>
      <c r="ET95" s="9"/>
      <c r="EU95" s="9"/>
      <c r="EV95" s="9" t="s">
        <v>143</v>
      </c>
      <c r="EW95" s="9"/>
      <c r="EX95" s="9"/>
      <c r="EY95" s="9"/>
      <c r="EZ95" s="9"/>
      <c r="FA95" s="9"/>
      <c r="FB95" s="9"/>
      <c r="FC95" s="9" t="s">
        <v>143</v>
      </c>
      <c r="FD95" s="9"/>
      <c r="FE95" s="9">
        <v>3000</v>
      </c>
      <c r="FF95" s="9"/>
      <c r="FG95" s="9"/>
      <c r="FH95" s="9"/>
      <c r="FI95" s="9"/>
      <c r="FJ95" s="9"/>
      <c r="FK95" s="9"/>
      <c r="FL95" s="9"/>
      <c r="FM95" s="9"/>
      <c r="FN95" s="9">
        <v>13000</v>
      </c>
      <c r="FO95" s="9"/>
      <c r="FP95" s="9"/>
      <c r="FQ95" s="9"/>
      <c r="FR95" s="9"/>
      <c r="FS95" s="9"/>
      <c r="FT95" s="9">
        <f t="shared" si="21"/>
        <v>16000</v>
      </c>
      <c r="FU95" s="7">
        <f t="shared" si="22"/>
        <v>135200</v>
      </c>
      <c r="FV95" s="11">
        <f t="shared" si="23"/>
        <v>1.693121693121693</v>
      </c>
      <c r="FW95" s="11">
        <f t="shared" si="24"/>
        <v>14.306878306878307</v>
      </c>
      <c r="FX95" s="12">
        <f t="shared" si="25"/>
        <v>0.42328042328042326</v>
      </c>
      <c r="FY95" s="12">
        <f t="shared" si="26"/>
        <v>3.5767195767195767</v>
      </c>
    </row>
    <row r="96" spans="1:181" ht="43.5" customHeight="1" thickBot="1" x14ac:dyDescent="0.3">
      <c r="A96" s="4">
        <v>3381</v>
      </c>
      <c r="B96" s="27" t="s">
        <v>280</v>
      </c>
      <c r="C96" s="27" t="s">
        <v>281</v>
      </c>
      <c r="D96" s="2"/>
      <c r="E96" s="3">
        <v>45908</v>
      </c>
      <c r="F96" s="3">
        <f t="shared" si="30"/>
        <v>46020</v>
      </c>
      <c r="G96" s="4">
        <v>80</v>
      </c>
      <c r="H96" s="377">
        <f t="shared" si="19"/>
        <v>0</v>
      </c>
      <c r="I96" s="377">
        <f t="shared" si="20"/>
        <v>80</v>
      </c>
      <c r="J96" s="355" t="s">
        <v>1329</v>
      </c>
      <c r="K96" s="10">
        <v>30000</v>
      </c>
      <c r="L96" s="10">
        <v>64800</v>
      </c>
      <c r="M96" s="8">
        <f t="shared" si="27"/>
        <v>4050</v>
      </c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3"/>
      <c r="CB96" s="43"/>
      <c r="CC96" s="43"/>
      <c r="CD96" s="43"/>
      <c r="CE96" s="43"/>
      <c r="CF96" s="43"/>
      <c r="CG96" s="43"/>
      <c r="CH96" s="43"/>
      <c r="CI96" s="43"/>
      <c r="CJ96" s="43"/>
      <c r="CK96" s="43"/>
      <c r="CL96" s="43"/>
      <c r="CM96" s="43"/>
      <c r="CN96" s="43"/>
      <c r="CO96" s="43"/>
      <c r="CP96" s="43"/>
      <c r="CQ96" s="43"/>
      <c r="CR96" s="43"/>
      <c r="CS96" s="43"/>
      <c r="CT96" s="43"/>
      <c r="CU96" s="43"/>
      <c r="CV96" s="43"/>
      <c r="CW96" s="43"/>
      <c r="CX96" s="43"/>
      <c r="CY96" s="43"/>
      <c r="CZ96" s="43"/>
      <c r="DA96" s="43"/>
      <c r="DB96" s="43"/>
      <c r="DC96" s="43"/>
      <c r="DD96" s="43"/>
      <c r="DE96" s="43"/>
      <c r="DF96" s="43"/>
      <c r="DG96" s="43"/>
      <c r="DH96" s="43"/>
      <c r="DI96" s="43"/>
      <c r="DJ96" s="43"/>
      <c r="DK96" s="43"/>
      <c r="DL96" s="43"/>
      <c r="DM96" s="43"/>
      <c r="DN96" s="43"/>
      <c r="DO96" s="43"/>
      <c r="DP96" s="43"/>
      <c r="DQ96" s="43"/>
      <c r="DR96" s="43"/>
      <c r="DS96" s="43"/>
      <c r="DT96" s="43"/>
      <c r="DU96" s="43"/>
      <c r="DV96" s="43"/>
      <c r="DW96" s="43"/>
      <c r="DX96" s="43"/>
      <c r="DY96" s="43"/>
      <c r="DZ96" s="43"/>
      <c r="EA96" s="43"/>
      <c r="EB96" s="43"/>
      <c r="EC96" s="43"/>
      <c r="ED96" s="43"/>
      <c r="EE96" s="43"/>
      <c r="EF96" s="43"/>
      <c r="EG96" s="43"/>
      <c r="EH96" s="43"/>
      <c r="EI96" s="43"/>
      <c r="EJ96" s="43"/>
      <c r="EK96" s="43" t="s">
        <v>143</v>
      </c>
      <c r="EL96" s="43"/>
      <c r="EM96" s="43" t="s">
        <v>143</v>
      </c>
      <c r="EN96" s="43" t="s">
        <v>143</v>
      </c>
      <c r="EO96" s="43"/>
      <c r="EP96" s="43"/>
      <c r="EQ96" s="9"/>
      <c r="ER96" s="9"/>
      <c r="ES96" s="9" t="s">
        <v>143</v>
      </c>
      <c r="ET96" s="9"/>
      <c r="EU96" s="9"/>
      <c r="EV96" s="9" t="s">
        <v>143</v>
      </c>
      <c r="EW96" s="9"/>
      <c r="EX96" s="9"/>
      <c r="EY96" s="9"/>
      <c r="EZ96" s="9"/>
      <c r="FA96" s="9"/>
      <c r="FB96" s="9"/>
      <c r="FC96" s="9" t="s">
        <v>143</v>
      </c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>
        <f t="shared" si="21"/>
        <v>0</v>
      </c>
      <c r="FU96" s="7">
        <f t="shared" si="22"/>
        <v>64800</v>
      </c>
      <c r="FV96" s="11">
        <f t="shared" si="23"/>
        <v>0</v>
      </c>
      <c r="FW96" s="11">
        <f t="shared" si="24"/>
        <v>16</v>
      </c>
      <c r="FX96" s="12">
        <f t="shared" si="25"/>
        <v>0</v>
      </c>
      <c r="FY96" s="12">
        <f t="shared" si="26"/>
        <v>4</v>
      </c>
    </row>
    <row r="97" spans="1:181" ht="43.5" customHeight="1" thickBot="1" x14ac:dyDescent="0.3">
      <c r="A97" s="4">
        <v>3403</v>
      </c>
      <c r="B97" s="27" t="s">
        <v>1347</v>
      </c>
      <c r="C97" s="27" t="s">
        <v>281</v>
      </c>
      <c r="D97" s="2"/>
      <c r="E97" s="3">
        <v>45918</v>
      </c>
      <c r="F97" s="3">
        <f t="shared" si="30"/>
        <v>46030</v>
      </c>
      <c r="G97" s="4">
        <v>80</v>
      </c>
      <c r="H97" s="377">
        <f t="shared" si="19"/>
        <v>40</v>
      </c>
      <c r="I97" s="377">
        <f t="shared" si="20"/>
        <v>40</v>
      </c>
      <c r="J97" s="355" t="s">
        <v>283</v>
      </c>
      <c r="K97" s="10">
        <v>50000</v>
      </c>
      <c r="L97" s="10">
        <v>108000</v>
      </c>
      <c r="M97" s="8">
        <f t="shared" si="27"/>
        <v>6750</v>
      </c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  <c r="BZ97" s="43"/>
      <c r="CA97" s="43"/>
      <c r="CB97" s="43"/>
      <c r="CC97" s="43"/>
      <c r="CD97" s="43"/>
      <c r="CE97" s="43"/>
      <c r="CF97" s="43"/>
      <c r="CG97" s="43"/>
      <c r="CH97" s="43"/>
      <c r="CI97" s="43"/>
      <c r="CJ97" s="43"/>
      <c r="CK97" s="43"/>
      <c r="CL97" s="43"/>
      <c r="CM97" s="43"/>
      <c r="CN97" s="43"/>
      <c r="CO97" s="43"/>
      <c r="CP97" s="43"/>
      <c r="CQ97" s="43"/>
      <c r="CR97" s="43"/>
      <c r="CS97" s="43"/>
      <c r="CT97" s="43"/>
      <c r="CU97" s="43"/>
      <c r="CV97" s="43"/>
      <c r="CW97" s="43"/>
      <c r="CX97" s="43"/>
      <c r="CY97" s="43"/>
      <c r="CZ97" s="43"/>
      <c r="DA97" s="43"/>
      <c r="DB97" s="43"/>
      <c r="DC97" s="43"/>
      <c r="DD97" s="43"/>
      <c r="DE97" s="43"/>
      <c r="DF97" s="43"/>
      <c r="DG97" s="43"/>
      <c r="DH97" s="43"/>
      <c r="DI97" s="43"/>
      <c r="DJ97" s="43"/>
      <c r="DK97" s="43"/>
      <c r="DL97" s="43"/>
      <c r="DM97" s="43"/>
      <c r="DN97" s="43"/>
      <c r="DO97" s="43"/>
      <c r="DP97" s="43"/>
      <c r="DQ97" s="43"/>
      <c r="DR97" s="43"/>
      <c r="DS97" s="43"/>
      <c r="DT97" s="43"/>
      <c r="DU97" s="43"/>
      <c r="DV97" s="43"/>
      <c r="DW97" s="43"/>
      <c r="DX97" s="43"/>
      <c r="DY97" s="43"/>
      <c r="DZ97" s="43"/>
      <c r="EA97" s="43"/>
      <c r="EB97" s="43"/>
      <c r="EC97" s="43"/>
      <c r="ED97" s="43"/>
      <c r="EE97" s="43"/>
      <c r="EF97" s="43"/>
      <c r="EG97" s="43"/>
      <c r="EH97" s="43"/>
      <c r="EI97" s="43"/>
      <c r="EJ97" s="43"/>
      <c r="EK97" s="43" t="s">
        <v>143</v>
      </c>
      <c r="EL97" s="43"/>
      <c r="EM97" s="43" t="s">
        <v>143</v>
      </c>
      <c r="EN97" s="43" t="s">
        <v>143</v>
      </c>
      <c r="EO97" s="43"/>
      <c r="EP97" s="43"/>
      <c r="EQ97" s="9"/>
      <c r="ER97" s="9"/>
      <c r="ES97" s="9" t="s">
        <v>143</v>
      </c>
      <c r="ET97" s="9"/>
      <c r="EU97" s="9"/>
      <c r="EV97" s="9" t="s">
        <v>143</v>
      </c>
      <c r="EW97" s="9"/>
      <c r="EX97" s="9"/>
      <c r="EY97" s="9"/>
      <c r="EZ97" s="9"/>
      <c r="FA97" s="9"/>
      <c r="FB97" s="9"/>
      <c r="FC97" s="9" t="s">
        <v>143</v>
      </c>
      <c r="FD97" s="9"/>
      <c r="FE97" s="9"/>
      <c r="FF97" s="9"/>
      <c r="FG97" s="9"/>
      <c r="FH97" s="9"/>
      <c r="FI97" s="9"/>
      <c r="FJ97" s="9"/>
      <c r="FK97" s="9"/>
      <c r="FL97" s="9"/>
      <c r="FM97" s="9">
        <v>27000</v>
      </c>
      <c r="FN97" s="9"/>
      <c r="FO97" s="9"/>
      <c r="FP97" s="9"/>
      <c r="FQ97" s="9"/>
      <c r="FR97" s="9">
        <v>27000</v>
      </c>
      <c r="FS97" s="9"/>
      <c r="FT97" s="9">
        <f t="shared" si="21"/>
        <v>54000</v>
      </c>
      <c r="FU97" s="7">
        <f t="shared" si="22"/>
        <v>54000</v>
      </c>
      <c r="FV97" s="11">
        <f t="shared" si="23"/>
        <v>8</v>
      </c>
      <c r="FW97" s="11">
        <f t="shared" si="24"/>
        <v>8</v>
      </c>
      <c r="FX97" s="12">
        <f t="shared" si="25"/>
        <v>2</v>
      </c>
      <c r="FY97" s="12">
        <f t="shared" si="26"/>
        <v>2</v>
      </c>
    </row>
    <row r="98" spans="1:181" ht="43.5" customHeight="1" thickBot="1" x14ac:dyDescent="0.3">
      <c r="A98" s="4">
        <v>3250</v>
      </c>
      <c r="B98" s="27" t="s">
        <v>286</v>
      </c>
      <c r="C98" s="27" t="s">
        <v>287</v>
      </c>
      <c r="D98" s="2"/>
      <c r="E98" s="3">
        <v>45827</v>
      </c>
      <c r="F98" s="3">
        <f t="shared" si="30"/>
        <v>45995</v>
      </c>
      <c r="G98" s="4">
        <v>120</v>
      </c>
      <c r="H98" s="377">
        <f t="shared" si="19"/>
        <v>120.04545454545455</v>
      </c>
      <c r="I98" s="377">
        <f t="shared" ref="I98:I129" si="33">G98-H98</f>
        <v>-4.5454545454546746E-2</v>
      </c>
      <c r="J98" s="355" t="s">
        <v>203</v>
      </c>
      <c r="K98" s="10">
        <v>200000</v>
      </c>
      <c r="L98" s="10">
        <v>528000</v>
      </c>
      <c r="M98" s="8">
        <f t="shared" si="27"/>
        <v>22000</v>
      </c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  <c r="BZ98" s="43"/>
      <c r="CA98" s="43"/>
      <c r="CB98" s="43"/>
      <c r="CC98" s="43"/>
      <c r="CD98" s="43"/>
      <c r="CE98" s="43"/>
      <c r="CF98" s="43"/>
      <c r="CG98" s="43"/>
      <c r="CH98" s="43"/>
      <c r="CI98" s="43"/>
      <c r="CJ98" s="43"/>
      <c r="CK98" s="43"/>
      <c r="CL98" s="43"/>
      <c r="CM98" s="43"/>
      <c r="CN98" s="43"/>
      <c r="CO98" s="43"/>
      <c r="CP98" s="43"/>
      <c r="CQ98" s="43"/>
      <c r="CR98" s="43"/>
      <c r="CS98" s="43"/>
      <c r="CT98" s="43"/>
      <c r="CU98" s="43"/>
      <c r="CV98" s="43"/>
      <c r="CW98" s="43"/>
      <c r="CX98" s="43"/>
      <c r="CY98" s="43"/>
      <c r="CZ98" s="43"/>
      <c r="DA98" s="43"/>
      <c r="DB98" s="43"/>
      <c r="DC98" s="43"/>
      <c r="DD98" s="43"/>
      <c r="DE98" s="43"/>
      <c r="DF98" s="43"/>
      <c r="DG98" s="43"/>
      <c r="DH98" s="43"/>
      <c r="DI98" s="43"/>
      <c r="DJ98" s="43"/>
      <c r="DK98" s="43"/>
      <c r="DL98" s="43"/>
      <c r="DM98" s="43"/>
      <c r="DN98" s="43"/>
      <c r="DO98" s="43"/>
      <c r="DP98" s="43"/>
      <c r="DQ98" s="43"/>
      <c r="DR98" s="43"/>
      <c r="DS98" s="43"/>
      <c r="DT98" s="43"/>
      <c r="DU98" s="43"/>
      <c r="DV98" s="43"/>
      <c r="DW98" s="43"/>
      <c r="DX98" s="43"/>
      <c r="DY98" s="43"/>
      <c r="DZ98" s="43"/>
      <c r="EA98" s="43"/>
      <c r="EB98" s="43"/>
      <c r="EC98" s="43"/>
      <c r="ED98" s="43"/>
      <c r="EE98" s="43"/>
      <c r="EF98" s="43"/>
      <c r="EG98" s="43"/>
      <c r="EH98" s="43"/>
      <c r="EI98" s="43"/>
      <c r="EJ98" s="43"/>
      <c r="EK98" s="43" t="s">
        <v>143</v>
      </c>
      <c r="EL98" s="43"/>
      <c r="EM98" s="43" t="s">
        <v>143</v>
      </c>
      <c r="EN98" s="43" t="s">
        <v>143</v>
      </c>
      <c r="EO98" s="43"/>
      <c r="EP98" s="43"/>
      <c r="EQ98" s="9"/>
      <c r="ER98" s="9"/>
      <c r="ES98" s="9" t="s">
        <v>143</v>
      </c>
      <c r="ET98" s="9"/>
      <c r="EU98" s="9"/>
      <c r="EV98" s="9"/>
      <c r="EW98" s="9"/>
      <c r="EX98" s="9">
        <v>88000</v>
      </c>
      <c r="EY98" s="9"/>
      <c r="EZ98" s="9"/>
      <c r="FA98" s="9"/>
      <c r="FB98" s="9">
        <v>88200</v>
      </c>
      <c r="FC98" s="9"/>
      <c r="FD98" s="9"/>
      <c r="FE98" s="9"/>
      <c r="FF98" s="9">
        <v>88000</v>
      </c>
      <c r="FG98" s="9"/>
      <c r="FH98" s="9"/>
      <c r="FI98" s="9"/>
      <c r="FJ98" s="9"/>
      <c r="FK98" s="9">
        <v>88000</v>
      </c>
      <c r="FL98" s="9"/>
      <c r="FM98" s="9"/>
      <c r="FN98" s="9"/>
      <c r="FO98" s="9">
        <v>88000</v>
      </c>
      <c r="FP98" s="9"/>
      <c r="FQ98" s="9"/>
      <c r="FR98" s="9"/>
      <c r="FS98" s="9">
        <v>88000</v>
      </c>
      <c r="FT98" s="9">
        <f t="shared" si="21"/>
        <v>528200</v>
      </c>
      <c r="FU98" s="7">
        <f t="shared" si="22"/>
        <v>-200</v>
      </c>
      <c r="FV98" s="11">
        <f t="shared" si="23"/>
        <v>24.009090909090908</v>
      </c>
      <c r="FW98" s="11">
        <f t="shared" si="24"/>
        <v>-9.0909090909093489E-3</v>
      </c>
      <c r="FX98" s="12">
        <f t="shared" si="25"/>
        <v>6.002272727272727</v>
      </c>
      <c r="FY98" s="12">
        <f t="shared" si="26"/>
        <v>-2.2727272727273372E-3</v>
      </c>
    </row>
    <row r="99" spans="1:181" ht="43.5" customHeight="1" thickBot="1" x14ac:dyDescent="0.3">
      <c r="A99" s="4">
        <v>3355</v>
      </c>
      <c r="B99" s="27" t="s">
        <v>286</v>
      </c>
      <c r="C99" s="27" t="s">
        <v>287</v>
      </c>
      <c r="D99" s="2"/>
      <c r="E99" s="3">
        <v>45887</v>
      </c>
      <c r="F99" s="3">
        <f t="shared" si="30"/>
        <v>46111</v>
      </c>
      <c r="G99" s="4">
        <v>160</v>
      </c>
      <c r="H99" s="377">
        <f t="shared" si="19"/>
        <v>80</v>
      </c>
      <c r="I99" s="377">
        <f t="shared" si="33"/>
        <v>80</v>
      </c>
      <c r="J99" s="355" t="s">
        <v>1311</v>
      </c>
      <c r="K99" s="7">
        <v>250000</v>
      </c>
      <c r="L99" s="7">
        <v>720000</v>
      </c>
      <c r="M99" s="8">
        <f t="shared" si="27"/>
        <v>22500</v>
      </c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  <c r="BZ99" s="43"/>
      <c r="CA99" s="43"/>
      <c r="CB99" s="43"/>
      <c r="CC99" s="43"/>
      <c r="CD99" s="43"/>
      <c r="CE99" s="43"/>
      <c r="CF99" s="43"/>
      <c r="CG99" s="43"/>
      <c r="CH99" s="43"/>
      <c r="CI99" s="43"/>
      <c r="CJ99" s="43"/>
      <c r="CK99" s="43"/>
      <c r="CL99" s="43"/>
      <c r="CM99" s="43"/>
      <c r="CN99" s="43"/>
      <c r="CO99" s="43"/>
      <c r="CP99" s="43"/>
      <c r="CQ99" s="43"/>
      <c r="CR99" s="43"/>
      <c r="CS99" s="43"/>
      <c r="CT99" s="43"/>
      <c r="CU99" s="43"/>
      <c r="CV99" s="43"/>
      <c r="CW99" s="43"/>
      <c r="CX99" s="43"/>
      <c r="CY99" s="43"/>
      <c r="CZ99" s="43"/>
      <c r="DA99" s="43"/>
      <c r="DB99" s="43"/>
      <c r="DC99" s="43"/>
      <c r="DD99" s="43"/>
      <c r="DE99" s="43"/>
      <c r="DF99" s="43"/>
      <c r="DG99" s="43"/>
      <c r="DH99" s="43"/>
      <c r="DI99" s="43"/>
      <c r="DJ99" s="43"/>
      <c r="DK99" s="43"/>
      <c r="DL99" s="43"/>
      <c r="DM99" s="43"/>
      <c r="DN99" s="43"/>
      <c r="DO99" s="43"/>
      <c r="DP99" s="43"/>
      <c r="DQ99" s="43"/>
      <c r="DR99" s="43"/>
      <c r="DS99" s="43"/>
      <c r="DT99" s="43"/>
      <c r="DU99" s="43"/>
      <c r="DV99" s="43"/>
      <c r="DW99" s="43"/>
      <c r="DX99" s="43"/>
      <c r="DY99" s="43"/>
      <c r="DZ99" s="43"/>
      <c r="EA99" s="43"/>
      <c r="EB99" s="43"/>
      <c r="EC99" s="43"/>
      <c r="ED99" s="43"/>
      <c r="EE99" s="43"/>
      <c r="EF99" s="43"/>
      <c r="EG99" s="43"/>
      <c r="EH99" s="43"/>
      <c r="EI99" s="43"/>
      <c r="EJ99" s="43"/>
      <c r="EK99" s="43" t="s">
        <v>143</v>
      </c>
      <c r="EL99" s="43"/>
      <c r="EM99" s="43" t="s">
        <v>143</v>
      </c>
      <c r="EN99" s="43" t="s">
        <v>143</v>
      </c>
      <c r="EO99" s="43"/>
      <c r="EP99" s="43"/>
      <c r="EQ99" s="9"/>
      <c r="ER99" s="9"/>
      <c r="ES99" s="9" t="s">
        <v>143</v>
      </c>
      <c r="ET99" s="9"/>
      <c r="EU99" s="9"/>
      <c r="EV99" s="9" t="s">
        <v>143</v>
      </c>
      <c r="EW99" s="9"/>
      <c r="EX99" s="9"/>
      <c r="EY99" s="9"/>
      <c r="EZ99" s="9"/>
      <c r="FA99" s="9"/>
      <c r="FB99" s="9"/>
      <c r="FC99" s="9" t="s">
        <v>143</v>
      </c>
      <c r="FD99" s="9"/>
      <c r="FE99" s="9"/>
      <c r="FF99" s="9">
        <v>90000</v>
      </c>
      <c r="FG99" s="9"/>
      <c r="FH99" s="9"/>
      <c r="FI99" s="9"/>
      <c r="FJ99" s="9"/>
      <c r="FK99" s="9">
        <v>90000</v>
      </c>
      <c r="FL99" s="9"/>
      <c r="FM99" s="9"/>
      <c r="FN99" s="9"/>
      <c r="FO99" s="9">
        <v>90000</v>
      </c>
      <c r="FP99" s="9"/>
      <c r="FQ99" s="9"/>
      <c r="FR99" s="9"/>
      <c r="FS99" s="9">
        <v>90000</v>
      </c>
      <c r="FT99" s="9">
        <f t="shared" si="21"/>
        <v>360000</v>
      </c>
      <c r="FU99" s="7">
        <f t="shared" si="22"/>
        <v>360000</v>
      </c>
      <c r="FV99" s="11">
        <f t="shared" si="23"/>
        <v>16</v>
      </c>
      <c r="FW99" s="11">
        <f t="shared" si="24"/>
        <v>16</v>
      </c>
      <c r="FX99" s="12">
        <f t="shared" si="25"/>
        <v>4</v>
      </c>
      <c r="FY99" s="12">
        <f t="shared" si="26"/>
        <v>4</v>
      </c>
    </row>
    <row r="100" spans="1:181" ht="43.5" customHeight="1" thickBot="1" x14ac:dyDescent="0.3">
      <c r="A100" s="4">
        <v>3443</v>
      </c>
      <c r="B100" s="27" t="s">
        <v>286</v>
      </c>
      <c r="C100" s="27" t="s">
        <v>287</v>
      </c>
      <c r="D100" s="2"/>
      <c r="E100" s="3">
        <v>45944</v>
      </c>
      <c r="F100" s="3">
        <f t="shared" si="30"/>
        <v>46168</v>
      </c>
      <c r="G100" s="4">
        <v>160</v>
      </c>
      <c r="H100" s="377">
        <f t="shared" si="19"/>
        <v>40</v>
      </c>
      <c r="I100" s="377">
        <f t="shared" si="33"/>
        <v>120</v>
      </c>
      <c r="J100" s="355" t="s">
        <v>1373</v>
      </c>
      <c r="K100" s="10">
        <v>400000</v>
      </c>
      <c r="L100" s="10">
        <v>1056000</v>
      </c>
      <c r="M100" s="8">
        <f t="shared" si="27"/>
        <v>33000</v>
      </c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3"/>
      <c r="CB100" s="43"/>
      <c r="CC100" s="43"/>
      <c r="CD100" s="43"/>
      <c r="CE100" s="43"/>
      <c r="CF100" s="43"/>
      <c r="CG100" s="43"/>
      <c r="CH100" s="43"/>
      <c r="CI100" s="43"/>
      <c r="CJ100" s="43"/>
      <c r="CK100" s="43"/>
      <c r="CL100" s="43"/>
      <c r="CM100" s="43"/>
      <c r="CN100" s="43"/>
      <c r="CO100" s="43"/>
      <c r="CP100" s="43"/>
      <c r="CQ100" s="43"/>
      <c r="CR100" s="43"/>
      <c r="CS100" s="43"/>
      <c r="CT100" s="43"/>
      <c r="CU100" s="43"/>
      <c r="CV100" s="43"/>
      <c r="CW100" s="43"/>
      <c r="CX100" s="43"/>
      <c r="CY100" s="43"/>
      <c r="CZ100" s="43"/>
      <c r="DA100" s="43"/>
      <c r="DB100" s="43"/>
      <c r="DC100" s="43"/>
      <c r="DD100" s="43"/>
      <c r="DE100" s="43"/>
      <c r="DF100" s="43"/>
      <c r="DG100" s="43"/>
      <c r="DH100" s="43"/>
      <c r="DI100" s="43"/>
      <c r="DJ100" s="43"/>
      <c r="DK100" s="43"/>
      <c r="DL100" s="43"/>
      <c r="DM100" s="43"/>
      <c r="DN100" s="43"/>
      <c r="DO100" s="43"/>
      <c r="DP100" s="43"/>
      <c r="DQ100" s="43"/>
      <c r="DR100" s="43"/>
      <c r="DS100" s="43"/>
      <c r="DT100" s="43"/>
      <c r="DU100" s="43"/>
      <c r="DV100" s="43"/>
      <c r="DW100" s="43"/>
      <c r="DX100" s="43"/>
      <c r="DY100" s="43"/>
      <c r="DZ100" s="43"/>
      <c r="EA100" s="43"/>
      <c r="EB100" s="43"/>
      <c r="EC100" s="43"/>
      <c r="ED100" s="43"/>
      <c r="EE100" s="43"/>
      <c r="EF100" s="43"/>
      <c r="EG100" s="43"/>
      <c r="EH100" s="43"/>
      <c r="EI100" s="43"/>
      <c r="EJ100" s="43"/>
      <c r="EK100" s="43" t="s">
        <v>143</v>
      </c>
      <c r="EL100" s="43"/>
      <c r="EM100" s="43" t="s">
        <v>143</v>
      </c>
      <c r="EN100" s="43" t="s">
        <v>143</v>
      </c>
      <c r="EO100" s="43"/>
      <c r="EP100" s="43"/>
      <c r="EQ100" s="9"/>
      <c r="ER100" s="9"/>
      <c r="ES100" s="9" t="s">
        <v>143</v>
      </c>
      <c r="ET100" s="9"/>
      <c r="EU100" s="9"/>
      <c r="EV100" s="9" t="s">
        <v>143</v>
      </c>
      <c r="EW100" s="9"/>
      <c r="EX100" s="9"/>
      <c r="EY100" s="9"/>
      <c r="EZ100" s="9"/>
      <c r="FA100" s="9"/>
      <c r="FB100" s="9"/>
      <c r="FC100" s="9" t="s">
        <v>143</v>
      </c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>
        <v>132000</v>
      </c>
      <c r="FP100" s="9"/>
      <c r="FQ100" s="9"/>
      <c r="FR100" s="9"/>
      <c r="FS100" s="9">
        <v>132000</v>
      </c>
      <c r="FT100" s="9">
        <f t="shared" si="21"/>
        <v>264000</v>
      </c>
      <c r="FU100" s="7">
        <f t="shared" si="22"/>
        <v>792000</v>
      </c>
      <c r="FV100" s="11">
        <f t="shared" si="23"/>
        <v>8</v>
      </c>
      <c r="FW100" s="11">
        <f t="shared" si="24"/>
        <v>24</v>
      </c>
      <c r="FX100" s="12">
        <f t="shared" si="25"/>
        <v>2</v>
      </c>
      <c r="FY100" s="12">
        <f t="shared" si="26"/>
        <v>6</v>
      </c>
    </row>
    <row r="101" spans="1:181" ht="43.5" customHeight="1" thickBot="1" x14ac:dyDescent="0.3">
      <c r="A101" s="372">
        <v>3516</v>
      </c>
      <c r="B101" s="2" t="s">
        <v>290</v>
      </c>
      <c r="C101" s="2" t="s">
        <v>291</v>
      </c>
      <c r="D101" s="2"/>
      <c r="E101" s="3">
        <v>45985</v>
      </c>
      <c r="F101" s="3">
        <f t="shared" si="30"/>
        <v>46041</v>
      </c>
      <c r="G101" s="4">
        <v>40</v>
      </c>
      <c r="H101" s="168">
        <v>160</v>
      </c>
      <c r="I101" s="377">
        <f t="shared" si="33"/>
        <v>-120</v>
      </c>
      <c r="J101" s="355" t="s">
        <v>1419</v>
      </c>
      <c r="K101" s="7">
        <v>200000</v>
      </c>
      <c r="L101" s="7">
        <v>270000</v>
      </c>
      <c r="M101" s="8">
        <f t="shared" ref="M101:M108" si="34">(L101/G101)*5</f>
        <v>33750</v>
      </c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  <c r="EB101" s="43"/>
      <c r="EC101" s="43"/>
      <c r="ED101" s="43"/>
      <c r="EE101" s="43"/>
      <c r="EF101" s="43"/>
      <c r="EG101" s="43"/>
      <c r="EH101" s="43"/>
      <c r="EI101" s="43"/>
      <c r="EJ101" s="43"/>
      <c r="EK101" s="43" t="s">
        <v>143</v>
      </c>
      <c r="EL101" s="43"/>
      <c r="EM101" s="43" t="s">
        <v>143</v>
      </c>
      <c r="EN101" s="43" t="s">
        <v>143</v>
      </c>
      <c r="EO101" s="43"/>
      <c r="EP101" s="43"/>
      <c r="EQ101" s="9"/>
      <c r="ER101" s="9"/>
      <c r="ES101" s="9" t="s">
        <v>143</v>
      </c>
      <c r="ET101" s="9"/>
      <c r="EU101" s="9"/>
      <c r="EV101" s="9" t="s">
        <v>143</v>
      </c>
      <c r="EW101" s="9"/>
      <c r="EX101" s="9"/>
      <c r="EY101" s="9"/>
      <c r="EZ101" s="9"/>
      <c r="FA101" s="9"/>
      <c r="FB101" s="9"/>
      <c r="FC101" s="9" t="s">
        <v>143</v>
      </c>
      <c r="FD101" s="9"/>
      <c r="FE101" s="9"/>
      <c r="FF101" s="9"/>
      <c r="FG101" s="9"/>
      <c r="FH101" s="9"/>
      <c r="FI101" s="9"/>
      <c r="FJ101" s="9"/>
      <c r="FK101" s="9"/>
      <c r="FL101" s="9" t="s">
        <v>143</v>
      </c>
      <c r="FM101" s="9"/>
      <c r="FN101" s="9"/>
      <c r="FO101" s="9"/>
      <c r="FP101" s="9"/>
      <c r="FQ101" s="9"/>
      <c r="FR101" s="9"/>
      <c r="FS101" s="9"/>
      <c r="FT101" s="9">
        <f t="shared" si="21"/>
        <v>0</v>
      </c>
      <c r="FU101" s="7">
        <f t="shared" si="22"/>
        <v>270000</v>
      </c>
      <c r="FV101" s="11">
        <f t="shared" si="23"/>
        <v>32</v>
      </c>
      <c r="FW101" s="11">
        <f t="shared" si="24"/>
        <v>-24</v>
      </c>
      <c r="FX101" s="12">
        <f t="shared" si="25"/>
        <v>8</v>
      </c>
      <c r="FY101" s="12">
        <f t="shared" si="26"/>
        <v>-6</v>
      </c>
    </row>
    <row r="102" spans="1:181" ht="43.5" customHeight="1" thickBot="1" x14ac:dyDescent="0.3">
      <c r="A102" s="4">
        <v>3440</v>
      </c>
      <c r="B102" s="27" t="s">
        <v>1367</v>
      </c>
      <c r="C102" s="27" t="s">
        <v>1368</v>
      </c>
      <c r="D102" s="2" t="s">
        <v>1369</v>
      </c>
      <c r="E102" s="3">
        <v>45943</v>
      </c>
      <c r="F102" s="3">
        <f t="shared" si="30"/>
        <v>46043</v>
      </c>
      <c r="G102" s="4">
        <v>72</v>
      </c>
      <c r="H102" s="377">
        <f t="shared" ref="H102:H133" si="35">(FT102* 5)/M102</f>
        <v>35</v>
      </c>
      <c r="I102" s="377">
        <f t="shared" si="33"/>
        <v>37</v>
      </c>
      <c r="J102" s="155" t="s">
        <v>165</v>
      </c>
      <c r="K102" s="7">
        <v>200000</v>
      </c>
      <c r="L102" s="7">
        <v>432000</v>
      </c>
      <c r="M102" s="8">
        <f t="shared" si="34"/>
        <v>30000</v>
      </c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  <c r="BZ102" s="43"/>
      <c r="CA102" s="43"/>
      <c r="CB102" s="43"/>
      <c r="CC102" s="43"/>
      <c r="CD102" s="43"/>
      <c r="CE102" s="43"/>
      <c r="CF102" s="43"/>
      <c r="CG102" s="43"/>
      <c r="CH102" s="43"/>
      <c r="CI102" s="43"/>
      <c r="CJ102" s="43"/>
      <c r="CK102" s="43"/>
      <c r="CL102" s="43"/>
      <c r="CM102" s="43"/>
      <c r="CN102" s="43"/>
      <c r="CO102" s="43"/>
      <c r="CP102" s="43"/>
      <c r="CQ102" s="43"/>
      <c r="CR102" s="43"/>
      <c r="CS102" s="43"/>
      <c r="CT102" s="43"/>
      <c r="CU102" s="43"/>
      <c r="CV102" s="43"/>
      <c r="CW102" s="43"/>
      <c r="CX102" s="43"/>
      <c r="CY102" s="43"/>
      <c r="CZ102" s="43"/>
      <c r="DA102" s="43"/>
      <c r="DB102" s="43"/>
      <c r="DC102" s="43"/>
      <c r="DD102" s="43"/>
      <c r="DE102" s="43"/>
      <c r="DF102" s="43"/>
      <c r="DG102" s="43"/>
      <c r="DH102" s="43"/>
      <c r="DI102" s="43"/>
      <c r="DJ102" s="43"/>
      <c r="DK102" s="43"/>
      <c r="DL102" s="43"/>
      <c r="DM102" s="43"/>
      <c r="DN102" s="43"/>
      <c r="DO102" s="43"/>
      <c r="DP102" s="43"/>
      <c r="DQ102" s="43"/>
      <c r="DR102" s="43"/>
      <c r="DS102" s="43"/>
      <c r="DT102" s="43"/>
      <c r="DU102" s="43"/>
      <c r="DV102" s="43"/>
      <c r="DW102" s="43"/>
      <c r="DX102" s="43"/>
      <c r="DY102" s="43"/>
      <c r="DZ102" s="43"/>
      <c r="EA102" s="43"/>
      <c r="EB102" s="43"/>
      <c r="EC102" s="43"/>
      <c r="ED102" s="43"/>
      <c r="EE102" s="43"/>
      <c r="EF102" s="43"/>
      <c r="EG102" s="43"/>
      <c r="EH102" s="43"/>
      <c r="EI102" s="43"/>
      <c r="EJ102" s="43"/>
      <c r="EK102" s="43" t="s">
        <v>143</v>
      </c>
      <c r="EL102" s="43"/>
      <c r="EM102" s="43" t="s">
        <v>143</v>
      </c>
      <c r="EN102" s="43" t="s">
        <v>143</v>
      </c>
      <c r="EO102" s="43"/>
      <c r="EP102" s="43"/>
      <c r="EQ102" s="9"/>
      <c r="ER102" s="9"/>
      <c r="ES102" s="9" t="s">
        <v>143</v>
      </c>
      <c r="ET102" s="9"/>
      <c r="EU102" s="9"/>
      <c r="EV102" s="9" t="s">
        <v>143</v>
      </c>
      <c r="EW102" s="9"/>
      <c r="EX102" s="9"/>
      <c r="EY102" s="9"/>
      <c r="EZ102" s="9"/>
      <c r="FA102" s="9"/>
      <c r="FB102" s="9"/>
      <c r="FC102" s="9" t="s">
        <v>143</v>
      </c>
      <c r="FD102" s="9"/>
      <c r="FE102" s="9"/>
      <c r="FF102" s="9"/>
      <c r="FG102" s="9"/>
      <c r="FH102" s="9"/>
      <c r="FI102" s="9"/>
      <c r="FJ102" s="9"/>
      <c r="FK102" s="9"/>
      <c r="FL102" s="9"/>
      <c r="FM102" s="9">
        <v>30000</v>
      </c>
      <c r="FN102" s="9">
        <v>30000</v>
      </c>
      <c r="FO102" s="9">
        <v>30000</v>
      </c>
      <c r="FP102" s="9">
        <v>30000</v>
      </c>
      <c r="FQ102" s="9">
        <v>30000</v>
      </c>
      <c r="FR102" s="9">
        <v>30000</v>
      </c>
      <c r="FS102" s="9">
        <v>30000</v>
      </c>
      <c r="FT102" s="9">
        <f t="shared" si="21"/>
        <v>210000</v>
      </c>
      <c r="FU102" s="7">
        <f t="shared" si="22"/>
        <v>222000</v>
      </c>
      <c r="FV102" s="11">
        <f t="shared" si="23"/>
        <v>7</v>
      </c>
      <c r="FW102" s="11">
        <f t="shared" si="24"/>
        <v>7.4</v>
      </c>
      <c r="FX102" s="12">
        <f t="shared" si="25"/>
        <v>1.75</v>
      </c>
      <c r="FY102" s="12">
        <f t="shared" si="26"/>
        <v>1.85</v>
      </c>
    </row>
    <row r="103" spans="1:181" ht="43.5" customHeight="1" thickBot="1" x14ac:dyDescent="0.3">
      <c r="A103" s="4">
        <v>3425</v>
      </c>
      <c r="B103" s="27" t="s">
        <v>294</v>
      </c>
      <c r="C103" s="27" t="s">
        <v>291</v>
      </c>
      <c r="D103" s="2"/>
      <c r="E103" s="3">
        <v>45934</v>
      </c>
      <c r="F103" s="3">
        <f t="shared" si="30"/>
        <v>46031</v>
      </c>
      <c r="G103" s="4">
        <v>70</v>
      </c>
      <c r="H103" s="377">
        <f t="shared" si="35"/>
        <v>40.006480881399874</v>
      </c>
      <c r="I103" s="377">
        <f t="shared" si="33"/>
        <v>29.993519118600126</v>
      </c>
      <c r="J103" s="155" t="s">
        <v>1430</v>
      </c>
      <c r="K103" s="7">
        <v>250000</v>
      </c>
      <c r="L103" s="7">
        <v>540050</v>
      </c>
      <c r="M103" s="8">
        <f t="shared" si="34"/>
        <v>38575</v>
      </c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  <c r="EB103" s="43"/>
      <c r="EC103" s="43"/>
      <c r="ED103" s="43"/>
      <c r="EE103" s="43"/>
      <c r="EF103" s="43"/>
      <c r="EG103" s="43"/>
      <c r="EH103" s="43"/>
      <c r="EI103" s="43"/>
      <c r="EJ103" s="43"/>
      <c r="EK103" s="43" t="s">
        <v>143</v>
      </c>
      <c r="EL103" s="43"/>
      <c r="EM103" s="43" t="s">
        <v>143</v>
      </c>
      <c r="EN103" s="43" t="s">
        <v>143</v>
      </c>
      <c r="EO103" s="43"/>
      <c r="EP103" s="43"/>
      <c r="EQ103" s="9"/>
      <c r="ER103" s="9"/>
      <c r="ES103" s="9" t="s">
        <v>143</v>
      </c>
      <c r="ET103" s="9"/>
      <c r="EU103" s="9"/>
      <c r="EV103" s="9" t="s">
        <v>143</v>
      </c>
      <c r="EW103" s="9"/>
      <c r="EX103" s="9"/>
      <c r="EY103" s="9"/>
      <c r="EZ103" s="9"/>
      <c r="FA103" s="9"/>
      <c r="FB103" s="9"/>
      <c r="FC103" s="9" t="s">
        <v>143</v>
      </c>
      <c r="FD103" s="9"/>
      <c r="FE103" s="9"/>
      <c r="FF103" s="9"/>
      <c r="FG103" s="9"/>
      <c r="FH103" s="9"/>
      <c r="FI103" s="9"/>
      <c r="FJ103" s="9"/>
      <c r="FK103" s="9"/>
      <c r="FL103" s="9"/>
      <c r="FM103" s="9">
        <v>77200</v>
      </c>
      <c r="FN103" s="9"/>
      <c r="FO103" s="9">
        <v>77150</v>
      </c>
      <c r="FP103" s="9"/>
      <c r="FQ103" s="9"/>
      <c r="FR103" s="9">
        <v>77150</v>
      </c>
      <c r="FS103" s="9">
        <v>77150</v>
      </c>
      <c r="FT103" s="9">
        <f t="shared" si="21"/>
        <v>308650</v>
      </c>
      <c r="FU103" s="7">
        <f t="shared" si="22"/>
        <v>231400</v>
      </c>
      <c r="FV103" s="11">
        <f t="shared" si="23"/>
        <v>8.0012961762799755</v>
      </c>
      <c r="FW103" s="11">
        <f t="shared" si="24"/>
        <v>5.9987038237200254</v>
      </c>
      <c r="FX103" s="12">
        <f t="shared" si="25"/>
        <v>2.0003240440699939</v>
      </c>
      <c r="FY103" s="12">
        <f t="shared" si="26"/>
        <v>1.4996759559300064</v>
      </c>
    </row>
    <row r="104" spans="1:181" ht="43.5" customHeight="1" thickBot="1" x14ac:dyDescent="0.3">
      <c r="A104" s="4">
        <v>3373</v>
      </c>
      <c r="B104" s="155" t="s">
        <v>942</v>
      </c>
      <c r="C104" s="155" t="s">
        <v>943</v>
      </c>
      <c r="D104" s="155">
        <v>37095915</v>
      </c>
      <c r="E104" s="156">
        <v>45898</v>
      </c>
      <c r="F104" s="3">
        <f>WORKDAY(E104,G104)</f>
        <v>46010</v>
      </c>
      <c r="G104" s="164">
        <v>80</v>
      </c>
      <c r="H104" s="377">
        <f t="shared" si="35"/>
        <v>40</v>
      </c>
      <c r="I104" s="377">
        <f t="shared" si="33"/>
        <v>40</v>
      </c>
      <c r="J104" s="355" t="s">
        <v>149</v>
      </c>
      <c r="K104" s="158">
        <v>100000</v>
      </c>
      <c r="L104" s="158">
        <v>216000</v>
      </c>
      <c r="M104" s="8">
        <f t="shared" si="34"/>
        <v>13500</v>
      </c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43"/>
      <c r="BR104" s="43"/>
      <c r="BS104" s="43"/>
      <c r="BT104" s="43"/>
      <c r="BU104" s="43"/>
      <c r="BV104" s="43"/>
      <c r="BW104" s="43"/>
      <c r="BX104" s="43"/>
      <c r="BY104" s="43"/>
      <c r="BZ104" s="43"/>
      <c r="CA104" s="43"/>
      <c r="CB104" s="43"/>
      <c r="CC104" s="43"/>
      <c r="CD104" s="43"/>
      <c r="CE104" s="43"/>
      <c r="CF104" s="43"/>
      <c r="CG104" s="43"/>
      <c r="CH104" s="43"/>
      <c r="CI104" s="43"/>
      <c r="CJ104" s="43"/>
      <c r="CK104" s="43"/>
      <c r="CL104" s="43"/>
      <c r="CM104" s="43"/>
      <c r="CN104" s="43"/>
      <c r="CO104" s="43"/>
      <c r="CP104" s="43"/>
      <c r="CQ104" s="43"/>
      <c r="CR104" s="43"/>
      <c r="CS104" s="43"/>
      <c r="CT104" s="43"/>
      <c r="CU104" s="43"/>
      <c r="CV104" s="43"/>
      <c r="CW104" s="43"/>
      <c r="CX104" s="43"/>
      <c r="CY104" s="43"/>
      <c r="CZ104" s="43"/>
      <c r="DA104" s="43"/>
      <c r="DB104" s="43"/>
      <c r="DC104" s="43"/>
      <c r="DD104" s="43"/>
      <c r="DE104" s="43"/>
      <c r="DF104" s="43"/>
      <c r="DG104" s="43"/>
      <c r="DH104" s="43"/>
      <c r="DI104" s="43"/>
      <c r="DJ104" s="43"/>
      <c r="DK104" s="43"/>
      <c r="DL104" s="43"/>
      <c r="DM104" s="43"/>
      <c r="DN104" s="43"/>
      <c r="DO104" s="43"/>
      <c r="DP104" s="43"/>
      <c r="DQ104" s="43"/>
      <c r="DR104" s="43"/>
      <c r="DS104" s="43"/>
      <c r="DT104" s="43"/>
      <c r="DU104" s="43"/>
      <c r="DV104" s="43"/>
      <c r="DW104" s="43"/>
      <c r="DX104" s="43"/>
      <c r="DY104" s="43"/>
      <c r="DZ104" s="43"/>
      <c r="EA104" s="43"/>
      <c r="EB104" s="43"/>
      <c r="EC104" s="43"/>
      <c r="ED104" s="43"/>
      <c r="EE104" s="43"/>
      <c r="EF104" s="43"/>
      <c r="EG104" s="43"/>
      <c r="EH104" s="43"/>
      <c r="EI104" s="43"/>
      <c r="EJ104" s="43"/>
      <c r="EK104" s="43" t="s">
        <v>143</v>
      </c>
      <c r="EL104" s="43"/>
      <c r="EM104" s="43" t="s">
        <v>143</v>
      </c>
      <c r="EN104" s="43" t="s">
        <v>143</v>
      </c>
      <c r="EO104" s="43"/>
      <c r="EP104" s="43"/>
      <c r="EQ104" s="9"/>
      <c r="ER104" s="9"/>
      <c r="ES104" s="9" t="s">
        <v>143</v>
      </c>
      <c r="ET104" s="9"/>
      <c r="EU104" s="9"/>
      <c r="EV104" s="9" t="s">
        <v>143</v>
      </c>
      <c r="EW104" s="9"/>
      <c r="EX104" s="9"/>
      <c r="EY104" s="9"/>
      <c r="EZ104" s="9"/>
      <c r="FA104" s="9"/>
      <c r="FB104" s="9"/>
      <c r="FC104" s="9" t="s">
        <v>143</v>
      </c>
      <c r="FD104" s="9"/>
      <c r="FE104" s="9"/>
      <c r="FF104" s="9"/>
      <c r="FG104" s="9"/>
      <c r="FH104" s="9"/>
      <c r="FI104" s="9"/>
      <c r="FJ104" s="9"/>
      <c r="FK104" s="9"/>
      <c r="FL104" s="9">
        <v>54000</v>
      </c>
      <c r="FM104" s="9"/>
      <c r="FN104" s="9"/>
      <c r="FO104" s="9"/>
      <c r="FP104" s="9"/>
      <c r="FQ104" s="9">
        <v>54000</v>
      </c>
      <c r="FR104" s="9"/>
      <c r="FS104" s="9"/>
      <c r="FT104" s="9">
        <f t="shared" si="21"/>
        <v>108000</v>
      </c>
      <c r="FU104" s="7">
        <f t="shared" si="22"/>
        <v>108000</v>
      </c>
      <c r="FV104" s="11">
        <f t="shared" si="23"/>
        <v>8</v>
      </c>
      <c r="FW104" s="11">
        <f t="shared" si="24"/>
        <v>8</v>
      </c>
      <c r="FX104" s="12">
        <f t="shared" si="25"/>
        <v>2</v>
      </c>
      <c r="FY104" s="12">
        <f t="shared" si="26"/>
        <v>2</v>
      </c>
    </row>
    <row r="105" spans="1:181" ht="43.5" customHeight="1" thickBot="1" x14ac:dyDescent="0.3">
      <c r="A105" s="4">
        <v>3458</v>
      </c>
      <c r="B105" s="155" t="s">
        <v>942</v>
      </c>
      <c r="C105" s="155" t="s">
        <v>943</v>
      </c>
      <c r="D105" s="155">
        <v>37095915</v>
      </c>
      <c r="E105" s="156">
        <v>45953</v>
      </c>
      <c r="F105" s="3">
        <f t="shared" ref="F105" si="36">WORKDAY(E105,G105)</f>
        <v>46037</v>
      </c>
      <c r="G105" s="164">
        <v>60</v>
      </c>
      <c r="H105" s="377">
        <f t="shared" si="35"/>
        <v>20</v>
      </c>
      <c r="I105" s="377">
        <f t="shared" si="33"/>
        <v>40</v>
      </c>
      <c r="J105" s="355" t="s">
        <v>1395</v>
      </c>
      <c r="K105" s="162">
        <v>200000</v>
      </c>
      <c r="L105" s="162">
        <v>384000</v>
      </c>
      <c r="M105" s="8">
        <f t="shared" si="34"/>
        <v>32000</v>
      </c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  <c r="CC105" s="43"/>
      <c r="CD105" s="43"/>
      <c r="CE105" s="43"/>
      <c r="CF105" s="43"/>
      <c r="CG105" s="43"/>
      <c r="CH105" s="43"/>
      <c r="CI105" s="43"/>
      <c r="CJ105" s="43"/>
      <c r="CK105" s="43"/>
      <c r="CL105" s="43"/>
      <c r="CM105" s="43"/>
      <c r="CN105" s="43"/>
      <c r="CO105" s="43"/>
      <c r="CP105" s="43"/>
      <c r="CQ105" s="43"/>
      <c r="CR105" s="43"/>
      <c r="CS105" s="43"/>
      <c r="CT105" s="43"/>
      <c r="CU105" s="43"/>
      <c r="CV105" s="43"/>
      <c r="CW105" s="43"/>
      <c r="CX105" s="43"/>
      <c r="CY105" s="43"/>
      <c r="CZ105" s="43"/>
      <c r="DA105" s="43"/>
      <c r="DB105" s="43"/>
      <c r="DC105" s="43"/>
      <c r="DD105" s="43"/>
      <c r="DE105" s="43"/>
      <c r="DF105" s="43"/>
      <c r="DG105" s="43"/>
      <c r="DH105" s="43"/>
      <c r="DI105" s="43"/>
      <c r="DJ105" s="43"/>
      <c r="DK105" s="43"/>
      <c r="DL105" s="43"/>
      <c r="DM105" s="43"/>
      <c r="DN105" s="43"/>
      <c r="DO105" s="43"/>
      <c r="DP105" s="43"/>
      <c r="DQ105" s="43"/>
      <c r="DR105" s="43"/>
      <c r="DS105" s="43"/>
      <c r="DT105" s="43"/>
      <c r="DU105" s="43"/>
      <c r="DV105" s="43"/>
      <c r="DW105" s="43"/>
      <c r="DX105" s="43"/>
      <c r="DY105" s="43"/>
      <c r="DZ105" s="43"/>
      <c r="EA105" s="43"/>
      <c r="EB105" s="43"/>
      <c r="EC105" s="43"/>
      <c r="ED105" s="43"/>
      <c r="EE105" s="43"/>
      <c r="EF105" s="43"/>
      <c r="EG105" s="43"/>
      <c r="EH105" s="43"/>
      <c r="EI105" s="43"/>
      <c r="EJ105" s="43"/>
      <c r="EK105" s="43" t="s">
        <v>143</v>
      </c>
      <c r="EL105" s="43"/>
      <c r="EM105" s="43" t="s">
        <v>143</v>
      </c>
      <c r="EN105" s="43" t="s">
        <v>143</v>
      </c>
      <c r="EO105" s="43"/>
      <c r="EP105" s="43"/>
      <c r="EQ105" s="9"/>
      <c r="ER105" s="9"/>
      <c r="ES105" s="9" t="s">
        <v>143</v>
      </c>
      <c r="ET105" s="9"/>
      <c r="EU105" s="9"/>
      <c r="EV105" s="9" t="s">
        <v>143</v>
      </c>
      <c r="EW105" s="9"/>
      <c r="EX105" s="9"/>
      <c r="EY105" s="9"/>
      <c r="EZ105" s="9"/>
      <c r="FA105" s="9"/>
      <c r="FB105" s="9"/>
      <c r="FC105" s="9" t="s">
        <v>143</v>
      </c>
      <c r="FD105" s="9"/>
      <c r="FE105" s="9"/>
      <c r="FF105" s="9"/>
      <c r="FG105" s="9"/>
      <c r="FH105" s="9"/>
      <c r="FI105" s="9"/>
      <c r="FJ105" s="9"/>
      <c r="FK105" s="9"/>
      <c r="FL105" s="9" t="s">
        <v>143</v>
      </c>
      <c r="FM105" s="9"/>
      <c r="FN105" s="9"/>
      <c r="FO105" s="9"/>
      <c r="FP105" s="9"/>
      <c r="FQ105" s="9">
        <v>128000</v>
      </c>
      <c r="FR105" s="9"/>
      <c r="FS105" s="9"/>
      <c r="FT105" s="9">
        <f t="shared" si="21"/>
        <v>128000</v>
      </c>
      <c r="FU105" s="7">
        <f t="shared" si="22"/>
        <v>256000</v>
      </c>
      <c r="FV105" s="11">
        <f t="shared" si="23"/>
        <v>4</v>
      </c>
      <c r="FW105" s="11">
        <f t="shared" si="24"/>
        <v>8</v>
      </c>
      <c r="FX105" s="12">
        <f t="shared" si="25"/>
        <v>1</v>
      </c>
      <c r="FY105" s="12">
        <f t="shared" si="26"/>
        <v>2</v>
      </c>
    </row>
    <row r="106" spans="1:181" ht="43.5" customHeight="1" thickBot="1" x14ac:dyDescent="0.3">
      <c r="A106" s="4">
        <v>3344</v>
      </c>
      <c r="B106" s="27" t="s">
        <v>296</v>
      </c>
      <c r="C106" s="27" t="s">
        <v>297</v>
      </c>
      <c r="D106" s="2">
        <v>13589728</v>
      </c>
      <c r="E106" s="3">
        <v>45880</v>
      </c>
      <c r="F106" s="3">
        <f t="shared" ref="F106:F117" si="37">WORKDAY(E106,G106)</f>
        <v>46160</v>
      </c>
      <c r="G106" s="4">
        <v>200</v>
      </c>
      <c r="H106" s="377">
        <f t="shared" si="35"/>
        <v>60.008012820512818</v>
      </c>
      <c r="I106" s="377">
        <f t="shared" si="33"/>
        <v>139.99198717948718</v>
      </c>
      <c r="J106" s="355" t="s">
        <v>1305</v>
      </c>
      <c r="K106" s="20">
        <v>800000</v>
      </c>
      <c r="L106" s="7">
        <v>2496000</v>
      </c>
      <c r="M106" s="8">
        <f t="shared" si="34"/>
        <v>62400</v>
      </c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/>
      <c r="CI106" s="43"/>
      <c r="CJ106" s="43"/>
      <c r="CK106" s="43"/>
      <c r="CL106" s="43"/>
      <c r="CM106" s="43"/>
      <c r="CN106" s="43"/>
      <c r="CO106" s="43"/>
      <c r="CP106" s="43"/>
      <c r="CQ106" s="43"/>
      <c r="CR106" s="43"/>
      <c r="CS106" s="43"/>
      <c r="CT106" s="43"/>
      <c r="CU106" s="43"/>
      <c r="CV106" s="43"/>
      <c r="CW106" s="43"/>
      <c r="CX106" s="43"/>
      <c r="CY106" s="43"/>
      <c r="CZ106" s="43"/>
      <c r="DA106" s="43"/>
      <c r="DB106" s="43"/>
      <c r="DC106" s="43"/>
      <c r="DD106" s="43"/>
      <c r="DE106" s="43"/>
      <c r="DF106" s="43"/>
      <c r="DG106" s="43"/>
      <c r="DH106" s="43"/>
      <c r="DI106" s="43"/>
      <c r="DJ106" s="43"/>
      <c r="DK106" s="43"/>
      <c r="DL106" s="43"/>
      <c r="DM106" s="43"/>
      <c r="DN106" s="43"/>
      <c r="DO106" s="43"/>
      <c r="DP106" s="43"/>
      <c r="DQ106" s="43"/>
      <c r="DR106" s="43"/>
      <c r="DS106" s="43"/>
      <c r="DT106" s="43"/>
      <c r="DU106" s="43"/>
      <c r="DV106" s="43"/>
      <c r="DW106" s="43"/>
      <c r="DX106" s="43"/>
      <c r="DY106" s="43"/>
      <c r="DZ106" s="43"/>
      <c r="EA106" s="43"/>
      <c r="EB106" s="43"/>
      <c r="EC106" s="43"/>
      <c r="ED106" s="43"/>
      <c r="EE106" s="43"/>
      <c r="EF106" s="43"/>
      <c r="EG106" s="43"/>
      <c r="EH106" s="43"/>
      <c r="EI106" s="43"/>
      <c r="EJ106" s="43"/>
      <c r="EK106" s="43" t="s">
        <v>143</v>
      </c>
      <c r="EL106" s="43"/>
      <c r="EM106" s="43" t="s">
        <v>143</v>
      </c>
      <c r="EN106" s="43" t="s">
        <v>143</v>
      </c>
      <c r="EO106" s="43"/>
      <c r="EP106" s="43"/>
      <c r="EQ106" s="9"/>
      <c r="ER106" s="9"/>
      <c r="ES106" s="9" t="s">
        <v>143</v>
      </c>
      <c r="ET106" s="9"/>
      <c r="EU106" s="9"/>
      <c r="EV106" s="9" t="s">
        <v>143</v>
      </c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>
        <v>249700</v>
      </c>
      <c r="FI106" s="9"/>
      <c r="FJ106" s="9"/>
      <c r="FK106" s="9"/>
      <c r="FL106" s="9"/>
      <c r="FM106" s="9">
        <v>249600</v>
      </c>
      <c r="FN106" s="9"/>
      <c r="FO106" s="9"/>
      <c r="FP106" s="9"/>
      <c r="FQ106" s="9">
        <v>249600</v>
      </c>
      <c r="FR106" s="9"/>
      <c r="FS106" s="9"/>
      <c r="FT106" s="9">
        <f t="shared" si="21"/>
        <v>748900</v>
      </c>
      <c r="FU106" s="7">
        <f t="shared" si="22"/>
        <v>1747100</v>
      </c>
      <c r="FV106" s="11">
        <f t="shared" si="23"/>
        <v>12.001602564102564</v>
      </c>
      <c r="FW106" s="11">
        <f t="shared" si="24"/>
        <v>27.998397435897438</v>
      </c>
      <c r="FX106" s="12">
        <f t="shared" si="25"/>
        <v>3.000400641025641</v>
      </c>
      <c r="FY106" s="12">
        <f t="shared" si="26"/>
        <v>6.9995993589743595</v>
      </c>
    </row>
    <row r="107" spans="1:181" ht="43.5" customHeight="1" thickBot="1" x14ac:dyDescent="0.3">
      <c r="A107" s="4">
        <v>3478</v>
      </c>
      <c r="B107" s="155" t="s">
        <v>582</v>
      </c>
      <c r="C107" s="155" t="s">
        <v>305</v>
      </c>
      <c r="D107" s="155"/>
      <c r="E107" s="3">
        <v>45963</v>
      </c>
      <c r="F107" s="3">
        <f t="shared" si="37"/>
        <v>46073</v>
      </c>
      <c r="G107" s="29">
        <v>80</v>
      </c>
      <c r="H107" s="377">
        <f t="shared" si="35"/>
        <v>0</v>
      </c>
      <c r="I107" s="377">
        <f t="shared" si="33"/>
        <v>80</v>
      </c>
      <c r="J107" s="363" t="s">
        <v>1391</v>
      </c>
      <c r="K107" s="170">
        <v>200000</v>
      </c>
      <c r="L107" s="7">
        <v>432000</v>
      </c>
      <c r="M107" s="8">
        <f t="shared" si="34"/>
        <v>27000</v>
      </c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/>
      <c r="CI107" s="43"/>
      <c r="CJ107" s="43"/>
      <c r="CK107" s="43"/>
      <c r="CL107" s="43"/>
      <c r="CM107" s="43"/>
      <c r="CN107" s="43"/>
      <c r="CO107" s="43"/>
      <c r="CP107" s="43"/>
      <c r="CQ107" s="43"/>
      <c r="CR107" s="43"/>
      <c r="CS107" s="43"/>
      <c r="CT107" s="43"/>
      <c r="CU107" s="43"/>
      <c r="CV107" s="43"/>
      <c r="CW107" s="43"/>
      <c r="CX107" s="43"/>
      <c r="CY107" s="43"/>
      <c r="CZ107" s="43"/>
      <c r="DA107" s="43"/>
      <c r="DB107" s="43"/>
      <c r="DC107" s="43"/>
      <c r="DD107" s="43"/>
      <c r="DE107" s="43"/>
      <c r="DF107" s="43"/>
      <c r="DG107" s="43"/>
      <c r="DH107" s="43"/>
      <c r="DI107" s="43"/>
      <c r="DJ107" s="43"/>
      <c r="DK107" s="43"/>
      <c r="DL107" s="43"/>
      <c r="DM107" s="43"/>
      <c r="DN107" s="43"/>
      <c r="DO107" s="43"/>
      <c r="DP107" s="43"/>
      <c r="DQ107" s="43"/>
      <c r="DR107" s="43"/>
      <c r="DS107" s="43"/>
      <c r="DT107" s="43"/>
      <c r="DU107" s="43"/>
      <c r="DV107" s="43"/>
      <c r="DW107" s="43"/>
      <c r="DX107" s="43"/>
      <c r="DY107" s="43"/>
      <c r="DZ107" s="43"/>
      <c r="EA107" s="43"/>
      <c r="EB107" s="43"/>
      <c r="EC107" s="43"/>
      <c r="ED107" s="43"/>
      <c r="EE107" s="43"/>
      <c r="EF107" s="43"/>
      <c r="EG107" s="43"/>
      <c r="EH107" s="43"/>
      <c r="EI107" s="43"/>
      <c r="EJ107" s="43"/>
      <c r="EK107" s="43" t="s">
        <v>143</v>
      </c>
      <c r="EL107" s="43"/>
      <c r="EM107" s="43" t="s">
        <v>143</v>
      </c>
      <c r="EN107" s="43" t="s">
        <v>143</v>
      </c>
      <c r="EO107" s="43"/>
      <c r="EP107" s="43"/>
      <c r="EQ107" s="9"/>
      <c r="ER107" s="9"/>
      <c r="ES107" s="9" t="s">
        <v>143</v>
      </c>
      <c r="ET107" s="9"/>
      <c r="EU107" s="9"/>
      <c r="EV107" s="9" t="s">
        <v>143</v>
      </c>
      <c r="EW107" s="9"/>
      <c r="EX107" s="9"/>
      <c r="EY107" s="9"/>
      <c r="EZ107" s="9"/>
      <c r="FA107" s="9"/>
      <c r="FB107" s="9"/>
      <c r="FC107" s="9" t="s">
        <v>143</v>
      </c>
      <c r="FD107" s="9"/>
      <c r="FE107" s="9"/>
      <c r="FF107" s="9"/>
      <c r="FG107" s="9"/>
      <c r="FH107" s="9"/>
      <c r="FI107" s="9"/>
      <c r="FJ107" s="9"/>
      <c r="FK107" s="9"/>
      <c r="FL107" s="9" t="s">
        <v>143</v>
      </c>
      <c r="FM107" s="9"/>
      <c r="FN107" s="9"/>
      <c r="FO107" s="9"/>
      <c r="FP107" s="9"/>
      <c r="FQ107" s="9"/>
      <c r="FR107" s="9"/>
      <c r="FS107" s="9"/>
      <c r="FT107" s="9">
        <f t="shared" si="21"/>
        <v>0</v>
      </c>
      <c r="FU107" s="7">
        <f t="shared" si="22"/>
        <v>432000</v>
      </c>
      <c r="FV107" s="11">
        <f t="shared" si="23"/>
        <v>0</v>
      </c>
      <c r="FW107" s="11">
        <f t="shared" si="24"/>
        <v>16</v>
      </c>
      <c r="FX107" s="12">
        <f t="shared" si="25"/>
        <v>0</v>
      </c>
      <c r="FY107" s="12">
        <f t="shared" si="26"/>
        <v>4</v>
      </c>
    </row>
    <row r="108" spans="1:181" ht="43.5" customHeight="1" thickBot="1" x14ac:dyDescent="0.3">
      <c r="A108" s="372">
        <v>3519</v>
      </c>
      <c r="B108" s="155" t="s">
        <v>582</v>
      </c>
      <c r="C108" s="155" t="s">
        <v>305</v>
      </c>
      <c r="D108" s="155"/>
      <c r="E108" s="3">
        <v>45987</v>
      </c>
      <c r="F108" s="3">
        <f t="shared" si="37"/>
        <v>46099</v>
      </c>
      <c r="G108" s="29">
        <v>80</v>
      </c>
      <c r="H108" s="377">
        <f t="shared" si="35"/>
        <v>0</v>
      </c>
      <c r="I108" s="377">
        <f t="shared" si="33"/>
        <v>80</v>
      </c>
      <c r="J108" s="363" t="s">
        <v>306</v>
      </c>
      <c r="K108" s="2">
        <v>100000</v>
      </c>
      <c r="L108" s="10">
        <v>216000</v>
      </c>
      <c r="M108" s="8">
        <f t="shared" si="34"/>
        <v>13500</v>
      </c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3"/>
      <c r="CA108" s="43"/>
      <c r="CB108" s="43"/>
      <c r="CC108" s="43"/>
      <c r="CD108" s="43"/>
      <c r="CE108" s="43"/>
      <c r="CF108" s="43"/>
      <c r="CG108" s="43"/>
      <c r="CH108" s="43"/>
      <c r="CI108" s="43"/>
      <c r="CJ108" s="43"/>
      <c r="CK108" s="43"/>
      <c r="CL108" s="43"/>
      <c r="CM108" s="43"/>
      <c r="CN108" s="43"/>
      <c r="CO108" s="43"/>
      <c r="CP108" s="43"/>
      <c r="CQ108" s="43"/>
      <c r="CR108" s="43"/>
      <c r="CS108" s="43"/>
      <c r="CT108" s="43"/>
      <c r="CU108" s="43"/>
      <c r="CV108" s="43"/>
      <c r="CW108" s="43"/>
      <c r="CX108" s="43"/>
      <c r="CY108" s="43"/>
      <c r="CZ108" s="43"/>
      <c r="DA108" s="43"/>
      <c r="DB108" s="43"/>
      <c r="DC108" s="43"/>
      <c r="DD108" s="43"/>
      <c r="DE108" s="43"/>
      <c r="DF108" s="43"/>
      <c r="DG108" s="43"/>
      <c r="DH108" s="43"/>
      <c r="DI108" s="43"/>
      <c r="DJ108" s="43"/>
      <c r="DK108" s="43"/>
      <c r="DL108" s="43"/>
      <c r="DM108" s="43"/>
      <c r="DN108" s="43"/>
      <c r="DO108" s="43"/>
      <c r="DP108" s="43"/>
      <c r="DQ108" s="43"/>
      <c r="DR108" s="43"/>
      <c r="DS108" s="43"/>
      <c r="DT108" s="43"/>
      <c r="DU108" s="43"/>
      <c r="DV108" s="43"/>
      <c r="DW108" s="43"/>
      <c r="DX108" s="43"/>
      <c r="DY108" s="43"/>
      <c r="DZ108" s="43"/>
      <c r="EA108" s="43"/>
      <c r="EB108" s="43"/>
      <c r="EC108" s="43"/>
      <c r="ED108" s="43"/>
      <c r="EE108" s="43"/>
      <c r="EF108" s="43"/>
      <c r="EG108" s="43"/>
      <c r="EH108" s="43"/>
      <c r="EI108" s="43"/>
      <c r="EJ108" s="43"/>
      <c r="EK108" s="43" t="s">
        <v>143</v>
      </c>
      <c r="EL108" s="43"/>
      <c r="EM108" s="43" t="s">
        <v>143</v>
      </c>
      <c r="EN108" s="43" t="s">
        <v>143</v>
      </c>
      <c r="EO108" s="43"/>
      <c r="EP108" s="43"/>
      <c r="EQ108" s="9"/>
      <c r="ER108" s="9"/>
      <c r="ES108" s="9" t="s">
        <v>143</v>
      </c>
      <c r="ET108" s="9"/>
      <c r="EU108" s="9"/>
      <c r="EV108" s="9" t="s">
        <v>143</v>
      </c>
      <c r="EW108" s="9"/>
      <c r="EX108" s="9"/>
      <c r="EY108" s="9"/>
      <c r="EZ108" s="9"/>
      <c r="FA108" s="9"/>
      <c r="FB108" s="9"/>
      <c r="FC108" s="9" t="s">
        <v>143</v>
      </c>
      <c r="FD108" s="9"/>
      <c r="FE108" s="9"/>
      <c r="FF108" s="9"/>
      <c r="FG108" s="9"/>
      <c r="FH108" s="9"/>
      <c r="FI108" s="9"/>
      <c r="FJ108" s="9"/>
      <c r="FK108" s="9"/>
      <c r="FL108" s="9" t="s">
        <v>143</v>
      </c>
      <c r="FM108" s="9"/>
      <c r="FN108" s="9"/>
      <c r="FO108" s="9"/>
      <c r="FP108" s="9"/>
      <c r="FQ108" s="9"/>
      <c r="FR108" s="9"/>
      <c r="FS108" s="9"/>
      <c r="FT108" s="9">
        <f t="shared" si="21"/>
        <v>0</v>
      </c>
      <c r="FU108" s="7">
        <f t="shared" si="22"/>
        <v>216000</v>
      </c>
      <c r="FV108" s="11">
        <f t="shared" si="23"/>
        <v>0</v>
      </c>
      <c r="FW108" s="11">
        <f t="shared" si="24"/>
        <v>16</v>
      </c>
      <c r="FX108" s="12">
        <f t="shared" si="25"/>
        <v>0</v>
      </c>
      <c r="FY108" s="12">
        <f t="shared" si="26"/>
        <v>4</v>
      </c>
    </row>
    <row r="109" spans="1:181" ht="43.5" customHeight="1" thickBot="1" x14ac:dyDescent="0.3">
      <c r="A109" s="372">
        <v>3508</v>
      </c>
      <c r="B109" s="2" t="s">
        <v>707</v>
      </c>
      <c r="C109" s="2"/>
      <c r="D109" s="2"/>
      <c r="E109" s="3">
        <v>45982</v>
      </c>
      <c r="F109" s="3">
        <f t="shared" si="37"/>
        <v>45989</v>
      </c>
      <c r="G109" s="4">
        <v>5</v>
      </c>
      <c r="H109" s="377" t="e">
        <f t="shared" si="35"/>
        <v>#DIV/0!</v>
      </c>
      <c r="I109" s="377" t="e">
        <f t="shared" si="33"/>
        <v>#DIV/0!</v>
      </c>
      <c r="J109" s="2" t="s">
        <v>403</v>
      </c>
      <c r="K109" s="20">
        <v>200000</v>
      </c>
      <c r="L109" s="7">
        <v>260000</v>
      </c>
      <c r="M109" s="8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  <c r="CS109" s="43"/>
      <c r="CT109" s="43"/>
      <c r="CU109" s="43"/>
      <c r="CV109" s="43"/>
      <c r="CW109" s="43"/>
      <c r="CX109" s="43"/>
      <c r="CY109" s="43"/>
      <c r="CZ109" s="43"/>
      <c r="DA109" s="43"/>
      <c r="DB109" s="43"/>
      <c r="DC109" s="43"/>
      <c r="DD109" s="43"/>
      <c r="DE109" s="43"/>
      <c r="DF109" s="43"/>
      <c r="DG109" s="43"/>
      <c r="DH109" s="43"/>
      <c r="DI109" s="43"/>
      <c r="DJ109" s="43"/>
      <c r="DK109" s="43"/>
      <c r="DL109" s="43"/>
      <c r="DM109" s="43"/>
      <c r="DN109" s="43"/>
      <c r="DO109" s="43"/>
      <c r="DP109" s="43"/>
      <c r="DQ109" s="43"/>
      <c r="DR109" s="43"/>
      <c r="DS109" s="43"/>
      <c r="DT109" s="43"/>
      <c r="DU109" s="43"/>
      <c r="DV109" s="43"/>
      <c r="DW109" s="43"/>
      <c r="DX109" s="43"/>
      <c r="DY109" s="43"/>
      <c r="DZ109" s="43"/>
      <c r="EA109" s="43"/>
      <c r="EB109" s="43"/>
      <c r="EC109" s="43"/>
      <c r="ED109" s="43"/>
      <c r="EE109" s="43"/>
      <c r="EF109" s="43"/>
      <c r="EG109" s="43"/>
      <c r="EH109" s="43"/>
      <c r="EI109" s="43"/>
      <c r="EJ109" s="43"/>
      <c r="EK109" s="43" t="s">
        <v>143</v>
      </c>
      <c r="EL109" s="43"/>
      <c r="EM109" s="43" t="s">
        <v>143</v>
      </c>
      <c r="EN109" s="43" t="s">
        <v>143</v>
      </c>
      <c r="EO109" s="43"/>
      <c r="EP109" s="43"/>
      <c r="EQ109" s="9"/>
      <c r="ER109" s="9"/>
      <c r="ES109" s="9" t="s">
        <v>143</v>
      </c>
      <c r="ET109" s="9"/>
      <c r="EU109" s="9"/>
      <c r="EV109" s="9" t="s">
        <v>143</v>
      </c>
      <c r="EW109" s="9"/>
      <c r="EX109" s="9"/>
      <c r="EY109" s="9"/>
      <c r="EZ109" s="9"/>
      <c r="FA109" s="9"/>
      <c r="FB109" s="9"/>
      <c r="FC109" s="9" t="s">
        <v>143</v>
      </c>
      <c r="FD109" s="9"/>
      <c r="FE109" s="9"/>
      <c r="FF109" s="9"/>
      <c r="FG109" s="9"/>
      <c r="FH109" s="9"/>
      <c r="FI109" s="9"/>
      <c r="FJ109" s="9"/>
      <c r="FK109" s="9"/>
      <c r="FL109" s="9" t="s">
        <v>143</v>
      </c>
      <c r="FM109" s="9"/>
      <c r="FN109" s="9"/>
      <c r="FO109" s="9"/>
      <c r="FP109" s="9"/>
      <c r="FQ109" s="9"/>
      <c r="FR109" s="9"/>
      <c r="FS109" s="9">
        <v>260000</v>
      </c>
      <c r="FT109" s="9">
        <f t="shared" si="21"/>
        <v>260000</v>
      </c>
      <c r="FU109" s="7">
        <f t="shared" si="22"/>
        <v>0</v>
      </c>
      <c r="FV109" s="11" t="e">
        <f t="shared" si="23"/>
        <v>#DIV/0!</v>
      </c>
      <c r="FW109" s="11" t="e">
        <f t="shared" si="24"/>
        <v>#DIV/0!</v>
      </c>
      <c r="FX109" s="12" t="e">
        <f t="shared" si="25"/>
        <v>#DIV/0!</v>
      </c>
      <c r="FY109" s="12" t="e">
        <f t="shared" si="26"/>
        <v>#DIV/0!</v>
      </c>
    </row>
    <row r="110" spans="1:181" ht="43.5" customHeight="1" thickBot="1" x14ac:dyDescent="0.3">
      <c r="A110" s="4">
        <v>3200</v>
      </c>
      <c r="B110" s="27" t="s">
        <v>299</v>
      </c>
      <c r="C110" s="27" t="s">
        <v>300</v>
      </c>
      <c r="D110" s="2"/>
      <c r="E110" s="3">
        <v>45794</v>
      </c>
      <c r="F110" s="3">
        <f t="shared" si="37"/>
        <v>45961</v>
      </c>
      <c r="G110" s="4">
        <v>120</v>
      </c>
      <c r="H110" s="377">
        <f t="shared" si="35"/>
        <v>102.72727272727273</v>
      </c>
      <c r="I110" s="377">
        <f t="shared" si="33"/>
        <v>17.272727272727266</v>
      </c>
      <c r="J110" s="357" t="s">
        <v>1232</v>
      </c>
      <c r="K110" s="7">
        <v>120000</v>
      </c>
      <c r="L110" s="7">
        <v>316800</v>
      </c>
      <c r="M110" s="8">
        <f t="shared" ref="M110:M147" si="38">(L110/G110)*5</f>
        <v>13200</v>
      </c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3"/>
      <c r="CB110" s="43"/>
      <c r="CC110" s="43"/>
      <c r="CD110" s="43"/>
      <c r="CE110" s="43"/>
      <c r="CF110" s="43"/>
      <c r="CG110" s="43"/>
      <c r="CH110" s="43"/>
      <c r="CI110" s="43"/>
      <c r="CJ110" s="43"/>
      <c r="CK110" s="43"/>
      <c r="CL110" s="43"/>
      <c r="CM110" s="43"/>
      <c r="CN110" s="43"/>
      <c r="CO110" s="43"/>
      <c r="CP110" s="43"/>
      <c r="CQ110" s="43"/>
      <c r="CR110" s="43"/>
      <c r="CS110" s="43"/>
      <c r="CT110" s="43"/>
      <c r="CU110" s="43"/>
      <c r="CV110" s="43"/>
      <c r="CW110" s="43"/>
      <c r="CX110" s="43"/>
      <c r="CY110" s="43"/>
      <c r="CZ110" s="43"/>
      <c r="DA110" s="43"/>
      <c r="DB110" s="43"/>
      <c r="DC110" s="43"/>
      <c r="DD110" s="43"/>
      <c r="DE110" s="43"/>
      <c r="DF110" s="43"/>
      <c r="DG110" s="43"/>
      <c r="DH110" s="43"/>
      <c r="DI110" s="43"/>
      <c r="DJ110" s="43"/>
      <c r="DK110" s="43"/>
      <c r="DL110" s="43"/>
      <c r="DM110" s="43"/>
      <c r="DN110" s="43"/>
      <c r="DO110" s="43"/>
      <c r="DP110" s="43"/>
      <c r="DQ110" s="43"/>
      <c r="DR110" s="43"/>
      <c r="DS110" s="43"/>
      <c r="DT110" s="43"/>
      <c r="DU110" s="43"/>
      <c r="DV110" s="43"/>
      <c r="DW110" s="43"/>
      <c r="DX110" s="43"/>
      <c r="DY110" s="43"/>
      <c r="DZ110" s="43"/>
      <c r="EA110" s="43"/>
      <c r="EB110" s="43"/>
      <c r="EC110" s="43"/>
      <c r="ED110" s="43"/>
      <c r="EE110" s="43"/>
      <c r="EF110" s="43"/>
      <c r="EG110" s="43"/>
      <c r="EH110" s="43"/>
      <c r="EI110" s="43"/>
      <c r="EJ110" s="43"/>
      <c r="EK110" s="43" t="s">
        <v>143</v>
      </c>
      <c r="EL110" s="43"/>
      <c r="EM110" s="43" t="s">
        <v>143</v>
      </c>
      <c r="EN110" s="43" t="s">
        <v>143</v>
      </c>
      <c r="EO110" s="43"/>
      <c r="EP110" s="43"/>
      <c r="EQ110" s="9"/>
      <c r="ER110" s="9"/>
      <c r="ES110" s="9"/>
      <c r="ET110" s="9">
        <v>8000</v>
      </c>
      <c r="EU110" s="9"/>
      <c r="EV110" s="9"/>
      <c r="EW110" s="9"/>
      <c r="EX110" s="9">
        <v>52800</v>
      </c>
      <c r="EY110" s="9"/>
      <c r="EZ110" s="9"/>
      <c r="FA110" s="9"/>
      <c r="FB110" s="9">
        <v>52800</v>
      </c>
      <c r="FC110" s="9"/>
      <c r="FD110" s="9"/>
      <c r="FE110" s="9"/>
      <c r="FF110" s="9"/>
      <c r="FG110" s="9">
        <v>52800</v>
      </c>
      <c r="FH110" s="9"/>
      <c r="FI110" s="9"/>
      <c r="FJ110" s="9"/>
      <c r="FK110" s="9">
        <v>52800</v>
      </c>
      <c r="FL110" s="9"/>
      <c r="FM110" s="9"/>
      <c r="FN110" s="9"/>
      <c r="FO110" s="9"/>
      <c r="FP110" s="9">
        <v>52000</v>
      </c>
      <c r="FQ110" s="9"/>
      <c r="FR110" s="9"/>
      <c r="FS110" s="9"/>
      <c r="FT110" s="9">
        <f t="shared" si="21"/>
        <v>271200</v>
      </c>
      <c r="FU110" s="7">
        <f t="shared" si="22"/>
        <v>45600</v>
      </c>
      <c r="FV110" s="11">
        <f t="shared" si="23"/>
        <v>20.545454545454547</v>
      </c>
      <c r="FW110" s="11">
        <f t="shared" si="24"/>
        <v>3.4545454545454533</v>
      </c>
      <c r="FX110" s="12">
        <f t="shared" si="25"/>
        <v>5.1363636363636367</v>
      </c>
      <c r="FY110" s="12">
        <f t="shared" si="26"/>
        <v>0.86363636363636331</v>
      </c>
    </row>
    <row r="111" spans="1:181" ht="43.5" customHeight="1" thickBot="1" x14ac:dyDescent="0.3">
      <c r="A111" s="4">
        <v>3253</v>
      </c>
      <c r="B111" s="27" t="s">
        <v>299</v>
      </c>
      <c r="C111" s="27" t="s">
        <v>300</v>
      </c>
      <c r="D111" s="2"/>
      <c r="E111" s="3">
        <v>45828</v>
      </c>
      <c r="F111" s="3">
        <f t="shared" si="37"/>
        <v>45996</v>
      </c>
      <c r="G111" s="4">
        <v>120</v>
      </c>
      <c r="H111" s="377">
        <f t="shared" si="35"/>
        <v>100</v>
      </c>
      <c r="I111" s="377">
        <f t="shared" si="33"/>
        <v>20</v>
      </c>
      <c r="J111" s="357" t="s">
        <v>303</v>
      </c>
      <c r="K111" s="177">
        <v>100000</v>
      </c>
      <c r="L111" s="10">
        <v>264000</v>
      </c>
      <c r="M111" s="8">
        <f t="shared" si="38"/>
        <v>11000</v>
      </c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  <c r="BZ111" s="43"/>
      <c r="CA111" s="43"/>
      <c r="CB111" s="43"/>
      <c r="CC111" s="43"/>
      <c r="CD111" s="43"/>
      <c r="CE111" s="43"/>
      <c r="CF111" s="43"/>
      <c r="CG111" s="43"/>
      <c r="CH111" s="43"/>
      <c r="CI111" s="43"/>
      <c r="CJ111" s="43"/>
      <c r="CK111" s="43"/>
      <c r="CL111" s="43"/>
      <c r="CM111" s="43"/>
      <c r="CN111" s="43"/>
      <c r="CO111" s="43"/>
      <c r="CP111" s="43"/>
      <c r="CQ111" s="43"/>
      <c r="CR111" s="43"/>
      <c r="CS111" s="43"/>
      <c r="CT111" s="43"/>
      <c r="CU111" s="43"/>
      <c r="CV111" s="43"/>
      <c r="CW111" s="43"/>
      <c r="CX111" s="43"/>
      <c r="CY111" s="43"/>
      <c r="CZ111" s="43"/>
      <c r="DA111" s="43"/>
      <c r="DB111" s="43"/>
      <c r="DC111" s="43"/>
      <c r="DD111" s="43"/>
      <c r="DE111" s="43"/>
      <c r="DF111" s="43"/>
      <c r="DG111" s="43"/>
      <c r="DH111" s="43"/>
      <c r="DI111" s="43"/>
      <c r="DJ111" s="43"/>
      <c r="DK111" s="43"/>
      <c r="DL111" s="43"/>
      <c r="DM111" s="43"/>
      <c r="DN111" s="43"/>
      <c r="DO111" s="43"/>
      <c r="DP111" s="43"/>
      <c r="DQ111" s="43"/>
      <c r="DR111" s="43"/>
      <c r="DS111" s="43"/>
      <c r="DT111" s="43"/>
      <c r="DU111" s="43"/>
      <c r="DV111" s="43"/>
      <c r="DW111" s="43"/>
      <c r="DX111" s="43"/>
      <c r="DY111" s="43"/>
      <c r="DZ111" s="43"/>
      <c r="EA111" s="43"/>
      <c r="EB111" s="43"/>
      <c r="EC111" s="43"/>
      <c r="ED111" s="43"/>
      <c r="EE111" s="43"/>
      <c r="EF111" s="43"/>
      <c r="EG111" s="43"/>
      <c r="EH111" s="43"/>
      <c r="EI111" s="43"/>
      <c r="EJ111" s="43"/>
      <c r="EK111" s="43" t="s">
        <v>143</v>
      </c>
      <c r="EL111" s="43"/>
      <c r="EM111" s="43" t="s">
        <v>143</v>
      </c>
      <c r="EN111" s="43" t="s">
        <v>143</v>
      </c>
      <c r="EO111" s="43"/>
      <c r="EP111" s="43"/>
      <c r="EQ111" s="9"/>
      <c r="ER111" s="9"/>
      <c r="ES111" s="9" t="s">
        <v>143</v>
      </c>
      <c r="ET111" s="9"/>
      <c r="EU111" s="9"/>
      <c r="EV111" s="9"/>
      <c r="EW111" s="9"/>
      <c r="EX111" s="9">
        <v>44000</v>
      </c>
      <c r="EY111" s="9"/>
      <c r="EZ111" s="9"/>
      <c r="FA111" s="9"/>
      <c r="FB111" s="9">
        <v>44000</v>
      </c>
      <c r="FC111" s="9"/>
      <c r="FD111" s="9"/>
      <c r="FE111" s="9"/>
      <c r="FF111" s="9"/>
      <c r="FG111" s="9">
        <v>44000</v>
      </c>
      <c r="FH111" s="9"/>
      <c r="FI111" s="9"/>
      <c r="FJ111" s="9"/>
      <c r="FK111" s="9">
        <v>44000</v>
      </c>
      <c r="FL111" s="9"/>
      <c r="FM111" s="9"/>
      <c r="FN111" s="9"/>
      <c r="FO111" s="9"/>
      <c r="FP111" s="9">
        <v>44000</v>
      </c>
      <c r="FQ111" s="9"/>
      <c r="FR111" s="9"/>
      <c r="FS111" s="9"/>
      <c r="FT111" s="9">
        <f t="shared" si="21"/>
        <v>220000</v>
      </c>
      <c r="FU111" s="7">
        <f t="shared" si="22"/>
        <v>44000</v>
      </c>
      <c r="FV111" s="11">
        <f t="shared" si="23"/>
        <v>20</v>
      </c>
      <c r="FW111" s="11">
        <f t="shared" si="24"/>
        <v>4</v>
      </c>
      <c r="FX111" s="12">
        <f t="shared" si="25"/>
        <v>5</v>
      </c>
      <c r="FY111" s="12">
        <f t="shared" si="26"/>
        <v>1</v>
      </c>
    </row>
    <row r="112" spans="1:181" ht="43.5" customHeight="1" thickBot="1" x14ac:dyDescent="0.3">
      <c r="A112" s="4">
        <v>3312</v>
      </c>
      <c r="B112" s="27" t="s">
        <v>299</v>
      </c>
      <c r="C112" s="27" t="s">
        <v>300</v>
      </c>
      <c r="D112" s="2"/>
      <c r="E112" s="3">
        <v>45862</v>
      </c>
      <c r="F112" s="3">
        <f t="shared" si="37"/>
        <v>46030</v>
      </c>
      <c r="G112" s="4">
        <v>120</v>
      </c>
      <c r="H112" s="377">
        <f t="shared" si="35"/>
        <v>80</v>
      </c>
      <c r="I112" s="377">
        <f t="shared" si="33"/>
        <v>40</v>
      </c>
      <c r="J112" s="357" t="s">
        <v>303</v>
      </c>
      <c r="K112" s="7">
        <v>100000</v>
      </c>
      <c r="L112" s="7">
        <v>264000</v>
      </c>
      <c r="M112" s="8">
        <f t="shared" si="38"/>
        <v>11000</v>
      </c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3"/>
      <c r="CB112" s="43"/>
      <c r="CC112" s="43"/>
      <c r="CD112" s="43"/>
      <c r="CE112" s="43"/>
      <c r="CF112" s="43"/>
      <c r="CG112" s="43"/>
      <c r="CH112" s="43"/>
      <c r="CI112" s="43"/>
      <c r="CJ112" s="43"/>
      <c r="CK112" s="43"/>
      <c r="CL112" s="43"/>
      <c r="CM112" s="43"/>
      <c r="CN112" s="43"/>
      <c r="CO112" s="43"/>
      <c r="CP112" s="43"/>
      <c r="CQ112" s="43"/>
      <c r="CR112" s="43"/>
      <c r="CS112" s="43"/>
      <c r="CT112" s="43"/>
      <c r="CU112" s="43"/>
      <c r="CV112" s="43"/>
      <c r="CW112" s="43"/>
      <c r="CX112" s="43"/>
      <c r="CY112" s="43"/>
      <c r="CZ112" s="43"/>
      <c r="DA112" s="43"/>
      <c r="DB112" s="43"/>
      <c r="DC112" s="43"/>
      <c r="DD112" s="43"/>
      <c r="DE112" s="43"/>
      <c r="DF112" s="43"/>
      <c r="DG112" s="43"/>
      <c r="DH112" s="43"/>
      <c r="DI112" s="43"/>
      <c r="DJ112" s="43"/>
      <c r="DK112" s="43"/>
      <c r="DL112" s="43"/>
      <c r="DM112" s="43"/>
      <c r="DN112" s="43"/>
      <c r="DO112" s="43"/>
      <c r="DP112" s="43"/>
      <c r="DQ112" s="43"/>
      <c r="DR112" s="43"/>
      <c r="DS112" s="43"/>
      <c r="DT112" s="43"/>
      <c r="DU112" s="43"/>
      <c r="DV112" s="43"/>
      <c r="DW112" s="43"/>
      <c r="DX112" s="43"/>
      <c r="DY112" s="43"/>
      <c r="DZ112" s="43"/>
      <c r="EA112" s="43"/>
      <c r="EB112" s="43"/>
      <c r="EC112" s="43"/>
      <c r="ED112" s="43"/>
      <c r="EE112" s="43"/>
      <c r="EF112" s="43"/>
      <c r="EG112" s="43"/>
      <c r="EH112" s="43"/>
      <c r="EI112" s="43"/>
      <c r="EJ112" s="43"/>
      <c r="EK112" s="43" t="s">
        <v>143</v>
      </c>
      <c r="EL112" s="43"/>
      <c r="EM112" s="43" t="s">
        <v>143</v>
      </c>
      <c r="EN112" s="43" t="s">
        <v>143</v>
      </c>
      <c r="EO112" s="43"/>
      <c r="EP112" s="43"/>
      <c r="EQ112" s="9"/>
      <c r="ER112" s="9"/>
      <c r="ES112" s="9" t="s">
        <v>143</v>
      </c>
      <c r="ET112" s="9"/>
      <c r="EU112" s="9"/>
      <c r="EV112" s="9" t="s">
        <v>143</v>
      </c>
      <c r="EW112" s="9"/>
      <c r="EX112" s="9"/>
      <c r="EY112" s="9"/>
      <c r="EZ112" s="9"/>
      <c r="FA112" s="9"/>
      <c r="FB112" s="9">
        <v>44000</v>
      </c>
      <c r="FC112" s="9"/>
      <c r="FD112" s="9"/>
      <c r="FE112" s="9"/>
      <c r="FF112" s="9"/>
      <c r="FG112" s="9">
        <v>44000</v>
      </c>
      <c r="FH112" s="9"/>
      <c r="FI112" s="9"/>
      <c r="FJ112" s="9"/>
      <c r="FK112" s="9">
        <v>44000</v>
      </c>
      <c r="FL112" s="9"/>
      <c r="FM112" s="9"/>
      <c r="FN112" s="9"/>
      <c r="FO112" s="9"/>
      <c r="FP112" s="9">
        <v>44000</v>
      </c>
      <c r="FQ112" s="9"/>
      <c r="FR112" s="9"/>
      <c r="FS112" s="9"/>
      <c r="FT112" s="9">
        <f t="shared" si="21"/>
        <v>176000</v>
      </c>
      <c r="FU112" s="7">
        <f t="shared" si="22"/>
        <v>88000</v>
      </c>
      <c r="FV112" s="11">
        <f t="shared" si="23"/>
        <v>16</v>
      </c>
      <c r="FW112" s="11">
        <f t="shared" si="24"/>
        <v>8</v>
      </c>
      <c r="FX112" s="12">
        <f t="shared" si="25"/>
        <v>4</v>
      </c>
      <c r="FY112" s="12">
        <f t="shared" si="26"/>
        <v>2</v>
      </c>
    </row>
    <row r="113" spans="1:181" ht="43.5" customHeight="1" thickBot="1" x14ac:dyDescent="0.3">
      <c r="A113" s="4">
        <v>3348</v>
      </c>
      <c r="B113" s="27" t="s">
        <v>299</v>
      </c>
      <c r="C113" s="27" t="s">
        <v>300</v>
      </c>
      <c r="D113" s="2"/>
      <c r="E113" s="3">
        <v>45884</v>
      </c>
      <c r="F113" s="3">
        <f t="shared" si="37"/>
        <v>46108</v>
      </c>
      <c r="G113" s="4">
        <v>160</v>
      </c>
      <c r="H113" s="377">
        <f t="shared" si="35"/>
        <v>60</v>
      </c>
      <c r="I113" s="377">
        <f t="shared" si="33"/>
        <v>100</v>
      </c>
      <c r="J113" s="357" t="s">
        <v>1307</v>
      </c>
      <c r="K113" s="177">
        <v>150000</v>
      </c>
      <c r="L113" s="10">
        <v>352000</v>
      </c>
      <c r="M113" s="21">
        <f t="shared" si="38"/>
        <v>11000</v>
      </c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3"/>
      <c r="CA113" s="43"/>
      <c r="CB113" s="43"/>
      <c r="CC113" s="43"/>
      <c r="CD113" s="43"/>
      <c r="CE113" s="43"/>
      <c r="CF113" s="43"/>
      <c r="CG113" s="43"/>
      <c r="CH113" s="43"/>
      <c r="CI113" s="43"/>
      <c r="CJ113" s="43"/>
      <c r="CK113" s="43"/>
      <c r="CL113" s="43"/>
      <c r="CM113" s="43"/>
      <c r="CN113" s="43"/>
      <c r="CO113" s="43"/>
      <c r="CP113" s="43"/>
      <c r="CQ113" s="43"/>
      <c r="CR113" s="43"/>
      <c r="CS113" s="43"/>
      <c r="CT113" s="43"/>
      <c r="CU113" s="43"/>
      <c r="CV113" s="43"/>
      <c r="CW113" s="43"/>
      <c r="CX113" s="43"/>
      <c r="CY113" s="43"/>
      <c r="CZ113" s="43"/>
      <c r="DA113" s="43"/>
      <c r="DB113" s="43"/>
      <c r="DC113" s="43"/>
      <c r="DD113" s="43"/>
      <c r="DE113" s="43"/>
      <c r="DF113" s="43"/>
      <c r="DG113" s="43"/>
      <c r="DH113" s="43"/>
      <c r="DI113" s="43"/>
      <c r="DJ113" s="43"/>
      <c r="DK113" s="43"/>
      <c r="DL113" s="43"/>
      <c r="DM113" s="43"/>
      <c r="DN113" s="43"/>
      <c r="DO113" s="43"/>
      <c r="DP113" s="43"/>
      <c r="DQ113" s="43"/>
      <c r="DR113" s="43"/>
      <c r="DS113" s="43"/>
      <c r="DT113" s="43"/>
      <c r="DU113" s="43"/>
      <c r="DV113" s="43"/>
      <c r="DW113" s="43"/>
      <c r="DX113" s="43"/>
      <c r="DY113" s="43"/>
      <c r="DZ113" s="43"/>
      <c r="EA113" s="43"/>
      <c r="EB113" s="43"/>
      <c r="EC113" s="43"/>
      <c r="ED113" s="43"/>
      <c r="EE113" s="43"/>
      <c r="EF113" s="43"/>
      <c r="EG113" s="43"/>
      <c r="EH113" s="43"/>
      <c r="EI113" s="43"/>
      <c r="EJ113" s="43"/>
      <c r="EK113" s="43" t="s">
        <v>143</v>
      </c>
      <c r="EL113" s="43"/>
      <c r="EM113" s="43" t="s">
        <v>143</v>
      </c>
      <c r="EN113" s="43" t="s">
        <v>143</v>
      </c>
      <c r="EO113" s="43"/>
      <c r="EP113" s="43"/>
      <c r="EQ113" s="9"/>
      <c r="ER113" s="9"/>
      <c r="ES113" s="9" t="s">
        <v>143</v>
      </c>
      <c r="ET113" s="9"/>
      <c r="EU113" s="9"/>
      <c r="EV113" s="9" t="s">
        <v>143</v>
      </c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>
        <v>44000</v>
      </c>
      <c r="FH113" s="9"/>
      <c r="FI113" s="9"/>
      <c r="FJ113" s="9"/>
      <c r="FK113" s="9">
        <v>44000</v>
      </c>
      <c r="FL113" s="9"/>
      <c r="FM113" s="9"/>
      <c r="FN113" s="9"/>
      <c r="FO113" s="9"/>
      <c r="FP113" s="9">
        <v>44000</v>
      </c>
      <c r="FQ113" s="9"/>
      <c r="FR113" s="9"/>
      <c r="FS113" s="9"/>
      <c r="FT113" s="9">
        <f t="shared" si="21"/>
        <v>132000</v>
      </c>
      <c r="FU113" s="7">
        <f t="shared" si="22"/>
        <v>220000</v>
      </c>
      <c r="FV113" s="11">
        <f t="shared" si="23"/>
        <v>12</v>
      </c>
      <c r="FW113" s="11">
        <f t="shared" si="24"/>
        <v>20</v>
      </c>
      <c r="FX113" s="12">
        <f t="shared" si="25"/>
        <v>3</v>
      </c>
      <c r="FY113" s="12">
        <f t="shared" si="26"/>
        <v>5</v>
      </c>
    </row>
    <row r="114" spans="1:181" ht="43.5" customHeight="1" thickBot="1" x14ac:dyDescent="0.3">
      <c r="A114" s="4">
        <v>3407</v>
      </c>
      <c r="B114" s="27" t="s">
        <v>299</v>
      </c>
      <c r="C114" s="27" t="s">
        <v>300</v>
      </c>
      <c r="D114" s="2"/>
      <c r="E114" s="3">
        <v>45920</v>
      </c>
      <c r="F114" s="3">
        <f t="shared" si="37"/>
        <v>46143</v>
      </c>
      <c r="G114" s="4">
        <v>160</v>
      </c>
      <c r="H114" s="377">
        <f t="shared" si="35"/>
        <v>29.25925925925926</v>
      </c>
      <c r="I114" s="377">
        <f t="shared" si="33"/>
        <v>130.74074074074073</v>
      </c>
      <c r="J114" s="357" t="s">
        <v>1360</v>
      </c>
      <c r="K114" s="20">
        <v>300000</v>
      </c>
      <c r="L114" s="7">
        <v>864000</v>
      </c>
      <c r="M114" s="21">
        <f t="shared" si="38"/>
        <v>27000</v>
      </c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3"/>
      <c r="BZ114" s="43"/>
      <c r="CA114" s="43"/>
      <c r="CB114" s="43"/>
      <c r="CC114" s="43"/>
      <c r="CD114" s="43"/>
      <c r="CE114" s="43"/>
      <c r="CF114" s="43"/>
      <c r="CG114" s="43"/>
      <c r="CH114" s="43"/>
      <c r="CI114" s="43"/>
      <c r="CJ114" s="43"/>
      <c r="CK114" s="43"/>
      <c r="CL114" s="43"/>
      <c r="CM114" s="43"/>
      <c r="CN114" s="43"/>
      <c r="CO114" s="43"/>
      <c r="CP114" s="43"/>
      <c r="CQ114" s="43"/>
      <c r="CR114" s="43"/>
      <c r="CS114" s="43"/>
      <c r="CT114" s="43"/>
      <c r="CU114" s="43"/>
      <c r="CV114" s="43"/>
      <c r="CW114" s="43"/>
      <c r="CX114" s="43"/>
      <c r="CY114" s="43"/>
      <c r="CZ114" s="43"/>
      <c r="DA114" s="43"/>
      <c r="DB114" s="43"/>
      <c r="DC114" s="43"/>
      <c r="DD114" s="43"/>
      <c r="DE114" s="43"/>
      <c r="DF114" s="43"/>
      <c r="DG114" s="43"/>
      <c r="DH114" s="43"/>
      <c r="DI114" s="43"/>
      <c r="DJ114" s="43"/>
      <c r="DK114" s="43"/>
      <c r="DL114" s="43"/>
      <c r="DM114" s="43"/>
      <c r="DN114" s="43"/>
      <c r="DO114" s="43"/>
      <c r="DP114" s="43"/>
      <c r="DQ114" s="43"/>
      <c r="DR114" s="43"/>
      <c r="DS114" s="43"/>
      <c r="DT114" s="43"/>
      <c r="DU114" s="43"/>
      <c r="DV114" s="43"/>
      <c r="DW114" s="43"/>
      <c r="DX114" s="43"/>
      <c r="DY114" s="43"/>
      <c r="DZ114" s="43"/>
      <c r="EA114" s="43"/>
      <c r="EB114" s="43"/>
      <c r="EC114" s="43"/>
      <c r="ED114" s="43"/>
      <c r="EE114" s="43"/>
      <c r="EF114" s="43"/>
      <c r="EG114" s="43"/>
      <c r="EH114" s="43"/>
      <c r="EI114" s="43"/>
      <c r="EJ114" s="43"/>
      <c r="EK114" s="43" t="s">
        <v>143</v>
      </c>
      <c r="EL114" s="43"/>
      <c r="EM114" s="43" t="s">
        <v>143</v>
      </c>
      <c r="EN114" s="43" t="s">
        <v>143</v>
      </c>
      <c r="EO114" s="43"/>
      <c r="EP114" s="43"/>
      <c r="EQ114" s="9"/>
      <c r="ER114" s="9"/>
      <c r="ES114" s="9" t="s">
        <v>143</v>
      </c>
      <c r="ET114" s="9"/>
      <c r="EU114" s="9"/>
      <c r="EV114" s="9" t="s">
        <v>143</v>
      </c>
      <c r="EW114" s="9"/>
      <c r="EX114" s="9"/>
      <c r="EY114" s="9"/>
      <c r="EZ114" s="9"/>
      <c r="FA114" s="9"/>
      <c r="FB114" s="9"/>
      <c r="FC114" s="9" t="s">
        <v>143</v>
      </c>
      <c r="FD114" s="9"/>
      <c r="FE114" s="9"/>
      <c r="FF114" s="9"/>
      <c r="FG114" s="9"/>
      <c r="FH114" s="9"/>
      <c r="FI114" s="9"/>
      <c r="FJ114" s="9"/>
      <c r="FK114" s="9">
        <v>54000</v>
      </c>
      <c r="FL114" s="9"/>
      <c r="FM114" s="9">
        <v>20000</v>
      </c>
      <c r="FN114" s="9">
        <v>34000</v>
      </c>
      <c r="FO114" s="9"/>
      <c r="FP114" s="9">
        <v>50000</v>
      </c>
      <c r="FQ114" s="9"/>
      <c r="FR114" s="9"/>
      <c r="FS114" s="9"/>
      <c r="FT114" s="9">
        <f t="shared" si="21"/>
        <v>158000</v>
      </c>
      <c r="FU114" s="7">
        <f t="shared" si="22"/>
        <v>706000</v>
      </c>
      <c r="FV114" s="11">
        <f t="shared" si="23"/>
        <v>5.8518518518518521</v>
      </c>
      <c r="FW114" s="11">
        <f t="shared" si="24"/>
        <v>26.148148148148145</v>
      </c>
      <c r="FX114" s="12">
        <f t="shared" si="25"/>
        <v>1.462962962962963</v>
      </c>
      <c r="FY114" s="12">
        <f t="shared" si="26"/>
        <v>6.5370370370370363</v>
      </c>
    </row>
    <row r="115" spans="1:181" ht="43.5" customHeight="1" thickBot="1" x14ac:dyDescent="0.3">
      <c r="A115" s="4">
        <v>3469</v>
      </c>
      <c r="B115" s="27" t="s">
        <v>299</v>
      </c>
      <c r="C115" s="27" t="s">
        <v>300</v>
      </c>
      <c r="D115" s="2"/>
      <c r="E115" s="3">
        <v>45959</v>
      </c>
      <c r="F115" s="3">
        <f t="shared" si="37"/>
        <v>46071</v>
      </c>
      <c r="G115" s="4">
        <v>80</v>
      </c>
      <c r="H115" s="377">
        <f t="shared" si="35"/>
        <v>0</v>
      </c>
      <c r="I115" s="377">
        <f t="shared" si="33"/>
        <v>80</v>
      </c>
      <c r="J115" s="357" t="s">
        <v>1386</v>
      </c>
      <c r="K115" s="20">
        <v>100000</v>
      </c>
      <c r="L115" s="7">
        <v>216000</v>
      </c>
      <c r="M115" s="8">
        <f t="shared" si="38"/>
        <v>13500</v>
      </c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3"/>
      <c r="BZ115" s="43"/>
      <c r="CA115" s="43"/>
      <c r="CB115" s="43"/>
      <c r="CC115" s="43"/>
      <c r="CD115" s="43"/>
      <c r="CE115" s="43"/>
      <c r="CF115" s="43"/>
      <c r="CG115" s="43"/>
      <c r="CH115" s="43"/>
      <c r="CI115" s="43"/>
      <c r="CJ115" s="43"/>
      <c r="CK115" s="43"/>
      <c r="CL115" s="43"/>
      <c r="CM115" s="43"/>
      <c r="CN115" s="43"/>
      <c r="CO115" s="43"/>
      <c r="CP115" s="43"/>
      <c r="CQ115" s="43"/>
      <c r="CR115" s="43"/>
      <c r="CS115" s="43"/>
      <c r="CT115" s="43"/>
      <c r="CU115" s="43"/>
      <c r="CV115" s="43"/>
      <c r="CW115" s="43"/>
      <c r="CX115" s="43"/>
      <c r="CY115" s="43"/>
      <c r="CZ115" s="43"/>
      <c r="DA115" s="43"/>
      <c r="DB115" s="43"/>
      <c r="DC115" s="43"/>
      <c r="DD115" s="43"/>
      <c r="DE115" s="43"/>
      <c r="DF115" s="43"/>
      <c r="DG115" s="43"/>
      <c r="DH115" s="43"/>
      <c r="DI115" s="43"/>
      <c r="DJ115" s="43"/>
      <c r="DK115" s="43"/>
      <c r="DL115" s="43"/>
      <c r="DM115" s="43"/>
      <c r="DN115" s="43"/>
      <c r="DO115" s="43"/>
      <c r="DP115" s="43"/>
      <c r="DQ115" s="43"/>
      <c r="DR115" s="43"/>
      <c r="DS115" s="43"/>
      <c r="DT115" s="43"/>
      <c r="DU115" s="43"/>
      <c r="DV115" s="43"/>
      <c r="DW115" s="43"/>
      <c r="DX115" s="43"/>
      <c r="DY115" s="43"/>
      <c r="DZ115" s="43"/>
      <c r="EA115" s="43"/>
      <c r="EB115" s="43"/>
      <c r="EC115" s="43"/>
      <c r="ED115" s="43"/>
      <c r="EE115" s="43"/>
      <c r="EF115" s="43"/>
      <c r="EG115" s="43"/>
      <c r="EH115" s="43"/>
      <c r="EI115" s="43"/>
      <c r="EJ115" s="43"/>
      <c r="EK115" s="43" t="s">
        <v>143</v>
      </c>
      <c r="EL115" s="43"/>
      <c r="EM115" s="43" t="s">
        <v>143</v>
      </c>
      <c r="EN115" s="43" t="s">
        <v>143</v>
      </c>
      <c r="EO115" s="43"/>
      <c r="EP115" s="43"/>
      <c r="EQ115" s="9"/>
      <c r="ER115" s="9"/>
      <c r="ES115" s="9" t="s">
        <v>143</v>
      </c>
      <c r="ET115" s="9"/>
      <c r="EU115" s="9"/>
      <c r="EV115" s="9" t="s">
        <v>143</v>
      </c>
      <c r="EW115" s="9"/>
      <c r="EX115" s="9"/>
      <c r="EY115" s="9"/>
      <c r="EZ115" s="9"/>
      <c r="FA115" s="9"/>
      <c r="FB115" s="9"/>
      <c r="FC115" s="9" t="s">
        <v>143</v>
      </c>
      <c r="FD115" s="9"/>
      <c r="FE115" s="9"/>
      <c r="FF115" s="9"/>
      <c r="FG115" s="9"/>
      <c r="FH115" s="9"/>
      <c r="FI115" s="9"/>
      <c r="FJ115" s="9"/>
      <c r="FK115" s="9"/>
      <c r="FL115" s="9" t="s">
        <v>143</v>
      </c>
      <c r="FM115" s="9"/>
      <c r="FN115" s="9"/>
      <c r="FO115" s="9"/>
      <c r="FP115" s="9"/>
      <c r="FQ115" s="9"/>
      <c r="FR115" s="9"/>
      <c r="FS115" s="9"/>
      <c r="FT115" s="9">
        <f t="shared" si="21"/>
        <v>0</v>
      </c>
      <c r="FU115" s="7">
        <f t="shared" si="22"/>
        <v>216000</v>
      </c>
      <c r="FV115" s="11">
        <f t="shared" si="23"/>
        <v>0</v>
      </c>
      <c r="FW115" s="11">
        <f t="shared" si="24"/>
        <v>16</v>
      </c>
      <c r="FX115" s="12">
        <f t="shared" si="25"/>
        <v>0</v>
      </c>
      <c r="FY115" s="12">
        <f t="shared" si="26"/>
        <v>4</v>
      </c>
    </row>
    <row r="116" spans="1:181" ht="43.5" customHeight="1" thickBot="1" x14ac:dyDescent="0.3">
      <c r="A116" s="372">
        <v>3500</v>
      </c>
      <c r="B116" s="27" t="s">
        <v>299</v>
      </c>
      <c r="C116" s="27" t="s">
        <v>300</v>
      </c>
      <c r="D116" s="2"/>
      <c r="E116" s="3">
        <v>45978</v>
      </c>
      <c r="F116" s="3">
        <f t="shared" si="37"/>
        <v>46090</v>
      </c>
      <c r="G116" s="4">
        <v>80</v>
      </c>
      <c r="H116" s="377">
        <f t="shared" si="35"/>
        <v>0</v>
      </c>
      <c r="I116" s="377">
        <f t="shared" si="33"/>
        <v>80</v>
      </c>
      <c r="J116" s="355" t="s">
        <v>759</v>
      </c>
      <c r="K116" s="10">
        <v>20000</v>
      </c>
      <c r="L116" s="10">
        <v>43200</v>
      </c>
      <c r="M116" s="8">
        <f t="shared" si="38"/>
        <v>2700</v>
      </c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43"/>
      <c r="BN116" s="43"/>
      <c r="BO116" s="43"/>
      <c r="BP116" s="43"/>
      <c r="BQ116" s="43"/>
      <c r="BR116" s="43"/>
      <c r="BS116" s="43"/>
      <c r="BT116" s="43"/>
      <c r="BU116" s="43"/>
      <c r="BV116" s="43"/>
      <c r="BW116" s="43"/>
      <c r="BX116" s="43"/>
      <c r="BY116" s="43"/>
      <c r="BZ116" s="43"/>
      <c r="CA116" s="43"/>
      <c r="CB116" s="43"/>
      <c r="CC116" s="43"/>
      <c r="CD116" s="43"/>
      <c r="CE116" s="43"/>
      <c r="CF116" s="43"/>
      <c r="CG116" s="43"/>
      <c r="CH116" s="43"/>
      <c r="CI116" s="43"/>
      <c r="CJ116" s="43"/>
      <c r="CK116" s="43"/>
      <c r="CL116" s="43"/>
      <c r="CM116" s="43"/>
      <c r="CN116" s="43"/>
      <c r="CO116" s="43"/>
      <c r="CP116" s="43"/>
      <c r="CQ116" s="43"/>
      <c r="CR116" s="43"/>
      <c r="CS116" s="43"/>
      <c r="CT116" s="43"/>
      <c r="CU116" s="43"/>
      <c r="CV116" s="43"/>
      <c r="CW116" s="43"/>
      <c r="CX116" s="43"/>
      <c r="CY116" s="43"/>
      <c r="CZ116" s="43"/>
      <c r="DA116" s="43"/>
      <c r="DB116" s="43"/>
      <c r="DC116" s="43"/>
      <c r="DD116" s="43"/>
      <c r="DE116" s="43"/>
      <c r="DF116" s="43"/>
      <c r="DG116" s="43"/>
      <c r="DH116" s="43"/>
      <c r="DI116" s="43"/>
      <c r="DJ116" s="43"/>
      <c r="DK116" s="43"/>
      <c r="DL116" s="43"/>
      <c r="DM116" s="43"/>
      <c r="DN116" s="43"/>
      <c r="DO116" s="43"/>
      <c r="DP116" s="43"/>
      <c r="DQ116" s="43"/>
      <c r="DR116" s="43"/>
      <c r="DS116" s="43"/>
      <c r="DT116" s="43"/>
      <c r="DU116" s="43"/>
      <c r="DV116" s="43"/>
      <c r="DW116" s="43"/>
      <c r="DX116" s="43"/>
      <c r="DY116" s="43"/>
      <c r="DZ116" s="43"/>
      <c r="EA116" s="43"/>
      <c r="EB116" s="43"/>
      <c r="EC116" s="43"/>
      <c r="ED116" s="43"/>
      <c r="EE116" s="43"/>
      <c r="EF116" s="43"/>
      <c r="EG116" s="43"/>
      <c r="EH116" s="43"/>
      <c r="EI116" s="43"/>
      <c r="EJ116" s="43"/>
      <c r="EK116" s="43" t="s">
        <v>143</v>
      </c>
      <c r="EL116" s="43"/>
      <c r="EM116" s="43" t="s">
        <v>143</v>
      </c>
      <c r="EN116" s="43" t="s">
        <v>143</v>
      </c>
      <c r="EO116" s="43"/>
      <c r="EP116" s="43"/>
      <c r="EQ116" s="9"/>
      <c r="ER116" s="9"/>
      <c r="ES116" s="9" t="s">
        <v>143</v>
      </c>
      <c r="ET116" s="9"/>
      <c r="EU116" s="9"/>
      <c r="EV116" s="9" t="s">
        <v>143</v>
      </c>
      <c r="EW116" s="9"/>
      <c r="EX116" s="9"/>
      <c r="EY116" s="9"/>
      <c r="EZ116" s="9"/>
      <c r="FA116" s="9"/>
      <c r="FB116" s="9"/>
      <c r="FC116" s="9" t="s">
        <v>143</v>
      </c>
      <c r="FD116" s="9"/>
      <c r="FE116" s="9"/>
      <c r="FF116" s="9"/>
      <c r="FG116" s="9"/>
      <c r="FH116" s="9"/>
      <c r="FI116" s="9"/>
      <c r="FJ116" s="9"/>
      <c r="FK116" s="9"/>
      <c r="FL116" s="9" t="s">
        <v>143</v>
      </c>
      <c r="FM116" s="9"/>
      <c r="FN116" s="9"/>
      <c r="FO116" s="9"/>
      <c r="FP116" s="9"/>
      <c r="FQ116" s="9"/>
      <c r="FR116" s="9"/>
      <c r="FS116" s="9"/>
      <c r="FT116" s="9">
        <f t="shared" si="21"/>
        <v>0</v>
      </c>
      <c r="FU116" s="7">
        <f t="shared" si="22"/>
        <v>43200</v>
      </c>
      <c r="FV116" s="11">
        <f t="shared" si="23"/>
        <v>0</v>
      </c>
      <c r="FW116" s="11">
        <f t="shared" si="24"/>
        <v>16</v>
      </c>
      <c r="FX116" s="12">
        <f t="shared" si="25"/>
        <v>0</v>
      </c>
      <c r="FY116" s="12">
        <f t="shared" si="26"/>
        <v>4</v>
      </c>
    </row>
    <row r="117" spans="1:181" ht="43.5" customHeight="1" thickBot="1" x14ac:dyDescent="0.3">
      <c r="A117" s="372">
        <v>3523</v>
      </c>
      <c r="B117" s="27" t="s">
        <v>299</v>
      </c>
      <c r="C117" s="27" t="s">
        <v>300</v>
      </c>
      <c r="D117" s="2"/>
      <c r="E117" s="3">
        <v>45992</v>
      </c>
      <c r="F117" s="3">
        <f t="shared" si="37"/>
        <v>46160</v>
      </c>
      <c r="G117" s="4">
        <v>120</v>
      </c>
      <c r="H117" s="377">
        <f t="shared" si="35"/>
        <v>0</v>
      </c>
      <c r="I117" s="377">
        <f t="shared" si="33"/>
        <v>120</v>
      </c>
      <c r="J117" s="357" t="s">
        <v>1428</v>
      </c>
      <c r="K117" s="7">
        <v>120000</v>
      </c>
      <c r="L117" s="7">
        <v>396000</v>
      </c>
      <c r="M117" s="8">
        <f t="shared" si="38"/>
        <v>16500</v>
      </c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  <c r="EB117" s="43"/>
      <c r="EC117" s="43"/>
      <c r="ED117" s="43"/>
      <c r="EE117" s="43"/>
      <c r="EF117" s="43"/>
      <c r="EG117" s="43"/>
      <c r="EH117" s="43"/>
      <c r="EI117" s="43"/>
      <c r="EJ117" s="43"/>
      <c r="EK117" s="43" t="s">
        <v>143</v>
      </c>
      <c r="EL117" s="43"/>
      <c r="EM117" s="43" t="s">
        <v>143</v>
      </c>
      <c r="EN117" s="43" t="s">
        <v>143</v>
      </c>
      <c r="EO117" s="43"/>
      <c r="EP117" s="43"/>
      <c r="EQ117" s="9"/>
      <c r="ER117" s="9"/>
      <c r="ES117" s="9" t="s">
        <v>143</v>
      </c>
      <c r="ET117" s="9"/>
      <c r="EU117" s="9"/>
      <c r="EV117" s="9" t="s">
        <v>143</v>
      </c>
      <c r="EW117" s="9"/>
      <c r="EX117" s="9"/>
      <c r="EY117" s="9"/>
      <c r="EZ117" s="9"/>
      <c r="FA117" s="9"/>
      <c r="FB117" s="9"/>
      <c r="FC117" s="9" t="s">
        <v>143</v>
      </c>
      <c r="FD117" s="9"/>
      <c r="FE117" s="9"/>
      <c r="FF117" s="9"/>
      <c r="FG117" s="9"/>
      <c r="FH117" s="9"/>
      <c r="FI117" s="9"/>
      <c r="FJ117" s="9"/>
      <c r="FK117" s="9"/>
      <c r="FL117" s="9" t="s">
        <v>143</v>
      </c>
      <c r="FM117" s="9"/>
      <c r="FN117" s="9"/>
      <c r="FO117" s="9"/>
      <c r="FP117" s="9"/>
      <c r="FQ117" s="9"/>
      <c r="FR117" s="9"/>
      <c r="FS117" s="9"/>
      <c r="FT117" s="9">
        <f t="shared" si="21"/>
        <v>0</v>
      </c>
      <c r="FU117" s="7">
        <f t="shared" si="22"/>
        <v>396000</v>
      </c>
      <c r="FV117" s="11">
        <f t="shared" si="23"/>
        <v>0</v>
      </c>
      <c r="FW117" s="11">
        <f t="shared" si="24"/>
        <v>24</v>
      </c>
      <c r="FX117" s="12">
        <f t="shared" si="25"/>
        <v>0</v>
      </c>
      <c r="FY117" s="12">
        <f t="shared" si="26"/>
        <v>6</v>
      </c>
    </row>
    <row r="118" spans="1:181" ht="43.5" customHeight="1" thickBot="1" x14ac:dyDescent="0.3">
      <c r="A118" s="4">
        <v>3357</v>
      </c>
      <c r="B118" s="27" t="s">
        <v>307</v>
      </c>
      <c r="C118" s="27" t="s">
        <v>308</v>
      </c>
      <c r="D118" s="2"/>
      <c r="E118" s="3">
        <v>45889</v>
      </c>
      <c r="F118" s="3">
        <f>WORKDAY(E118,G118)</f>
        <v>45989</v>
      </c>
      <c r="G118" s="4">
        <v>72</v>
      </c>
      <c r="H118" s="377">
        <f t="shared" si="35"/>
        <v>55</v>
      </c>
      <c r="I118" s="377">
        <f t="shared" si="33"/>
        <v>17</v>
      </c>
      <c r="J118" s="155" t="s">
        <v>165</v>
      </c>
      <c r="K118" s="10">
        <v>200000</v>
      </c>
      <c r="L118" s="10">
        <v>432000</v>
      </c>
      <c r="M118" s="8">
        <f t="shared" si="38"/>
        <v>30000</v>
      </c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3"/>
      <c r="BZ118" s="43"/>
      <c r="CA118" s="43"/>
      <c r="CB118" s="43"/>
      <c r="CC118" s="43"/>
      <c r="CD118" s="43"/>
      <c r="CE118" s="43"/>
      <c r="CF118" s="43"/>
      <c r="CG118" s="43"/>
      <c r="CH118" s="43"/>
      <c r="CI118" s="43"/>
      <c r="CJ118" s="43"/>
      <c r="CK118" s="43"/>
      <c r="CL118" s="43"/>
      <c r="CM118" s="43"/>
      <c r="CN118" s="43"/>
      <c r="CO118" s="43"/>
      <c r="CP118" s="43"/>
      <c r="CQ118" s="43"/>
      <c r="CR118" s="43"/>
      <c r="CS118" s="43"/>
      <c r="CT118" s="43"/>
      <c r="CU118" s="43"/>
      <c r="CV118" s="43"/>
      <c r="CW118" s="43"/>
      <c r="CX118" s="43"/>
      <c r="CY118" s="43"/>
      <c r="CZ118" s="43"/>
      <c r="DA118" s="43"/>
      <c r="DB118" s="43"/>
      <c r="DC118" s="43"/>
      <c r="DD118" s="43"/>
      <c r="DE118" s="43"/>
      <c r="DF118" s="43"/>
      <c r="DG118" s="43"/>
      <c r="DH118" s="43"/>
      <c r="DI118" s="43"/>
      <c r="DJ118" s="43"/>
      <c r="DK118" s="43"/>
      <c r="DL118" s="43"/>
      <c r="DM118" s="43"/>
      <c r="DN118" s="43"/>
      <c r="DO118" s="43"/>
      <c r="DP118" s="43"/>
      <c r="DQ118" s="43"/>
      <c r="DR118" s="43"/>
      <c r="DS118" s="43"/>
      <c r="DT118" s="43"/>
      <c r="DU118" s="43"/>
      <c r="DV118" s="43"/>
      <c r="DW118" s="43"/>
      <c r="DX118" s="43"/>
      <c r="DY118" s="43"/>
      <c r="DZ118" s="43"/>
      <c r="EA118" s="43"/>
      <c r="EB118" s="43"/>
      <c r="EC118" s="43"/>
      <c r="ED118" s="43"/>
      <c r="EE118" s="43"/>
      <c r="EF118" s="43"/>
      <c r="EG118" s="43"/>
      <c r="EH118" s="43"/>
      <c r="EI118" s="43"/>
      <c r="EJ118" s="43"/>
      <c r="EK118" s="43" t="s">
        <v>143</v>
      </c>
      <c r="EL118" s="43"/>
      <c r="EM118" s="43" t="s">
        <v>143</v>
      </c>
      <c r="EN118" s="43" t="s">
        <v>143</v>
      </c>
      <c r="EO118" s="43"/>
      <c r="EP118" s="43"/>
      <c r="EQ118" s="9"/>
      <c r="ER118" s="9"/>
      <c r="ES118" s="9" t="s">
        <v>143</v>
      </c>
      <c r="ET118" s="9"/>
      <c r="EU118" s="9"/>
      <c r="EV118" s="9" t="s">
        <v>143</v>
      </c>
      <c r="EW118" s="9"/>
      <c r="EX118" s="9"/>
      <c r="EY118" s="9"/>
      <c r="EZ118" s="9"/>
      <c r="FA118" s="9"/>
      <c r="FB118" s="9"/>
      <c r="FC118" s="9" t="s">
        <v>143</v>
      </c>
      <c r="FD118" s="9"/>
      <c r="FE118" s="9">
        <v>30000</v>
      </c>
      <c r="FF118" s="9">
        <v>30000</v>
      </c>
      <c r="FG118" s="9">
        <v>30000</v>
      </c>
      <c r="FH118" s="9">
        <v>30000</v>
      </c>
      <c r="FI118" s="9">
        <v>30000</v>
      </c>
      <c r="FJ118" s="9">
        <v>30000</v>
      </c>
      <c r="FK118" s="9"/>
      <c r="FL118" s="9">
        <v>30000</v>
      </c>
      <c r="FM118" s="9">
        <v>30000</v>
      </c>
      <c r="FN118" s="9">
        <v>30000</v>
      </c>
      <c r="FO118" s="9"/>
      <c r="FP118" s="9">
        <v>30000</v>
      </c>
      <c r="FQ118" s="9">
        <v>30000</v>
      </c>
      <c r="FR118" s="9"/>
      <c r="FS118" s="9"/>
      <c r="FT118" s="9">
        <f t="shared" si="21"/>
        <v>330000</v>
      </c>
      <c r="FU118" s="7">
        <f t="shared" si="22"/>
        <v>102000</v>
      </c>
      <c r="FV118" s="11">
        <f t="shared" si="23"/>
        <v>11</v>
      </c>
      <c r="FW118" s="11">
        <f t="shared" si="24"/>
        <v>3.4</v>
      </c>
      <c r="FX118" s="12">
        <f t="shared" si="25"/>
        <v>2.75</v>
      </c>
      <c r="FY118" s="12">
        <f t="shared" si="26"/>
        <v>0.85</v>
      </c>
    </row>
    <row r="119" spans="1:181" ht="43.5" customHeight="1" thickBot="1" x14ac:dyDescent="0.3">
      <c r="A119" s="4">
        <v>3489</v>
      </c>
      <c r="B119" s="27" t="s">
        <v>1403</v>
      </c>
      <c r="C119" s="27" t="s">
        <v>1404</v>
      </c>
      <c r="D119" s="2"/>
      <c r="E119" s="3">
        <v>45974</v>
      </c>
      <c r="F119" s="3">
        <f>WORKDAY(E119,G119)</f>
        <v>46086</v>
      </c>
      <c r="G119" s="4">
        <v>80</v>
      </c>
      <c r="H119" s="377">
        <f t="shared" si="35"/>
        <v>0</v>
      </c>
      <c r="I119" s="377">
        <f t="shared" si="33"/>
        <v>80</v>
      </c>
      <c r="J119" s="155" t="s">
        <v>1405</v>
      </c>
      <c r="K119" s="10">
        <v>300000</v>
      </c>
      <c r="L119" s="10">
        <v>648000</v>
      </c>
      <c r="M119" s="8">
        <f t="shared" si="38"/>
        <v>40500</v>
      </c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  <c r="EB119" s="43"/>
      <c r="EC119" s="43"/>
      <c r="ED119" s="43"/>
      <c r="EE119" s="43"/>
      <c r="EF119" s="43"/>
      <c r="EG119" s="43"/>
      <c r="EH119" s="43"/>
      <c r="EI119" s="43"/>
      <c r="EJ119" s="43"/>
      <c r="EK119" s="43" t="s">
        <v>143</v>
      </c>
      <c r="EL119" s="43"/>
      <c r="EM119" s="43" t="s">
        <v>143</v>
      </c>
      <c r="EN119" s="43" t="s">
        <v>143</v>
      </c>
      <c r="EO119" s="43"/>
      <c r="EP119" s="43"/>
      <c r="EQ119" s="9"/>
      <c r="ER119" s="9"/>
      <c r="ES119" s="9" t="s">
        <v>143</v>
      </c>
      <c r="ET119" s="9"/>
      <c r="EU119" s="9"/>
      <c r="EV119" s="9" t="s">
        <v>143</v>
      </c>
      <c r="EW119" s="9"/>
      <c r="EX119" s="9"/>
      <c r="EY119" s="9"/>
      <c r="EZ119" s="9"/>
      <c r="FA119" s="9"/>
      <c r="FB119" s="9"/>
      <c r="FC119" s="9" t="s">
        <v>143</v>
      </c>
      <c r="FD119" s="9"/>
      <c r="FE119" s="9"/>
      <c r="FF119" s="9"/>
      <c r="FG119" s="9"/>
      <c r="FH119" s="9"/>
      <c r="FI119" s="9"/>
      <c r="FJ119" s="9"/>
      <c r="FK119" s="9"/>
      <c r="FL119" s="9" t="s">
        <v>143</v>
      </c>
      <c r="FM119" s="9"/>
      <c r="FN119" s="9"/>
      <c r="FO119" s="9"/>
      <c r="FP119" s="9"/>
      <c r="FQ119" s="9"/>
      <c r="FR119" s="9"/>
      <c r="FS119" s="9"/>
      <c r="FT119" s="9">
        <f t="shared" si="21"/>
        <v>0</v>
      </c>
      <c r="FU119" s="7">
        <f t="shared" si="22"/>
        <v>648000</v>
      </c>
      <c r="FV119" s="11">
        <f t="shared" si="23"/>
        <v>0</v>
      </c>
      <c r="FW119" s="11">
        <f t="shared" si="24"/>
        <v>16</v>
      </c>
      <c r="FX119" s="12">
        <f t="shared" si="25"/>
        <v>0</v>
      </c>
      <c r="FY119" s="12">
        <f t="shared" si="26"/>
        <v>4</v>
      </c>
    </row>
    <row r="120" spans="1:181" ht="43.5" customHeight="1" thickBot="1" x14ac:dyDescent="0.3">
      <c r="A120" s="4">
        <v>3287</v>
      </c>
      <c r="B120" s="27" t="s">
        <v>310</v>
      </c>
      <c r="C120" s="27" t="s">
        <v>311</v>
      </c>
      <c r="D120" s="2"/>
      <c r="E120" s="3">
        <v>45852</v>
      </c>
      <c r="F120" s="3">
        <f t="shared" ref="F119:F142" si="39">WORKDAY(E120,G120)</f>
        <v>46132</v>
      </c>
      <c r="G120" s="4">
        <v>200</v>
      </c>
      <c r="H120" s="377">
        <f t="shared" si="35"/>
        <v>100</v>
      </c>
      <c r="I120" s="377">
        <f t="shared" si="33"/>
        <v>100</v>
      </c>
      <c r="J120" s="355" t="s">
        <v>1272</v>
      </c>
      <c r="K120" s="476">
        <v>500000</v>
      </c>
      <c r="L120" s="10">
        <v>1700000</v>
      </c>
      <c r="M120" s="8">
        <f t="shared" si="38"/>
        <v>42500</v>
      </c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3"/>
      <c r="BZ120" s="43"/>
      <c r="CA120" s="43"/>
      <c r="CB120" s="43"/>
      <c r="CC120" s="43"/>
      <c r="CD120" s="43"/>
      <c r="CE120" s="43"/>
      <c r="CF120" s="43"/>
      <c r="CG120" s="43"/>
      <c r="CH120" s="43"/>
      <c r="CI120" s="43"/>
      <c r="CJ120" s="43"/>
      <c r="CK120" s="43"/>
      <c r="CL120" s="43"/>
      <c r="CM120" s="43"/>
      <c r="CN120" s="43"/>
      <c r="CO120" s="43"/>
      <c r="CP120" s="43"/>
      <c r="CQ120" s="43"/>
      <c r="CR120" s="43"/>
      <c r="CS120" s="43"/>
      <c r="CT120" s="43"/>
      <c r="CU120" s="43"/>
      <c r="CV120" s="43"/>
      <c r="CW120" s="43"/>
      <c r="CX120" s="43"/>
      <c r="CY120" s="43"/>
      <c r="CZ120" s="43"/>
      <c r="DA120" s="43"/>
      <c r="DB120" s="43"/>
      <c r="DC120" s="43"/>
      <c r="DD120" s="43"/>
      <c r="DE120" s="43"/>
      <c r="DF120" s="43"/>
      <c r="DG120" s="43"/>
      <c r="DH120" s="43"/>
      <c r="DI120" s="43"/>
      <c r="DJ120" s="43"/>
      <c r="DK120" s="43"/>
      <c r="DL120" s="43"/>
      <c r="DM120" s="43"/>
      <c r="DN120" s="43"/>
      <c r="DO120" s="43"/>
      <c r="DP120" s="43"/>
      <c r="DQ120" s="43"/>
      <c r="DR120" s="43"/>
      <c r="DS120" s="43"/>
      <c r="DT120" s="43"/>
      <c r="DU120" s="43"/>
      <c r="DV120" s="43"/>
      <c r="DW120" s="43"/>
      <c r="DX120" s="43"/>
      <c r="DY120" s="43"/>
      <c r="DZ120" s="43"/>
      <c r="EA120" s="43"/>
      <c r="EB120" s="43"/>
      <c r="EC120" s="43"/>
      <c r="ED120" s="43"/>
      <c r="EE120" s="43"/>
      <c r="EF120" s="43"/>
      <c r="EG120" s="43"/>
      <c r="EH120" s="43"/>
      <c r="EI120" s="43"/>
      <c r="EJ120" s="43"/>
      <c r="EK120" s="43" t="s">
        <v>143</v>
      </c>
      <c r="EL120" s="43"/>
      <c r="EM120" s="43" t="s">
        <v>143</v>
      </c>
      <c r="EN120" s="43" t="s">
        <v>143</v>
      </c>
      <c r="EO120" s="43"/>
      <c r="EP120" s="43"/>
      <c r="EQ120" s="9"/>
      <c r="ER120" s="9"/>
      <c r="ES120" s="9" t="s">
        <v>143</v>
      </c>
      <c r="ET120" s="9"/>
      <c r="EU120" s="9"/>
      <c r="EV120" s="9" t="s">
        <v>143</v>
      </c>
      <c r="EW120" s="9"/>
      <c r="EX120" s="9"/>
      <c r="EY120" s="9"/>
      <c r="EZ120" s="9"/>
      <c r="FA120" s="9"/>
      <c r="FB120" s="9">
        <v>170000</v>
      </c>
      <c r="FC120" s="9"/>
      <c r="FD120" s="9"/>
      <c r="FE120" s="9"/>
      <c r="FF120" s="9">
        <v>170000</v>
      </c>
      <c r="FG120" s="9"/>
      <c r="FH120" s="9"/>
      <c r="FI120" s="9"/>
      <c r="FJ120" s="9"/>
      <c r="FK120" s="9">
        <v>170000</v>
      </c>
      <c r="FL120" s="9"/>
      <c r="FM120" s="9"/>
      <c r="FN120" s="9"/>
      <c r="FO120" s="9"/>
      <c r="FP120" s="9">
        <v>170000</v>
      </c>
      <c r="FQ120" s="9">
        <v>170000</v>
      </c>
      <c r="FR120" s="9"/>
      <c r="FS120" s="9"/>
      <c r="FT120" s="9">
        <f t="shared" si="21"/>
        <v>850000</v>
      </c>
      <c r="FU120" s="7">
        <f t="shared" si="22"/>
        <v>850000</v>
      </c>
      <c r="FV120" s="11">
        <f t="shared" si="23"/>
        <v>20</v>
      </c>
      <c r="FW120" s="11">
        <f t="shared" si="24"/>
        <v>20</v>
      </c>
      <c r="FX120" s="12">
        <f t="shared" si="25"/>
        <v>5</v>
      </c>
      <c r="FY120" s="12">
        <f t="shared" si="26"/>
        <v>5</v>
      </c>
    </row>
    <row r="121" spans="1:181" ht="43.5" customHeight="1" thickBot="1" x14ac:dyDescent="0.3">
      <c r="A121" s="4">
        <v>3283</v>
      </c>
      <c r="B121" s="27" t="s">
        <v>313</v>
      </c>
      <c r="C121" s="27" t="s">
        <v>314</v>
      </c>
      <c r="D121" s="2"/>
      <c r="E121" s="3">
        <v>45849</v>
      </c>
      <c r="F121" s="3">
        <f t="shared" si="39"/>
        <v>46003</v>
      </c>
      <c r="G121" s="4">
        <v>110</v>
      </c>
      <c r="H121" s="377">
        <f t="shared" si="35"/>
        <v>45</v>
      </c>
      <c r="I121" s="377">
        <f t="shared" si="33"/>
        <v>65</v>
      </c>
      <c r="J121" s="155" t="s">
        <v>158</v>
      </c>
      <c r="K121" s="7">
        <v>300000</v>
      </c>
      <c r="L121" s="7">
        <v>792000</v>
      </c>
      <c r="M121" s="8">
        <f t="shared" si="38"/>
        <v>36000</v>
      </c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3"/>
      <c r="BZ121" s="43"/>
      <c r="CA121" s="43"/>
      <c r="CB121" s="43"/>
      <c r="CC121" s="43"/>
      <c r="CD121" s="43"/>
      <c r="CE121" s="43"/>
      <c r="CF121" s="43"/>
      <c r="CG121" s="43"/>
      <c r="CH121" s="43"/>
      <c r="CI121" s="43"/>
      <c r="CJ121" s="43"/>
      <c r="CK121" s="43"/>
      <c r="CL121" s="43"/>
      <c r="CM121" s="43"/>
      <c r="CN121" s="43"/>
      <c r="CO121" s="43"/>
      <c r="CP121" s="43"/>
      <c r="CQ121" s="43"/>
      <c r="CR121" s="43"/>
      <c r="CS121" s="43"/>
      <c r="CT121" s="43"/>
      <c r="CU121" s="43"/>
      <c r="CV121" s="43"/>
      <c r="CW121" s="43"/>
      <c r="CX121" s="43"/>
      <c r="CY121" s="43"/>
      <c r="CZ121" s="43"/>
      <c r="DA121" s="43"/>
      <c r="DB121" s="43"/>
      <c r="DC121" s="43"/>
      <c r="DD121" s="43"/>
      <c r="DE121" s="43"/>
      <c r="DF121" s="43"/>
      <c r="DG121" s="43"/>
      <c r="DH121" s="43"/>
      <c r="DI121" s="43"/>
      <c r="DJ121" s="43"/>
      <c r="DK121" s="43"/>
      <c r="DL121" s="43"/>
      <c r="DM121" s="43"/>
      <c r="DN121" s="43"/>
      <c r="DO121" s="43"/>
      <c r="DP121" s="43"/>
      <c r="DQ121" s="43"/>
      <c r="DR121" s="43"/>
      <c r="DS121" s="43"/>
      <c r="DT121" s="43"/>
      <c r="DU121" s="43"/>
      <c r="DV121" s="43"/>
      <c r="DW121" s="43"/>
      <c r="DX121" s="43"/>
      <c r="DY121" s="43"/>
      <c r="DZ121" s="43"/>
      <c r="EA121" s="43"/>
      <c r="EB121" s="43"/>
      <c r="EC121" s="43"/>
      <c r="ED121" s="43"/>
      <c r="EE121" s="43"/>
      <c r="EF121" s="43"/>
      <c r="EG121" s="43"/>
      <c r="EH121" s="43"/>
      <c r="EI121" s="43"/>
      <c r="EJ121" s="43"/>
      <c r="EK121" s="43" t="s">
        <v>143</v>
      </c>
      <c r="EL121" s="43"/>
      <c r="EM121" s="43" t="s">
        <v>143</v>
      </c>
      <c r="EN121" s="43" t="s">
        <v>143</v>
      </c>
      <c r="EO121" s="43"/>
      <c r="EP121" s="43"/>
      <c r="EQ121" s="9"/>
      <c r="ER121" s="9"/>
      <c r="ES121" s="9" t="s">
        <v>143</v>
      </c>
      <c r="ET121" s="9"/>
      <c r="EU121" s="9"/>
      <c r="EV121" s="9" t="s">
        <v>143</v>
      </c>
      <c r="EW121" s="9"/>
      <c r="EX121" s="9"/>
      <c r="EY121" s="9">
        <v>36000</v>
      </c>
      <c r="EZ121" s="9">
        <v>36000</v>
      </c>
      <c r="FA121" s="9"/>
      <c r="FB121" s="9">
        <v>36000</v>
      </c>
      <c r="FC121" s="9"/>
      <c r="FD121" s="9"/>
      <c r="FE121" s="9"/>
      <c r="FF121" s="9">
        <v>36000</v>
      </c>
      <c r="FG121" s="9"/>
      <c r="FH121" s="9"/>
      <c r="FI121" s="9"/>
      <c r="FJ121" s="9"/>
      <c r="FK121" s="9">
        <v>36000</v>
      </c>
      <c r="FL121" s="9"/>
      <c r="FM121" s="9">
        <v>36000</v>
      </c>
      <c r="FN121" s="9"/>
      <c r="FO121" s="9">
        <v>36000</v>
      </c>
      <c r="FP121" s="9"/>
      <c r="FQ121" s="9"/>
      <c r="FR121" s="9"/>
      <c r="FS121" s="9">
        <v>72000</v>
      </c>
      <c r="FT121" s="9">
        <f t="shared" si="21"/>
        <v>324000</v>
      </c>
      <c r="FU121" s="7">
        <f t="shared" si="22"/>
        <v>468000</v>
      </c>
      <c r="FV121" s="11">
        <f t="shared" si="23"/>
        <v>9</v>
      </c>
      <c r="FW121" s="11">
        <f t="shared" si="24"/>
        <v>13</v>
      </c>
      <c r="FX121" s="12">
        <f t="shared" si="25"/>
        <v>2.25</v>
      </c>
      <c r="FY121" s="12">
        <f t="shared" si="26"/>
        <v>3.25</v>
      </c>
    </row>
    <row r="122" spans="1:181" ht="43.5" customHeight="1" thickBot="1" x14ac:dyDescent="0.3">
      <c r="A122" s="4">
        <v>3409</v>
      </c>
      <c r="B122" s="27" t="s">
        <v>316</v>
      </c>
      <c r="C122" s="27" t="s">
        <v>317</v>
      </c>
      <c r="D122" s="2"/>
      <c r="E122" s="3">
        <v>45920</v>
      </c>
      <c r="F122" s="3">
        <f t="shared" si="39"/>
        <v>46021</v>
      </c>
      <c r="G122" s="4">
        <v>72</v>
      </c>
      <c r="H122" s="377">
        <f t="shared" si="35"/>
        <v>30</v>
      </c>
      <c r="I122" s="377">
        <f t="shared" si="33"/>
        <v>42</v>
      </c>
      <c r="J122" s="155" t="s">
        <v>161</v>
      </c>
      <c r="K122" s="20">
        <v>20000</v>
      </c>
      <c r="L122" s="7">
        <v>43200</v>
      </c>
      <c r="M122" s="8">
        <f t="shared" si="38"/>
        <v>3000</v>
      </c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  <c r="BZ122" s="43"/>
      <c r="CA122" s="43"/>
      <c r="CB122" s="43"/>
      <c r="CC122" s="43"/>
      <c r="CD122" s="43"/>
      <c r="CE122" s="43"/>
      <c r="CF122" s="43"/>
      <c r="CG122" s="43"/>
      <c r="CH122" s="43"/>
      <c r="CI122" s="43"/>
      <c r="CJ122" s="43"/>
      <c r="CK122" s="43"/>
      <c r="CL122" s="43"/>
      <c r="CM122" s="43"/>
      <c r="CN122" s="43"/>
      <c r="CO122" s="43"/>
      <c r="CP122" s="43"/>
      <c r="CQ122" s="43"/>
      <c r="CR122" s="43"/>
      <c r="CS122" s="43"/>
      <c r="CT122" s="43"/>
      <c r="CU122" s="43"/>
      <c r="CV122" s="43"/>
      <c r="CW122" s="43"/>
      <c r="CX122" s="43"/>
      <c r="CY122" s="43"/>
      <c r="CZ122" s="43"/>
      <c r="DA122" s="43"/>
      <c r="DB122" s="43"/>
      <c r="DC122" s="43"/>
      <c r="DD122" s="43"/>
      <c r="DE122" s="43"/>
      <c r="DF122" s="43"/>
      <c r="DG122" s="43"/>
      <c r="DH122" s="43"/>
      <c r="DI122" s="43"/>
      <c r="DJ122" s="43"/>
      <c r="DK122" s="43"/>
      <c r="DL122" s="43"/>
      <c r="DM122" s="43"/>
      <c r="DN122" s="43"/>
      <c r="DO122" s="43"/>
      <c r="DP122" s="43"/>
      <c r="DQ122" s="43"/>
      <c r="DR122" s="43"/>
      <c r="DS122" s="43"/>
      <c r="DT122" s="43"/>
      <c r="DU122" s="43"/>
      <c r="DV122" s="43"/>
      <c r="DW122" s="43"/>
      <c r="DX122" s="43"/>
      <c r="DY122" s="43"/>
      <c r="DZ122" s="43"/>
      <c r="EA122" s="43"/>
      <c r="EB122" s="43"/>
      <c r="EC122" s="43"/>
      <c r="ED122" s="43"/>
      <c r="EE122" s="43"/>
      <c r="EF122" s="43"/>
      <c r="EG122" s="43"/>
      <c r="EH122" s="43"/>
      <c r="EI122" s="43"/>
      <c r="EJ122" s="43"/>
      <c r="EK122" s="43" t="s">
        <v>143</v>
      </c>
      <c r="EL122" s="43"/>
      <c r="EM122" s="43" t="s">
        <v>143</v>
      </c>
      <c r="EN122" s="43" t="s">
        <v>143</v>
      </c>
      <c r="EO122" s="43"/>
      <c r="EP122" s="43"/>
      <c r="EQ122" s="9"/>
      <c r="ER122" s="9"/>
      <c r="ES122" s="9" t="s">
        <v>143</v>
      </c>
      <c r="ET122" s="9"/>
      <c r="EU122" s="9"/>
      <c r="EV122" s="9" t="s">
        <v>143</v>
      </c>
      <c r="EW122" s="9"/>
      <c r="EX122" s="9"/>
      <c r="EY122" s="9"/>
      <c r="EZ122" s="9"/>
      <c r="FA122" s="9"/>
      <c r="FB122" s="9"/>
      <c r="FC122" s="9" t="s">
        <v>143</v>
      </c>
      <c r="FD122" s="9"/>
      <c r="FE122" s="9"/>
      <c r="FF122" s="9"/>
      <c r="FG122" s="9"/>
      <c r="FH122" s="9"/>
      <c r="FI122" s="9"/>
      <c r="FJ122" s="9"/>
      <c r="FK122" s="9">
        <v>6000</v>
      </c>
      <c r="FL122" s="9">
        <v>3000</v>
      </c>
      <c r="FM122" s="9"/>
      <c r="FN122" s="9"/>
      <c r="FO122" s="9">
        <v>3000</v>
      </c>
      <c r="FP122" s="9"/>
      <c r="FQ122" s="9">
        <v>3000</v>
      </c>
      <c r="FR122" s="9">
        <v>3000</v>
      </c>
      <c r="FS122" s="9"/>
      <c r="FT122" s="9">
        <f t="shared" si="21"/>
        <v>18000</v>
      </c>
      <c r="FU122" s="7">
        <f t="shared" si="22"/>
        <v>25200</v>
      </c>
      <c r="FV122" s="11">
        <f t="shared" si="23"/>
        <v>6</v>
      </c>
      <c r="FW122" s="11">
        <f t="shared" si="24"/>
        <v>8.4</v>
      </c>
      <c r="FX122" s="12">
        <f t="shared" si="25"/>
        <v>1.5</v>
      </c>
      <c r="FY122" s="12">
        <f t="shared" si="26"/>
        <v>2.1</v>
      </c>
    </row>
    <row r="123" spans="1:181" ht="43.5" customHeight="1" thickBot="1" x14ac:dyDescent="0.3">
      <c r="A123" s="4">
        <v>3467</v>
      </c>
      <c r="B123" s="27" t="s">
        <v>316</v>
      </c>
      <c r="C123" s="27" t="s">
        <v>317</v>
      </c>
      <c r="D123" s="2"/>
      <c r="E123" s="3">
        <v>45959</v>
      </c>
      <c r="F123" s="3">
        <f t="shared" si="39"/>
        <v>46059</v>
      </c>
      <c r="G123" s="4">
        <v>72</v>
      </c>
      <c r="H123" s="377">
        <f t="shared" si="35"/>
        <v>15</v>
      </c>
      <c r="I123" s="377">
        <f t="shared" si="33"/>
        <v>57</v>
      </c>
      <c r="J123" s="155" t="s">
        <v>161</v>
      </c>
      <c r="K123" s="20">
        <v>20000</v>
      </c>
      <c r="L123" s="7">
        <v>43200</v>
      </c>
      <c r="M123" s="21">
        <f t="shared" si="38"/>
        <v>3000</v>
      </c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3"/>
      <c r="CD123" s="43"/>
      <c r="CE123" s="43"/>
      <c r="CF123" s="43"/>
      <c r="CG123" s="43"/>
      <c r="CH123" s="43"/>
      <c r="CI123" s="43"/>
      <c r="CJ123" s="43"/>
      <c r="CK123" s="43"/>
      <c r="CL123" s="43"/>
      <c r="CM123" s="43"/>
      <c r="CN123" s="43"/>
      <c r="CO123" s="43"/>
      <c r="CP123" s="43"/>
      <c r="CQ123" s="43"/>
      <c r="CR123" s="43"/>
      <c r="CS123" s="43"/>
      <c r="CT123" s="43"/>
      <c r="CU123" s="43"/>
      <c r="CV123" s="43"/>
      <c r="CW123" s="43"/>
      <c r="CX123" s="43"/>
      <c r="CY123" s="43"/>
      <c r="CZ123" s="43"/>
      <c r="DA123" s="43"/>
      <c r="DB123" s="43"/>
      <c r="DC123" s="43"/>
      <c r="DD123" s="43"/>
      <c r="DE123" s="43"/>
      <c r="DF123" s="43"/>
      <c r="DG123" s="43"/>
      <c r="DH123" s="43"/>
      <c r="DI123" s="43"/>
      <c r="DJ123" s="43"/>
      <c r="DK123" s="43"/>
      <c r="DL123" s="43"/>
      <c r="DM123" s="43"/>
      <c r="DN123" s="43"/>
      <c r="DO123" s="43"/>
      <c r="DP123" s="43"/>
      <c r="DQ123" s="43"/>
      <c r="DR123" s="43"/>
      <c r="DS123" s="43"/>
      <c r="DT123" s="43"/>
      <c r="DU123" s="43"/>
      <c r="DV123" s="43"/>
      <c r="DW123" s="43"/>
      <c r="DX123" s="43"/>
      <c r="DY123" s="43"/>
      <c r="DZ123" s="43"/>
      <c r="EA123" s="43"/>
      <c r="EB123" s="43"/>
      <c r="EC123" s="43"/>
      <c r="ED123" s="43"/>
      <c r="EE123" s="43"/>
      <c r="EF123" s="43"/>
      <c r="EG123" s="43"/>
      <c r="EH123" s="43"/>
      <c r="EI123" s="43"/>
      <c r="EJ123" s="43"/>
      <c r="EK123" s="43" t="s">
        <v>143</v>
      </c>
      <c r="EL123" s="43"/>
      <c r="EM123" s="43" t="s">
        <v>143</v>
      </c>
      <c r="EN123" s="43" t="s">
        <v>143</v>
      </c>
      <c r="EO123" s="43"/>
      <c r="EP123" s="43"/>
      <c r="EQ123" s="9"/>
      <c r="ER123" s="9"/>
      <c r="ES123" s="9" t="s">
        <v>143</v>
      </c>
      <c r="ET123" s="9"/>
      <c r="EU123" s="9"/>
      <c r="EV123" s="9" t="s">
        <v>143</v>
      </c>
      <c r="EW123" s="9"/>
      <c r="EX123" s="9"/>
      <c r="EY123" s="9"/>
      <c r="EZ123" s="9"/>
      <c r="FA123" s="9"/>
      <c r="FB123" s="9"/>
      <c r="FC123" s="9" t="s">
        <v>143</v>
      </c>
      <c r="FD123" s="9"/>
      <c r="FE123" s="9"/>
      <c r="FF123" s="9"/>
      <c r="FG123" s="9"/>
      <c r="FH123" s="9"/>
      <c r="FI123" s="9"/>
      <c r="FJ123" s="9"/>
      <c r="FK123" s="9"/>
      <c r="FL123" s="9" t="s">
        <v>143</v>
      </c>
      <c r="FM123" s="9"/>
      <c r="FN123" s="9"/>
      <c r="FO123" s="9">
        <v>3000</v>
      </c>
      <c r="FP123" s="9"/>
      <c r="FQ123" s="9">
        <v>3000</v>
      </c>
      <c r="FR123" s="9">
        <v>3000</v>
      </c>
      <c r="FS123" s="9"/>
      <c r="FT123" s="9">
        <f t="shared" si="21"/>
        <v>9000</v>
      </c>
      <c r="FU123" s="7">
        <f t="shared" si="22"/>
        <v>34200</v>
      </c>
      <c r="FV123" s="11">
        <f t="shared" si="23"/>
        <v>3</v>
      </c>
      <c r="FW123" s="11">
        <f t="shared" si="24"/>
        <v>11.4</v>
      </c>
      <c r="FX123" s="12">
        <f t="shared" si="25"/>
        <v>0.75</v>
      </c>
      <c r="FY123" s="12">
        <f t="shared" si="26"/>
        <v>2.85</v>
      </c>
    </row>
    <row r="124" spans="1:181" ht="43.5" customHeight="1" thickBot="1" x14ac:dyDescent="0.3">
      <c r="A124" s="4">
        <v>3307</v>
      </c>
      <c r="B124" s="27" t="s">
        <v>319</v>
      </c>
      <c r="C124" s="27" t="s">
        <v>317</v>
      </c>
      <c r="D124" s="2"/>
      <c r="E124" s="3">
        <v>45860</v>
      </c>
      <c r="F124" s="3">
        <f t="shared" si="39"/>
        <v>45960</v>
      </c>
      <c r="G124" s="4">
        <v>72</v>
      </c>
      <c r="H124" s="377">
        <f t="shared" si="35"/>
        <v>65</v>
      </c>
      <c r="I124" s="377">
        <f t="shared" si="33"/>
        <v>7</v>
      </c>
      <c r="J124" s="155" t="s">
        <v>227</v>
      </c>
      <c r="K124" s="7">
        <v>50000</v>
      </c>
      <c r="L124" s="7">
        <v>108000</v>
      </c>
      <c r="M124" s="8">
        <f t="shared" si="38"/>
        <v>7500</v>
      </c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  <c r="CC124" s="43"/>
      <c r="CD124" s="43"/>
      <c r="CE124" s="43"/>
      <c r="CF124" s="43"/>
      <c r="CG124" s="43"/>
      <c r="CH124" s="43"/>
      <c r="CI124" s="43"/>
      <c r="CJ124" s="43"/>
      <c r="CK124" s="43"/>
      <c r="CL124" s="43"/>
      <c r="CM124" s="43"/>
      <c r="CN124" s="43"/>
      <c r="CO124" s="43"/>
      <c r="CP124" s="43"/>
      <c r="CQ124" s="43"/>
      <c r="CR124" s="43"/>
      <c r="CS124" s="43"/>
      <c r="CT124" s="43"/>
      <c r="CU124" s="43"/>
      <c r="CV124" s="43"/>
      <c r="CW124" s="43"/>
      <c r="CX124" s="43"/>
      <c r="CY124" s="43"/>
      <c r="CZ124" s="43"/>
      <c r="DA124" s="43"/>
      <c r="DB124" s="43"/>
      <c r="DC124" s="43"/>
      <c r="DD124" s="43"/>
      <c r="DE124" s="43"/>
      <c r="DF124" s="43"/>
      <c r="DG124" s="43"/>
      <c r="DH124" s="43"/>
      <c r="DI124" s="43"/>
      <c r="DJ124" s="43"/>
      <c r="DK124" s="43"/>
      <c r="DL124" s="43"/>
      <c r="DM124" s="43"/>
      <c r="DN124" s="43"/>
      <c r="DO124" s="43"/>
      <c r="DP124" s="43"/>
      <c r="DQ124" s="43"/>
      <c r="DR124" s="43"/>
      <c r="DS124" s="43"/>
      <c r="DT124" s="43"/>
      <c r="DU124" s="43"/>
      <c r="DV124" s="43"/>
      <c r="DW124" s="43"/>
      <c r="DX124" s="43"/>
      <c r="DY124" s="43"/>
      <c r="DZ124" s="43"/>
      <c r="EA124" s="43"/>
      <c r="EB124" s="43"/>
      <c r="EC124" s="43"/>
      <c r="ED124" s="43"/>
      <c r="EE124" s="43"/>
      <c r="EF124" s="43"/>
      <c r="EG124" s="43"/>
      <c r="EH124" s="43"/>
      <c r="EI124" s="43"/>
      <c r="EJ124" s="43"/>
      <c r="EK124" s="43" t="s">
        <v>143</v>
      </c>
      <c r="EL124" s="43"/>
      <c r="EM124" s="43" t="s">
        <v>143</v>
      </c>
      <c r="EN124" s="43" t="s">
        <v>143</v>
      </c>
      <c r="EO124" s="43"/>
      <c r="EP124" s="43"/>
      <c r="EQ124" s="9"/>
      <c r="ER124" s="9"/>
      <c r="ES124" s="9" t="s">
        <v>143</v>
      </c>
      <c r="ET124" s="9"/>
      <c r="EU124" s="9"/>
      <c r="EV124" s="9" t="s">
        <v>143</v>
      </c>
      <c r="EW124" s="9"/>
      <c r="EX124" s="9"/>
      <c r="EY124" s="9"/>
      <c r="EZ124" s="9"/>
      <c r="FA124" s="9">
        <v>7500</v>
      </c>
      <c r="FB124" s="9">
        <v>7500</v>
      </c>
      <c r="FC124" s="9"/>
      <c r="FD124" s="9">
        <v>7500</v>
      </c>
      <c r="FE124" s="9">
        <v>7500</v>
      </c>
      <c r="FF124" s="9">
        <v>7500</v>
      </c>
      <c r="FG124" s="9"/>
      <c r="FH124" s="9">
        <v>7500</v>
      </c>
      <c r="FI124" s="9"/>
      <c r="FJ124" s="9">
        <v>7500</v>
      </c>
      <c r="FK124" s="9" t="s">
        <v>143</v>
      </c>
      <c r="FL124" s="9">
        <v>15000</v>
      </c>
      <c r="FM124" s="9"/>
      <c r="FN124" s="9">
        <v>15000</v>
      </c>
      <c r="FO124" s="9"/>
      <c r="FP124" s="9">
        <v>7500</v>
      </c>
      <c r="FQ124" s="9">
        <v>7500</v>
      </c>
      <c r="FR124" s="9"/>
      <c r="FS124" s="9"/>
      <c r="FT124" s="9">
        <f t="shared" si="21"/>
        <v>97500</v>
      </c>
      <c r="FU124" s="7">
        <f t="shared" si="22"/>
        <v>10500</v>
      </c>
      <c r="FV124" s="11">
        <f t="shared" si="23"/>
        <v>13</v>
      </c>
      <c r="FW124" s="11">
        <f t="shared" si="24"/>
        <v>1.4</v>
      </c>
      <c r="FX124" s="12">
        <f t="shared" si="25"/>
        <v>3.25</v>
      </c>
      <c r="FY124" s="12">
        <f t="shared" si="26"/>
        <v>0.35</v>
      </c>
    </row>
    <row r="125" spans="1:181" ht="43.5" customHeight="1" thickBot="1" x14ac:dyDescent="0.3">
      <c r="A125" s="4">
        <v>3437</v>
      </c>
      <c r="B125" s="27" t="s">
        <v>1300</v>
      </c>
      <c r="C125" s="27" t="s">
        <v>1301</v>
      </c>
      <c r="D125" s="2"/>
      <c r="E125" s="3">
        <v>45940</v>
      </c>
      <c r="F125" s="3">
        <f t="shared" si="39"/>
        <v>46024</v>
      </c>
      <c r="G125" s="4">
        <v>60</v>
      </c>
      <c r="H125" s="377">
        <f t="shared" si="35"/>
        <v>20</v>
      </c>
      <c r="I125" s="377">
        <f t="shared" si="33"/>
        <v>40</v>
      </c>
      <c r="J125" s="355" t="s">
        <v>1302</v>
      </c>
      <c r="K125" s="10">
        <v>400000</v>
      </c>
      <c r="L125" s="10">
        <v>768000</v>
      </c>
      <c r="M125" s="21">
        <f t="shared" si="38"/>
        <v>64000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 t="s">
        <v>143</v>
      </c>
      <c r="EL125" s="9"/>
      <c r="EM125" s="9" t="s">
        <v>143</v>
      </c>
      <c r="EN125" s="9" t="s">
        <v>143</v>
      </c>
      <c r="EO125" s="9"/>
      <c r="EP125" s="9"/>
      <c r="EQ125" s="9"/>
      <c r="ER125" s="9"/>
      <c r="ES125" s="9" t="s">
        <v>143</v>
      </c>
      <c r="ET125" s="9"/>
      <c r="EU125" s="9"/>
      <c r="EV125" s="9" t="s">
        <v>143</v>
      </c>
      <c r="EW125" s="9"/>
      <c r="EX125" s="9"/>
      <c r="EY125" s="9"/>
      <c r="EZ125" s="9"/>
      <c r="FA125" s="9"/>
      <c r="FB125" s="9"/>
      <c r="FC125" s="9" t="s">
        <v>143</v>
      </c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>
        <v>110000</v>
      </c>
      <c r="FR125" s="9"/>
      <c r="FS125" s="9">
        <v>146000</v>
      </c>
      <c r="FT125" s="9">
        <f t="shared" si="21"/>
        <v>256000</v>
      </c>
      <c r="FU125" s="7">
        <f t="shared" si="22"/>
        <v>512000</v>
      </c>
      <c r="FV125" s="11">
        <f t="shared" si="23"/>
        <v>4</v>
      </c>
      <c r="FW125" s="11">
        <f t="shared" si="24"/>
        <v>8</v>
      </c>
      <c r="FX125" s="12">
        <f t="shared" si="25"/>
        <v>1</v>
      </c>
      <c r="FY125" s="12">
        <f t="shared" si="26"/>
        <v>2</v>
      </c>
    </row>
    <row r="126" spans="1:181" ht="43.5" customHeight="1" thickBot="1" x14ac:dyDescent="0.3">
      <c r="A126" s="4">
        <v>2935</v>
      </c>
      <c r="B126" s="27" t="s">
        <v>1238</v>
      </c>
      <c r="C126" s="27" t="s">
        <v>322</v>
      </c>
      <c r="D126" s="2"/>
      <c r="E126" s="3">
        <v>45624</v>
      </c>
      <c r="F126" s="3">
        <f>WORKDAY(E126,G126)</f>
        <v>45848</v>
      </c>
      <c r="G126" s="4">
        <v>160</v>
      </c>
      <c r="H126" s="377">
        <f t="shared" si="35"/>
        <v>142.66666666666666</v>
      </c>
      <c r="I126" s="377">
        <f t="shared" si="33"/>
        <v>17.333333333333343</v>
      </c>
      <c r="J126" s="355" t="s">
        <v>324</v>
      </c>
      <c r="K126" s="7">
        <v>300000</v>
      </c>
      <c r="L126" s="7">
        <v>900000</v>
      </c>
      <c r="M126" s="8">
        <f t="shared" si="38"/>
        <v>28125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>
        <v>115000</v>
      </c>
      <c r="DW126" s="9"/>
      <c r="DX126" s="9"/>
      <c r="DY126" s="9"/>
      <c r="DZ126" s="9"/>
      <c r="EA126" s="9">
        <v>112500</v>
      </c>
      <c r="EB126" s="9"/>
      <c r="EC126" s="9"/>
      <c r="ED126" s="9">
        <v>112500</v>
      </c>
      <c r="EE126" s="9"/>
      <c r="EF126" s="9"/>
      <c r="EG126" s="9"/>
      <c r="EH126" s="9"/>
      <c r="EI126" s="9">
        <v>112500</v>
      </c>
      <c r="EJ126" s="9"/>
      <c r="EK126" s="9"/>
      <c r="EL126" s="9"/>
      <c r="EM126" s="9"/>
      <c r="EN126" s="9">
        <v>100000</v>
      </c>
      <c r="EO126" s="9"/>
      <c r="EP126" s="9"/>
      <c r="EQ126" s="9">
        <v>100000</v>
      </c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>
        <v>100000</v>
      </c>
      <c r="FI126" s="9"/>
      <c r="FJ126" s="9"/>
      <c r="FK126" s="9"/>
      <c r="FL126" s="9"/>
      <c r="FM126" s="9"/>
      <c r="FN126" s="9">
        <v>50000</v>
      </c>
      <c r="FO126" s="9" t="s">
        <v>143</v>
      </c>
      <c r="FP126" s="9"/>
      <c r="FQ126" s="9"/>
      <c r="FR126" s="9"/>
      <c r="FS126" s="9"/>
      <c r="FT126" s="9">
        <f t="shared" si="21"/>
        <v>802500</v>
      </c>
      <c r="FU126" s="7">
        <f t="shared" si="22"/>
        <v>97500</v>
      </c>
      <c r="FV126" s="11">
        <f t="shared" si="23"/>
        <v>28.533333333333331</v>
      </c>
      <c r="FW126" s="11">
        <f t="shared" si="24"/>
        <v>3.4666666666666686</v>
      </c>
      <c r="FX126" s="12">
        <f t="shared" si="25"/>
        <v>7.1333333333333329</v>
      </c>
      <c r="FY126" s="12">
        <f t="shared" si="26"/>
        <v>0.86666666666666714</v>
      </c>
    </row>
    <row r="127" spans="1:181" ht="43.5" customHeight="1" thickBot="1" x14ac:dyDescent="0.3">
      <c r="A127" s="4">
        <v>3133</v>
      </c>
      <c r="B127" s="27" t="s">
        <v>1238</v>
      </c>
      <c r="C127" s="27" t="s">
        <v>322</v>
      </c>
      <c r="D127" s="2"/>
      <c r="E127" s="3">
        <v>45747</v>
      </c>
      <c r="F127" s="3">
        <f t="shared" si="39"/>
        <v>45915</v>
      </c>
      <c r="G127" s="4">
        <v>120</v>
      </c>
      <c r="H127" s="377">
        <f t="shared" si="35"/>
        <v>16.083916083916083</v>
      </c>
      <c r="I127" s="377">
        <f t="shared" si="33"/>
        <v>103.91608391608392</v>
      </c>
      <c r="J127" s="355" t="s">
        <v>326</v>
      </c>
      <c r="K127" s="10">
        <v>130000</v>
      </c>
      <c r="L127" s="10">
        <v>343200</v>
      </c>
      <c r="M127" s="8">
        <f t="shared" si="38"/>
        <v>14300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 t="s">
        <v>143</v>
      </c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>
        <v>46000</v>
      </c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>
        <f t="shared" si="21"/>
        <v>46000</v>
      </c>
      <c r="FU127" s="7">
        <f t="shared" si="22"/>
        <v>297200</v>
      </c>
      <c r="FV127" s="11">
        <f t="shared" si="23"/>
        <v>3.2167832167832167</v>
      </c>
      <c r="FW127" s="11">
        <f t="shared" si="24"/>
        <v>20.783216783216783</v>
      </c>
      <c r="FX127" s="12">
        <f t="shared" si="25"/>
        <v>0.80419580419580416</v>
      </c>
      <c r="FY127" s="12">
        <f t="shared" si="26"/>
        <v>5.1958041958041958</v>
      </c>
    </row>
    <row r="128" spans="1:181" ht="43.5" customHeight="1" thickBot="1" x14ac:dyDescent="0.3">
      <c r="A128" s="372">
        <v>3506</v>
      </c>
      <c r="B128" s="27" t="s">
        <v>1238</v>
      </c>
      <c r="C128" s="27" t="s">
        <v>322</v>
      </c>
      <c r="D128" s="2"/>
      <c r="E128" s="3">
        <v>45981</v>
      </c>
      <c r="F128" s="3">
        <f>WORKDAY(E128,G128)</f>
        <v>46093</v>
      </c>
      <c r="G128" s="4">
        <v>80</v>
      </c>
      <c r="H128" s="377">
        <f t="shared" si="35"/>
        <v>0</v>
      </c>
      <c r="I128" s="377">
        <f t="shared" si="33"/>
        <v>80</v>
      </c>
      <c r="J128" s="355" t="s">
        <v>1411</v>
      </c>
      <c r="K128" s="7">
        <v>50000</v>
      </c>
      <c r="L128" s="7">
        <v>108000</v>
      </c>
      <c r="M128" s="8">
        <f t="shared" si="38"/>
        <v>6750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 t="s">
        <v>143</v>
      </c>
      <c r="EL128" s="9"/>
      <c r="EM128" s="9" t="s">
        <v>143</v>
      </c>
      <c r="EN128" s="9" t="s">
        <v>143</v>
      </c>
      <c r="EO128" s="9"/>
      <c r="EP128" s="9"/>
      <c r="EQ128" s="9"/>
      <c r="ER128" s="9"/>
      <c r="ES128" s="9" t="s">
        <v>143</v>
      </c>
      <c r="ET128" s="9"/>
      <c r="EU128" s="9"/>
      <c r="EV128" s="9" t="s">
        <v>143</v>
      </c>
      <c r="EW128" s="9"/>
      <c r="EX128" s="9"/>
      <c r="EY128" s="9"/>
      <c r="EZ128" s="9"/>
      <c r="FA128" s="9"/>
      <c r="FB128" s="9"/>
      <c r="FC128" s="9" t="s">
        <v>143</v>
      </c>
      <c r="FD128" s="9"/>
      <c r="FE128" s="9"/>
      <c r="FF128" s="9"/>
      <c r="FG128" s="9"/>
      <c r="FH128" s="9"/>
      <c r="FI128" s="9"/>
      <c r="FJ128" s="9"/>
      <c r="FK128" s="9"/>
      <c r="FL128" s="9" t="s">
        <v>143</v>
      </c>
      <c r="FM128" s="9"/>
      <c r="FN128" s="9"/>
      <c r="FO128" s="9"/>
      <c r="FP128" s="9"/>
      <c r="FQ128" s="9"/>
      <c r="FR128" s="9"/>
      <c r="FS128" s="9"/>
      <c r="FT128" s="9">
        <f t="shared" si="21"/>
        <v>0</v>
      </c>
      <c r="FU128" s="7">
        <f t="shared" si="22"/>
        <v>108000</v>
      </c>
      <c r="FV128" s="11">
        <f t="shared" si="23"/>
        <v>0</v>
      </c>
      <c r="FW128" s="11">
        <f t="shared" si="24"/>
        <v>16</v>
      </c>
      <c r="FX128" s="12">
        <f t="shared" si="25"/>
        <v>0</v>
      </c>
      <c r="FY128" s="12">
        <f t="shared" si="26"/>
        <v>4</v>
      </c>
    </row>
    <row r="129" spans="1:181" ht="43.5" customHeight="1" thickBot="1" x14ac:dyDescent="0.3">
      <c r="A129" s="4">
        <v>2881</v>
      </c>
      <c r="B129" s="27" t="s">
        <v>327</v>
      </c>
      <c r="C129" s="27"/>
      <c r="D129" s="2"/>
      <c r="E129" s="3">
        <v>45588</v>
      </c>
      <c r="F129" s="3">
        <f t="shared" ref="F129:F131" si="40">WORKDAY(E129,G129)</f>
        <v>45756</v>
      </c>
      <c r="G129" s="4">
        <v>120</v>
      </c>
      <c r="H129" s="377">
        <f t="shared" si="35"/>
        <v>59.516129032258071</v>
      </c>
      <c r="I129" s="377">
        <f t="shared" si="33"/>
        <v>60.483870967741929</v>
      </c>
      <c r="J129" s="355" t="s">
        <v>328</v>
      </c>
      <c r="K129" s="10">
        <v>120000</v>
      </c>
      <c r="L129" s="10">
        <v>396800</v>
      </c>
      <c r="M129" s="8">
        <f t="shared" si="38"/>
        <v>16533.333333333332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>
        <v>52800</v>
      </c>
      <c r="DV129" s="9"/>
      <c r="DW129" s="9"/>
      <c r="DX129" s="9"/>
      <c r="DY129" s="9"/>
      <c r="DZ129" s="9">
        <v>500</v>
      </c>
      <c r="EA129" s="9"/>
      <c r="EB129" s="9"/>
      <c r="EC129" s="9"/>
      <c r="ED129" s="9"/>
      <c r="EE129" s="9">
        <v>20000</v>
      </c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>
        <v>123500</v>
      </c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>
        <f t="shared" si="21"/>
        <v>196800</v>
      </c>
      <c r="FU129" s="7">
        <f t="shared" si="22"/>
        <v>200000</v>
      </c>
      <c r="FV129" s="11">
        <f t="shared" si="23"/>
        <v>11.903225806451614</v>
      </c>
      <c r="FW129" s="11">
        <f t="shared" si="24"/>
        <v>12.096774193548386</v>
      </c>
      <c r="FX129" s="12">
        <f t="shared" si="25"/>
        <v>2.9758064516129035</v>
      </c>
      <c r="FY129" s="12">
        <f t="shared" si="26"/>
        <v>3.0241935483870965</v>
      </c>
    </row>
    <row r="130" spans="1:181" ht="43.5" customHeight="1" thickBot="1" x14ac:dyDescent="0.3">
      <c r="A130" s="4">
        <v>3044</v>
      </c>
      <c r="B130" s="27" t="s">
        <v>329</v>
      </c>
      <c r="C130" s="27" t="s">
        <v>330</v>
      </c>
      <c r="D130" s="2"/>
      <c r="E130" s="3">
        <v>45695</v>
      </c>
      <c r="F130" s="3">
        <f t="shared" si="40"/>
        <v>45863</v>
      </c>
      <c r="G130" s="4">
        <v>120</v>
      </c>
      <c r="H130" s="377">
        <f t="shared" si="35"/>
        <v>80.181818181818187</v>
      </c>
      <c r="I130" s="377">
        <f t="shared" ref="I130:I134" si="41">G130-H130</f>
        <v>39.818181818181813</v>
      </c>
      <c r="J130" s="192" t="s">
        <v>333</v>
      </c>
      <c r="K130" s="20">
        <v>250000</v>
      </c>
      <c r="L130" s="7">
        <v>660000</v>
      </c>
      <c r="M130" s="21">
        <f t="shared" si="38"/>
        <v>27500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>
        <v>55000</v>
      </c>
      <c r="EF130" s="9"/>
      <c r="EG130" s="9">
        <v>55000</v>
      </c>
      <c r="EH130" s="9">
        <v>55000</v>
      </c>
      <c r="EI130" s="9"/>
      <c r="EJ130" s="9"/>
      <c r="EK130" s="9">
        <v>55000</v>
      </c>
      <c r="EL130" s="9"/>
      <c r="EM130" s="9">
        <v>55000</v>
      </c>
      <c r="EN130" s="9"/>
      <c r="EO130" s="9"/>
      <c r="EP130" s="9"/>
      <c r="EQ130" s="9"/>
      <c r="ER130" s="9"/>
      <c r="ES130" s="9"/>
      <c r="ET130" s="9"/>
      <c r="EU130" s="9"/>
      <c r="EV130" s="9">
        <v>39000</v>
      </c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>
        <v>72000</v>
      </c>
      <c r="FN130" s="9"/>
      <c r="FO130" s="9"/>
      <c r="FP130" s="9">
        <v>55000</v>
      </c>
      <c r="FQ130" s="9"/>
      <c r="FR130" s="9"/>
      <c r="FS130" s="9"/>
      <c r="FT130" s="9">
        <f t="shared" ref="FT130:FT193" si="42">SUM(N130:FS130)</f>
        <v>441000</v>
      </c>
      <c r="FU130" s="7">
        <f t="shared" ref="FU130:FU193" si="43">SUM(L130-FT130)</f>
        <v>219000</v>
      </c>
      <c r="FV130" s="11">
        <f t="shared" ref="FV130:FV193" si="44">SUM( H130/5)</f>
        <v>16.036363636363639</v>
      </c>
      <c r="FW130" s="11">
        <f t="shared" ref="FW130:FW193" si="45">SUM( I130/5)</f>
        <v>7.963636363636363</v>
      </c>
      <c r="FX130" s="12">
        <f t="shared" ref="FX130:FX193" si="46">SUM(FV130/4)</f>
        <v>4.0090909090909097</v>
      </c>
      <c r="FY130" s="12">
        <f t="shared" ref="FY130:FY193" si="47">SUM(FW130/4)</f>
        <v>1.9909090909090907</v>
      </c>
    </row>
    <row r="131" spans="1:181" ht="43.5" customHeight="1" thickBot="1" x14ac:dyDescent="0.3">
      <c r="A131" s="4">
        <v>3110</v>
      </c>
      <c r="B131" s="27" t="s">
        <v>329</v>
      </c>
      <c r="C131" s="27" t="s">
        <v>330</v>
      </c>
      <c r="D131" s="2"/>
      <c r="E131" s="3">
        <v>45733</v>
      </c>
      <c r="F131" s="3">
        <f t="shared" si="40"/>
        <v>46069</v>
      </c>
      <c r="G131" s="4">
        <v>240</v>
      </c>
      <c r="H131" s="377">
        <f t="shared" si="35"/>
        <v>90.36399217221134</v>
      </c>
      <c r="I131" s="377">
        <f t="shared" si="41"/>
        <v>149.63600782778866</v>
      </c>
      <c r="J131" s="355" t="s">
        <v>1218</v>
      </c>
      <c r="K131" s="177">
        <v>1500000</v>
      </c>
      <c r="L131" s="10">
        <v>5110000</v>
      </c>
      <c r="M131" s="8">
        <f t="shared" si="38"/>
        <v>106458.33333333334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>
        <v>324000</v>
      </c>
      <c r="EP131" s="9">
        <v>105000</v>
      </c>
      <c r="EQ131" s="9"/>
      <c r="ER131" s="9"/>
      <c r="ES131" s="9">
        <v>425000</v>
      </c>
      <c r="ET131" s="9"/>
      <c r="EU131" s="9"/>
      <c r="EV131" s="9"/>
      <c r="EW131" s="9"/>
      <c r="EX131" s="9">
        <v>350000</v>
      </c>
      <c r="EY131" s="9"/>
      <c r="EZ131" s="9"/>
      <c r="FA131" s="9"/>
      <c r="FB131" s="9"/>
      <c r="FC131" s="9"/>
      <c r="FD131" s="9"/>
      <c r="FE131" s="9"/>
      <c r="FF131" s="9">
        <v>300000</v>
      </c>
      <c r="FG131" s="9">
        <v>125000</v>
      </c>
      <c r="FH131" s="9"/>
      <c r="FI131" s="9"/>
      <c r="FJ131" s="9"/>
      <c r="FK131" s="9">
        <v>200000</v>
      </c>
      <c r="FL131" s="9"/>
      <c r="FM131" s="9"/>
      <c r="FN131" s="9"/>
      <c r="FO131" s="9"/>
      <c r="FP131" s="9">
        <v>95000</v>
      </c>
      <c r="FQ131" s="9"/>
      <c r="FR131" s="9"/>
      <c r="FS131" s="9"/>
      <c r="FT131" s="9">
        <f t="shared" si="42"/>
        <v>1924000</v>
      </c>
      <c r="FU131" s="7">
        <f t="shared" si="43"/>
        <v>3186000</v>
      </c>
      <c r="FV131" s="11">
        <f t="shared" si="44"/>
        <v>18.072798434442269</v>
      </c>
      <c r="FW131" s="11">
        <f t="shared" si="45"/>
        <v>29.927201565557731</v>
      </c>
      <c r="FX131" s="12">
        <f t="shared" si="46"/>
        <v>4.5181996086105674</v>
      </c>
      <c r="FY131" s="12">
        <f t="shared" si="47"/>
        <v>7.4818003913894326</v>
      </c>
    </row>
    <row r="132" spans="1:181" ht="43.5" customHeight="1" thickBot="1" x14ac:dyDescent="0.3">
      <c r="A132" s="4">
        <v>3398</v>
      </c>
      <c r="B132" s="27" t="s">
        <v>334</v>
      </c>
      <c r="C132" s="27" t="s">
        <v>335</v>
      </c>
      <c r="D132" s="2">
        <v>27249921551</v>
      </c>
      <c r="E132" s="3">
        <v>45915</v>
      </c>
      <c r="F132" s="3">
        <f>WORKDAY(E132,G132)</f>
        <v>46013</v>
      </c>
      <c r="G132" s="4">
        <v>70</v>
      </c>
      <c r="H132" s="377">
        <f t="shared" si="35"/>
        <v>50</v>
      </c>
      <c r="I132" s="377">
        <f t="shared" si="41"/>
        <v>20</v>
      </c>
      <c r="J132" s="192" t="s">
        <v>1342</v>
      </c>
      <c r="K132" s="20">
        <v>150000</v>
      </c>
      <c r="L132" s="7">
        <v>324100</v>
      </c>
      <c r="M132" s="21">
        <f t="shared" si="38"/>
        <v>23150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 t="s">
        <v>143</v>
      </c>
      <c r="EL132" s="9"/>
      <c r="EM132" s="9" t="s">
        <v>143</v>
      </c>
      <c r="EN132" s="9" t="s">
        <v>143</v>
      </c>
      <c r="EO132" s="9"/>
      <c r="EP132" s="9"/>
      <c r="EQ132" s="9"/>
      <c r="ER132" s="9"/>
      <c r="ES132" s="9" t="s">
        <v>143</v>
      </c>
      <c r="ET132" s="9"/>
      <c r="EU132" s="9"/>
      <c r="EV132" s="9" t="s">
        <v>143</v>
      </c>
      <c r="EW132" s="9"/>
      <c r="EX132" s="9"/>
      <c r="EY132" s="9"/>
      <c r="EZ132" s="9"/>
      <c r="FA132" s="9"/>
      <c r="FB132" s="9"/>
      <c r="FC132" s="9" t="s">
        <v>143</v>
      </c>
      <c r="FD132" s="9"/>
      <c r="FE132" s="9"/>
      <c r="FF132" s="9"/>
      <c r="FG132" s="9"/>
      <c r="FH132" s="9"/>
      <c r="FI132" s="9">
        <v>46300</v>
      </c>
      <c r="FJ132" s="9"/>
      <c r="FK132" s="9">
        <v>46300</v>
      </c>
      <c r="FL132" s="9"/>
      <c r="FM132" s="9">
        <v>46300</v>
      </c>
      <c r="FN132" s="9"/>
      <c r="FO132" s="9"/>
      <c r="FP132" s="9">
        <v>46300</v>
      </c>
      <c r="FQ132" s="9"/>
      <c r="FR132" s="9">
        <v>46300</v>
      </c>
      <c r="FS132" s="9"/>
      <c r="FT132" s="9">
        <f t="shared" si="42"/>
        <v>231500</v>
      </c>
      <c r="FU132" s="7">
        <f t="shared" si="43"/>
        <v>92600</v>
      </c>
      <c r="FV132" s="11">
        <f t="shared" si="44"/>
        <v>10</v>
      </c>
      <c r="FW132" s="11">
        <f t="shared" si="45"/>
        <v>4</v>
      </c>
      <c r="FX132" s="12">
        <f t="shared" si="46"/>
        <v>2.5</v>
      </c>
      <c r="FY132" s="12">
        <f t="shared" si="47"/>
        <v>1</v>
      </c>
    </row>
    <row r="133" spans="1:181" ht="43.5" customHeight="1" thickBot="1" x14ac:dyDescent="0.3">
      <c r="A133" s="4">
        <v>3438</v>
      </c>
      <c r="B133" s="27" t="s">
        <v>334</v>
      </c>
      <c r="C133" s="27" t="s">
        <v>335</v>
      </c>
      <c r="D133" s="2">
        <v>27249921551</v>
      </c>
      <c r="E133" s="3">
        <v>45941</v>
      </c>
      <c r="F133" s="3">
        <f t="shared" ref="F133" si="48">WORKDAY(E133,G133)</f>
        <v>46108</v>
      </c>
      <c r="G133" s="4">
        <v>120</v>
      </c>
      <c r="H133" s="377">
        <f t="shared" si="35"/>
        <v>20</v>
      </c>
      <c r="I133" s="377">
        <f t="shared" si="41"/>
        <v>100</v>
      </c>
      <c r="J133" s="355" t="s">
        <v>939</v>
      </c>
      <c r="K133" s="7">
        <v>100000</v>
      </c>
      <c r="L133" s="7">
        <v>264000</v>
      </c>
      <c r="M133" s="8">
        <f t="shared" si="38"/>
        <v>11000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 t="s">
        <v>143</v>
      </c>
      <c r="EL133" s="9"/>
      <c r="EM133" s="9" t="s">
        <v>143</v>
      </c>
      <c r="EN133" s="9" t="s">
        <v>143</v>
      </c>
      <c r="EO133" s="9"/>
      <c r="EP133" s="9"/>
      <c r="EQ133" s="9"/>
      <c r="ER133" s="9"/>
      <c r="ES133" s="9" t="s">
        <v>143</v>
      </c>
      <c r="ET133" s="9"/>
      <c r="EU133" s="9"/>
      <c r="EV133" s="9" t="s">
        <v>143</v>
      </c>
      <c r="EW133" s="9"/>
      <c r="EX133" s="9"/>
      <c r="EY133" s="9"/>
      <c r="EZ133" s="9"/>
      <c r="FA133" s="9"/>
      <c r="FB133" s="9"/>
      <c r="FC133" s="9" t="s">
        <v>143</v>
      </c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>
        <v>44000</v>
      </c>
      <c r="FQ133" s="9"/>
      <c r="FR133" s="9"/>
      <c r="FS133" s="9"/>
      <c r="FT133" s="9">
        <f t="shared" si="42"/>
        <v>44000</v>
      </c>
      <c r="FU133" s="7">
        <f t="shared" si="43"/>
        <v>220000</v>
      </c>
      <c r="FV133" s="11">
        <f t="shared" si="44"/>
        <v>4</v>
      </c>
      <c r="FW133" s="11">
        <f t="shared" si="45"/>
        <v>20</v>
      </c>
      <c r="FX133" s="12">
        <f t="shared" si="46"/>
        <v>1</v>
      </c>
      <c r="FY133" s="12">
        <f t="shared" si="47"/>
        <v>5</v>
      </c>
    </row>
    <row r="134" spans="1:181" ht="43.5" customHeight="1" thickBot="1" x14ac:dyDescent="0.3">
      <c r="A134" s="4">
        <v>3484</v>
      </c>
      <c r="B134" s="27" t="s">
        <v>334</v>
      </c>
      <c r="C134" s="27" t="s">
        <v>335</v>
      </c>
      <c r="D134" s="2">
        <v>27249921551</v>
      </c>
      <c r="E134" s="3">
        <v>45971</v>
      </c>
      <c r="F134" s="3">
        <f t="shared" si="39"/>
        <v>46125</v>
      </c>
      <c r="G134" s="4">
        <v>110</v>
      </c>
      <c r="H134" s="377">
        <f t="shared" ref="H134:H165" si="49">(FT134* 5)/M134</f>
        <v>10</v>
      </c>
      <c r="I134" s="377">
        <f t="shared" si="41"/>
        <v>100</v>
      </c>
      <c r="J134" s="192" t="s">
        <v>1397</v>
      </c>
      <c r="K134" s="20">
        <v>200000</v>
      </c>
      <c r="L134" s="7">
        <v>528000</v>
      </c>
      <c r="M134" s="8">
        <f t="shared" si="38"/>
        <v>24000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 t="s">
        <v>143</v>
      </c>
      <c r="EL134" s="9"/>
      <c r="EM134" s="9" t="s">
        <v>143</v>
      </c>
      <c r="EN134" s="9" t="s">
        <v>143</v>
      </c>
      <c r="EO134" s="9"/>
      <c r="EP134" s="9"/>
      <c r="EQ134" s="9"/>
      <c r="ER134" s="9"/>
      <c r="ES134" s="9" t="s">
        <v>143</v>
      </c>
      <c r="ET134" s="9"/>
      <c r="EU134" s="9"/>
      <c r="EV134" s="9" t="s">
        <v>143</v>
      </c>
      <c r="EW134" s="9"/>
      <c r="EX134" s="9"/>
      <c r="EY134" s="9"/>
      <c r="EZ134" s="9"/>
      <c r="FA134" s="9"/>
      <c r="FB134" s="9"/>
      <c r="FC134" s="9" t="s">
        <v>143</v>
      </c>
      <c r="FD134" s="9"/>
      <c r="FE134" s="9"/>
      <c r="FF134" s="9"/>
      <c r="FG134" s="9"/>
      <c r="FH134" s="9"/>
      <c r="FI134" s="9"/>
      <c r="FJ134" s="9"/>
      <c r="FK134" s="9"/>
      <c r="FL134" s="9" t="s">
        <v>143</v>
      </c>
      <c r="FM134" s="9"/>
      <c r="FN134" s="9"/>
      <c r="FO134" s="9"/>
      <c r="FP134" s="9"/>
      <c r="FQ134" s="9"/>
      <c r="FR134" s="9">
        <v>48000</v>
      </c>
      <c r="FS134" s="9"/>
      <c r="FT134" s="9">
        <f t="shared" si="42"/>
        <v>48000</v>
      </c>
      <c r="FU134" s="7">
        <f t="shared" si="43"/>
        <v>480000</v>
      </c>
      <c r="FV134" s="11">
        <f t="shared" si="44"/>
        <v>2</v>
      </c>
      <c r="FW134" s="11">
        <f t="shared" si="45"/>
        <v>20</v>
      </c>
      <c r="FX134" s="12">
        <f t="shared" si="46"/>
        <v>0.5</v>
      </c>
      <c r="FY134" s="12">
        <f t="shared" si="47"/>
        <v>5</v>
      </c>
    </row>
    <row r="135" spans="1:181" ht="43.5" customHeight="1" thickBot="1" x14ac:dyDescent="0.3">
      <c r="A135" s="372">
        <v>3513</v>
      </c>
      <c r="B135" s="27" t="s">
        <v>1417</v>
      </c>
      <c r="C135" s="501" t="s">
        <v>1420</v>
      </c>
      <c r="D135" s="2"/>
      <c r="E135" s="3">
        <v>45985</v>
      </c>
      <c r="F135" s="3">
        <f t="shared" si="39"/>
        <v>46139</v>
      </c>
      <c r="G135" s="4">
        <v>110</v>
      </c>
      <c r="H135" s="377">
        <f t="shared" si="49"/>
        <v>0</v>
      </c>
      <c r="I135" s="151"/>
      <c r="J135" s="155" t="s">
        <v>1418</v>
      </c>
      <c r="K135" s="10">
        <v>100000</v>
      </c>
      <c r="L135" s="10">
        <v>264000</v>
      </c>
      <c r="M135" s="8">
        <f t="shared" si="38"/>
        <v>12000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 t="s">
        <v>143</v>
      </c>
      <c r="EL135" s="9"/>
      <c r="EM135" s="9" t="s">
        <v>143</v>
      </c>
      <c r="EN135" s="9" t="s">
        <v>143</v>
      </c>
      <c r="EO135" s="9"/>
      <c r="EP135" s="9"/>
      <c r="EQ135" s="9"/>
      <c r="ER135" s="9"/>
      <c r="ES135" s="9" t="s">
        <v>143</v>
      </c>
      <c r="ET135" s="9"/>
      <c r="EU135" s="9"/>
      <c r="EV135" s="9" t="s">
        <v>143</v>
      </c>
      <c r="EW135" s="9"/>
      <c r="EX135" s="9"/>
      <c r="EY135" s="9"/>
      <c r="EZ135" s="9"/>
      <c r="FA135" s="9"/>
      <c r="FB135" s="9"/>
      <c r="FC135" s="9" t="s">
        <v>143</v>
      </c>
      <c r="FD135" s="9"/>
      <c r="FE135" s="9"/>
      <c r="FF135" s="9"/>
      <c r="FG135" s="9"/>
      <c r="FH135" s="9"/>
      <c r="FI135" s="9"/>
      <c r="FJ135" s="9"/>
      <c r="FK135" s="9"/>
      <c r="FL135" s="9" t="s">
        <v>143</v>
      </c>
      <c r="FM135" s="9"/>
      <c r="FN135" s="9"/>
      <c r="FO135" s="9"/>
      <c r="FP135" s="9"/>
      <c r="FQ135" s="9"/>
      <c r="FR135" s="9"/>
      <c r="FS135" s="9"/>
      <c r="FT135" s="9">
        <f t="shared" si="42"/>
        <v>0</v>
      </c>
      <c r="FU135" s="7">
        <f t="shared" si="43"/>
        <v>264000</v>
      </c>
      <c r="FV135" s="11">
        <f t="shared" si="44"/>
        <v>0</v>
      </c>
      <c r="FW135" s="11">
        <f t="shared" si="45"/>
        <v>0</v>
      </c>
      <c r="FX135" s="12">
        <f t="shared" si="46"/>
        <v>0</v>
      </c>
      <c r="FY135" s="12">
        <f t="shared" si="47"/>
        <v>0</v>
      </c>
    </row>
    <row r="136" spans="1:181" ht="43.5" customHeight="1" thickBot="1" x14ac:dyDescent="0.3">
      <c r="A136" s="4">
        <v>2913</v>
      </c>
      <c r="B136" s="27" t="s">
        <v>336</v>
      </c>
      <c r="C136" s="27" t="s">
        <v>141</v>
      </c>
      <c r="D136" s="2"/>
      <c r="E136" s="3">
        <v>45610</v>
      </c>
      <c r="F136" s="3">
        <f>WORKDAY(E136,G136)</f>
        <v>45712</v>
      </c>
      <c r="G136" s="4">
        <v>72</v>
      </c>
      <c r="H136" s="377">
        <f t="shared" si="49"/>
        <v>35</v>
      </c>
      <c r="I136" s="377">
        <f t="shared" ref="I136:I167" si="50">G136-H136</f>
        <v>37</v>
      </c>
      <c r="J136" s="155" t="s">
        <v>161</v>
      </c>
      <c r="K136" s="7">
        <v>100000</v>
      </c>
      <c r="L136" s="7">
        <v>216000</v>
      </c>
      <c r="M136" s="21">
        <f t="shared" si="38"/>
        <v>15000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>
        <v>15000</v>
      </c>
      <c r="DR136" s="9">
        <v>15000</v>
      </c>
      <c r="DS136" s="9">
        <v>15000</v>
      </c>
      <c r="DT136" s="9"/>
      <c r="DU136" s="9"/>
      <c r="DV136" s="9">
        <v>15000</v>
      </c>
      <c r="DW136" s="9">
        <v>30000</v>
      </c>
      <c r="DX136" s="9"/>
      <c r="DY136" s="9"/>
      <c r="DZ136" s="9"/>
      <c r="EA136" s="9">
        <v>15000</v>
      </c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 t="s">
        <v>143</v>
      </c>
      <c r="FP136" s="9"/>
      <c r="FQ136" s="9"/>
      <c r="FR136" s="9"/>
      <c r="FS136" s="9"/>
      <c r="FT136" s="9">
        <f t="shared" si="42"/>
        <v>105000</v>
      </c>
      <c r="FU136" s="7">
        <f t="shared" si="43"/>
        <v>111000</v>
      </c>
      <c r="FV136" s="11">
        <f t="shared" si="44"/>
        <v>7</v>
      </c>
      <c r="FW136" s="11">
        <f t="shared" si="45"/>
        <v>7.4</v>
      </c>
      <c r="FX136" s="12">
        <f t="shared" si="46"/>
        <v>1.75</v>
      </c>
      <c r="FY136" s="12">
        <f t="shared" si="47"/>
        <v>1.85</v>
      </c>
    </row>
    <row r="137" spans="1:181" ht="43.5" customHeight="1" thickBot="1" x14ac:dyDescent="0.3">
      <c r="A137" s="4">
        <v>2792</v>
      </c>
      <c r="B137" s="27" t="s">
        <v>337</v>
      </c>
      <c r="C137" s="27" t="s">
        <v>338</v>
      </c>
      <c r="D137" s="2"/>
      <c r="E137" s="3">
        <v>45541</v>
      </c>
      <c r="F137" s="3">
        <f t="shared" si="39"/>
        <v>45821</v>
      </c>
      <c r="G137" s="4">
        <v>200</v>
      </c>
      <c r="H137" s="377">
        <f t="shared" si="49"/>
        <v>150.09623188405797</v>
      </c>
      <c r="I137" s="377">
        <f t="shared" si="50"/>
        <v>49.903768115942029</v>
      </c>
      <c r="J137" s="192" t="s">
        <v>339</v>
      </c>
      <c r="K137" s="7">
        <v>200000</v>
      </c>
      <c r="L137" s="7">
        <v>690000</v>
      </c>
      <c r="M137" s="8">
        <f t="shared" si="38"/>
        <v>17250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>
        <v>34500</v>
      </c>
      <c r="DI137" s="9"/>
      <c r="DJ137" s="9">
        <v>38500</v>
      </c>
      <c r="DK137" s="9"/>
      <c r="DL137" s="9"/>
      <c r="DM137" s="9">
        <v>30000</v>
      </c>
      <c r="DN137" s="9"/>
      <c r="DO137" s="9">
        <v>69000</v>
      </c>
      <c r="DP137" s="9"/>
      <c r="DQ137" s="9"/>
      <c r="DR137" s="9"/>
      <c r="DS137" s="9">
        <v>69000</v>
      </c>
      <c r="DT137" s="9"/>
      <c r="DU137" s="9"/>
      <c r="DV137" s="9"/>
      <c r="DW137" s="9"/>
      <c r="DX137" s="9">
        <v>34500</v>
      </c>
      <c r="DY137" s="9"/>
      <c r="DZ137" s="9">
        <v>34500</v>
      </c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 t="s">
        <v>143</v>
      </c>
      <c r="EM137" s="9"/>
      <c r="EN137" s="9"/>
      <c r="EO137" s="9"/>
      <c r="EP137" s="9"/>
      <c r="EQ137" s="9"/>
      <c r="ER137" s="9"/>
      <c r="ES137" s="9"/>
      <c r="ET137" s="9">
        <v>40000</v>
      </c>
      <c r="EU137" s="9"/>
      <c r="EV137" s="9"/>
      <c r="EW137" s="9"/>
      <c r="EX137" s="9">
        <v>34500</v>
      </c>
      <c r="EY137" s="9"/>
      <c r="EZ137" s="9"/>
      <c r="FA137" s="9"/>
      <c r="FB137" s="9">
        <v>33333</v>
      </c>
      <c r="FC137" s="9"/>
      <c r="FD137" s="9"/>
      <c r="FE137" s="9"/>
      <c r="FF137" s="9">
        <v>33333</v>
      </c>
      <c r="FG137" s="9"/>
      <c r="FH137" s="9"/>
      <c r="FI137" s="9"/>
      <c r="FJ137" s="9"/>
      <c r="FK137" s="9">
        <v>33333</v>
      </c>
      <c r="FL137" s="9"/>
      <c r="FM137" s="9"/>
      <c r="FN137" s="9"/>
      <c r="FO137" s="9">
        <v>33333</v>
      </c>
      <c r="FP137" s="9"/>
      <c r="FQ137" s="9"/>
      <c r="FR137" s="9"/>
      <c r="FS137" s="9"/>
      <c r="FT137" s="9">
        <f t="shared" si="42"/>
        <v>517832</v>
      </c>
      <c r="FU137" s="7">
        <f t="shared" si="43"/>
        <v>172168</v>
      </c>
      <c r="FV137" s="11">
        <f t="shared" si="44"/>
        <v>30.019246376811594</v>
      </c>
      <c r="FW137" s="11">
        <f t="shared" si="45"/>
        <v>9.9807536231884058</v>
      </c>
      <c r="FX137" s="12">
        <f t="shared" si="46"/>
        <v>7.5048115942028986</v>
      </c>
      <c r="FY137" s="12">
        <f t="shared" si="47"/>
        <v>2.4951884057971014</v>
      </c>
    </row>
    <row r="138" spans="1:181" ht="43.5" customHeight="1" thickBot="1" x14ac:dyDescent="0.3">
      <c r="A138" s="4">
        <v>2906</v>
      </c>
      <c r="B138" s="27" t="s">
        <v>337</v>
      </c>
      <c r="C138" s="27" t="s">
        <v>338</v>
      </c>
      <c r="D138" s="2"/>
      <c r="E138" s="3">
        <v>45607</v>
      </c>
      <c r="F138" s="3">
        <f>WORKDAY(E138,G138)</f>
        <v>45817</v>
      </c>
      <c r="G138" s="4">
        <v>150</v>
      </c>
      <c r="H138" s="377">
        <f t="shared" si="49"/>
        <v>68.566856060606057</v>
      </c>
      <c r="I138" s="377">
        <f t="shared" si="50"/>
        <v>81.433143939393943</v>
      </c>
      <c r="J138" s="192" t="s">
        <v>340</v>
      </c>
      <c r="K138" s="7">
        <v>300000</v>
      </c>
      <c r="L138" s="7">
        <v>792000</v>
      </c>
      <c r="M138" s="8">
        <f t="shared" si="38"/>
        <v>26400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>
        <v>52800</v>
      </c>
      <c r="DT138" s="9"/>
      <c r="DU138" s="9"/>
      <c r="DV138" s="9">
        <v>52800</v>
      </c>
      <c r="DW138" s="9"/>
      <c r="DX138" s="9">
        <v>52800</v>
      </c>
      <c r="DY138" s="9"/>
      <c r="DZ138" s="9">
        <v>52800</v>
      </c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>
        <v>17500</v>
      </c>
      <c r="EY138" s="9"/>
      <c r="EZ138" s="9"/>
      <c r="FA138" s="9"/>
      <c r="FB138" s="9">
        <v>33333</v>
      </c>
      <c r="FC138" s="9"/>
      <c r="FD138" s="9"/>
      <c r="FE138" s="9"/>
      <c r="FF138" s="9">
        <v>33333</v>
      </c>
      <c r="FG138" s="9"/>
      <c r="FH138" s="9"/>
      <c r="FI138" s="9"/>
      <c r="FJ138" s="9"/>
      <c r="FK138" s="9">
        <v>33333</v>
      </c>
      <c r="FL138" s="9"/>
      <c r="FM138" s="9"/>
      <c r="FN138" s="9"/>
      <c r="FO138" s="9">
        <v>33334</v>
      </c>
      <c r="FP138" s="9"/>
      <c r="FQ138" s="9"/>
      <c r="FR138" s="9"/>
      <c r="FS138" s="9"/>
      <c r="FT138" s="9">
        <f t="shared" si="42"/>
        <v>362033</v>
      </c>
      <c r="FU138" s="7">
        <f t="shared" si="43"/>
        <v>429967</v>
      </c>
      <c r="FV138" s="11">
        <f t="shared" si="44"/>
        <v>13.713371212121212</v>
      </c>
      <c r="FW138" s="11">
        <f t="shared" si="45"/>
        <v>16.28662878787879</v>
      </c>
      <c r="FX138" s="12">
        <f t="shared" si="46"/>
        <v>3.4283428030303029</v>
      </c>
      <c r="FY138" s="12">
        <f t="shared" si="47"/>
        <v>4.0716571969696975</v>
      </c>
    </row>
    <row r="139" spans="1:181" ht="43.5" customHeight="1" thickBot="1" x14ac:dyDescent="0.3">
      <c r="A139" s="4">
        <v>2949</v>
      </c>
      <c r="B139" s="27" t="s">
        <v>337</v>
      </c>
      <c r="C139" s="27" t="s">
        <v>338</v>
      </c>
      <c r="D139" s="2"/>
      <c r="E139" s="3">
        <v>45633</v>
      </c>
      <c r="F139" s="3">
        <f t="shared" si="39"/>
        <v>45786</v>
      </c>
      <c r="G139" s="4">
        <v>110</v>
      </c>
      <c r="H139" s="377">
        <f t="shared" si="49"/>
        <v>75.069583333333327</v>
      </c>
      <c r="I139" s="377">
        <f t="shared" si="50"/>
        <v>34.930416666666673</v>
      </c>
      <c r="J139" s="192" t="s">
        <v>171</v>
      </c>
      <c r="K139" s="7">
        <v>200000</v>
      </c>
      <c r="L139" s="7">
        <v>528000</v>
      </c>
      <c r="M139" s="21">
        <f t="shared" si="38"/>
        <v>24000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>
        <v>48000</v>
      </c>
      <c r="DV139" s="9"/>
      <c r="DW139" s="9"/>
      <c r="DX139" s="9">
        <v>48000</v>
      </c>
      <c r="DY139" s="9"/>
      <c r="DZ139" s="9">
        <v>48000</v>
      </c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>
        <v>15000</v>
      </c>
      <c r="EM139" s="9"/>
      <c r="EN139" s="9"/>
      <c r="EO139" s="9">
        <v>20000</v>
      </c>
      <c r="EP139" s="9"/>
      <c r="EQ139" s="9"/>
      <c r="ER139" s="9"/>
      <c r="ES139" s="9"/>
      <c r="ET139" s="9"/>
      <c r="EU139" s="9"/>
      <c r="EV139" s="9"/>
      <c r="EW139" s="9"/>
      <c r="EX139" s="9">
        <v>48000</v>
      </c>
      <c r="EY139" s="9"/>
      <c r="EZ139" s="9"/>
      <c r="FA139" s="9"/>
      <c r="FB139" s="9">
        <v>33334</v>
      </c>
      <c r="FC139" s="9"/>
      <c r="FD139" s="9"/>
      <c r="FE139" s="9"/>
      <c r="FF139" s="9">
        <v>33333</v>
      </c>
      <c r="FG139" s="9"/>
      <c r="FH139" s="9"/>
      <c r="FI139" s="9"/>
      <c r="FJ139" s="9"/>
      <c r="FK139" s="9">
        <v>33334</v>
      </c>
      <c r="FL139" s="9"/>
      <c r="FM139" s="9"/>
      <c r="FN139" s="9"/>
      <c r="FO139" s="9">
        <v>33333</v>
      </c>
      <c r="FP139" s="9"/>
      <c r="FQ139" s="9"/>
      <c r="FR139" s="9"/>
      <c r="FS139" s="9"/>
      <c r="FT139" s="9">
        <f t="shared" si="42"/>
        <v>360334</v>
      </c>
      <c r="FU139" s="7">
        <f t="shared" si="43"/>
        <v>167666</v>
      </c>
      <c r="FV139" s="11">
        <f t="shared" si="44"/>
        <v>15.013916666666665</v>
      </c>
      <c r="FW139" s="11">
        <f t="shared" si="45"/>
        <v>6.986083333333335</v>
      </c>
      <c r="FX139" s="12">
        <f t="shared" si="46"/>
        <v>3.7534791666666663</v>
      </c>
      <c r="FY139" s="12">
        <f t="shared" si="47"/>
        <v>1.7465208333333337</v>
      </c>
    </row>
    <row r="140" spans="1:181" ht="43.5" customHeight="1" thickBot="1" x14ac:dyDescent="0.3">
      <c r="A140" s="4">
        <v>3305</v>
      </c>
      <c r="B140" s="2" t="s">
        <v>341</v>
      </c>
      <c r="C140" s="2" t="s">
        <v>593</v>
      </c>
      <c r="D140" s="2">
        <v>29201110</v>
      </c>
      <c r="E140" s="3">
        <v>45860</v>
      </c>
      <c r="F140" s="3">
        <f t="shared" si="39"/>
        <v>46028</v>
      </c>
      <c r="G140" s="4">
        <v>120</v>
      </c>
      <c r="H140" s="377">
        <f t="shared" si="49"/>
        <v>100</v>
      </c>
      <c r="I140" s="377">
        <f t="shared" si="50"/>
        <v>20</v>
      </c>
      <c r="J140" s="2" t="s">
        <v>1297</v>
      </c>
      <c r="K140" s="7">
        <v>100000</v>
      </c>
      <c r="L140" s="7">
        <v>264000</v>
      </c>
      <c r="M140" s="21">
        <f t="shared" si="38"/>
        <v>11000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 t="s">
        <v>143</v>
      </c>
      <c r="EL140" s="9"/>
      <c r="EM140" s="9" t="s">
        <v>143</v>
      </c>
      <c r="EN140" s="9" t="s">
        <v>143</v>
      </c>
      <c r="EO140" s="9"/>
      <c r="EP140" s="9"/>
      <c r="EQ140" s="9"/>
      <c r="ER140" s="9"/>
      <c r="ES140" s="9" t="s">
        <v>143</v>
      </c>
      <c r="ET140" s="9"/>
      <c r="EU140" s="9"/>
      <c r="EV140" s="9" t="s">
        <v>143</v>
      </c>
      <c r="EW140" s="9"/>
      <c r="EX140" s="9"/>
      <c r="EY140" s="9"/>
      <c r="EZ140" s="9"/>
      <c r="FA140" s="9"/>
      <c r="FB140" s="9">
        <v>44000</v>
      </c>
      <c r="FC140" s="9"/>
      <c r="FD140" s="9"/>
      <c r="FE140" s="9"/>
      <c r="FF140" s="9">
        <v>44000</v>
      </c>
      <c r="FG140" s="9"/>
      <c r="FH140" s="9"/>
      <c r="FI140" s="9"/>
      <c r="FJ140" s="9">
        <v>44000</v>
      </c>
      <c r="FK140" s="9"/>
      <c r="FL140" s="9"/>
      <c r="FM140" s="9"/>
      <c r="FN140" s="9"/>
      <c r="FO140" s="9">
        <v>44000</v>
      </c>
      <c r="FP140" s="9"/>
      <c r="FQ140" s="9"/>
      <c r="FR140" s="9"/>
      <c r="FS140" s="9">
        <v>44000</v>
      </c>
      <c r="FT140" s="9">
        <f t="shared" si="42"/>
        <v>220000</v>
      </c>
      <c r="FU140" s="7">
        <f t="shared" si="43"/>
        <v>44000</v>
      </c>
      <c r="FV140" s="11">
        <f t="shared" si="44"/>
        <v>20</v>
      </c>
      <c r="FW140" s="11">
        <f t="shared" si="45"/>
        <v>4</v>
      </c>
      <c r="FX140" s="12">
        <f t="shared" si="46"/>
        <v>5</v>
      </c>
      <c r="FY140" s="12">
        <f t="shared" si="47"/>
        <v>1</v>
      </c>
    </row>
    <row r="141" spans="1:181" ht="43.5" customHeight="1" thickBot="1" x14ac:dyDescent="0.3">
      <c r="A141" s="4">
        <v>3297</v>
      </c>
      <c r="B141" s="27" t="s">
        <v>1279</v>
      </c>
      <c r="C141" s="27" t="s">
        <v>1278</v>
      </c>
      <c r="D141" s="2"/>
      <c r="E141" s="3">
        <v>45857</v>
      </c>
      <c r="F141" s="3">
        <f t="shared" si="39"/>
        <v>46024</v>
      </c>
      <c r="G141" s="4">
        <v>120</v>
      </c>
      <c r="H141" s="377">
        <f t="shared" si="49"/>
        <v>80</v>
      </c>
      <c r="I141" s="377">
        <f t="shared" si="50"/>
        <v>40</v>
      </c>
      <c r="J141" s="355" t="s">
        <v>939</v>
      </c>
      <c r="K141" s="7">
        <v>100000</v>
      </c>
      <c r="L141" s="7">
        <v>264000</v>
      </c>
      <c r="M141" s="8">
        <f t="shared" si="38"/>
        <v>11000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 t="s">
        <v>143</v>
      </c>
      <c r="EL141" s="9"/>
      <c r="EM141" s="9" t="s">
        <v>143</v>
      </c>
      <c r="EN141" s="9" t="s">
        <v>143</v>
      </c>
      <c r="EO141" s="9"/>
      <c r="EP141" s="9"/>
      <c r="EQ141" s="9"/>
      <c r="ER141" s="9"/>
      <c r="ES141" s="9" t="s">
        <v>143</v>
      </c>
      <c r="ET141" s="9"/>
      <c r="EU141" s="9"/>
      <c r="EV141" s="9" t="s">
        <v>143</v>
      </c>
      <c r="EW141" s="9"/>
      <c r="EX141" s="9"/>
      <c r="EY141" s="9"/>
      <c r="EZ141" s="9"/>
      <c r="FA141" s="9"/>
      <c r="FB141" s="9"/>
      <c r="FC141" s="9"/>
      <c r="FD141" s="9">
        <v>44000</v>
      </c>
      <c r="FE141" s="9"/>
      <c r="FF141" s="9"/>
      <c r="FG141" s="9"/>
      <c r="FH141" s="9">
        <v>44000</v>
      </c>
      <c r="FI141" s="9" t="s">
        <v>143</v>
      </c>
      <c r="FJ141" s="9"/>
      <c r="FK141" s="9"/>
      <c r="FL141" s="9">
        <v>44000</v>
      </c>
      <c r="FM141" s="9"/>
      <c r="FN141" s="9"/>
      <c r="FO141" s="9"/>
      <c r="FP141" s="9"/>
      <c r="FQ141" s="9"/>
      <c r="FR141" s="9">
        <v>44000</v>
      </c>
      <c r="FS141" s="9"/>
      <c r="FT141" s="9">
        <f t="shared" si="42"/>
        <v>176000</v>
      </c>
      <c r="FU141" s="7">
        <f t="shared" si="43"/>
        <v>88000</v>
      </c>
      <c r="FV141" s="11">
        <f t="shared" si="44"/>
        <v>16</v>
      </c>
      <c r="FW141" s="11">
        <f t="shared" si="45"/>
        <v>8</v>
      </c>
      <c r="FX141" s="12">
        <f t="shared" si="46"/>
        <v>4</v>
      </c>
      <c r="FY141" s="12">
        <f t="shared" si="47"/>
        <v>2</v>
      </c>
    </row>
    <row r="142" spans="1:181" ht="43.5" customHeight="1" thickBot="1" x14ac:dyDescent="0.3">
      <c r="A142" s="4">
        <v>3413</v>
      </c>
      <c r="B142" s="27" t="s">
        <v>1279</v>
      </c>
      <c r="C142" s="27" t="s">
        <v>1278</v>
      </c>
      <c r="D142" s="2"/>
      <c r="E142" s="3">
        <v>45923</v>
      </c>
      <c r="F142" s="3">
        <f t="shared" si="39"/>
        <v>46091</v>
      </c>
      <c r="G142" s="4">
        <v>120</v>
      </c>
      <c r="H142" s="377">
        <f t="shared" si="49"/>
        <v>40</v>
      </c>
      <c r="I142" s="377">
        <f t="shared" si="50"/>
        <v>80</v>
      </c>
      <c r="J142" s="355" t="s">
        <v>939</v>
      </c>
      <c r="K142" s="7">
        <v>100000</v>
      </c>
      <c r="L142" s="7">
        <v>264000</v>
      </c>
      <c r="M142" s="21">
        <f t="shared" si="38"/>
        <v>11000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 t="s">
        <v>143</v>
      </c>
      <c r="EL142" s="9"/>
      <c r="EM142" s="9" t="s">
        <v>143</v>
      </c>
      <c r="EN142" s="9" t="s">
        <v>143</v>
      </c>
      <c r="EO142" s="9"/>
      <c r="EP142" s="9"/>
      <c r="EQ142" s="9"/>
      <c r="ER142" s="9"/>
      <c r="ES142" s="9" t="s">
        <v>143</v>
      </c>
      <c r="ET142" s="9"/>
      <c r="EU142" s="9"/>
      <c r="EV142" s="9" t="s">
        <v>143</v>
      </c>
      <c r="EW142" s="9"/>
      <c r="EX142" s="9"/>
      <c r="EY142" s="9"/>
      <c r="EZ142" s="9"/>
      <c r="FA142" s="9"/>
      <c r="FB142" s="9"/>
      <c r="FC142" s="9" t="s">
        <v>143</v>
      </c>
      <c r="FD142" s="9"/>
      <c r="FE142" s="9"/>
      <c r="FF142" s="9"/>
      <c r="FG142" s="9"/>
      <c r="FH142" s="9"/>
      <c r="FI142" s="9"/>
      <c r="FJ142" s="9"/>
      <c r="FK142" s="9"/>
      <c r="FL142" s="9"/>
      <c r="FM142" s="9">
        <v>15000</v>
      </c>
      <c r="FN142" s="9">
        <v>29000</v>
      </c>
      <c r="FO142" s="9"/>
      <c r="FP142" s="9"/>
      <c r="FQ142" s="9"/>
      <c r="FR142" s="9">
        <v>6000</v>
      </c>
      <c r="FS142" s="9">
        <v>38000</v>
      </c>
      <c r="FT142" s="9">
        <f t="shared" si="42"/>
        <v>88000</v>
      </c>
      <c r="FU142" s="7">
        <f t="shared" si="43"/>
        <v>176000</v>
      </c>
      <c r="FV142" s="11">
        <f t="shared" si="44"/>
        <v>8</v>
      </c>
      <c r="FW142" s="11">
        <f t="shared" si="45"/>
        <v>16</v>
      </c>
      <c r="FX142" s="12">
        <f t="shared" si="46"/>
        <v>2</v>
      </c>
      <c r="FY142" s="12">
        <f t="shared" si="47"/>
        <v>4</v>
      </c>
    </row>
    <row r="143" spans="1:181" ht="43.5" customHeight="1" thickBot="1" x14ac:dyDescent="0.3">
      <c r="A143" s="4">
        <v>3291</v>
      </c>
      <c r="B143" s="27" t="s">
        <v>345</v>
      </c>
      <c r="C143" s="27" t="s">
        <v>346</v>
      </c>
      <c r="D143" s="2"/>
      <c r="E143" s="3">
        <v>45854</v>
      </c>
      <c r="F143" s="3">
        <f>WORKDAY(E143,G143)</f>
        <v>46078</v>
      </c>
      <c r="G143" s="4">
        <v>160</v>
      </c>
      <c r="H143" s="377">
        <f t="shared" si="49"/>
        <v>39.200000000000003</v>
      </c>
      <c r="I143" s="377">
        <f t="shared" si="50"/>
        <v>120.8</v>
      </c>
      <c r="J143" s="355" t="s">
        <v>1273</v>
      </c>
      <c r="K143" s="7">
        <v>150000</v>
      </c>
      <c r="L143" s="7">
        <v>450000</v>
      </c>
      <c r="M143" s="21">
        <f t="shared" si="38"/>
        <v>14062.5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 t="s">
        <v>143</v>
      </c>
      <c r="EL143" s="9"/>
      <c r="EM143" s="9" t="s">
        <v>143</v>
      </c>
      <c r="EN143" s="9" t="s">
        <v>143</v>
      </c>
      <c r="EO143" s="9"/>
      <c r="EP143" s="9"/>
      <c r="EQ143" s="9"/>
      <c r="ER143" s="9"/>
      <c r="ES143" s="9" t="s">
        <v>143</v>
      </c>
      <c r="ET143" s="9"/>
      <c r="EU143" s="9"/>
      <c r="EV143" s="9" t="s">
        <v>143</v>
      </c>
      <c r="EW143" s="9"/>
      <c r="EX143" s="9"/>
      <c r="EY143" s="9"/>
      <c r="EZ143" s="9"/>
      <c r="FA143" s="9"/>
      <c r="FB143" s="9"/>
      <c r="FC143" s="9"/>
      <c r="FD143" s="9"/>
      <c r="FE143" s="9"/>
      <c r="FF143" s="9">
        <v>56250</v>
      </c>
      <c r="FG143" s="9"/>
      <c r="FH143" s="9"/>
      <c r="FI143" s="9"/>
      <c r="FJ143" s="9"/>
      <c r="FK143" s="9"/>
      <c r="FL143" s="9"/>
      <c r="FM143" s="9">
        <v>54000</v>
      </c>
      <c r="FN143" s="9"/>
      <c r="FO143" s="9"/>
      <c r="FP143" s="9"/>
      <c r="FQ143" s="9"/>
      <c r="FR143" s="9"/>
      <c r="FS143" s="9"/>
      <c r="FT143" s="9">
        <f t="shared" si="42"/>
        <v>110250</v>
      </c>
      <c r="FU143" s="7">
        <f t="shared" si="43"/>
        <v>339750</v>
      </c>
      <c r="FV143" s="11">
        <f t="shared" si="44"/>
        <v>7.8400000000000007</v>
      </c>
      <c r="FW143" s="11">
        <f t="shared" si="45"/>
        <v>24.16</v>
      </c>
      <c r="FX143" s="12">
        <f t="shared" si="46"/>
        <v>1.9600000000000002</v>
      </c>
      <c r="FY143" s="12">
        <f t="shared" si="47"/>
        <v>6.04</v>
      </c>
    </row>
    <row r="144" spans="1:181" ht="43.5" customHeight="1" thickBot="1" x14ac:dyDescent="0.3">
      <c r="A144" s="4">
        <v>3294</v>
      </c>
      <c r="B144" s="27" t="s">
        <v>686</v>
      </c>
      <c r="C144" s="27" t="s">
        <v>346</v>
      </c>
      <c r="D144" s="2"/>
      <c r="E144" s="3">
        <v>45855</v>
      </c>
      <c r="F144" s="3">
        <f>WORKDAY(E144,G144)</f>
        <v>45957</v>
      </c>
      <c r="G144" s="4">
        <v>72</v>
      </c>
      <c r="H144" s="377">
        <f t="shared" si="49"/>
        <v>48</v>
      </c>
      <c r="I144" s="377">
        <f t="shared" si="50"/>
        <v>24</v>
      </c>
      <c r="J144" s="155" t="s">
        <v>1269</v>
      </c>
      <c r="K144" s="7">
        <v>100000</v>
      </c>
      <c r="L144" s="7">
        <v>216000</v>
      </c>
      <c r="M144" s="21">
        <f t="shared" si="38"/>
        <v>15000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 t="s">
        <v>143</v>
      </c>
      <c r="EL144" s="9"/>
      <c r="EM144" s="9" t="s">
        <v>143</v>
      </c>
      <c r="EN144" s="9" t="s">
        <v>143</v>
      </c>
      <c r="EO144" s="9"/>
      <c r="EP144" s="9"/>
      <c r="EQ144" s="9"/>
      <c r="ER144" s="9"/>
      <c r="ES144" s="9" t="s">
        <v>143</v>
      </c>
      <c r="ET144" s="9"/>
      <c r="EU144" s="9"/>
      <c r="EV144" s="9" t="s">
        <v>143</v>
      </c>
      <c r="EW144" s="9"/>
      <c r="EX144" s="9"/>
      <c r="EY144" s="9"/>
      <c r="EZ144" s="421" t="s">
        <v>686</v>
      </c>
      <c r="FA144" s="421">
        <v>12000</v>
      </c>
      <c r="FB144" s="421">
        <v>15000</v>
      </c>
      <c r="FC144" s="421"/>
      <c r="FD144" s="421"/>
      <c r="FE144" s="421"/>
      <c r="FF144" s="421">
        <v>15000</v>
      </c>
      <c r="FG144" s="421">
        <v>12000</v>
      </c>
      <c r="FH144" s="421"/>
      <c r="FI144" s="421"/>
      <c r="FJ144" s="421">
        <v>15000</v>
      </c>
      <c r="FK144" s="421"/>
      <c r="FL144" s="421">
        <v>15000</v>
      </c>
      <c r="FM144" s="421"/>
      <c r="FN144" s="421"/>
      <c r="FO144" s="421">
        <v>15000</v>
      </c>
      <c r="FP144" s="421">
        <v>15000</v>
      </c>
      <c r="FQ144" s="421">
        <v>15000</v>
      </c>
      <c r="FR144" s="421">
        <v>15000</v>
      </c>
      <c r="FS144" s="421"/>
      <c r="FT144" s="9">
        <f t="shared" si="42"/>
        <v>144000</v>
      </c>
      <c r="FU144" s="7">
        <f t="shared" si="43"/>
        <v>72000</v>
      </c>
      <c r="FV144" s="11">
        <f t="shared" si="44"/>
        <v>9.6</v>
      </c>
      <c r="FW144" s="11">
        <f t="shared" si="45"/>
        <v>4.8</v>
      </c>
      <c r="FX144" s="12">
        <f t="shared" si="46"/>
        <v>2.4</v>
      </c>
      <c r="FY144" s="12">
        <f t="shared" si="47"/>
        <v>1.2</v>
      </c>
    </row>
    <row r="145" spans="1:181" ht="43.5" customHeight="1" thickBot="1" x14ac:dyDescent="0.3">
      <c r="A145" s="4">
        <v>3494</v>
      </c>
      <c r="B145" s="27" t="s">
        <v>686</v>
      </c>
      <c r="C145" s="27" t="s">
        <v>346</v>
      </c>
      <c r="D145" s="2"/>
      <c r="E145" s="3">
        <v>45976</v>
      </c>
      <c r="F145" s="3">
        <f t="shared" ref="F141:F152" si="51">WORKDAY(E145,G145)</f>
        <v>46052</v>
      </c>
      <c r="G145" s="4">
        <v>55</v>
      </c>
      <c r="H145" s="377">
        <f t="shared" si="49"/>
        <v>10</v>
      </c>
      <c r="I145" s="377">
        <f t="shared" si="50"/>
        <v>45</v>
      </c>
      <c r="J145" s="155" t="s">
        <v>1408</v>
      </c>
      <c r="K145" s="177">
        <v>80000</v>
      </c>
      <c r="L145" s="10">
        <v>154000</v>
      </c>
      <c r="M145" s="8">
        <f t="shared" si="38"/>
        <v>14000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 t="s">
        <v>143</v>
      </c>
      <c r="EL145" s="9"/>
      <c r="EM145" s="9" t="s">
        <v>143</v>
      </c>
      <c r="EN145" s="9" t="s">
        <v>143</v>
      </c>
      <c r="EO145" s="9"/>
      <c r="EP145" s="9"/>
      <c r="EQ145" s="9"/>
      <c r="ER145" s="9"/>
      <c r="ES145" s="9" t="s">
        <v>143</v>
      </c>
      <c r="ET145" s="9"/>
      <c r="EU145" s="9"/>
      <c r="EV145" s="9" t="s">
        <v>143</v>
      </c>
      <c r="EW145" s="9"/>
      <c r="EX145" s="9"/>
      <c r="EY145" s="9"/>
      <c r="EZ145" s="9"/>
      <c r="FA145" s="9"/>
      <c r="FB145" s="9"/>
      <c r="FC145" s="9" t="s">
        <v>143</v>
      </c>
      <c r="FD145" s="9"/>
      <c r="FE145" s="9"/>
      <c r="FF145" s="9"/>
      <c r="FG145" s="9"/>
      <c r="FH145" s="9"/>
      <c r="FI145" s="9"/>
      <c r="FJ145" s="9"/>
      <c r="FK145" s="9"/>
      <c r="FL145" s="9" t="s">
        <v>143</v>
      </c>
      <c r="FM145" s="9"/>
      <c r="FN145" s="9"/>
      <c r="FO145" s="9"/>
      <c r="FP145" s="9"/>
      <c r="FQ145" s="9">
        <v>14000</v>
      </c>
      <c r="FR145" s="9">
        <v>14000</v>
      </c>
      <c r="FS145" s="9"/>
      <c r="FT145" s="9">
        <f t="shared" si="42"/>
        <v>28000</v>
      </c>
      <c r="FU145" s="7">
        <f t="shared" si="43"/>
        <v>126000</v>
      </c>
      <c r="FV145" s="11">
        <f t="shared" si="44"/>
        <v>2</v>
      </c>
      <c r="FW145" s="11">
        <f t="shared" si="45"/>
        <v>9</v>
      </c>
      <c r="FX145" s="12">
        <f t="shared" si="46"/>
        <v>0.5</v>
      </c>
      <c r="FY145" s="12">
        <f t="shared" si="47"/>
        <v>2.25</v>
      </c>
    </row>
    <row r="146" spans="1:181" ht="43.5" customHeight="1" thickBot="1" x14ac:dyDescent="0.3">
      <c r="A146" s="4">
        <v>3276</v>
      </c>
      <c r="B146" s="27" t="s">
        <v>350</v>
      </c>
      <c r="C146" s="27" t="s">
        <v>167</v>
      </c>
      <c r="D146" s="2"/>
      <c r="E146" s="3">
        <v>45841</v>
      </c>
      <c r="F146" s="3">
        <f t="shared" si="51"/>
        <v>45995</v>
      </c>
      <c r="G146" s="4">
        <v>110</v>
      </c>
      <c r="H146" s="377">
        <f t="shared" si="49"/>
        <v>43.055555555555557</v>
      </c>
      <c r="I146" s="377">
        <f t="shared" si="50"/>
        <v>66.944444444444443</v>
      </c>
      <c r="J146" s="155" t="s">
        <v>349</v>
      </c>
      <c r="K146" s="7">
        <v>150000</v>
      </c>
      <c r="L146" s="7">
        <v>396000</v>
      </c>
      <c r="M146" s="21">
        <f t="shared" si="38"/>
        <v>18000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 t="s">
        <v>143</v>
      </c>
      <c r="EL146" s="9"/>
      <c r="EM146" s="9" t="s">
        <v>143</v>
      </c>
      <c r="EN146" s="9" t="s">
        <v>143</v>
      </c>
      <c r="EO146" s="9"/>
      <c r="EP146" s="9"/>
      <c r="EQ146" s="9"/>
      <c r="ER146" s="9"/>
      <c r="ES146" s="9" t="s">
        <v>143</v>
      </c>
      <c r="ET146" s="9"/>
      <c r="EU146" s="9"/>
      <c r="EV146" s="9" t="s">
        <v>143</v>
      </c>
      <c r="EW146" s="9"/>
      <c r="EX146" s="9"/>
      <c r="EY146" s="9">
        <v>15000</v>
      </c>
      <c r="EZ146" s="9">
        <v>18000</v>
      </c>
      <c r="FA146" s="9"/>
      <c r="FB146" s="9">
        <v>20000</v>
      </c>
      <c r="FC146" s="9"/>
      <c r="FD146" s="9"/>
      <c r="FE146" s="9"/>
      <c r="FF146" s="9"/>
      <c r="FG146" s="9">
        <v>72000</v>
      </c>
      <c r="FH146" s="9"/>
      <c r="FI146" s="9"/>
      <c r="FJ146" s="9"/>
      <c r="FK146" s="9"/>
      <c r="FL146" s="9"/>
      <c r="FM146" s="9"/>
      <c r="FN146" s="9"/>
      <c r="FO146" s="9"/>
      <c r="FP146" s="9">
        <v>30000</v>
      </c>
      <c r="FQ146" s="9"/>
      <c r="FR146" s="9"/>
      <c r="FS146" s="9"/>
      <c r="FT146" s="9">
        <f t="shared" si="42"/>
        <v>155000</v>
      </c>
      <c r="FU146" s="7">
        <f t="shared" si="43"/>
        <v>241000</v>
      </c>
      <c r="FV146" s="11">
        <f t="shared" si="44"/>
        <v>8.6111111111111107</v>
      </c>
      <c r="FW146" s="11">
        <f t="shared" si="45"/>
        <v>13.388888888888889</v>
      </c>
      <c r="FX146" s="12">
        <f t="shared" si="46"/>
        <v>2.1527777777777777</v>
      </c>
      <c r="FY146" s="12">
        <f t="shared" si="47"/>
        <v>3.3472222222222223</v>
      </c>
    </row>
    <row r="147" spans="1:181" ht="43.5" customHeight="1" thickBot="1" x14ac:dyDescent="0.3">
      <c r="A147" s="4">
        <v>3077</v>
      </c>
      <c r="B147" s="27" t="s">
        <v>352</v>
      </c>
      <c r="C147" s="27" t="s">
        <v>353</v>
      </c>
      <c r="D147" s="2">
        <v>39446403</v>
      </c>
      <c r="E147" s="3">
        <v>45717</v>
      </c>
      <c r="F147" s="3">
        <f t="shared" si="51"/>
        <v>45870</v>
      </c>
      <c r="G147" s="4">
        <v>110</v>
      </c>
      <c r="H147" s="377">
        <f t="shared" si="49"/>
        <v>98.125</v>
      </c>
      <c r="I147" s="377">
        <f t="shared" si="50"/>
        <v>11.875</v>
      </c>
      <c r="J147" s="355" t="s">
        <v>354</v>
      </c>
      <c r="K147" s="10">
        <v>200000</v>
      </c>
      <c r="L147" s="10">
        <v>528000</v>
      </c>
      <c r="M147" s="8">
        <f t="shared" si="38"/>
        <v>24000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>
        <v>48000</v>
      </c>
      <c r="EG147" s="9"/>
      <c r="EH147" s="9"/>
      <c r="EI147" s="9"/>
      <c r="EJ147" s="9"/>
      <c r="EK147" s="9"/>
      <c r="EL147" s="9">
        <v>48000</v>
      </c>
      <c r="EM147" s="9"/>
      <c r="EN147" s="9"/>
      <c r="EO147" s="9">
        <v>40000</v>
      </c>
      <c r="EP147" s="9">
        <v>20000</v>
      </c>
      <c r="EQ147" s="9"/>
      <c r="ER147" s="9"/>
      <c r="ES147" s="9"/>
      <c r="ET147" s="9">
        <v>60000</v>
      </c>
      <c r="EU147" s="9"/>
      <c r="EV147" s="9"/>
      <c r="EW147" s="9">
        <v>30000</v>
      </c>
      <c r="EX147" s="9"/>
      <c r="EY147" s="9"/>
      <c r="EZ147" s="9"/>
      <c r="FA147" s="9">
        <v>50000</v>
      </c>
      <c r="FB147" s="9">
        <v>40000</v>
      </c>
      <c r="FC147" s="9"/>
      <c r="FD147" s="9"/>
      <c r="FE147" s="9">
        <v>30000</v>
      </c>
      <c r="FF147" s="9"/>
      <c r="FG147" s="9">
        <v>30000</v>
      </c>
      <c r="FH147" s="9"/>
      <c r="FI147" s="9"/>
      <c r="FJ147" s="9"/>
      <c r="FK147" s="9">
        <v>20000</v>
      </c>
      <c r="FL147" s="9">
        <v>20000</v>
      </c>
      <c r="FM147" s="9"/>
      <c r="FN147" s="9"/>
      <c r="FO147" s="9">
        <v>20000</v>
      </c>
      <c r="FP147" s="9">
        <v>15000</v>
      </c>
      <c r="FQ147" s="9"/>
      <c r="FR147" s="9"/>
      <c r="FS147" s="9"/>
      <c r="FT147" s="9">
        <f t="shared" si="42"/>
        <v>471000</v>
      </c>
      <c r="FU147" s="7">
        <f t="shared" si="43"/>
        <v>57000</v>
      </c>
      <c r="FV147" s="11">
        <f t="shared" si="44"/>
        <v>19.625</v>
      </c>
      <c r="FW147" s="11">
        <f t="shared" si="45"/>
        <v>2.375</v>
      </c>
      <c r="FX147" s="12">
        <f t="shared" si="46"/>
        <v>4.90625</v>
      </c>
      <c r="FY147" s="12">
        <f t="shared" si="47"/>
        <v>0.59375</v>
      </c>
    </row>
    <row r="148" spans="1:181" ht="43.5" customHeight="1" thickBot="1" x14ac:dyDescent="0.3">
      <c r="A148" s="4">
        <v>3430</v>
      </c>
      <c r="B148" s="27" t="s">
        <v>355</v>
      </c>
      <c r="C148" s="27" t="s">
        <v>356</v>
      </c>
      <c r="D148" s="2"/>
      <c r="E148" s="3">
        <v>45938</v>
      </c>
      <c r="F148" s="3">
        <f t="shared" si="51"/>
        <v>45966</v>
      </c>
      <c r="G148" s="4">
        <v>20</v>
      </c>
      <c r="H148" s="377" t="e">
        <f t="shared" si="49"/>
        <v>#DIV/0!</v>
      </c>
      <c r="I148" s="377" t="e">
        <f t="shared" si="50"/>
        <v>#DIV/0!</v>
      </c>
      <c r="J148" s="355" t="s">
        <v>1363</v>
      </c>
      <c r="K148" s="7">
        <v>60000</v>
      </c>
      <c r="L148" s="7">
        <v>90000</v>
      </c>
      <c r="M148" s="21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 t="s">
        <v>143</v>
      </c>
      <c r="EL148" s="9"/>
      <c r="EM148" s="9" t="s">
        <v>143</v>
      </c>
      <c r="EN148" s="9" t="s">
        <v>143</v>
      </c>
      <c r="EO148" s="9"/>
      <c r="EP148" s="9"/>
      <c r="EQ148" s="9"/>
      <c r="ER148" s="9"/>
      <c r="ES148" s="9" t="s">
        <v>143</v>
      </c>
      <c r="ET148" s="9"/>
      <c r="EU148" s="9"/>
      <c r="EV148" s="9" t="s">
        <v>143</v>
      </c>
      <c r="EW148" s="9"/>
      <c r="EX148" s="9"/>
      <c r="EY148" s="9"/>
      <c r="EZ148" s="9"/>
      <c r="FA148" s="9"/>
      <c r="FB148" s="9"/>
      <c r="FC148" s="9" t="s">
        <v>143</v>
      </c>
      <c r="FD148" s="9"/>
      <c r="FE148" s="9"/>
      <c r="FF148" s="9"/>
      <c r="FG148" s="9"/>
      <c r="FH148" s="9"/>
      <c r="FI148" s="9"/>
      <c r="FJ148" s="9"/>
      <c r="FK148" s="9"/>
      <c r="FL148" s="9"/>
      <c r="FM148" s="9">
        <v>30000</v>
      </c>
      <c r="FN148" s="9"/>
      <c r="FO148" s="9">
        <v>30000</v>
      </c>
      <c r="FP148" s="9"/>
      <c r="FQ148" s="9"/>
      <c r="FR148" s="9"/>
      <c r="FS148" s="9"/>
      <c r="FT148" s="9">
        <f t="shared" si="42"/>
        <v>60000</v>
      </c>
      <c r="FU148" s="7">
        <f t="shared" si="43"/>
        <v>30000</v>
      </c>
      <c r="FV148" s="11" t="e">
        <f t="shared" si="44"/>
        <v>#DIV/0!</v>
      </c>
      <c r="FW148" s="11" t="e">
        <f t="shared" si="45"/>
        <v>#DIV/0!</v>
      </c>
      <c r="FX148" s="12" t="e">
        <f t="shared" si="46"/>
        <v>#DIV/0!</v>
      </c>
      <c r="FY148" s="12" t="e">
        <f t="shared" si="47"/>
        <v>#DIV/0!</v>
      </c>
    </row>
    <row r="149" spans="1:181" ht="43.5" customHeight="1" thickBot="1" x14ac:dyDescent="0.3">
      <c r="A149" s="372">
        <v>3515</v>
      </c>
      <c r="B149" s="27" t="s">
        <v>355</v>
      </c>
      <c r="C149" s="27" t="s">
        <v>356</v>
      </c>
      <c r="D149" s="2"/>
      <c r="E149" s="3">
        <v>45985</v>
      </c>
      <c r="F149" s="3">
        <f t="shared" si="51"/>
        <v>46013</v>
      </c>
      <c r="G149" s="4">
        <v>20</v>
      </c>
      <c r="H149" s="377" t="e">
        <f t="shared" si="49"/>
        <v>#DIV/0!</v>
      </c>
      <c r="I149" s="377" t="e">
        <f t="shared" si="50"/>
        <v>#DIV/0!</v>
      </c>
      <c r="J149" s="355" t="s">
        <v>403</v>
      </c>
      <c r="K149" s="7">
        <v>70000</v>
      </c>
      <c r="L149" s="7">
        <v>75000</v>
      </c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 t="s">
        <v>143</v>
      </c>
      <c r="EL149" s="9"/>
      <c r="EM149" s="9" t="s">
        <v>143</v>
      </c>
      <c r="EN149" s="9" t="s">
        <v>143</v>
      </c>
      <c r="EO149" s="9"/>
      <c r="EP149" s="9"/>
      <c r="EQ149" s="9"/>
      <c r="ER149" s="9"/>
      <c r="ES149" s="9" t="s">
        <v>143</v>
      </c>
      <c r="ET149" s="9"/>
      <c r="EU149" s="9"/>
      <c r="EV149" s="9" t="s">
        <v>143</v>
      </c>
      <c r="EW149" s="9"/>
      <c r="EX149" s="9"/>
      <c r="EY149" s="9"/>
      <c r="EZ149" s="9"/>
      <c r="FA149" s="9"/>
      <c r="FB149" s="9"/>
      <c r="FC149" s="9" t="s">
        <v>143</v>
      </c>
      <c r="FD149" s="9"/>
      <c r="FE149" s="9"/>
      <c r="FF149" s="9"/>
      <c r="FG149" s="9"/>
      <c r="FH149" s="9"/>
      <c r="FI149" s="9"/>
      <c r="FJ149" s="9"/>
      <c r="FK149" s="9"/>
      <c r="FL149" s="9" t="s">
        <v>143</v>
      </c>
      <c r="FM149" s="9"/>
      <c r="FN149" s="9"/>
      <c r="FO149" s="9"/>
      <c r="FP149" s="9"/>
      <c r="FQ149" s="9"/>
      <c r="FR149" s="9"/>
      <c r="FS149" s="9"/>
      <c r="FT149" s="9">
        <f t="shared" si="42"/>
        <v>0</v>
      </c>
      <c r="FU149" s="7">
        <f t="shared" si="43"/>
        <v>75000</v>
      </c>
      <c r="FV149" s="11" t="e">
        <f t="shared" si="44"/>
        <v>#DIV/0!</v>
      </c>
      <c r="FW149" s="11" t="e">
        <f t="shared" si="45"/>
        <v>#DIV/0!</v>
      </c>
      <c r="FX149" s="12" t="e">
        <f t="shared" si="46"/>
        <v>#DIV/0!</v>
      </c>
      <c r="FY149" s="12" t="e">
        <f t="shared" si="47"/>
        <v>#DIV/0!</v>
      </c>
    </row>
    <row r="150" spans="1:181" ht="43.5" customHeight="1" thickBot="1" x14ac:dyDescent="0.3">
      <c r="A150" s="4">
        <v>3316</v>
      </c>
      <c r="B150" s="27" t="s">
        <v>357</v>
      </c>
      <c r="C150" s="27" t="s">
        <v>358</v>
      </c>
      <c r="D150" s="2">
        <v>27329256826</v>
      </c>
      <c r="E150" s="3">
        <v>45863</v>
      </c>
      <c r="F150" s="3">
        <f t="shared" si="51"/>
        <v>46031</v>
      </c>
      <c r="G150" s="4">
        <v>120</v>
      </c>
      <c r="H150" s="377">
        <f t="shared" si="49"/>
        <v>80</v>
      </c>
      <c r="I150" s="377">
        <f t="shared" si="50"/>
        <v>40</v>
      </c>
      <c r="J150" s="355" t="s">
        <v>421</v>
      </c>
      <c r="K150" s="7">
        <v>150000</v>
      </c>
      <c r="L150" s="7">
        <v>396000</v>
      </c>
      <c r="M150" s="21">
        <f t="shared" ref="M150:M155" si="52">(L150/G150)*5</f>
        <v>16500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 t="s">
        <v>143</v>
      </c>
      <c r="EL150" s="9"/>
      <c r="EM150" s="9" t="s">
        <v>143</v>
      </c>
      <c r="EN150" s="9" t="s">
        <v>143</v>
      </c>
      <c r="EO150" s="9"/>
      <c r="EP150" s="9"/>
      <c r="EQ150" s="9"/>
      <c r="ER150" s="9"/>
      <c r="ES150" s="9" t="s">
        <v>143</v>
      </c>
      <c r="ET150" s="9"/>
      <c r="EU150" s="9"/>
      <c r="EV150" s="9" t="s">
        <v>143</v>
      </c>
      <c r="EW150" s="9"/>
      <c r="EX150" s="9"/>
      <c r="EY150" s="9"/>
      <c r="EZ150" s="9"/>
      <c r="FA150" s="9"/>
      <c r="FB150" s="9"/>
      <c r="FC150" s="9"/>
      <c r="FD150" s="9">
        <v>65000</v>
      </c>
      <c r="FE150" s="9">
        <v>1000</v>
      </c>
      <c r="FF150" s="9"/>
      <c r="FG150" s="9"/>
      <c r="FH150" s="9"/>
      <c r="FI150" s="9">
        <v>67000</v>
      </c>
      <c r="FJ150" s="9"/>
      <c r="FK150" s="9"/>
      <c r="FL150" s="9"/>
      <c r="FM150" s="9">
        <v>65000</v>
      </c>
      <c r="FN150" s="9"/>
      <c r="FO150" s="9"/>
      <c r="FP150" s="9"/>
      <c r="FQ150" s="9"/>
      <c r="FR150" s="9">
        <v>66000</v>
      </c>
      <c r="FS150" s="9"/>
      <c r="FT150" s="9">
        <f t="shared" si="42"/>
        <v>264000</v>
      </c>
      <c r="FU150" s="7">
        <f t="shared" si="43"/>
        <v>132000</v>
      </c>
      <c r="FV150" s="11">
        <f t="shared" si="44"/>
        <v>16</v>
      </c>
      <c r="FW150" s="11">
        <f t="shared" si="45"/>
        <v>8</v>
      </c>
      <c r="FX150" s="12">
        <f t="shared" si="46"/>
        <v>4</v>
      </c>
      <c r="FY150" s="12">
        <f t="shared" si="47"/>
        <v>2</v>
      </c>
    </row>
    <row r="151" spans="1:181" ht="43.5" customHeight="1" thickBot="1" x14ac:dyDescent="0.3">
      <c r="A151" s="4">
        <v>3185</v>
      </c>
      <c r="B151" s="27" t="s">
        <v>359</v>
      </c>
      <c r="C151" s="27" t="s">
        <v>360</v>
      </c>
      <c r="D151" s="2"/>
      <c r="E151" s="3">
        <v>45785</v>
      </c>
      <c r="F151" s="3">
        <f t="shared" si="51"/>
        <v>45939</v>
      </c>
      <c r="G151" s="4">
        <v>110</v>
      </c>
      <c r="H151" s="377">
        <f t="shared" si="49"/>
        <v>84.722222222222229</v>
      </c>
      <c r="I151" s="377">
        <f t="shared" si="50"/>
        <v>25.277777777777771</v>
      </c>
      <c r="J151" s="192" t="s">
        <v>1210</v>
      </c>
      <c r="K151" s="7">
        <v>150000</v>
      </c>
      <c r="L151" s="7">
        <v>396000</v>
      </c>
      <c r="M151" s="353">
        <f t="shared" si="52"/>
        <v>18000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 t="s">
        <v>143</v>
      </c>
      <c r="EL151" s="9"/>
      <c r="EM151" s="9" t="s">
        <v>143</v>
      </c>
      <c r="EN151" s="9" t="s">
        <v>143</v>
      </c>
      <c r="EO151" s="9"/>
      <c r="EP151" s="9"/>
      <c r="EQ151" s="9">
        <v>40000</v>
      </c>
      <c r="ER151" s="9"/>
      <c r="ES151" s="9"/>
      <c r="ET151" s="9"/>
      <c r="EU151" s="9"/>
      <c r="EV151" s="9">
        <v>30000</v>
      </c>
      <c r="EW151" s="9"/>
      <c r="EX151" s="9"/>
      <c r="EY151" s="9">
        <v>36000</v>
      </c>
      <c r="EZ151" s="9"/>
      <c r="FA151" s="9"/>
      <c r="FB151" s="9"/>
      <c r="FC151" s="9"/>
      <c r="FD151" s="9"/>
      <c r="FE151" s="9"/>
      <c r="FF151" s="9">
        <v>40000</v>
      </c>
      <c r="FG151" s="9"/>
      <c r="FH151" s="9">
        <v>40000</v>
      </c>
      <c r="FI151" s="9"/>
      <c r="FJ151" s="9">
        <v>32000</v>
      </c>
      <c r="FK151" s="9"/>
      <c r="FL151" s="9">
        <v>32000</v>
      </c>
      <c r="FM151" s="9"/>
      <c r="FN151" s="9">
        <v>14000</v>
      </c>
      <c r="FO151" s="9"/>
      <c r="FP151" s="9">
        <v>30000</v>
      </c>
      <c r="FQ151" s="9"/>
      <c r="FR151" s="9">
        <v>11000</v>
      </c>
      <c r="FS151" s="9"/>
      <c r="FT151" s="9">
        <f t="shared" si="42"/>
        <v>305000</v>
      </c>
      <c r="FU151" s="7">
        <f t="shared" si="43"/>
        <v>91000</v>
      </c>
      <c r="FV151" s="11">
        <f t="shared" si="44"/>
        <v>16.944444444444446</v>
      </c>
      <c r="FW151" s="11">
        <f t="shared" si="45"/>
        <v>5.0555555555555545</v>
      </c>
      <c r="FX151" s="12">
        <f t="shared" si="46"/>
        <v>4.2361111111111116</v>
      </c>
      <c r="FY151" s="12">
        <f t="shared" si="47"/>
        <v>1.2638888888888886</v>
      </c>
    </row>
    <row r="152" spans="1:181" ht="43.5" customHeight="1" thickBot="1" x14ac:dyDescent="0.3">
      <c r="A152" s="4">
        <v>3392</v>
      </c>
      <c r="B152" s="155" t="s">
        <v>881</v>
      </c>
      <c r="C152" s="155" t="s">
        <v>882</v>
      </c>
      <c r="D152" s="155">
        <v>27352124309</v>
      </c>
      <c r="E152" s="156">
        <v>45912</v>
      </c>
      <c r="F152" s="3">
        <f t="shared" si="51"/>
        <v>46080</v>
      </c>
      <c r="G152" s="164">
        <v>120</v>
      </c>
      <c r="H152" s="377">
        <f t="shared" si="49"/>
        <v>40</v>
      </c>
      <c r="I152" s="377">
        <f t="shared" si="50"/>
        <v>80</v>
      </c>
      <c r="J152" s="190" t="s">
        <v>1339</v>
      </c>
      <c r="K152" s="158">
        <v>300000</v>
      </c>
      <c r="L152" s="158">
        <v>792000</v>
      </c>
      <c r="M152" s="8">
        <f t="shared" si="52"/>
        <v>33000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 t="s">
        <v>143</v>
      </c>
      <c r="EL152" s="9"/>
      <c r="EM152" s="9" t="s">
        <v>143</v>
      </c>
      <c r="EN152" s="9" t="s">
        <v>143</v>
      </c>
      <c r="EO152" s="9"/>
      <c r="EP152" s="9"/>
      <c r="EQ152" s="9"/>
      <c r="ER152" s="9"/>
      <c r="ES152" s="9" t="s">
        <v>143</v>
      </c>
      <c r="ET152" s="9"/>
      <c r="EU152" s="9"/>
      <c r="EV152" s="9" t="s">
        <v>143</v>
      </c>
      <c r="EW152" s="9"/>
      <c r="EX152" s="9"/>
      <c r="EY152" s="9"/>
      <c r="EZ152" s="9"/>
      <c r="FA152" s="9"/>
      <c r="FB152" s="9"/>
      <c r="FC152" s="9" t="s">
        <v>143</v>
      </c>
      <c r="FD152" s="9"/>
      <c r="FE152" s="9"/>
      <c r="FF152" s="9"/>
      <c r="FG152" s="9"/>
      <c r="FH152" s="9"/>
      <c r="FI152" s="9"/>
      <c r="FJ152" s="9">
        <v>132000</v>
      </c>
      <c r="FK152" s="9"/>
      <c r="FL152" s="9"/>
      <c r="FM152" s="9"/>
      <c r="FN152" s="9"/>
      <c r="FO152" s="9">
        <v>132000</v>
      </c>
      <c r="FP152" s="9"/>
      <c r="FQ152" s="9"/>
      <c r="FR152" s="9"/>
      <c r="FS152" s="9"/>
      <c r="FT152" s="9">
        <f t="shared" si="42"/>
        <v>264000</v>
      </c>
      <c r="FU152" s="7">
        <f t="shared" si="43"/>
        <v>528000</v>
      </c>
      <c r="FV152" s="11">
        <f t="shared" si="44"/>
        <v>8</v>
      </c>
      <c r="FW152" s="11">
        <f t="shared" si="45"/>
        <v>16</v>
      </c>
      <c r="FX152" s="12">
        <f t="shared" si="46"/>
        <v>2</v>
      </c>
      <c r="FY152" s="12">
        <f t="shared" si="47"/>
        <v>4</v>
      </c>
    </row>
    <row r="153" spans="1:181" ht="43.5" customHeight="1" thickBot="1" x14ac:dyDescent="0.3">
      <c r="A153" s="4">
        <v>3447</v>
      </c>
      <c r="B153" s="27" t="s">
        <v>1286</v>
      </c>
      <c r="C153" s="27" t="s">
        <v>1287</v>
      </c>
      <c r="D153" s="2"/>
      <c r="E153" s="3">
        <v>45946</v>
      </c>
      <c r="F153" s="3">
        <f t="shared" ref="F153:F161" si="53">WORKDAY(E153,G153)</f>
        <v>46023</v>
      </c>
      <c r="G153" s="4">
        <v>55</v>
      </c>
      <c r="H153" s="377">
        <f t="shared" si="49"/>
        <v>30</v>
      </c>
      <c r="I153" s="377">
        <f t="shared" si="50"/>
        <v>25</v>
      </c>
      <c r="J153" s="155" t="s">
        <v>1288</v>
      </c>
      <c r="K153" s="7">
        <v>450000</v>
      </c>
      <c r="L153" s="7">
        <v>863500</v>
      </c>
      <c r="M153" s="21">
        <f t="shared" si="52"/>
        <v>78500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 t="s">
        <v>143</v>
      </c>
      <c r="EL153" s="9"/>
      <c r="EM153" s="9" t="s">
        <v>143</v>
      </c>
      <c r="EN153" s="9" t="s">
        <v>143</v>
      </c>
      <c r="EO153" s="9"/>
      <c r="EP153" s="9"/>
      <c r="EQ153" s="9"/>
      <c r="ER153" s="9"/>
      <c r="ES153" s="9" t="s">
        <v>143</v>
      </c>
      <c r="ET153" s="9"/>
      <c r="EU153" s="9"/>
      <c r="EV153" s="9" t="s">
        <v>143</v>
      </c>
      <c r="EW153" s="9"/>
      <c r="EX153" s="9"/>
      <c r="EY153" s="9"/>
      <c r="EZ153" s="9"/>
      <c r="FA153" s="9"/>
      <c r="FB153" s="9"/>
      <c r="FC153" s="9" t="s">
        <v>143</v>
      </c>
      <c r="FD153" s="9"/>
      <c r="FE153" s="9"/>
      <c r="FF153" s="9"/>
      <c r="FG153" s="9"/>
      <c r="FH153" s="9"/>
      <c r="FI153" s="9"/>
      <c r="FJ153" s="9"/>
      <c r="FK153" s="9"/>
      <c r="FL153" s="9"/>
      <c r="FM153" s="9">
        <v>78500</v>
      </c>
      <c r="FN153" s="9">
        <v>78500</v>
      </c>
      <c r="FO153" s="9">
        <v>78500</v>
      </c>
      <c r="FP153" s="9">
        <v>78500</v>
      </c>
      <c r="FQ153" s="9">
        <v>78500</v>
      </c>
      <c r="FR153" s="9">
        <v>78500</v>
      </c>
      <c r="FS153" s="9"/>
      <c r="FT153" s="9">
        <f t="shared" si="42"/>
        <v>471000</v>
      </c>
      <c r="FU153" s="7">
        <f t="shared" si="43"/>
        <v>392500</v>
      </c>
      <c r="FV153" s="11">
        <f t="shared" si="44"/>
        <v>6</v>
      </c>
      <c r="FW153" s="11">
        <f t="shared" si="45"/>
        <v>5</v>
      </c>
      <c r="FX153" s="12">
        <f t="shared" si="46"/>
        <v>1.5</v>
      </c>
      <c r="FY153" s="12">
        <f t="shared" si="47"/>
        <v>1.25</v>
      </c>
    </row>
    <row r="154" spans="1:181" ht="43.5" customHeight="1" thickBot="1" x14ac:dyDescent="0.3">
      <c r="A154" s="4">
        <v>3419</v>
      </c>
      <c r="B154" s="2" t="s">
        <v>624</v>
      </c>
      <c r="C154" s="2" t="s">
        <v>160</v>
      </c>
      <c r="D154" s="2"/>
      <c r="E154" s="3">
        <v>45927</v>
      </c>
      <c r="F154" s="3">
        <f>WORKDAY(E154,G154)</f>
        <v>46028</v>
      </c>
      <c r="G154" s="4">
        <v>72</v>
      </c>
      <c r="H154" s="377">
        <f t="shared" si="49"/>
        <v>45</v>
      </c>
      <c r="I154" s="377">
        <f t="shared" si="50"/>
        <v>27</v>
      </c>
      <c r="J154" s="2" t="s">
        <v>165</v>
      </c>
      <c r="K154" s="7">
        <v>200000</v>
      </c>
      <c r="L154" s="7">
        <v>432000</v>
      </c>
      <c r="M154" s="8">
        <f t="shared" si="52"/>
        <v>30000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 t="s">
        <v>143</v>
      </c>
      <c r="EL154" s="9"/>
      <c r="EM154" s="9" t="s">
        <v>143</v>
      </c>
      <c r="EN154" s="9" t="s">
        <v>143</v>
      </c>
      <c r="EO154" s="9"/>
      <c r="EP154" s="9"/>
      <c r="EQ154" s="9"/>
      <c r="ER154" s="9"/>
      <c r="ES154" s="9" t="s">
        <v>143</v>
      </c>
      <c r="ET154" s="9"/>
      <c r="EU154" s="9"/>
      <c r="EV154" s="9" t="s">
        <v>143</v>
      </c>
      <c r="EW154" s="9"/>
      <c r="EX154" s="9"/>
      <c r="EY154" s="9"/>
      <c r="EZ154" s="9"/>
      <c r="FA154" s="9"/>
      <c r="FB154" s="9"/>
      <c r="FC154" s="9" t="s">
        <v>143</v>
      </c>
      <c r="FD154" s="9"/>
      <c r="FE154" s="9"/>
      <c r="FF154" s="9"/>
      <c r="FG154" s="9"/>
      <c r="FH154" s="9"/>
      <c r="FI154" s="9"/>
      <c r="FJ154" s="9">
        <v>20000</v>
      </c>
      <c r="FK154" s="9">
        <v>40000</v>
      </c>
      <c r="FL154" s="9">
        <v>30000</v>
      </c>
      <c r="FM154" s="9">
        <v>30000</v>
      </c>
      <c r="FN154" s="9">
        <v>30000</v>
      </c>
      <c r="FO154" s="9">
        <v>30000</v>
      </c>
      <c r="FP154" s="9">
        <v>30000</v>
      </c>
      <c r="FQ154" s="9">
        <v>30000</v>
      </c>
      <c r="FR154" s="9">
        <v>30000</v>
      </c>
      <c r="FS154" s="9"/>
      <c r="FT154" s="9">
        <f t="shared" si="42"/>
        <v>270000</v>
      </c>
      <c r="FU154" s="7">
        <f t="shared" si="43"/>
        <v>162000</v>
      </c>
      <c r="FV154" s="11">
        <f t="shared" si="44"/>
        <v>9</v>
      </c>
      <c r="FW154" s="11">
        <f t="shared" si="45"/>
        <v>5.4</v>
      </c>
      <c r="FX154" s="12">
        <f t="shared" si="46"/>
        <v>2.25</v>
      </c>
      <c r="FY154" s="12">
        <f t="shared" si="47"/>
        <v>1.35</v>
      </c>
    </row>
    <row r="155" spans="1:181" ht="43.5" customHeight="1" thickBot="1" x14ac:dyDescent="0.3">
      <c r="A155" s="4">
        <v>3386</v>
      </c>
      <c r="B155" s="27" t="s">
        <v>364</v>
      </c>
      <c r="C155" s="27" t="s">
        <v>1330</v>
      </c>
      <c r="D155" s="2"/>
      <c r="E155" s="3">
        <v>45909</v>
      </c>
      <c r="F155" s="3">
        <f>WORKDAY(E155,G155)</f>
        <v>46021</v>
      </c>
      <c r="G155" s="4">
        <v>80</v>
      </c>
      <c r="H155" s="377">
        <f t="shared" si="49"/>
        <v>23.703703703703702</v>
      </c>
      <c r="I155" s="377">
        <f t="shared" si="50"/>
        <v>56.296296296296298</v>
      </c>
      <c r="J155" s="355" t="s">
        <v>149</v>
      </c>
      <c r="K155" s="7">
        <v>100000</v>
      </c>
      <c r="L155" s="7">
        <v>216000</v>
      </c>
      <c r="M155" s="8">
        <f t="shared" si="52"/>
        <v>13500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 t="s">
        <v>143</v>
      </c>
      <c r="EL155" s="9"/>
      <c r="EM155" s="9" t="s">
        <v>143</v>
      </c>
      <c r="EN155" s="9" t="s">
        <v>143</v>
      </c>
      <c r="EO155" s="9"/>
      <c r="EP155" s="9"/>
      <c r="EQ155" s="9"/>
      <c r="ER155" s="9"/>
      <c r="ES155" s="9" t="s">
        <v>143</v>
      </c>
      <c r="ET155" s="9"/>
      <c r="EU155" s="9"/>
      <c r="EV155" s="9" t="s">
        <v>143</v>
      </c>
      <c r="EW155" s="9"/>
      <c r="EX155" s="9"/>
      <c r="EY155" s="9"/>
      <c r="EZ155" s="9"/>
      <c r="FA155" s="9"/>
      <c r="FB155" s="9"/>
      <c r="FC155" s="9" t="s">
        <v>143</v>
      </c>
      <c r="FD155" s="9"/>
      <c r="FE155" s="9"/>
      <c r="FF155" s="9"/>
      <c r="FG155" s="9"/>
      <c r="FH155" s="9"/>
      <c r="FI155" s="9"/>
      <c r="FJ155" s="9"/>
      <c r="FK155" s="9">
        <v>44000</v>
      </c>
      <c r="FL155" s="9"/>
      <c r="FM155" s="9"/>
      <c r="FN155" s="9"/>
      <c r="FO155" s="9">
        <v>20000</v>
      </c>
      <c r="FP155" s="9"/>
      <c r="FQ155" s="9"/>
      <c r="FR155" s="9"/>
      <c r="FS155" s="9"/>
      <c r="FT155" s="9">
        <f t="shared" si="42"/>
        <v>64000</v>
      </c>
      <c r="FU155" s="7">
        <f t="shared" si="43"/>
        <v>152000</v>
      </c>
      <c r="FV155" s="11">
        <f t="shared" si="44"/>
        <v>4.7407407407407405</v>
      </c>
      <c r="FW155" s="11">
        <f t="shared" si="45"/>
        <v>11.25925925925926</v>
      </c>
      <c r="FX155" s="12">
        <f t="shared" si="46"/>
        <v>1.1851851851851851</v>
      </c>
      <c r="FY155" s="12">
        <f t="shared" si="47"/>
        <v>2.8148148148148149</v>
      </c>
    </row>
    <row r="156" spans="1:181" ht="43.5" customHeight="1" thickBot="1" x14ac:dyDescent="0.3">
      <c r="A156" s="4">
        <v>3471</v>
      </c>
      <c r="B156" s="27" t="s">
        <v>1336</v>
      </c>
      <c r="C156" s="27"/>
      <c r="D156" s="2"/>
      <c r="E156" s="3">
        <v>45960</v>
      </c>
      <c r="F156" s="3">
        <f t="shared" si="53"/>
        <v>46002</v>
      </c>
      <c r="G156" s="4">
        <v>30</v>
      </c>
      <c r="H156" s="377" t="e">
        <f t="shared" si="49"/>
        <v>#DIV/0!</v>
      </c>
      <c r="I156" s="377" t="e">
        <f t="shared" si="50"/>
        <v>#DIV/0!</v>
      </c>
      <c r="J156" s="355" t="s">
        <v>368</v>
      </c>
      <c r="K156" s="7">
        <v>100000</v>
      </c>
      <c r="L156" s="7">
        <v>160000</v>
      </c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 t="s">
        <v>143</v>
      </c>
      <c r="EL156" s="9"/>
      <c r="EM156" s="9" t="s">
        <v>143</v>
      </c>
      <c r="EN156" s="9" t="s">
        <v>143</v>
      </c>
      <c r="EO156" s="9"/>
      <c r="EP156" s="9"/>
      <c r="EQ156" s="9"/>
      <c r="ER156" s="9"/>
      <c r="ES156" s="9" t="s">
        <v>143</v>
      </c>
      <c r="ET156" s="9"/>
      <c r="EU156" s="9"/>
      <c r="EV156" s="9" t="s">
        <v>143</v>
      </c>
      <c r="EW156" s="9"/>
      <c r="EX156" s="9"/>
      <c r="EY156" s="9"/>
      <c r="EZ156" s="9"/>
      <c r="FA156" s="9"/>
      <c r="FB156" s="9"/>
      <c r="FC156" s="9" t="s">
        <v>143</v>
      </c>
      <c r="FD156" s="9"/>
      <c r="FE156" s="9"/>
      <c r="FF156" s="9"/>
      <c r="FG156" s="9"/>
      <c r="FH156" s="9"/>
      <c r="FI156" s="9"/>
      <c r="FJ156" s="9"/>
      <c r="FK156" s="9"/>
      <c r="FL156" s="9" t="s">
        <v>143</v>
      </c>
      <c r="FM156" s="9"/>
      <c r="FN156" s="9"/>
      <c r="FO156" s="9"/>
      <c r="FP156" s="9"/>
      <c r="FQ156" s="9"/>
      <c r="FR156" s="9"/>
      <c r="FS156" s="9"/>
      <c r="FT156" s="9">
        <f t="shared" si="42"/>
        <v>0</v>
      </c>
      <c r="FU156" s="7">
        <f t="shared" si="43"/>
        <v>160000</v>
      </c>
      <c r="FV156" s="11" t="e">
        <f t="shared" si="44"/>
        <v>#DIV/0!</v>
      </c>
      <c r="FW156" s="11" t="e">
        <f t="shared" si="45"/>
        <v>#DIV/0!</v>
      </c>
      <c r="FX156" s="12" t="e">
        <f t="shared" si="46"/>
        <v>#DIV/0!</v>
      </c>
      <c r="FY156" s="12" t="e">
        <f t="shared" si="47"/>
        <v>#DIV/0!</v>
      </c>
    </row>
    <row r="157" spans="1:181" ht="43.5" customHeight="1" thickBot="1" x14ac:dyDescent="0.3">
      <c r="A157" s="4">
        <v>3492</v>
      </c>
      <c r="B157" s="27" t="s">
        <v>1336</v>
      </c>
      <c r="C157" s="27"/>
      <c r="D157" s="2"/>
      <c r="E157" s="3">
        <v>45974</v>
      </c>
      <c r="F157" s="3">
        <f t="shared" si="53"/>
        <v>46002</v>
      </c>
      <c r="G157" s="4">
        <v>20</v>
      </c>
      <c r="H157" s="377" t="e">
        <f t="shared" si="49"/>
        <v>#DIV/0!</v>
      </c>
      <c r="I157" s="377" t="e">
        <f t="shared" si="50"/>
        <v>#DIV/0!</v>
      </c>
      <c r="J157" s="355" t="s">
        <v>368</v>
      </c>
      <c r="K157" s="7">
        <v>30000</v>
      </c>
      <c r="L157" s="7">
        <v>48000</v>
      </c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 t="s">
        <v>143</v>
      </c>
      <c r="EL157" s="9"/>
      <c r="EM157" s="9" t="s">
        <v>143</v>
      </c>
      <c r="EN157" s="9" t="s">
        <v>143</v>
      </c>
      <c r="EO157" s="9"/>
      <c r="EP157" s="9"/>
      <c r="EQ157" s="9"/>
      <c r="ER157" s="9"/>
      <c r="ES157" s="9" t="s">
        <v>143</v>
      </c>
      <c r="ET157" s="9"/>
      <c r="EU157" s="9"/>
      <c r="EV157" s="9" t="s">
        <v>143</v>
      </c>
      <c r="EW157" s="9"/>
      <c r="EX157" s="9"/>
      <c r="EY157" s="9"/>
      <c r="EZ157" s="9"/>
      <c r="FA157" s="9"/>
      <c r="FB157" s="9"/>
      <c r="FC157" s="9" t="s">
        <v>143</v>
      </c>
      <c r="FD157" s="9"/>
      <c r="FE157" s="9"/>
      <c r="FF157" s="9"/>
      <c r="FG157" s="9"/>
      <c r="FH157" s="9"/>
      <c r="FI157" s="9"/>
      <c r="FJ157" s="9"/>
      <c r="FK157" s="9"/>
      <c r="FL157" s="9" t="s">
        <v>143</v>
      </c>
      <c r="FM157" s="9"/>
      <c r="FN157" s="9"/>
      <c r="FO157" s="9"/>
      <c r="FP157" s="9"/>
      <c r="FQ157" s="9"/>
      <c r="FR157" s="9"/>
      <c r="FS157" s="9"/>
      <c r="FT157" s="9">
        <f t="shared" si="42"/>
        <v>0</v>
      </c>
      <c r="FU157" s="7">
        <f t="shared" si="43"/>
        <v>48000</v>
      </c>
      <c r="FV157" s="11" t="e">
        <f t="shared" si="44"/>
        <v>#DIV/0!</v>
      </c>
      <c r="FW157" s="11" t="e">
        <f t="shared" si="45"/>
        <v>#DIV/0!</v>
      </c>
      <c r="FX157" s="12" t="e">
        <f t="shared" si="46"/>
        <v>#DIV/0!</v>
      </c>
      <c r="FY157" s="12" t="e">
        <f t="shared" si="47"/>
        <v>#DIV/0!</v>
      </c>
    </row>
    <row r="158" spans="1:181" ht="43.5" customHeight="1" thickBot="1" x14ac:dyDescent="0.3">
      <c r="A158" s="4">
        <v>3501</v>
      </c>
      <c r="B158" s="27" t="s">
        <v>1336</v>
      </c>
      <c r="C158" s="27"/>
      <c r="D158" s="2"/>
      <c r="E158" s="3">
        <v>45978</v>
      </c>
      <c r="F158" s="3">
        <f t="shared" si="53"/>
        <v>46002</v>
      </c>
      <c r="G158" s="4">
        <v>18</v>
      </c>
      <c r="H158" s="377" t="e">
        <f t="shared" si="49"/>
        <v>#DIV/0!</v>
      </c>
      <c r="I158" s="377" t="e">
        <f t="shared" si="50"/>
        <v>#DIV/0!</v>
      </c>
      <c r="J158" s="355" t="s">
        <v>368</v>
      </c>
      <c r="K158" s="10">
        <v>50000</v>
      </c>
      <c r="L158" s="10">
        <v>80000</v>
      </c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 t="s">
        <v>143</v>
      </c>
      <c r="EL158" s="9"/>
      <c r="EM158" s="9" t="s">
        <v>143</v>
      </c>
      <c r="EN158" s="9" t="s">
        <v>143</v>
      </c>
      <c r="EO158" s="9"/>
      <c r="EP158" s="9"/>
      <c r="EQ158" s="9"/>
      <c r="ER158" s="9"/>
      <c r="ES158" s="9" t="s">
        <v>143</v>
      </c>
      <c r="ET158" s="9"/>
      <c r="EU158" s="9"/>
      <c r="EV158" s="9" t="s">
        <v>143</v>
      </c>
      <c r="EW158" s="9"/>
      <c r="EX158" s="9"/>
      <c r="EY158" s="9"/>
      <c r="EZ158" s="9"/>
      <c r="FA158" s="9"/>
      <c r="FB158" s="9"/>
      <c r="FC158" s="9" t="s">
        <v>143</v>
      </c>
      <c r="FD158" s="9"/>
      <c r="FE158" s="9"/>
      <c r="FF158" s="9"/>
      <c r="FG158" s="9"/>
      <c r="FH158" s="9"/>
      <c r="FI158" s="9"/>
      <c r="FJ158" s="9"/>
      <c r="FK158" s="9"/>
      <c r="FL158" s="9" t="s">
        <v>143</v>
      </c>
      <c r="FM158" s="9"/>
      <c r="FN158" s="9"/>
      <c r="FO158" s="9"/>
      <c r="FP158" s="9"/>
      <c r="FQ158" s="9"/>
      <c r="FR158" s="9"/>
      <c r="FS158" s="9"/>
      <c r="FT158" s="9">
        <f t="shared" si="42"/>
        <v>0</v>
      </c>
      <c r="FU158" s="7">
        <f t="shared" si="43"/>
        <v>80000</v>
      </c>
      <c r="FV158" s="11" t="e">
        <f t="shared" si="44"/>
        <v>#DIV/0!</v>
      </c>
      <c r="FW158" s="11" t="e">
        <f t="shared" si="45"/>
        <v>#DIV/0!</v>
      </c>
      <c r="FX158" s="12" t="e">
        <f t="shared" si="46"/>
        <v>#DIV/0!</v>
      </c>
      <c r="FY158" s="12" t="e">
        <f t="shared" si="47"/>
        <v>#DIV/0!</v>
      </c>
    </row>
    <row r="159" spans="1:181" ht="43.5" customHeight="1" thickBot="1" x14ac:dyDescent="0.3">
      <c r="A159" s="4">
        <v>3503</v>
      </c>
      <c r="B159" s="27" t="s">
        <v>1336</v>
      </c>
      <c r="C159" s="27"/>
      <c r="D159" s="2"/>
      <c r="E159" s="3">
        <v>45979</v>
      </c>
      <c r="F159" s="3">
        <f t="shared" si="53"/>
        <v>46002</v>
      </c>
      <c r="G159" s="4">
        <v>17</v>
      </c>
      <c r="H159" s="377" t="e">
        <f t="shared" si="49"/>
        <v>#DIV/0!</v>
      </c>
      <c r="I159" s="377" t="e">
        <f t="shared" si="50"/>
        <v>#DIV/0!</v>
      </c>
      <c r="J159" s="355" t="s">
        <v>368</v>
      </c>
      <c r="K159" s="7">
        <v>50000</v>
      </c>
      <c r="L159" s="7">
        <v>80000</v>
      </c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>
        <f t="shared" si="42"/>
        <v>0</v>
      </c>
      <c r="FU159" s="7">
        <f t="shared" si="43"/>
        <v>80000</v>
      </c>
      <c r="FV159" s="11" t="e">
        <f t="shared" si="44"/>
        <v>#DIV/0!</v>
      </c>
      <c r="FW159" s="11" t="e">
        <f t="shared" si="45"/>
        <v>#DIV/0!</v>
      </c>
      <c r="FX159" s="12" t="e">
        <f t="shared" si="46"/>
        <v>#DIV/0!</v>
      </c>
      <c r="FY159" s="12" t="e">
        <f t="shared" si="47"/>
        <v>#DIV/0!</v>
      </c>
    </row>
    <row r="160" spans="1:181" ht="43.5" customHeight="1" thickBot="1" x14ac:dyDescent="0.3">
      <c r="A160" s="4">
        <v>3483</v>
      </c>
      <c r="B160" s="27" t="s">
        <v>1274</v>
      </c>
      <c r="C160" s="27"/>
      <c r="D160" s="2"/>
      <c r="E160" s="3">
        <v>45971</v>
      </c>
      <c r="F160" s="3">
        <f t="shared" si="53"/>
        <v>45999</v>
      </c>
      <c r="G160" s="4">
        <v>20</v>
      </c>
      <c r="H160" s="377" t="e">
        <f t="shared" si="49"/>
        <v>#DIV/0!</v>
      </c>
      <c r="I160" s="377" t="e">
        <f t="shared" si="50"/>
        <v>#DIV/0!</v>
      </c>
      <c r="J160" s="355" t="s">
        <v>368</v>
      </c>
      <c r="K160" s="7">
        <v>100000</v>
      </c>
      <c r="L160" s="7">
        <v>150000</v>
      </c>
      <c r="M160" s="21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 t="s">
        <v>143</v>
      </c>
      <c r="EL160" s="9"/>
      <c r="EM160" s="9" t="s">
        <v>143</v>
      </c>
      <c r="EN160" s="9" t="s">
        <v>143</v>
      </c>
      <c r="EO160" s="9"/>
      <c r="EP160" s="9"/>
      <c r="EQ160" s="9"/>
      <c r="ER160" s="9"/>
      <c r="ES160" s="9" t="s">
        <v>143</v>
      </c>
      <c r="ET160" s="9"/>
      <c r="EU160" s="9"/>
      <c r="EV160" s="9" t="s">
        <v>143</v>
      </c>
      <c r="EW160" s="9"/>
      <c r="EX160" s="9"/>
      <c r="EY160" s="9"/>
      <c r="EZ160" s="9"/>
      <c r="FA160" s="9"/>
      <c r="FB160" s="9"/>
      <c r="FC160" s="9" t="s">
        <v>143</v>
      </c>
      <c r="FD160" s="9"/>
      <c r="FE160" s="9"/>
      <c r="FF160" s="9"/>
      <c r="FG160" s="9"/>
      <c r="FH160" s="9"/>
      <c r="FI160" s="9"/>
      <c r="FJ160" s="9"/>
      <c r="FK160" s="9"/>
      <c r="FL160" s="9" t="s">
        <v>143</v>
      </c>
      <c r="FM160" s="9"/>
      <c r="FN160" s="9"/>
      <c r="FO160" s="9"/>
      <c r="FP160" s="9"/>
      <c r="FQ160" s="9"/>
      <c r="FR160" s="9"/>
      <c r="FS160" s="9"/>
      <c r="FT160" s="9">
        <f t="shared" si="42"/>
        <v>0</v>
      </c>
      <c r="FU160" s="7">
        <f t="shared" si="43"/>
        <v>150000</v>
      </c>
      <c r="FV160" s="11" t="e">
        <f t="shared" si="44"/>
        <v>#DIV/0!</v>
      </c>
      <c r="FW160" s="11" t="e">
        <f t="shared" si="45"/>
        <v>#DIV/0!</v>
      </c>
      <c r="FX160" s="12" t="e">
        <f t="shared" si="46"/>
        <v>#DIV/0!</v>
      </c>
      <c r="FY160" s="12" t="e">
        <f t="shared" si="47"/>
        <v>#DIV/0!</v>
      </c>
    </row>
    <row r="161" spans="1:181" ht="43.5" customHeight="1" thickBot="1" x14ac:dyDescent="0.3">
      <c r="A161" s="4">
        <v>3485</v>
      </c>
      <c r="B161" s="27" t="s">
        <v>1274</v>
      </c>
      <c r="C161" s="27"/>
      <c r="D161" s="2"/>
      <c r="E161" s="3">
        <v>45971</v>
      </c>
      <c r="F161" s="3">
        <f t="shared" si="53"/>
        <v>45999</v>
      </c>
      <c r="G161" s="4">
        <v>20</v>
      </c>
      <c r="H161" s="377" t="e">
        <f t="shared" si="49"/>
        <v>#DIV/0!</v>
      </c>
      <c r="I161" s="377" t="e">
        <f t="shared" si="50"/>
        <v>#DIV/0!</v>
      </c>
      <c r="J161" s="355" t="s">
        <v>368</v>
      </c>
      <c r="K161" s="10">
        <v>100000</v>
      </c>
      <c r="L161" s="10">
        <v>150000</v>
      </c>
      <c r="M161" s="21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 t="s">
        <v>143</v>
      </c>
      <c r="EL161" s="9"/>
      <c r="EM161" s="9" t="s">
        <v>143</v>
      </c>
      <c r="EN161" s="9" t="s">
        <v>143</v>
      </c>
      <c r="EO161" s="9"/>
      <c r="EP161" s="9"/>
      <c r="EQ161" s="9"/>
      <c r="ER161" s="9"/>
      <c r="ES161" s="9" t="s">
        <v>143</v>
      </c>
      <c r="ET161" s="9"/>
      <c r="EU161" s="9"/>
      <c r="EV161" s="9" t="s">
        <v>143</v>
      </c>
      <c r="EW161" s="9"/>
      <c r="EX161" s="9"/>
      <c r="EY161" s="9"/>
      <c r="EZ161" s="9"/>
      <c r="FA161" s="9"/>
      <c r="FB161" s="9"/>
      <c r="FC161" s="9" t="s">
        <v>143</v>
      </c>
      <c r="FD161" s="9"/>
      <c r="FE161" s="9"/>
      <c r="FF161" s="9"/>
      <c r="FG161" s="9"/>
      <c r="FH161" s="9"/>
      <c r="FI161" s="9"/>
      <c r="FJ161" s="9"/>
      <c r="FK161" s="9"/>
      <c r="FL161" s="9" t="s">
        <v>143</v>
      </c>
      <c r="FM161" s="9"/>
      <c r="FN161" s="9"/>
      <c r="FO161" s="9"/>
      <c r="FP161" s="9"/>
      <c r="FQ161" s="9"/>
      <c r="FR161" s="9"/>
      <c r="FS161" s="9"/>
      <c r="FT161" s="9">
        <f t="shared" si="42"/>
        <v>0</v>
      </c>
      <c r="FU161" s="7">
        <f t="shared" si="43"/>
        <v>150000</v>
      </c>
      <c r="FV161" s="11" t="e">
        <f t="shared" si="44"/>
        <v>#DIV/0!</v>
      </c>
      <c r="FW161" s="11" t="e">
        <f t="shared" si="45"/>
        <v>#DIV/0!</v>
      </c>
      <c r="FX161" s="12" t="e">
        <f t="shared" si="46"/>
        <v>#DIV/0!</v>
      </c>
      <c r="FY161" s="12" t="e">
        <f t="shared" si="47"/>
        <v>#DIV/0!</v>
      </c>
    </row>
    <row r="162" spans="1:181" ht="43.5" customHeight="1" thickBot="1" x14ac:dyDescent="0.3">
      <c r="A162" s="4">
        <v>3496</v>
      </c>
      <c r="B162" s="27" t="s">
        <v>1274</v>
      </c>
      <c r="C162" s="27"/>
      <c r="D162" s="2"/>
      <c r="E162" s="3">
        <v>45976</v>
      </c>
      <c r="F162" s="3">
        <v>45820</v>
      </c>
      <c r="G162" s="4">
        <v>20</v>
      </c>
      <c r="H162" s="377" t="e">
        <f t="shared" si="49"/>
        <v>#DIV/0!</v>
      </c>
      <c r="I162" s="377" t="e">
        <f t="shared" si="50"/>
        <v>#DIV/0!</v>
      </c>
      <c r="J162" s="355" t="s">
        <v>368</v>
      </c>
      <c r="K162" s="10">
        <v>50000</v>
      </c>
      <c r="L162" s="10">
        <v>80000</v>
      </c>
      <c r="M162" s="21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 t="s">
        <v>143</v>
      </c>
      <c r="EL162" s="9"/>
      <c r="EM162" s="9" t="s">
        <v>143</v>
      </c>
      <c r="EN162" s="9" t="s">
        <v>143</v>
      </c>
      <c r="EO162" s="9"/>
      <c r="EP162" s="9"/>
      <c r="EQ162" s="9"/>
      <c r="ER162" s="9"/>
      <c r="ES162" s="9" t="s">
        <v>143</v>
      </c>
      <c r="ET162" s="9"/>
      <c r="EU162" s="9"/>
      <c r="EV162" s="9" t="s">
        <v>143</v>
      </c>
      <c r="EW162" s="9"/>
      <c r="EX162" s="9"/>
      <c r="EY162" s="9"/>
      <c r="EZ162" s="9"/>
      <c r="FA162" s="9"/>
      <c r="FB162" s="9"/>
      <c r="FC162" s="9" t="s">
        <v>143</v>
      </c>
      <c r="FD162" s="9"/>
      <c r="FE162" s="9"/>
      <c r="FF162" s="9"/>
      <c r="FG162" s="9"/>
      <c r="FH162" s="9"/>
      <c r="FI162" s="9"/>
      <c r="FJ162" s="9"/>
      <c r="FK162" s="9"/>
      <c r="FL162" s="9" t="s">
        <v>143</v>
      </c>
      <c r="FM162" s="9"/>
      <c r="FN162" s="9"/>
      <c r="FO162" s="9"/>
      <c r="FP162" s="9"/>
      <c r="FQ162" s="9"/>
      <c r="FR162" s="9"/>
      <c r="FS162" s="9"/>
      <c r="FT162" s="9">
        <f t="shared" si="42"/>
        <v>0</v>
      </c>
      <c r="FU162" s="7">
        <f t="shared" si="43"/>
        <v>80000</v>
      </c>
      <c r="FV162" s="11" t="e">
        <f t="shared" si="44"/>
        <v>#DIV/0!</v>
      </c>
      <c r="FW162" s="11" t="e">
        <f t="shared" si="45"/>
        <v>#DIV/0!</v>
      </c>
      <c r="FX162" s="12" t="e">
        <f t="shared" si="46"/>
        <v>#DIV/0!</v>
      </c>
      <c r="FY162" s="12" t="e">
        <f t="shared" si="47"/>
        <v>#DIV/0!</v>
      </c>
    </row>
    <row r="163" spans="1:181" ht="43.5" customHeight="1" thickBot="1" x14ac:dyDescent="0.3">
      <c r="A163" s="4">
        <v>3228</v>
      </c>
      <c r="B163" s="27" t="s">
        <v>746</v>
      </c>
      <c r="C163" s="27" t="s">
        <v>1212</v>
      </c>
      <c r="D163" s="2"/>
      <c r="E163" s="3">
        <v>45815</v>
      </c>
      <c r="F163" s="3">
        <f t="shared" ref="F163" si="54">WORKDAY(E163,G163)</f>
        <v>45968</v>
      </c>
      <c r="G163" s="374">
        <v>110</v>
      </c>
      <c r="H163" s="377">
        <f t="shared" si="49"/>
        <v>85.208333333333329</v>
      </c>
      <c r="I163" s="377">
        <f t="shared" si="50"/>
        <v>24.791666666666671</v>
      </c>
      <c r="J163" s="155" t="s">
        <v>349</v>
      </c>
      <c r="K163" s="7">
        <v>150000</v>
      </c>
      <c r="L163" s="7">
        <v>396000</v>
      </c>
      <c r="M163" s="23">
        <f t="shared" ref="M163:M193" si="55">(L163/G163)*5</f>
        <v>18000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 t="s">
        <v>143</v>
      </c>
      <c r="EL163" s="9"/>
      <c r="EM163" s="9" t="s">
        <v>143</v>
      </c>
      <c r="EN163" s="9" t="s">
        <v>143</v>
      </c>
      <c r="EO163" s="9"/>
      <c r="EP163" s="9"/>
      <c r="EQ163" s="9"/>
      <c r="ER163" s="9"/>
      <c r="ES163" s="9"/>
      <c r="ET163" s="9">
        <v>18500</v>
      </c>
      <c r="EU163" s="9">
        <v>18500</v>
      </c>
      <c r="EV163" s="9"/>
      <c r="EW163" s="9">
        <v>37000</v>
      </c>
      <c r="EX163" s="9">
        <v>18500</v>
      </c>
      <c r="EY163" s="9"/>
      <c r="EZ163" s="9">
        <v>18500</v>
      </c>
      <c r="FA163" s="9">
        <v>18500</v>
      </c>
      <c r="FB163" s="9">
        <v>18500</v>
      </c>
      <c r="FC163" s="9">
        <v>7000</v>
      </c>
      <c r="FD163" s="9"/>
      <c r="FE163" s="9">
        <v>44000</v>
      </c>
      <c r="FF163" s="9">
        <v>18500</v>
      </c>
      <c r="FG163" s="9"/>
      <c r="FH163" s="9"/>
      <c r="FI163" s="9"/>
      <c r="FJ163" s="9"/>
      <c r="FK163" s="9"/>
      <c r="FL163" s="9"/>
      <c r="FM163" s="9"/>
      <c r="FN163" s="9"/>
      <c r="FO163" s="9"/>
      <c r="FP163" s="9">
        <v>89250</v>
      </c>
      <c r="FQ163" s="9"/>
      <c r="FR163" s="9"/>
      <c r="FS163" s="9"/>
      <c r="FT163" s="9">
        <f t="shared" si="42"/>
        <v>306750</v>
      </c>
      <c r="FU163" s="7">
        <f t="shared" si="43"/>
        <v>89250</v>
      </c>
      <c r="FV163" s="11">
        <f t="shared" si="44"/>
        <v>17.041666666666664</v>
      </c>
      <c r="FW163" s="11">
        <f t="shared" si="45"/>
        <v>4.9583333333333339</v>
      </c>
      <c r="FX163" s="12">
        <f t="shared" si="46"/>
        <v>4.2604166666666661</v>
      </c>
      <c r="FY163" s="12">
        <f t="shared" si="47"/>
        <v>1.2395833333333335</v>
      </c>
    </row>
    <row r="164" spans="1:181" ht="43.5" customHeight="1" thickBot="1" x14ac:dyDescent="0.3">
      <c r="A164" s="4">
        <v>3018</v>
      </c>
      <c r="B164" s="27" t="s">
        <v>369</v>
      </c>
      <c r="C164" s="27" t="s">
        <v>370</v>
      </c>
      <c r="D164" s="2"/>
      <c r="E164" s="3">
        <v>45680</v>
      </c>
      <c r="F164" s="3">
        <f t="shared" ref="F163:F192" si="56">WORKDAY(E164,G164)</f>
        <v>45960</v>
      </c>
      <c r="G164" s="4">
        <v>200</v>
      </c>
      <c r="H164" s="377">
        <f t="shared" si="49"/>
        <v>180</v>
      </c>
      <c r="I164" s="377">
        <f t="shared" si="50"/>
        <v>20</v>
      </c>
      <c r="J164" s="355" t="s">
        <v>375</v>
      </c>
      <c r="K164" s="7">
        <v>500000</v>
      </c>
      <c r="L164" s="7">
        <v>1680000</v>
      </c>
      <c r="M164" s="8">
        <f t="shared" si="55"/>
        <v>42000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>
        <v>168000</v>
      </c>
      <c r="EC164" s="9"/>
      <c r="ED164" s="9"/>
      <c r="EE164" s="9"/>
      <c r="EF164" s="9"/>
      <c r="EG164" s="9"/>
      <c r="EH164" s="9"/>
      <c r="EI164" s="9"/>
      <c r="EJ164" s="9"/>
      <c r="EK164" s="9">
        <v>168000</v>
      </c>
      <c r="EL164" s="9"/>
      <c r="EM164" s="9"/>
      <c r="EN164" s="9"/>
      <c r="EO164" s="9">
        <v>168000</v>
      </c>
      <c r="EP164" s="9"/>
      <c r="EQ164" s="9"/>
      <c r="ER164" s="9"/>
      <c r="ES164" s="9">
        <v>168000</v>
      </c>
      <c r="ET164" s="9"/>
      <c r="EU164" s="9"/>
      <c r="EV164" s="9"/>
      <c r="EW164" s="9"/>
      <c r="EX164" s="9">
        <v>168000</v>
      </c>
      <c r="EY164" s="9"/>
      <c r="EZ164" s="9"/>
      <c r="FA164" s="9"/>
      <c r="FB164" s="9">
        <v>168000</v>
      </c>
      <c r="FC164" s="9"/>
      <c r="FD164" s="9"/>
      <c r="FE164" s="9"/>
      <c r="FF164" s="9">
        <v>168000</v>
      </c>
      <c r="FG164" s="9"/>
      <c r="FH164" s="9"/>
      <c r="FI164" s="9"/>
      <c r="FJ164" s="9"/>
      <c r="FK164" s="9">
        <v>168000</v>
      </c>
      <c r="FL164" s="9"/>
      <c r="FM164" s="9"/>
      <c r="FN164" s="9"/>
      <c r="FO164" s="9">
        <v>168000</v>
      </c>
      <c r="FP164" s="9"/>
      <c r="FQ164" s="9"/>
      <c r="FR164" s="9"/>
      <c r="FS164" s="9"/>
      <c r="FT164" s="9">
        <f t="shared" si="42"/>
        <v>1512000</v>
      </c>
      <c r="FU164" s="7">
        <f t="shared" si="43"/>
        <v>168000</v>
      </c>
      <c r="FV164" s="11">
        <f t="shared" si="44"/>
        <v>36</v>
      </c>
      <c r="FW164" s="11">
        <f t="shared" si="45"/>
        <v>4</v>
      </c>
      <c r="FX164" s="12">
        <f t="shared" si="46"/>
        <v>9</v>
      </c>
      <c r="FY164" s="12">
        <f t="shared" si="47"/>
        <v>1</v>
      </c>
    </row>
    <row r="165" spans="1:181" ht="43.5" customHeight="1" thickBot="1" x14ac:dyDescent="0.3">
      <c r="A165" s="4">
        <v>3325</v>
      </c>
      <c r="B165" s="27" t="s">
        <v>369</v>
      </c>
      <c r="C165" s="27" t="s">
        <v>370</v>
      </c>
      <c r="D165" s="2"/>
      <c r="E165" s="3">
        <v>45868</v>
      </c>
      <c r="F165" s="3">
        <f t="shared" si="56"/>
        <v>46036</v>
      </c>
      <c r="G165" s="4">
        <v>120</v>
      </c>
      <c r="H165" s="377">
        <f t="shared" si="49"/>
        <v>60</v>
      </c>
      <c r="I165" s="377">
        <f t="shared" si="50"/>
        <v>60</v>
      </c>
      <c r="J165" s="355" t="s">
        <v>1323</v>
      </c>
      <c r="K165" s="10">
        <v>100000</v>
      </c>
      <c r="L165" s="10">
        <v>264000</v>
      </c>
      <c r="M165" s="21">
        <f t="shared" si="55"/>
        <v>11000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 t="s">
        <v>143</v>
      </c>
      <c r="EL165" s="9"/>
      <c r="EM165" s="9" t="s">
        <v>143</v>
      </c>
      <c r="EN165" s="9" t="s">
        <v>143</v>
      </c>
      <c r="EO165" s="9"/>
      <c r="EP165" s="9"/>
      <c r="EQ165" s="9"/>
      <c r="ER165" s="9"/>
      <c r="ES165" s="9" t="s">
        <v>143</v>
      </c>
      <c r="ET165" s="9"/>
      <c r="EU165" s="9"/>
      <c r="EV165" s="9" t="s">
        <v>143</v>
      </c>
      <c r="EW165" s="9"/>
      <c r="EX165" s="9"/>
      <c r="EY165" s="9"/>
      <c r="EZ165" s="9"/>
      <c r="FA165" s="9"/>
      <c r="FB165" s="9"/>
      <c r="FC165" s="9"/>
      <c r="FD165" s="9"/>
      <c r="FE165" s="9"/>
      <c r="FF165" s="9">
        <v>44000</v>
      </c>
      <c r="FG165" s="9"/>
      <c r="FH165" s="9"/>
      <c r="FI165" s="9"/>
      <c r="FJ165" s="9"/>
      <c r="FK165" s="9">
        <v>44000</v>
      </c>
      <c r="FL165" s="9"/>
      <c r="FM165" s="9"/>
      <c r="FN165" s="9"/>
      <c r="FO165" s="9">
        <v>44000</v>
      </c>
      <c r="FP165" s="9"/>
      <c r="FQ165" s="9"/>
      <c r="FR165" s="9"/>
      <c r="FS165" s="9"/>
      <c r="FT165" s="9">
        <f t="shared" si="42"/>
        <v>132000</v>
      </c>
      <c r="FU165" s="7">
        <f t="shared" si="43"/>
        <v>132000</v>
      </c>
      <c r="FV165" s="11">
        <f t="shared" si="44"/>
        <v>12</v>
      </c>
      <c r="FW165" s="11">
        <f t="shared" si="45"/>
        <v>12</v>
      </c>
      <c r="FX165" s="12">
        <f t="shared" si="46"/>
        <v>3</v>
      </c>
      <c r="FY165" s="12">
        <f t="shared" si="47"/>
        <v>3</v>
      </c>
    </row>
    <row r="166" spans="1:181" ht="43.5" customHeight="1" thickBot="1" x14ac:dyDescent="0.3">
      <c r="A166" s="4">
        <v>3405</v>
      </c>
      <c r="B166" s="27" t="s">
        <v>369</v>
      </c>
      <c r="C166" s="27" t="s">
        <v>370</v>
      </c>
      <c r="D166" s="2"/>
      <c r="E166" s="3">
        <v>45919</v>
      </c>
      <c r="F166" s="3">
        <f t="shared" si="56"/>
        <v>46031</v>
      </c>
      <c r="G166" s="4">
        <v>80</v>
      </c>
      <c r="H166" s="377">
        <f t="shared" ref="H166:H197" si="57">(FT166* 5)/M166</f>
        <v>20</v>
      </c>
      <c r="I166" s="377">
        <f t="shared" si="50"/>
        <v>60</v>
      </c>
      <c r="J166" s="355" t="s">
        <v>991</v>
      </c>
      <c r="K166" s="10">
        <v>300000</v>
      </c>
      <c r="L166" s="10">
        <v>648000</v>
      </c>
      <c r="M166" s="21">
        <f t="shared" si="55"/>
        <v>40500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 t="s">
        <v>143</v>
      </c>
      <c r="EL166" s="9"/>
      <c r="EM166" s="9" t="s">
        <v>143</v>
      </c>
      <c r="EN166" s="9" t="s">
        <v>143</v>
      </c>
      <c r="EO166" s="9"/>
      <c r="EP166" s="9"/>
      <c r="EQ166" s="9"/>
      <c r="ER166" s="9"/>
      <c r="ES166" s="9" t="s">
        <v>143</v>
      </c>
      <c r="ET166" s="9"/>
      <c r="EU166" s="9"/>
      <c r="EV166" s="9" t="s">
        <v>143</v>
      </c>
      <c r="EW166" s="9"/>
      <c r="EX166" s="9"/>
      <c r="EY166" s="9"/>
      <c r="EZ166" s="9"/>
      <c r="FA166" s="9"/>
      <c r="FB166" s="9"/>
      <c r="FC166" s="9" t="s">
        <v>143</v>
      </c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>
        <v>162000</v>
      </c>
      <c r="FP166" s="9"/>
      <c r="FQ166" s="9"/>
      <c r="FR166" s="9"/>
      <c r="FS166" s="9"/>
      <c r="FT166" s="9">
        <f t="shared" si="42"/>
        <v>162000</v>
      </c>
      <c r="FU166" s="7">
        <f t="shared" si="43"/>
        <v>486000</v>
      </c>
      <c r="FV166" s="11">
        <f t="shared" si="44"/>
        <v>4</v>
      </c>
      <c r="FW166" s="11">
        <f t="shared" si="45"/>
        <v>12</v>
      </c>
      <c r="FX166" s="12">
        <f t="shared" si="46"/>
        <v>1</v>
      </c>
      <c r="FY166" s="12">
        <f t="shared" si="47"/>
        <v>3</v>
      </c>
    </row>
    <row r="167" spans="1:181" ht="43.5" customHeight="1" thickBot="1" x14ac:dyDescent="0.3">
      <c r="A167" s="4">
        <v>3453</v>
      </c>
      <c r="B167" s="27" t="s">
        <v>369</v>
      </c>
      <c r="C167" s="27" t="s">
        <v>370</v>
      </c>
      <c r="D167" s="2"/>
      <c r="E167" s="3">
        <v>45949</v>
      </c>
      <c r="F167" s="3">
        <f t="shared" si="56"/>
        <v>46059</v>
      </c>
      <c r="G167" s="4">
        <v>80</v>
      </c>
      <c r="H167" s="377">
        <f t="shared" si="57"/>
        <v>0</v>
      </c>
      <c r="I167" s="377">
        <f t="shared" si="50"/>
        <v>80</v>
      </c>
      <c r="J167" s="355" t="s">
        <v>991</v>
      </c>
      <c r="K167" s="19">
        <v>300000</v>
      </c>
      <c r="L167" s="7">
        <v>648000</v>
      </c>
      <c r="M167" s="21">
        <f t="shared" si="55"/>
        <v>40500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 t="s">
        <v>143</v>
      </c>
      <c r="EL167" s="9"/>
      <c r="EM167" s="9" t="s">
        <v>143</v>
      </c>
      <c r="EN167" s="9" t="s">
        <v>143</v>
      </c>
      <c r="EO167" s="9"/>
      <c r="EP167" s="9"/>
      <c r="EQ167" s="9"/>
      <c r="ER167" s="9"/>
      <c r="ES167" s="9" t="s">
        <v>143</v>
      </c>
      <c r="ET167" s="9"/>
      <c r="EU167" s="9"/>
      <c r="EV167" s="9" t="s">
        <v>143</v>
      </c>
      <c r="EW167" s="9"/>
      <c r="EX167" s="9"/>
      <c r="EY167" s="9"/>
      <c r="EZ167" s="9"/>
      <c r="FA167" s="9"/>
      <c r="FB167" s="9"/>
      <c r="FC167" s="9" t="s">
        <v>143</v>
      </c>
      <c r="FD167" s="9"/>
      <c r="FE167" s="9"/>
      <c r="FF167" s="9"/>
      <c r="FG167" s="9"/>
      <c r="FH167" s="9"/>
      <c r="FI167" s="9"/>
      <c r="FJ167" s="9"/>
      <c r="FK167" s="9"/>
      <c r="FL167" s="9" t="s">
        <v>143</v>
      </c>
      <c r="FM167" s="9"/>
      <c r="FN167" s="9"/>
      <c r="FO167" s="9"/>
      <c r="FP167" s="9"/>
      <c r="FQ167" s="9"/>
      <c r="FR167" s="9"/>
      <c r="FS167" s="9"/>
      <c r="FT167" s="9">
        <f t="shared" si="42"/>
        <v>0</v>
      </c>
      <c r="FU167" s="7">
        <f t="shared" si="43"/>
        <v>648000</v>
      </c>
      <c r="FV167" s="11">
        <f t="shared" si="44"/>
        <v>0</v>
      </c>
      <c r="FW167" s="11">
        <f t="shared" si="45"/>
        <v>16</v>
      </c>
      <c r="FX167" s="12">
        <f t="shared" si="46"/>
        <v>0</v>
      </c>
      <c r="FY167" s="12">
        <f t="shared" si="47"/>
        <v>4</v>
      </c>
    </row>
    <row r="168" spans="1:181" ht="43.5" customHeight="1" thickBot="1" x14ac:dyDescent="0.3">
      <c r="A168" s="372">
        <v>3520</v>
      </c>
      <c r="B168" s="27" t="s">
        <v>369</v>
      </c>
      <c r="C168" s="27" t="s">
        <v>370</v>
      </c>
      <c r="D168" s="2"/>
      <c r="E168" s="3">
        <v>45987</v>
      </c>
      <c r="F168" s="3">
        <f t="shared" si="56"/>
        <v>46155</v>
      </c>
      <c r="G168" s="4">
        <v>120</v>
      </c>
      <c r="H168" s="377">
        <f t="shared" si="57"/>
        <v>0</v>
      </c>
      <c r="I168" s="377">
        <f t="shared" ref="I168:I199" si="58">G168-H168</f>
        <v>120</v>
      </c>
      <c r="J168" s="355" t="s">
        <v>1425</v>
      </c>
      <c r="K168" s="7">
        <v>150000</v>
      </c>
      <c r="L168" s="7">
        <v>396000</v>
      </c>
      <c r="M168" s="8">
        <f t="shared" si="55"/>
        <v>16500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 t="s">
        <v>143</v>
      </c>
      <c r="EL168" s="9"/>
      <c r="EM168" s="9" t="s">
        <v>143</v>
      </c>
      <c r="EN168" s="9" t="s">
        <v>143</v>
      </c>
      <c r="EO168" s="9"/>
      <c r="EP168" s="9"/>
      <c r="EQ168" s="9"/>
      <c r="ER168" s="9"/>
      <c r="ES168" s="9" t="s">
        <v>143</v>
      </c>
      <c r="ET168" s="9"/>
      <c r="EU168" s="9"/>
      <c r="EV168" s="9" t="s">
        <v>143</v>
      </c>
      <c r="EW168" s="9"/>
      <c r="EX168" s="9"/>
      <c r="EY168" s="9"/>
      <c r="EZ168" s="9"/>
      <c r="FA168" s="9"/>
      <c r="FB168" s="9"/>
      <c r="FC168" s="9" t="s">
        <v>143</v>
      </c>
      <c r="FD168" s="9"/>
      <c r="FE168" s="9"/>
      <c r="FF168" s="9"/>
      <c r="FG168" s="9"/>
      <c r="FH168" s="9"/>
      <c r="FI168" s="9"/>
      <c r="FJ168" s="9"/>
      <c r="FK168" s="9"/>
      <c r="FL168" s="9" t="s">
        <v>143</v>
      </c>
      <c r="FM168" s="9"/>
      <c r="FN168" s="9"/>
      <c r="FO168" s="9"/>
      <c r="FP168" s="9"/>
      <c r="FQ168" s="9"/>
      <c r="FR168" s="9"/>
      <c r="FS168" s="9"/>
      <c r="FT168" s="9">
        <f t="shared" si="42"/>
        <v>0</v>
      </c>
      <c r="FU168" s="7">
        <f t="shared" si="43"/>
        <v>396000</v>
      </c>
      <c r="FV168" s="11">
        <f t="shared" si="44"/>
        <v>0</v>
      </c>
      <c r="FW168" s="11">
        <f t="shared" si="45"/>
        <v>24</v>
      </c>
      <c r="FX168" s="12">
        <f t="shared" si="46"/>
        <v>0</v>
      </c>
      <c r="FY168" s="12">
        <f t="shared" si="47"/>
        <v>6</v>
      </c>
    </row>
    <row r="169" spans="1:181" ht="43.5" customHeight="1" thickBot="1" x14ac:dyDescent="0.3">
      <c r="A169" s="4">
        <v>3230</v>
      </c>
      <c r="B169" s="27" t="s">
        <v>376</v>
      </c>
      <c r="C169" s="27" t="s">
        <v>143</v>
      </c>
      <c r="D169" s="2"/>
      <c r="E169" s="3">
        <v>45818</v>
      </c>
      <c r="F169" s="3">
        <f t="shared" si="56"/>
        <v>46210</v>
      </c>
      <c r="G169" s="4">
        <v>280</v>
      </c>
      <c r="H169" s="377">
        <f t="shared" si="57"/>
        <v>100</v>
      </c>
      <c r="I169" s="377">
        <f t="shared" si="58"/>
        <v>180</v>
      </c>
      <c r="J169" s="355" t="s">
        <v>1233</v>
      </c>
      <c r="K169" s="22">
        <v>1500000</v>
      </c>
      <c r="L169" s="10">
        <v>4501000</v>
      </c>
      <c r="M169" s="23">
        <f t="shared" si="55"/>
        <v>80375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 t="s">
        <v>143</v>
      </c>
      <c r="EL169" s="9"/>
      <c r="EM169" s="9" t="s">
        <v>143</v>
      </c>
      <c r="EN169" s="9" t="s">
        <v>143</v>
      </c>
      <c r="EO169" s="9"/>
      <c r="EP169" s="9"/>
      <c r="EQ169" s="9"/>
      <c r="ER169" s="9"/>
      <c r="ES169" s="9" t="s">
        <v>143</v>
      </c>
      <c r="ET169" s="9"/>
      <c r="EU169" s="9"/>
      <c r="EV169" s="9"/>
      <c r="EW169" s="9"/>
      <c r="EX169" s="9"/>
      <c r="EY169" s="9">
        <v>321500</v>
      </c>
      <c r="EZ169" s="9"/>
      <c r="FA169" s="9"/>
      <c r="FB169" s="9">
        <v>321500</v>
      </c>
      <c r="FC169" s="9"/>
      <c r="FD169" s="9"/>
      <c r="FE169" s="9"/>
      <c r="FF169" s="9"/>
      <c r="FG169" s="9"/>
      <c r="FH169" s="9">
        <v>321500</v>
      </c>
      <c r="FI169" s="9"/>
      <c r="FJ169" s="9"/>
      <c r="FK169" s="9"/>
      <c r="FL169" s="9">
        <v>321500</v>
      </c>
      <c r="FM169" s="9"/>
      <c r="FN169" s="9"/>
      <c r="FO169" s="9"/>
      <c r="FP169" s="9">
        <v>321500</v>
      </c>
      <c r="FQ169" s="9"/>
      <c r="FR169" s="9"/>
      <c r="FS169" s="9"/>
      <c r="FT169" s="9">
        <f t="shared" si="42"/>
        <v>1607500</v>
      </c>
      <c r="FU169" s="7">
        <f t="shared" si="43"/>
        <v>2893500</v>
      </c>
      <c r="FV169" s="11">
        <f t="shared" si="44"/>
        <v>20</v>
      </c>
      <c r="FW169" s="11">
        <f t="shared" si="45"/>
        <v>36</v>
      </c>
      <c r="FX169" s="12">
        <f t="shared" si="46"/>
        <v>5</v>
      </c>
      <c r="FY169" s="12">
        <f t="shared" si="47"/>
        <v>9</v>
      </c>
    </row>
    <row r="170" spans="1:181" ht="43.5" customHeight="1" thickBot="1" x14ac:dyDescent="0.3">
      <c r="A170" s="4">
        <v>3301</v>
      </c>
      <c r="B170" s="27" t="s">
        <v>376</v>
      </c>
      <c r="C170" s="27"/>
      <c r="D170" s="2"/>
      <c r="E170" s="3">
        <v>45858</v>
      </c>
      <c r="F170" s="3">
        <f t="shared" si="56"/>
        <v>46024</v>
      </c>
      <c r="G170" s="4">
        <v>120</v>
      </c>
      <c r="H170" s="377">
        <f t="shared" si="57"/>
        <v>117.42454545454545</v>
      </c>
      <c r="I170" s="377">
        <f t="shared" si="58"/>
        <v>2.5754545454545479</v>
      </c>
      <c r="J170" s="355" t="s">
        <v>379</v>
      </c>
      <c r="K170" s="7">
        <v>200000</v>
      </c>
      <c r="L170" s="7">
        <v>528000</v>
      </c>
      <c r="M170" s="8">
        <f t="shared" si="55"/>
        <v>22000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 t="s">
        <v>143</v>
      </c>
      <c r="EL170" s="9"/>
      <c r="EM170" s="9" t="s">
        <v>143</v>
      </c>
      <c r="EN170" s="9" t="s">
        <v>143</v>
      </c>
      <c r="EO170" s="9"/>
      <c r="EP170" s="9"/>
      <c r="EQ170" s="9"/>
      <c r="ER170" s="9"/>
      <c r="ES170" s="9" t="s">
        <v>143</v>
      </c>
      <c r="ET170" s="9"/>
      <c r="EU170" s="9"/>
      <c r="EV170" s="9" t="s">
        <v>143</v>
      </c>
      <c r="EW170" s="9"/>
      <c r="EX170" s="9"/>
      <c r="EY170" s="9"/>
      <c r="EZ170" s="9"/>
      <c r="FA170" s="9"/>
      <c r="FB170" s="9" t="s">
        <v>143</v>
      </c>
      <c r="FC170" s="9"/>
      <c r="FD170" s="9"/>
      <c r="FE170" s="9"/>
      <c r="FF170" s="9"/>
      <c r="FG170" s="9"/>
      <c r="FH170" s="9">
        <v>340668</v>
      </c>
      <c r="FI170" s="9"/>
      <c r="FJ170" s="9"/>
      <c r="FK170" s="9"/>
      <c r="FL170" s="9">
        <v>88000</v>
      </c>
      <c r="FM170" s="9"/>
      <c r="FN170" s="9"/>
      <c r="FO170" s="9"/>
      <c r="FP170" s="9">
        <v>88000</v>
      </c>
      <c r="FQ170" s="9"/>
      <c r="FR170" s="9"/>
      <c r="FS170" s="9"/>
      <c r="FT170" s="9">
        <f t="shared" si="42"/>
        <v>516668</v>
      </c>
      <c r="FU170" s="7">
        <f t="shared" si="43"/>
        <v>11332</v>
      </c>
      <c r="FV170" s="11">
        <f t="shared" si="44"/>
        <v>23.484909090909092</v>
      </c>
      <c r="FW170" s="11">
        <f t="shared" si="45"/>
        <v>0.5150909090909096</v>
      </c>
      <c r="FX170" s="12">
        <f t="shared" si="46"/>
        <v>5.871227272727273</v>
      </c>
      <c r="FY170" s="12">
        <f t="shared" si="47"/>
        <v>0.1287727272727274</v>
      </c>
    </row>
    <row r="171" spans="1:181" ht="43.5" customHeight="1" thickBot="1" x14ac:dyDescent="0.3">
      <c r="A171" s="4">
        <v>3321</v>
      </c>
      <c r="B171" s="27" t="s">
        <v>376</v>
      </c>
      <c r="C171" s="27" t="s">
        <v>1292</v>
      </c>
      <c r="D171" s="2"/>
      <c r="E171" s="3">
        <v>45866</v>
      </c>
      <c r="F171" s="3">
        <f t="shared" si="56"/>
        <v>46034</v>
      </c>
      <c r="G171" s="4">
        <v>120</v>
      </c>
      <c r="H171" s="377">
        <f t="shared" si="57"/>
        <v>60</v>
      </c>
      <c r="I171" s="377">
        <f t="shared" si="58"/>
        <v>60</v>
      </c>
      <c r="J171" s="355" t="s">
        <v>379</v>
      </c>
      <c r="K171" s="19">
        <v>200000</v>
      </c>
      <c r="L171" s="7">
        <v>528000</v>
      </c>
      <c r="M171" s="21">
        <f t="shared" si="55"/>
        <v>22000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 t="s">
        <v>143</v>
      </c>
      <c r="EL171" s="9"/>
      <c r="EM171" s="9" t="s">
        <v>143</v>
      </c>
      <c r="EN171" s="9" t="s">
        <v>143</v>
      </c>
      <c r="EO171" s="9"/>
      <c r="EP171" s="9"/>
      <c r="EQ171" s="9"/>
      <c r="ER171" s="9"/>
      <c r="ES171" s="9" t="s">
        <v>143</v>
      </c>
      <c r="ET171" s="9"/>
      <c r="EU171" s="9"/>
      <c r="EV171" s="9" t="s">
        <v>143</v>
      </c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>
        <v>88000</v>
      </c>
      <c r="FI171" s="9"/>
      <c r="FJ171" s="9"/>
      <c r="FK171" s="9"/>
      <c r="FL171" s="9">
        <v>88000</v>
      </c>
      <c r="FM171" s="9"/>
      <c r="FN171" s="9"/>
      <c r="FO171" s="9"/>
      <c r="FP171" s="9">
        <v>88000</v>
      </c>
      <c r="FQ171" s="9"/>
      <c r="FR171" s="9"/>
      <c r="FS171" s="9"/>
      <c r="FT171" s="9">
        <f t="shared" si="42"/>
        <v>264000</v>
      </c>
      <c r="FU171" s="7">
        <f t="shared" si="43"/>
        <v>264000</v>
      </c>
      <c r="FV171" s="11">
        <f t="shared" si="44"/>
        <v>12</v>
      </c>
      <c r="FW171" s="11">
        <f t="shared" si="45"/>
        <v>12</v>
      </c>
      <c r="FX171" s="12">
        <f t="shared" si="46"/>
        <v>3</v>
      </c>
      <c r="FY171" s="12">
        <f t="shared" si="47"/>
        <v>3</v>
      </c>
    </row>
    <row r="172" spans="1:181" ht="43.5" customHeight="1" thickBot="1" x14ac:dyDescent="0.3">
      <c r="A172" s="4">
        <v>3333</v>
      </c>
      <c r="B172" s="27" t="s">
        <v>376</v>
      </c>
      <c r="C172" s="27" t="s">
        <v>143</v>
      </c>
      <c r="D172" s="2"/>
      <c r="E172" s="3">
        <v>45877</v>
      </c>
      <c r="F172" s="3">
        <f t="shared" si="56"/>
        <v>46157</v>
      </c>
      <c r="G172" s="4">
        <v>200</v>
      </c>
      <c r="H172" s="377">
        <f t="shared" si="57"/>
        <v>60</v>
      </c>
      <c r="I172" s="377">
        <f t="shared" si="58"/>
        <v>140</v>
      </c>
      <c r="J172" s="355" t="s">
        <v>1298</v>
      </c>
      <c r="K172" s="7">
        <v>1000000</v>
      </c>
      <c r="L172" s="7">
        <v>3120000</v>
      </c>
      <c r="M172" s="23">
        <f t="shared" si="55"/>
        <v>78000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 t="s">
        <v>143</v>
      </c>
      <c r="EL172" s="9"/>
      <c r="EM172" s="9" t="s">
        <v>143</v>
      </c>
      <c r="EN172" s="9" t="s">
        <v>143</v>
      </c>
      <c r="EO172" s="9"/>
      <c r="EP172" s="9"/>
      <c r="EQ172" s="9"/>
      <c r="ER172" s="9"/>
      <c r="ES172" s="9" t="s">
        <v>143</v>
      </c>
      <c r="ET172" s="9"/>
      <c r="EU172" s="9"/>
      <c r="EV172" s="9" t="s">
        <v>143</v>
      </c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>
        <v>312000</v>
      </c>
      <c r="FI172" s="9"/>
      <c r="FJ172" s="9"/>
      <c r="FK172" s="9"/>
      <c r="FL172" s="9">
        <v>312000</v>
      </c>
      <c r="FM172" s="9"/>
      <c r="FN172" s="9"/>
      <c r="FO172" s="9"/>
      <c r="FP172" s="9">
        <v>312000</v>
      </c>
      <c r="FQ172" s="9"/>
      <c r="FR172" s="9"/>
      <c r="FS172" s="9"/>
      <c r="FT172" s="9">
        <f t="shared" si="42"/>
        <v>936000</v>
      </c>
      <c r="FU172" s="7">
        <f t="shared" si="43"/>
        <v>2184000</v>
      </c>
      <c r="FV172" s="11">
        <f t="shared" si="44"/>
        <v>12</v>
      </c>
      <c r="FW172" s="11">
        <f t="shared" si="45"/>
        <v>28</v>
      </c>
      <c r="FX172" s="12">
        <f t="shared" si="46"/>
        <v>3</v>
      </c>
      <c r="FY172" s="12">
        <f t="shared" si="47"/>
        <v>7</v>
      </c>
    </row>
    <row r="173" spans="1:181" ht="43.5" customHeight="1" thickBot="1" x14ac:dyDescent="0.3">
      <c r="A173" s="4">
        <v>3353</v>
      </c>
      <c r="B173" s="27" t="s">
        <v>376</v>
      </c>
      <c r="C173" s="27" t="s">
        <v>143</v>
      </c>
      <c r="D173" s="2"/>
      <c r="E173" s="3">
        <v>45885</v>
      </c>
      <c r="F173" s="3">
        <f t="shared" si="56"/>
        <v>46052</v>
      </c>
      <c r="G173" s="4">
        <v>120</v>
      </c>
      <c r="H173" s="377">
        <f t="shared" si="57"/>
        <v>60</v>
      </c>
      <c r="I173" s="377">
        <f t="shared" si="58"/>
        <v>60</v>
      </c>
      <c r="J173" s="355" t="s">
        <v>153</v>
      </c>
      <c r="K173" s="7">
        <v>100000</v>
      </c>
      <c r="L173" s="7">
        <v>264000</v>
      </c>
      <c r="M173" s="8">
        <f t="shared" si="55"/>
        <v>11000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 t="s">
        <v>143</v>
      </c>
      <c r="EL173" s="9"/>
      <c r="EM173" s="9" t="s">
        <v>143</v>
      </c>
      <c r="EN173" s="9" t="s">
        <v>143</v>
      </c>
      <c r="EO173" s="9"/>
      <c r="EP173" s="9"/>
      <c r="EQ173" s="9"/>
      <c r="ER173" s="9"/>
      <c r="ES173" s="9" t="s">
        <v>143</v>
      </c>
      <c r="ET173" s="9"/>
      <c r="EU173" s="9"/>
      <c r="EV173" s="9" t="s">
        <v>143</v>
      </c>
      <c r="EW173" s="9"/>
      <c r="EX173" s="9"/>
      <c r="EY173" s="9"/>
      <c r="EZ173" s="9"/>
      <c r="FA173" s="9"/>
      <c r="FB173" s="9"/>
      <c r="FC173" s="9" t="s">
        <v>143</v>
      </c>
      <c r="FD173" s="9"/>
      <c r="FE173" s="9"/>
      <c r="FF173" s="9"/>
      <c r="FG173" s="9"/>
      <c r="FH173" s="9">
        <v>44000</v>
      </c>
      <c r="FI173" s="9"/>
      <c r="FJ173" s="9"/>
      <c r="FK173" s="9"/>
      <c r="FL173" s="9">
        <v>44000</v>
      </c>
      <c r="FM173" s="9"/>
      <c r="FN173" s="9"/>
      <c r="FO173" s="9"/>
      <c r="FP173" s="9">
        <v>44000</v>
      </c>
      <c r="FQ173" s="9"/>
      <c r="FR173" s="9"/>
      <c r="FS173" s="9"/>
      <c r="FT173" s="9">
        <f t="shared" si="42"/>
        <v>132000</v>
      </c>
      <c r="FU173" s="7">
        <f t="shared" si="43"/>
        <v>132000</v>
      </c>
      <c r="FV173" s="11">
        <f t="shared" si="44"/>
        <v>12</v>
      </c>
      <c r="FW173" s="11">
        <f t="shared" si="45"/>
        <v>12</v>
      </c>
      <c r="FX173" s="12">
        <f t="shared" si="46"/>
        <v>3</v>
      </c>
      <c r="FY173" s="12">
        <f t="shared" si="47"/>
        <v>3</v>
      </c>
    </row>
    <row r="174" spans="1:181" ht="43.5" customHeight="1" thickBot="1" x14ac:dyDescent="0.3">
      <c r="A174" s="4">
        <v>3461</v>
      </c>
      <c r="B174" s="27" t="s">
        <v>376</v>
      </c>
      <c r="C174" s="27" t="s">
        <v>143</v>
      </c>
      <c r="D174" s="2"/>
      <c r="E174" s="3">
        <v>45954</v>
      </c>
      <c r="F174" s="3">
        <f t="shared" si="56"/>
        <v>46122</v>
      </c>
      <c r="G174" s="4">
        <v>120</v>
      </c>
      <c r="H174" s="377">
        <f t="shared" si="57"/>
        <v>20</v>
      </c>
      <c r="I174" s="377">
        <f t="shared" si="58"/>
        <v>100</v>
      </c>
      <c r="J174" s="355" t="s">
        <v>153</v>
      </c>
      <c r="K174" s="7">
        <v>100000</v>
      </c>
      <c r="L174" s="7">
        <v>264000</v>
      </c>
      <c r="M174" s="8">
        <f t="shared" si="55"/>
        <v>11000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 t="s">
        <v>143</v>
      </c>
      <c r="EL174" s="9"/>
      <c r="EM174" s="9" t="s">
        <v>143</v>
      </c>
      <c r="EN174" s="9" t="s">
        <v>143</v>
      </c>
      <c r="EO174" s="9"/>
      <c r="EP174" s="9"/>
      <c r="EQ174" s="9"/>
      <c r="ER174" s="9"/>
      <c r="ES174" s="9" t="s">
        <v>143</v>
      </c>
      <c r="ET174" s="9"/>
      <c r="EU174" s="9"/>
      <c r="EV174" s="9" t="s">
        <v>143</v>
      </c>
      <c r="EW174" s="9"/>
      <c r="EX174" s="9"/>
      <c r="EY174" s="9"/>
      <c r="EZ174" s="9"/>
      <c r="FA174" s="9"/>
      <c r="FB174" s="9"/>
      <c r="FC174" s="9" t="s">
        <v>143</v>
      </c>
      <c r="FD174" s="9"/>
      <c r="FE174" s="9"/>
      <c r="FF174" s="9"/>
      <c r="FG174" s="9"/>
      <c r="FH174" s="9"/>
      <c r="FI174" s="9"/>
      <c r="FJ174" s="9"/>
      <c r="FK174" s="9"/>
      <c r="FL174" s="9" t="s">
        <v>143</v>
      </c>
      <c r="FM174" s="9"/>
      <c r="FN174" s="9"/>
      <c r="FO174" s="9"/>
      <c r="FP174" s="9">
        <v>44000</v>
      </c>
      <c r="FQ174" s="9"/>
      <c r="FR174" s="9"/>
      <c r="FS174" s="9"/>
      <c r="FT174" s="9">
        <f t="shared" si="42"/>
        <v>44000</v>
      </c>
      <c r="FU174" s="7">
        <f t="shared" si="43"/>
        <v>220000</v>
      </c>
      <c r="FV174" s="11">
        <f t="shared" si="44"/>
        <v>4</v>
      </c>
      <c r="FW174" s="11">
        <f t="shared" si="45"/>
        <v>20</v>
      </c>
      <c r="FX174" s="12">
        <f t="shared" si="46"/>
        <v>1</v>
      </c>
      <c r="FY174" s="12">
        <f t="shared" si="47"/>
        <v>5</v>
      </c>
    </row>
    <row r="175" spans="1:181" ht="43.5" customHeight="1" thickBot="1" x14ac:dyDescent="0.3">
      <c r="A175" s="4">
        <v>3477</v>
      </c>
      <c r="B175" s="27" t="s">
        <v>376</v>
      </c>
      <c r="C175" s="27" t="s">
        <v>143</v>
      </c>
      <c r="D175" s="2"/>
      <c r="E175" s="3">
        <v>45963</v>
      </c>
      <c r="F175" s="3">
        <f t="shared" si="56"/>
        <v>46129</v>
      </c>
      <c r="G175" s="4">
        <v>120</v>
      </c>
      <c r="H175" s="377">
        <f t="shared" si="57"/>
        <v>0</v>
      </c>
      <c r="I175" s="377">
        <f t="shared" si="58"/>
        <v>120</v>
      </c>
      <c r="J175" s="355" t="s">
        <v>153</v>
      </c>
      <c r="K175" s="7">
        <v>100000</v>
      </c>
      <c r="L175" s="7">
        <v>264000</v>
      </c>
      <c r="M175" s="8">
        <f t="shared" si="55"/>
        <v>11000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 t="s">
        <v>143</v>
      </c>
      <c r="EL175" s="9"/>
      <c r="EM175" s="9" t="s">
        <v>143</v>
      </c>
      <c r="EN175" s="9" t="s">
        <v>143</v>
      </c>
      <c r="EO175" s="9"/>
      <c r="EP175" s="9"/>
      <c r="EQ175" s="9"/>
      <c r="ER175" s="9"/>
      <c r="ES175" s="9" t="s">
        <v>143</v>
      </c>
      <c r="ET175" s="9"/>
      <c r="EU175" s="9"/>
      <c r="EV175" s="9" t="s">
        <v>143</v>
      </c>
      <c r="EW175" s="9"/>
      <c r="EX175" s="9"/>
      <c r="EY175" s="9"/>
      <c r="EZ175" s="9"/>
      <c r="FA175" s="9"/>
      <c r="FB175" s="9"/>
      <c r="FC175" s="9" t="s">
        <v>143</v>
      </c>
      <c r="FD175" s="9"/>
      <c r="FE175" s="9"/>
      <c r="FF175" s="9"/>
      <c r="FG175" s="9"/>
      <c r="FH175" s="9"/>
      <c r="FI175" s="9"/>
      <c r="FJ175" s="9"/>
      <c r="FK175" s="9"/>
      <c r="FL175" s="9" t="s">
        <v>143</v>
      </c>
      <c r="FM175" s="9"/>
      <c r="FN175" s="9"/>
      <c r="FO175" s="9"/>
      <c r="FP175" s="9"/>
      <c r="FQ175" s="9"/>
      <c r="FR175" s="9"/>
      <c r="FS175" s="9"/>
      <c r="FT175" s="9">
        <f t="shared" si="42"/>
        <v>0</v>
      </c>
      <c r="FU175" s="7">
        <f t="shared" si="43"/>
        <v>264000</v>
      </c>
      <c r="FV175" s="11">
        <f t="shared" si="44"/>
        <v>0</v>
      </c>
      <c r="FW175" s="11">
        <f t="shared" si="45"/>
        <v>24</v>
      </c>
      <c r="FX175" s="12">
        <f t="shared" si="46"/>
        <v>0</v>
      </c>
      <c r="FY175" s="12">
        <f t="shared" si="47"/>
        <v>6</v>
      </c>
    </row>
    <row r="176" spans="1:181" ht="43.5" customHeight="1" thickBot="1" x14ac:dyDescent="0.3">
      <c r="A176" s="4">
        <v>3482</v>
      </c>
      <c r="B176" s="27" t="s">
        <v>376</v>
      </c>
      <c r="C176" s="27" t="s">
        <v>143</v>
      </c>
      <c r="D176" s="2"/>
      <c r="E176" s="3">
        <v>45971</v>
      </c>
      <c r="F176" s="3">
        <f t="shared" si="56"/>
        <v>46363</v>
      </c>
      <c r="G176" s="4">
        <v>280</v>
      </c>
      <c r="H176" s="377">
        <f t="shared" si="57"/>
        <v>0</v>
      </c>
      <c r="I176" s="377">
        <f t="shared" si="58"/>
        <v>280</v>
      </c>
      <c r="J176" s="355" t="s">
        <v>1233</v>
      </c>
      <c r="K176" s="19">
        <v>2000000</v>
      </c>
      <c r="L176" s="7">
        <v>6020000</v>
      </c>
      <c r="M176" s="23">
        <f t="shared" si="55"/>
        <v>107500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 t="s">
        <v>143</v>
      </c>
      <c r="EL176" s="9"/>
      <c r="EM176" s="9" t="s">
        <v>143</v>
      </c>
      <c r="EN176" s="9" t="s">
        <v>143</v>
      </c>
      <c r="EO176" s="9"/>
      <c r="EP176" s="9"/>
      <c r="EQ176" s="9"/>
      <c r="ER176" s="9"/>
      <c r="ES176" s="9" t="s">
        <v>143</v>
      </c>
      <c r="ET176" s="9"/>
      <c r="EU176" s="9"/>
      <c r="EV176" s="9" t="s">
        <v>143</v>
      </c>
      <c r="EW176" s="9"/>
      <c r="EX176" s="9"/>
      <c r="EY176" s="9"/>
      <c r="EZ176" s="9"/>
      <c r="FA176" s="9"/>
      <c r="FB176" s="9"/>
      <c r="FC176" s="9" t="s">
        <v>143</v>
      </c>
      <c r="FD176" s="9"/>
      <c r="FE176" s="9"/>
      <c r="FF176" s="9"/>
      <c r="FG176" s="9"/>
      <c r="FH176" s="9"/>
      <c r="FI176" s="9"/>
      <c r="FJ176" s="9"/>
      <c r="FK176" s="9"/>
      <c r="FL176" s="9" t="s">
        <v>143</v>
      </c>
      <c r="FM176" s="9"/>
      <c r="FN176" s="9"/>
      <c r="FO176" s="9"/>
      <c r="FP176" s="9"/>
      <c r="FQ176" s="9"/>
      <c r="FR176" s="9"/>
      <c r="FS176" s="9"/>
      <c r="FT176" s="9">
        <f t="shared" si="42"/>
        <v>0</v>
      </c>
      <c r="FU176" s="7">
        <f t="shared" si="43"/>
        <v>6020000</v>
      </c>
      <c r="FV176" s="11">
        <f t="shared" si="44"/>
        <v>0</v>
      </c>
      <c r="FW176" s="11">
        <f t="shared" si="45"/>
        <v>56</v>
      </c>
      <c r="FX176" s="12">
        <f t="shared" si="46"/>
        <v>0</v>
      </c>
      <c r="FY176" s="12">
        <f t="shared" si="47"/>
        <v>14</v>
      </c>
    </row>
    <row r="177" spans="1:181" ht="43.5" customHeight="1" thickBot="1" x14ac:dyDescent="0.3">
      <c r="A177" s="4">
        <v>3320</v>
      </c>
      <c r="B177" s="27" t="s">
        <v>381</v>
      </c>
      <c r="C177" s="27"/>
      <c r="D177" s="2"/>
      <c r="E177" s="3">
        <v>45864</v>
      </c>
      <c r="F177" s="3">
        <f>WORKDAY(E177,G177)</f>
        <v>45975</v>
      </c>
      <c r="G177" s="4">
        <v>80</v>
      </c>
      <c r="H177" s="377">
        <f t="shared" si="57"/>
        <v>60</v>
      </c>
      <c r="I177" s="377">
        <f t="shared" si="58"/>
        <v>20</v>
      </c>
      <c r="J177" s="355" t="s">
        <v>384</v>
      </c>
      <c r="K177" s="7">
        <v>150000</v>
      </c>
      <c r="L177" s="7">
        <v>324000</v>
      </c>
      <c r="M177" s="8">
        <f t="shared" si="55"/>
        <v>20250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 t="s">
        <v>143</v>
      </c>
      <c r="EL177" s="9"/>
      <c r="EM177" s="9" t="s">
        <v>143</v>
      </c>
      <c r="EN177" s="9" t="s">
        <v>143</v>
      </c>
      <c r="EO177" s="9"/>
      <c r="EP177" s="9"/>
      <c r="EQ177" s="9"/>
      <c r="ER177" s="9"/>
      <c r="ES177" s="9" t="s">
        <v>143</v>
      </c>
      <c r="ET177" s="9"/>
      <c r="EU177" s="9"/>
      <c r="EV177" s="9" t="s">
        <v>143</v>
      </c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>
        <v>81000</v>
      </c>
      <c r="FH177" s="9"/>
      <c r="FI177" s="9"/>
      <c r="FJ177" s="9"/>
      <c r="FK177" s="9">
        <v>81000</v>
      </c>
      <c r="FL177" s="9"/>
      <c r="FM177" s="9"/>
      <c r="FN177" s="9"/>
      <c r="FO177" s="9"/>
      <c r="FP177" s="9">
        <v>81000</v>
      </c>
      <c r="FQ177" s="9"/>
      <c r="FR177" s="9"/>
      <c r="FS177" s="9"/>
      <c r="FT177" s="9">
        <f t="shared" si="42"/>
        <v>243000</v>
      </c>
      <c r="FU177" s="7">
        <f t="shared" si="43"/>
        <v>81000</v>
      </c>
      <c r="FV177" s="11">
        <f t="shared" si="44"/>
        <v>12</v>
      </c>
      <c r="FW177" s="11">
        <f t="shared" si="45"/>
        <v>4</v>
      </c>
      <c r="FX177" s="12">
        <f t="shared" si="46"/>
        <v>3</v>
      </c>
      <c r="FY177" s="12">
        <f t="shared" si="47"/>
        <v>1</v>
      </c>
    </row>
    <row r="178" spans="1:181" ht="43.5" customHeight="1" thickBot="1" x14ac:dyDescent="0.3">
      <c r="A178" s="4">
        <v>3266</v>
      </c>
      <c r="B178" s="27" t="s">
        <v>385</v>
      </c>
      <c r="C178" s="27" t="s">
        <v>386</v>
      </c>
      <c r="D178" s="2"/>
      <c r="E178" s="3">
        <v>45835</v>
      </c>
      <c r="F178" s="3">
        <f t="shared" si="56"/>
        <v>45937</v>
      </c>
      <c r="G178" s="4">
        <v>72</v>
      </c>
      <c r="H178" s="377">
        <f t="shared" si="57"/>
        <v>64.5</v>
      </c>
      <c r="I178" s="377">
        <f t="shared" si="58"/>
        <v>7.5</v>
      </c>
      <c r="J178" s="155" t="s">
        <v>161</v>
      </c>
      <c r="K178" s="7">
        <v>100000</v>
      </c>
      <c r="L178" s="7">
        <v>216000</v>
      </c>
      <c r="M178" s="8">
        <f t="shared" si="55"/>
        <v>15000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 t="s">
        <v>143</v>
      </c>
      <c r="EL178" s="9"/>
      <c r="EM178" s="9" t="s">
        <v>143</v>
      </c>
      <c r="EN178" s="9" t="s">
        <v>143</v>
      </c>
      <c r="EO178" s="9"/>
      <c r="EP178" s="9"/>
      <c r="EQ178" s="9"/>
      <c r="ER178" s="9"/>
      <c r="ES178" s="9" t="s">
        <v>143</v>
      </c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>
        <v>15000</v>
      </c>
      <c r="FE178" s="9">
        <v>15000</v>
      </c>
      <c r="FF178" s="9"/>
      <c r="FG178" s="9"/>
      <c r="FH178" s="9">
        <v>15000</v>
      </c>
      <c r="FI178" s="9">
        <v>15000</v>
      </c>
      <c r="FJ178" s="9"/>
      <c r="FK178" s="9">
        <v>15000</v>
      </c>
      <c r="FL178" s="9">
        <v>15000</v>
      </c>
      <c r="FM178" s="9">
        <v>15000</v>
      </c>
      <c r="FN178" s="9">
        <v>15000</v>
      </c>
      <c r="FO178" s="9">
        <v>15000</v>
      </c>
      <c r="FP178" s="9">
        <v>15000</v>
      </c>
      <c r="FQ178" s="9">
        <v>28500</v>
      </c>
      <c r="FR178" s="9">
        <v>15000</v>
      </c>
      <c r="FS178" s="9"/>
      <c r="FT178" s="9">
        <f t="shared" si="42"/>
        <v>193500</v>
      </c>
      <c r="FU178" s="7">
        <f t="shared" si="43"/>
        <v>22500</v>
      </c>
      <c r="FV178" s="11">
        <f t="shared" si="44"/>
        <v>12.9</v>
      </c>
      <c r="FW178" s="11">
        <f t="shared" si="45"/>
        <v>1.5</v>
      </c>
      <c r="FX178" s="12">
        <f t="shared" si="46"/>
        <v>3.2250000000000001</v>
      </c>
      <c r="FY178" s="12">
        <f t="shared" si="47"/>
        <v>0.375</v>
      </c>
    </row>
    <row r="179" spans="1:181" ht="43.5" customHeight="1" thickBot="1" x14ac:dyDescent="0.3">
      <c r="A179" s="4">
        <v>3271</v>
      </c>
      <c r="B179" s="27" t="s">
        <v>385</v>
      </c>
      <c r="C179" s="27" t="s">
        <v>386</v>
      </c>
      <c r="D179" s="2"/>
      <c r="E179" s="3">
        <v>45838</v>
      </c>
      <c r="F179" s="3">
        <f t="shared" si="56"/>
        <v>45938</v>
      </c>
      <c r="G179" s="4">
        <v>72</v>
      </c>
      <c r="H179" s="377">
        <f t="shared" si="57"/>
        <v>51</v>
      </c>
      <c r="I179" s="377">
        <f t="shared" si="58"/>
        <v>21</v>
      </c>
      <c r="J179" s="155" t="s">
        <v>161</v>
      </c>
      <c r="K179" s="19">
        <v>100000</v>
      </c>
      <c r="L179" s="7">
        <v>216000</v>
      </c>
      <c r="M179" s="8">
        <f t="shared" si="55"/>
        <v>15000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 t="s">
        <v>143</v>
      </c>
      <c r="EL179" s="9"/>
      <c r="EM179" s="9" t="s">
        <v>143</v>
      </c>
      <c r="EN179" s="9" t="s">
        <v>143</v>
      </c>
      <c r="EO179" s="9"/>
      <c r="EP179" s="9"/>
      <c r="EQ179" s="9"/>
      <c r="ER179" s="9"/>
      <c r="ES179" s="9" t="s">
        <v>143</v>
      </c>
      <c r="ET179" s="9"/>
      <c r="EU179" s="9"/>
      <c r="EV179" s="9" t="s">
        <v>143</v>
      </c>
      <c r="EW179" s="9"/>
      <c r="EX179" s="9"/>
      <c r="EY179" s="9"/>
      <c r="EZ179" s="9"/>
      <c r="FA179" s="9"/>
      <c r="FB179" s="9"/>
      <c r="FC179" s="9"/>
      <c r="FD179" s="9">
        <v>15000</v>
      </c>
      <c r="FE179" s="9">
        <v>15000</v>
      </c>
      <c r="FF179" s="9"/>
      <c r="FG179" s="9"/>
      <c r="FH179" s="9">
        <v>15000</v>
      </c>
      <c r="FI179" s="9">
        <v>15000</v>
      </c>
      <c r="FJ179" s="9"/>
      <c r="FK179" s="9">
        <v>5500</v>
      </c>
      <c r="FL179" s="9">
        <v>12500</v>
      </c>
      <c r="FM179" s="9">
        <v>15000</v>
      </c>
      <c r="FN179" s="9">
        <v>15000</v>
      </c>
      <c r="FO179" s="9">
        <v>15000</v>
      </c>
      <c r="FP179" s="9">
        <v>7500</v>
      </c>
      <c r="FQ179" s="9">
        <v>7500</v>
      </c>
      <c r="FR179" s="9">
        <v>15000</v>
      </c>
      <c r="FS179" s="9"/>
      <c r="FT179" s="9">
        <f t="shared" si="42"/>
        <v>153000</v>
      </c>
      <c r="FU179" s="7">
        <f t="shared" si="43"/>
        <v>63000</v>
      </c>
      <c r="FV179" s="11">
        <f t="shared" si="44"/>
        <v>10.199999999999999</v>
      </c>
      <c r="FW179" s="11">
        <f t="shared" si="45"/>
        <v>4.2</v>
      </c>
      <c r="FX179" s="12">
        <f t="shared" si="46"/>
        <v>2.5499999999999998</v>
      </c>
      <c r="FY179" s="12">
        <f t="shared" si="47"/>
        <v>1.05</v>
      </c>
    </row>
    <row r="180" spans="1:181" ht="43.5" customHeight="1" thickBot="1" x14ac:dyDescent="0.3">
      <c r="A180" s="4">
        <v>3290</v>
      </c>
      <c r="B180" s="27" t="s">
        <v>385</v>
      </c>
      <c r="C180" s="27" t="s">
        <v>386</v>
      </c>
      <c r="D180" s="2"/>
      <c r="E180" s="3">
        <v>45853</v>
      </c>
      <c r="F180" s="3">
        <f t="shared" si="56"/>
        <v>45953</v>
      </c>
      <c r="G180" s="4">
        <v>72</v>
      </c>
      <c r="H180" s="377">
        <f t="shared" si="57"/>
        <v>42.5</v>
      </c>
      <c r="I180" s="377">
        <f t="shared" si="58"/>
        <v>29.5</v>
      </c>
      <c r="J180" s="155" t="s">
        <v>161</v>
      </c>
      <c r="K180" s="10">
        <v>100000</v>
      </c>
      <c r="L180" s="10">
        <v>216000</v>
      </c>
      <c r="M180" s="8">
        <f t="shared" si="55"/>
        <v>15000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 t="s">
        <v>143</v>
      </c>
      <c r="EL180" s="9"/>
      <c r="EM180" s="9" t="s">
        <v>143</v>
      </c>
      <c r="EN180" s="9" t="s">
        <v>143</v>
      </c>
      <c r="EO180" s="9"/>
      <c r="EP180" s="9"/>
      <c r="EQ180" s="9"/>
      <c r="ER180" s="9"/>
      <c r="ES180" s="9" t="s">
        <v>143</v>
      </c>
      <c r="ET180" s="9"/>
      <c r="EU180" s="9"/>
      <c r="EV180" s="9" t="s">
        <v>143</v>
      </c>
      <c r="EW180" s="9"/>
      <c r="EX180" s="9"/>
      <c r="EY180" s="9"/>
      <c r="EZ180" s="9"/>
      <c r="FA180" s="9"/>
      <c r="FB180" s="9"/>
      <c r="FC180" s="9"/>
      <c r="FD180" s="9">
        <v>15000</v>
      </c>
      <c r="FE180" s="9">
        <v>15000</v>
      </c>
      <c r="FF180" s="9"/>
      <c r="FG180" s="9"/>
      <c r="FH180" s="9">
        <v>15000</v>
      </c>
      <c r="FI180" s="9">
        <v>7500</v>
      </c>
      <c r="FJ180" s="9"/>
      <c r="FK180" s="9"/>
      <c r="FL180" s="9"/>
      <c r="FM180" s="9">
        <v>15000</v>
      </c>
      <c r="FN180" s="9">
        <v>15000</v>
      </c>
      <c r="FO180" s="9">
        <v>15000</v>
      </c>
      <c r="FP180" s="9"/>
      <c r="FQ180" s="9">
        <v>15000</v>
      </c>
      <c r="FR180" s="9">
        <v>15000</v>
      </c>
      <c r="FS180" s="9"/>
      <c r="FT180" s="9">
        <f t="shared" si="42"/>
        <v>127500</v>
      </c>
      <c r="FU180" s="7">
        <f t="shared" si="43"/>
        <v>88500</v>
      </c>
      <c r="FV180" s="11">
        <f t="shared" si="44"/>
        <v>8.5</v>
      </c>
      <c r="FW180" s="11">
        <f t="shared" si="45"/>
        <v>5.9</v>
      </c>
      <c r="FX180" s="12">
        <f t="shared" si="46"/>
        <v>2.125</v>
      </c>
      <c r="FY180" s="12">
        <f t="shared" si="47"/>
        <v>1.4750000000000001</v>
      </c>
    </row>
    <row r="181" spans="1:181" ht="43.5" customHeight="1" thickBot="1" x14ac:dyDescent="0.3">
      <c r="A181" s="4">
        <v>3342</v>
      </c>
      <c r="B181" s="27" t="s">
        <v>385</v>
      </c>
      <c r="C181" s="27" t="s">
        <v>386</v>
      </c>
      <c r="D181" s="2"/>
      <c r="E181" s="3">
        <v>45878</v>
      </c>
      <c r="F181" s="3">
        <f t="shared" si="56"/>
        <v>45979</v>
      </c>
      <c r="G181" s="4">
        <v>72</v>
      </c>
      <c r="H181" s="377">
        <f t="shared" si="57"/>
        <v>40</v>
      </c>
      <c r="I181" s="377">
        <f t="shared" si="58"/>
        <v>32</v>
      </c>
      <c r="J181" s="155" t="s">
        <v>227</v>
      </c>
      <c r="K181" s="7">
        <v>50000</v>
      </c>
      <c r="L181" s="7">
        <v>108000</v>
      </c>
      <c r="M181" s="21">
        <f t="shared" si="55"/>
        <v>7500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 t="s">
        <v>143</v>
      </c>
      <c r="EL181" s="9"/>
      <c r="EM181" s="9" t="s">
        <v>143</v>
      </c>
      <c r="EN181" s="9" t="s">
        <v>143</v>
      </c>
      <c r="EO181" s="9"/>
      <c r="EP181" s="9"/>
      <c r="EQ181" s="9"/>
      <c r="ER181" s="9"/>
      <c r="ES181" s="9" t="s">
        <v>143</v>
      </c>
      <c r="ET181" s="9"/>
      <c r="EU181" s="9"/>
      <c r="EV181" s="9" t="s">
        <v>143</v>
      </c>
      <c r="EW181" s="9"/>
      <c r="EX181" s="9"/>
      <c r="EY181" s="9"/>
      <c r="EZ181" s="9"/>
      <c r="FA181" s="9"/>
      <c r="FB181" s="9"/>
      <c r="FC181" s="9"/>
      <c r="FD181" s="9">
        <v>7500</v>
      </c>
      <c r="FE181" s="9">
        <v>7500</v>
      </c>
      <c r="FF181" s="9"/>
      <c r="FG181" s="9"/>
      <c r="FH181" s="9">
        <v>7500</v>
      </c>
      <c r="FI181" s="9"/>
      <c r="FJ181" s="9"/>
      <c r="FK181" s="9"/>
      <c r="FL181" s="9"/>
      <c r="FM181" s="9">
        <v>7500</v>
      </c>
      <c r="FN181" s="9">
        <v>7500</v>
      </c>
      <c r="FO181" s="9">
        <v>7500</v>
      </c>
      <c r="FP181" s="9"/>
      <c r="FQ181" s="9">
        <v>7500</v>
      </c>
      <c r="FR181" s="9">
        <v>7500</v>
      </c>
      <c r="FS181" s="9"/>
      <c r="FT181" s="9">
        <f t="shared" si="42"/>
        <v>60000</v>
      </c>
      <c r="FU181" s="7">
        <f t="shared" si="43"/>
        <v>48000</v>
      </c>
      <c r="FV181" s="11">
        <f t="shared" si="44"/>
        <v>8</v>
      </c>
      <c r="FW181" s="11">
        <f t="shared" si="45"/>
        <v>6.4</v>
      </c>
      <c r="FX181" s="12">
        <f t="shared" si="46"/>
        <v>2</v>
      </c>
      <c r="FY181" s="12">
        <f t="shared" si="47"/>
        <v>1.6</v>
      </c>
    </row>
    <row r="182" spans="1:181" ht="43.5" customHeight="1" thickBot="1" x14ac:dyDescent="0.3">
      <c r="A182" s="4">
        <v>3379</v>
      </c>
      <c r="B182" s="27" t="s">
        <v>385</v>
      </c>
      <c r="C182" s="27" t="s">
        <v>386</v>
      </c>
      <c r="D182" s="2"/>
      <c r="E182" s="3">
        <v>45906</v>
      </c>
      <c r="F182" s="3">
        <f t="shared" si="56"/>
        <v>46007</v>
      </c>
      <c r="G182" s="4">
        <v>72</v>
      </c>
      <c r="H182" s="377">
        <f t="shared" si="57"/>
        <v>31.5</v>
      </c>
      <c r="I182" s="377">
        <f t="shared" si="58"/>
        <v>40.5</v>
      </c>
      <c r="J182" s="155" t="s">
        <v>161</v>
      </c>
      <c r="K182" s="7">
        <v>100000</v>
      </c>
      <c r="L182" s="7">
        <v>216000</v>
      </c>
      <c r="M182" s="8">
        <f t="shared" si="55"/>
        <v>15000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 t="s">
        <v>143</v>
      </c>
      <c r="EL182" s="9"/>
      <c r="EM182" s="9" t="s">
        <v>143</v>
      </c>
      <c r="EN182" s="9" t="s">
        <v>143</v>
      </c>
      <c r="EO182" s="9"/>
      <c r="EP182" s="9"/>
      <c r="EQ182" s="9"/>
      <c r="ER182" s="9"/>
      <c r="ES182" s="9" t="s">
        <v>143</v>
      </c>
      <c r="ET182" s="9"/>
      <c r="EU182" s="9"/>
      <c r="EV182" s="9" t="s">
        <v>143</v>
      </c>
      <c r="EW182" s="9"/>
      <c r="EX182" s="9"/>
      <c r="EY182" s="9"/>
      <c r="EZ182" s="9"/>
      <c r="FA182" s="9"/>
      <c r="FB182" s="9"/>
      <c r="FC182" s="9" t="s">
        <v>143</v>
      </c>
      <c r="FD182" s="9"/>
      <c r="FE182" s="9"/>
      <c r="FF182" s="9"/>
      <c r="FG182" s="9"/>
      <c r="FH182" s="9">
        <v>15000</v>
      </c>
      <c r="FI182" s="9"/>
      <c r="FJ182" s="9"/>
      <c r="FK182" s="9"/>
      <c r="FL182" s="9">
        <v>14500</v>
      </c>
      <c r="FM182" s="9">
        <v>5000</v>
      </c>
      <c r="FN182" s="9">
        <v>15000</v>
      </c>
      <c r="FO182" s="9">
        <v>15000</v>
      </c>
      <c r="FP182" s="9"/>
      <c r="FQ182" s="9">
        <v>15000</v>
      </c>
      <c r="FR182" s="9">
        <v>15000</v>
      </c>
      <c r="FS182" s="9"/>
      <c r="FT182" s="9">
        <f t="shared" si="42"/>
        <v>94500</v>
      </c>
      <c r="FU182" s="7">
        <f t="shared" si="43"/>
        <v>121500</v>
      </c>
      <c r="FV182" s="11">
        <f t="shared" si="44"/>
        <v>6.3</v>
      </c>
      <c r="FW182" s="11">
        <f t="shared" si="45"/>
        <v>8.1</v>
      </c>
      <c r="FX182" s="12">
        <f t="shared" si="46"/>
        <v>1.575</v>
      </c>
      <c r="FY182" s="12">
        <f t="shared" si="47"/>
        <v>2.0249999999999999</v>
      </c>
    </row>
    <row r="183" spans="1:181" ht="43.5" customHeight="1" thickBot="1" x14ac:dyDescent="0.3">
      <c r="A183" s="4">
        <v>3416</v>
      </c>
      <c r="B183" s="27" t="s">
        <v>385</v>
      </c>
      <c r="C183" s="27" t="s">
        <v>386</v>
      </c>
      <c r="D183" s="2"/>
      <c r="E183" s="3">
        <v>45925</v>
      </c>
      <c r="F183" s="3">
        <f t="shared" si="56"/>
        <v>46027</v>
      </c>
      <c r="G183" s="4">
        <v>72</v>
      </c>
      <c r="H183" s="377">
        <f t="shared" si="57"/>
        <v>12.545454545454545</v>
      </c>
      <c r="I183" s="377">
        <f t="shared" si="58"/>
        <v>59.454545454545453</v>
      </c>
      <c r="J183" s="155" t="s">
        <v>1352</v>
      </c>
      <c r="K183" s="7">
        <v>150000</v>
      </c>
      <c r="L183" s="7">
        <v>396000</v>
      </c>
      <c r="M183" s="8">
        <f t="shared" si="55"/>
        <v>27500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 t="s">
        <v>143</v>
      </c>
      <c r="EL183" s="9"/>
      <c r="EM183" s="9" t="s">
        <v>143</v>
      </c>
      <c r="EN183" s="9" t="s">
        <v>143</v>
      </c>
      <c r="EO183" s="9"/>
      <c r="EP183" s="9"/>
      <c r="EQ183" s="9"/>
      <c r="ER183" s="9"/>
      <c r="ES183" s="9" t="s">
        <v>143</v>
      </c>
      <c r="ET183" s="9"/>
      <c r="EU183" s="9"/>
      <c r="EV183" s="9" t="s">
        <v>143</v>
      </c>
      <c r="EW183" s="9"/>
      <c r="EX183" s="9"/>
      <c r="EY183" s="9"/>
      <c r="EZ183" s="9"/>
      <c r="FA183" s="9"/>
      <c r="FB183" s="9"/>
      <c r="FC183" s="9" t="s">
        <v>143</v>
      </c>
      <c r="FD183" s="9"/>
      <c r="FE183" s="9"/>
      <c r="FF183" s="9"/>
      <c r="FG183" s="9"/>
      <c r="FH183" s="9"/>
      <c r="FI183" s="9"/>
      <c r="FJ183" s="9"/>
      <c r="FK183" s="9"/>
      <c r="FL183" s="9">
        <v>18000</v>
      </c>
      <c r="FM183" s="9"/>
      <c r="FN183" s="9">
        <v>5000</v>
      </c>
      <c r="FO183" s="9">
        <v>10000</v>
      </c>
      <c r="FP183" s="9"/>
      <c r="FQ183" s="9">
        <v>18000</v>
      </c>
      <c r="FR183" s="9">
        <v>18000</v>
      </c>
      <c r="FS183" s="9"/>
      <c r="FT183" s="9">
        <f t="shared" si="42"/>
        <v>69000</v>
      </c>
      <c r="FU183" s="7">
        <f t="shared" si="43"/>
        <v>327000</v>
      </c>
      <c r="FV183" s="11">
        <f t="shared" si="44"/>
        <v>2.5090909090909088</v>
      </c>
      <c r="FW183" s="11">
        <f t="shared" si="45"/>
        <v>11.890909090909091</v>
      </c>
      <c r="FX183" s="12">
        <f t="shared" si="46"/>
        <v>0.6272727272727272</v>
      </c>
      <c r="FY183" s="12">
        <f t="shared" si="47"/>
        <v>2.9727272727272727</v>
      </c>
    </row>
    <row r="184" spans="1:181" ht="43.5" customHeight="1" thickBot="1" x14ac:dyDescent="0.3">
      <c r="A184" s="4">
        <v>3463</v>
      </c>
      <c r="B184" s="27" t="s">
        <v>385</v>
      </c>
      <c r="C184" s="27" t="s">
        <v>386</v>
      </c>
      <c r="D184" s="2"/>
      <c r="E184" s="3">
        <v>45957</v>
      </c>
      <c r="F184" s="3">
        <f t="shared" si="56"/>
        <v>46057</v>
      </c>
      <c r="G184" s="4">
        <v>72</v>
      </c>
      <c r="H184" s="377">
        <f t="shared" si="57"/>
        <v>9.8333333333333339</v>
      </c>
      <c r="I184" s="377">
        <f t="shared" si="58"/>
        <v>62.166666666666664</v>
      </c>
      <c r="J184" s="155" t="s">
        <v>161</v>
      </c>
      <c r="K184" s="26">
        <v>100000</v>
      </c>
      <c r="L184" s="7">
        <v>216000</v>
      </c>
      <c r="M184" s="21">
        <f t="shared" si="55"/>
        <v>15000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 t="s">
        <v>143</v>
      </c>
      <c r="EL184" s="9"/>
      <c r="EM184" s="9" t="s">
        <v>143</v>
      </c>
      <c r="EN184" s="9" t="s">
        <v>143</v>
      </c>
      <c r="EO184" s="9"/>
      <c r="EP184" s="9"/>
      <c r="EQ184" s="9"/>
      <c r="ER184" s="9"/>
      <c r="ES184" s="9" t="s">
        <v>143</v>
      </c>
      <c r="ET184" s="9"/>
      <c r="EU184" s="9"/>
      <c r="EV184" s="9" t="s">
        <v>143</v>
      </c>
      <c r="EW184" s="9"/>
      <c r="EX184" s="9"/>
      <c r="EY184" s="9"/>
      <c r="EZ184" s="9"/>
      <c r="FA184" s="9"/>
      <c r="FB184" s="9"/>
      <c r="FC184" s="9" t="s">
        <v>143</v>
      </c>
      <c r="FD184" s="9"/>
      <c r="FE184" s="9"/>
      <c r="FF184" s="9"/>
      <c r="FG184" s="9"/>
      <c r="FH184" s="9"/>
      <c r="FI184" s="9"/>
      <c r="FJ184" s="9"/>
      <c r="FK184" s="9"/>
      <c r="FL184" s="9" t="s">
        <v>143</v>
      </c>
      <c r="FM184" s="9"/>
      <c r="FN184" s="9"/>
      <c r="FO184" s="9"/>
      <c r="FP184" s="9"/>
      <c r="FQ184" s="9">
        <v>15000</v>
      </c>
      <c r="FR184" s="9">
        <v>14500</v>
      </c>
      <c r="FS184" s="9"/>
      <c r="FT184" s="9">
        <f t="shared" si="42"/>
        <v>29500</v>
      </c>
      <c r="FU184" s="7">
        <f t="shared" si="43"/>
        <v>186500</v>
      </c>
      <c r="FV184" s="11">
        <f t="shared" si="44"/>
        <v>1.9666666666666668</v>
      </c>
      <c r="FW184" s="11">
        <f t="shared" si="45"/>
        <v>12.433333333333334</v>
      </c>
      <c r="FX184" s="12">
        <f t="shared" si="46"/>
        <v>0.4916666666666667</v>
      </c>
      <c r="FY184" s="12">
        <f t="shared" si="47"/>
        <v>3.1083333333333334</v>
      </c>
    </row>
    <row r="185" spans="1:181" ht="43.5" customHeight="1" thickBot="1" x14ac:dyDescent="0.3">
      <c r="A185" s="4">
        <v>3481</v>
      </c>
      <c r="B185" s="27" t="s">
        <v>385</v>
      </c>
      <c r="C185" s="27" t="s">
        <v>386</v>
      </c>
      <c r="D185" s="2"/>
      <c r="E185" s="3">
        <v>45969</v>
      </c>
      <c r="F185" s="3">
        <f t="shared" si="56"/>
        <v>46070</v>
      </c>
      <c r="G185" s="4">
        <v>72</v>
      </c>
      <c r="H185" s="377">
        <f t="shared" si="57"/>
        <v>5</v>
      </c>
      <c r="I185" s="377">
        <f t="shared" si="58"/>
        <v>67</v>
      </c>
      <c r="J185" s="155" t="s">
        <v>161</v>
      </c>
      <c r="K185" s="7">
        <v>100000</v>
      </c>
      <c r="L185" s="7">
        <v>216000</v>
      </c>
      <c r="M185" s="21">
        <f t="shared" si="55"/>
        <v>15000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 t="s">
        <v>143</v>
      </c>
      <c r="EL185" s="9"/>
      <c r="EM185" s="9" t="s">
        <v>143</v>
      </c>
      <c r="EN185" s="9" t="s">
        <v>143</v>
      </c>
      <c r="EO185" s="9"/>
      <c r="EP185" s="9"/>
      <c r="EQ185" s="9"/>
      <c r="ER185" s="9"/>
      <c r="ES185" s="9" t="s">
        <v>143</v>
      </c>
      <c r="ET185" s="9"/>
      <c r="EU185" s="9"/>
      <c r="EV185" s="9" t="s">
        <v>143</v>
      </c>
      <c r="EW185" s="9"/>
      <c r="EX185" s="9"/>
      <c r="EY185" s="9"/>
      <c r="EZ185" s="9"/>
      <c r="FA185" s="9"/>
      <c r="FB185" s="9"/>
      <c r="FC185" s="9" t="s">
        <v>143</v>
      </c>
      <c r="FD185" s="9"/>
      <c r="FE185" s="9"/>
      <c r="FF185" s="9"/>
      <c r="FG185" s="9"/>
      <c r="FH185" s="9"/>
      <c r="FI185" s="9"/>
      <c r="FJ185" s="9"/>
      <c r="FK185" s="9"/>
      <c r="FL185" s="9" t="s">
        <v>143</v>
      </c>
      <c r="FM185" s="9"/>
      <c r="FN185" s="9"/>
      <c r="FO185" s="9"/>
      <c r="FP185" s="9"/>
      <c r="FQ185" s="9">
        <v>15000</v>
      </c>
      <c r="FR185" s="9"/>
      <c r="FS185" s="9"/>
      <c r="FT185" s="9">
        <f t="shared" si="42"/>
        <v>15000</v>
      </c>
      <c r="FU185" s="7">
        <f t="shared" si="43"/>
        <v>201000</v>
      </c>
      <c r="FV185" s="11">
        <f t="shared" si="44"/>
        <v>1</v>
      </c>
      <c r="FW185" s="11">
        <f t="shared" si="45"/>
        <v>13.4</v>
      </c>
      <c r="FX185" s="12">
        <f t="shared" si="46"/>
        <v>0.25</v>
      </c>
      <c r="FY185" s="12">
        <f t="shared" si="47"/>
        <v>3.35</v>
      </c>
    </row>
    <row r="186" spans="1:181" ht="43.5" customHeight="1" thickBot="1" x14ac:dyDescent="0.3">
      <c r="A186" s="4">
        <v>3487</v>
      </c>
      <c r="B186" s="27" t="s">
        <v>385</v>
      </c>
      <c r="C186" s="27" t="s">
        <v>386</v>
      </c>
      <c r="D186" s="2"/>
      <c r="E186" s="3">
        <v>45973</v>
      </c>
      <c r="F186" s="3">
        <f t="shared" si="56"/>
        <v>46073</v>
      </c>
      <c r="G186" s="4">
        <v>72</v>
      </c>
      <c r="H186" s="377">
        <f t="shared" si="57"/>
        <v>5</v>
      </c>
      <c r="I186" s="377">
        <f t="shared" si="58"/>
        <v>67</v>
      </c>
      <c r="J186" s="155" t="s">
        <v>161</v>
      </c>
      <c r="K186" s="7">
        <v>100000</v>
      </c>
      <c r="L186" s="7">
        <v>216000</v>
      </c>
      <c r="M186" s="8">
        <f t="shared" si="55"/>
        <v>15000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 t="s">
        <v>143</v>
      </c>
      <c r="EL186" s="9"/>
      <c r="EM186" s="9" t="s">
        <v>143</v>
      </c>
      <c r="EN186" s="9" t="s">
        <v>143</v>
      </c>
      <c r="EO186" s="9"/>
      <c r="EP186" s="9"/>
      <c r="EQ186" s="9"/>
      <c r="ER186" s="9"/>
      <c r="ES186" s="9" t="s">
        <v>143</v>
      </c>
      <c r="ET186" s="9"/>
      <c r="EU186" s="9"/>
      <c r="EV186" s="9" t="s">
        <v>143</v>
      </c>
      <c r="EW186" s="9"/>
      <c r="EX186" s="9"/>
      <c r="EY186" s="9"/>
      <c r="EZ186" s="9"/>
      <c r="FA186" s="9"/>
      <c r="FB186" s="9"/>
      <c r="FC186" s="9" t="s">
        <v>143</v>
      </c>
      <c r="FD186" s="9"/>
      <c r="FE186" s="9"/>
      <c r="FF186" s="9"/>
      <c r="FG186" s="9"/>
      <c r="FH186" s="9"/>
      <c r="FI186" s="9"/>
      <c r="FJ186" s="9"/>
      <c r="FK186" s="9"/>
      <c r="FL186" s="9" t="s">
        <v>143</v>
      </c>
      <c r="FM186" s="9"/>
      <c r="FN186" s="9"/>
      <c r="FO186" s="9"/>
      <c r="FP186" s="9"/>
      <c r="FQ186" s="9">
        <v>15000</v>
      </c>
      <c r="FR186" s="9"/>
      <c r="FS186" s="9"/>
      <c r="FT186" s="9">
        <f t="shared" si="42"/>
        <v>15000</v>
      </c>
      <c r="FU186" s="7">
        <f t="shared" si="43"/>
        <v>201000</v>
      </c>
      <c r="FV186" s="11">
        <f t="shared" si="44"/>
        <v>1</v>
      </c>
      <c r="FW186" s="11">
        <f t="shared" si="45"/>
        <v>13.4</v>
      </c>
      <c r="FX186" s="12">
        <f t="shared" si="46"/>
        <v>0.25</v>
      </c>
      <c r="FY186" s="12">
        <f t="shared" si="47"/>
        <v>3.35</v>
      </c>
    </row>
    <row r="187" spans="1:181" ht="43.5" customHeight="1" thickBot="1" x14ac:dyDescent="0.3">
      <c r="A187" s="4">
        <v>3505</v>
      </c>
      <c r="B187" s="27" t="s">
        <v>385</v>
      </c>
      <c r="C187" s="27" t="s">
        <v>386</v>
      </c>
      <c r="D187" s="2"/>
      <c r="E187" s="3">
        <v>45981</v>
      </c>
      <c r="F187" s="3">
        <f t="shared" si="56"/>
        <v>46083</v>
      </c>
      <c r="G187" s="4">
        <v>72</v>
      </c>
      <c r="H187" s="377">
        <f t="shared" si="57"/>
        <v>0</v>
      </c>
      <c r="I187" s="377">
        <f t="shared" si="58"/>
        <v>72</v>
      </c>
      <c r="J187" s="155" t="s">
        <v>161</v>
      </c>
      <c r="K187" s="7">
        <v>100000</v>
      </c>
      <c r="L187" s="7">
        <v>216000</v>
      </c>
      <c r="M187" s="21">
        <f t="shared" si="55"/>
        <v>15000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 t="s">
        <v>143</v>
      </c>
      <c r="EL187" s="9"/>
      <c r="EM187" s="9" t="s">
        <v>143</v>
      </c>
      <c r="EN187" s="9" t="s">
        <v>143</v>
      </c>
      <c r="EO187" s="9"/>
      <c r="EP187" s="9"/>
      <c r="EQ187" s="9"/>
      <c r="ER187" s="9"/>
      <c r="ES187" s="9" t="s">
        <v>143</v>
      </c>
      <c r="ET187" s="9"/>
      <c r="EU187" s="9"/>
      <c r="EV187" s="9" t="s">
        <v>143</v>
      </c>
      <c r="EW187" s="9"/>
      <c r="EX187" s="9"/>
      <c r="EY187" s="9"/>
      <c r="EZ187" s="9"/>
      <c r="FA187" s="9"/>
      <c r="FB187" s="9"/>
      <c r="FC187" s="9" t="s">
        <v>143</v>
      </c>
      <c r="FD187" s="9"/>
      <c r="FE187" s="9"/>
      <c r="FF187" s="9"/>
      <c r="FG187" s="9"/>
      <c r="FH187" s="9"/>
      <c r="FI187" s="9"/>
      <c r="FJ187" s="9"/>
      <c r="FK187" s="9"/>
      <c r="FL187" s="9" t="s">
        <v>143</v>
      </c>
      <c r="FM187" s="9"/>
      <c r="FN187" s="9"/>
      <c r="FO187" s="9"/>
      <c r="FP187" s="9"/>
      <c r="FQ187" s="9"/>
      <c r="FR187" s="9"/>
      <c r="FS187" s="9"/>
      <c r="FT187" s="9">
        <f t="shared" si="42"/>
        <v>0</v>
      </c>
      <c r="FU187" s="7">
        <f t="shared" si="43"/>
        <v>216000</v>
      </c>
      <c r="FV187" s="11">
        <f t="shared" si="44"/>
        <v>0</v>
      </c>
      <c r="FW187" s="11">
        <f t="shared" si="45"/>
        <v>14.4</v>
      </c>
      <c r="FX187" s="12">
        <f t="shared" si="46"/>
        <v>0</v>
      </c>
      <c r="FY187" s="12">
        <f t="shared" si="47"/>
        <v>3.6</v>
      </c>
    </row>
    <row r="188" spans="1:181" ht="43.5" customHeight="1" thickBot="1" x14ac:dyDescent="0.3">
      <c r="A188" s="4">
        <v>3125</v>
      </c>
      <c r="B188" s="27" t="s">
        <v>1324</v>
      </c>
      <c r="C188" s="27" t="s">
        <v>387</v>
      </c>
      <c r="D188" s="2" t="s">
        <v>388</v>
      </c>
      <c r="E188" s="3">
        <v>45742</v>
      </c>
      <c r="F188" s="3">
        <f t="shared" si="56"/>
        <v>45910</v>
      </c>
      <c r="G188" s="4">
        <v>120</v>
      </c>
      <c r="H188" s="377">
        <f t="shared" si="57"/>
        <v>60</v>
      </c>
      <c r="I188" s="377">
        <f t="shared" si="58"/>
        <v>60</v>
      </c>
      <c r="J188" s="355" t="s">
        <v>389</v>
      </c>
      <c r="K188" s="7">
        <v>181900</v>
      </c>
      <c r="L188" s="7">
        <v>270000</v>
      </c>
      <c r="M188" s="21">
        <f t="shared" si="55"/>
        <v>11250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>
        <v>45000</v>
      </c>
      <c r="EL188" s="9"/>
      <c r="EM188" s="9"/>
      <c r="EN188" s="9"/>
      <c r="EO188" s="9" t="s">
        <v>143</v>
      </c>
      <c r="EP188" s="9">
        <v>45000</v>
      </c>
      <c r="EQ188" s="9"/>
      <c r="ER188" s="9"/>
      <c r="ES188" s="9"/>
      <c r="ET188" s="9"/>
      <c r="EU188" s="9"/>
      <c r="EV188" s="9">
        <v>45000</v>
      </c>
      <c r="EW188" s="9"/>
      <c r="EX188" s="9"/>
      <c r="EY188" s="9"/>
      <c r="EZ188" s="9"/>
      <c r="FA188" s="9" t="s">
        <v>143</v>
      </c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>
        <f t="shared" si="42"/>
        <v>135000</v>
      </c>
      <c r="FU188" s="7">
        <f t="shared" si="43"/>
        <v>135000</v>
      </c>
      <c r="FV188" s="11">
        <f t="shared" si="44"/>
        <v>12</v>
      </c>
      <c r="FW188" s="11">
        <f t="shared" si="45"/>
        <v>12</v>
      </c>
      <c r="FX188" s="12">
        <f t="shared" si="46"/>
        <v>3</v>
      </c>
      <c r="FY188" s="12">
        <f t="shared" si="47"/>
        <v>3</v>
      </c>
    </row>
    <row r="189" spans="1:181" ht="43.5" customHeight="1" thickBot="1" x14ac:dyDescent="0.3">
      <c r="A189" s="4">
        <v>3260</v>
      </c>
      <c r="B189" s="2" t="s">
        <v>390</v>
      </c>
      <c r="C189" s="2" t="s">
        <v>391</v>
      </c>
      <c r="D189" s="2"/>
      <c r="E189" s="3">
        <v>45832</v>
      </c>
      <c r="F189" s="3">
        <f>WORKDAY(E189,G189)</f>
        <v>45932</v>
      </c>
      <c r="G189" s="4">
        <v>72</v>
      </c>
      <c r="H189" s="377">
        <f t="shared" si="57"/>
        <v>57.825067628494146</v>
      </c>
      <c r="I189" s="377">
        <f t="shared" si="58"/>
        <v>14.174932371505854</v>
      </c>
      <c r="J189" s="2" t="s">
        <v>443</v>
      </c>
      <c r="K189" s="10">
        <v>300000</v>
      </c>
      <c r="L189" s="10">
        <v>665400</v>
      </c>
      <c r="M189" s="8">
        <f t="shared" si="55"/>
        <v>46208.333333333328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 t="s">
        <v>143</v>
      </c>
      <c r="EL189" s="9"/>
      <c r="EM189" s="9" t="s">
        <v>143</v>
      </c>
      <c r="EN189" s="9" t="s">
        <v>143</v>
      </c>
      <c r="EO189" s="9"/>
      <c r="EP189" s="9"/>
      <c r="EQ189" s="9"/>
      <c r="ER189" s="9"/>
      <c r="ES189" s="9" t="s">
        <v>143</v>
      </c>
      <c r="ET189" s="9"/>
      <c r="EU189" s="9"/>
      <c r="EV189" s="9"/>
      <c r="EW189" s="9">
        <v>45000</v>
      </c>
      <c r="EX189" s="9">
        <v>45000</v>
      </c>
      <c r="EY189" s="9"/>
      <c r="EZ189" s="9">
        <v>45000</v>
      </c>
      <c r="FA189" s="9">
        <v>45000</v>
      </c>
      <c r="FB189" s="9">
        <v>45000</v>
      </c>
      <c r="FC189" s="9">
        <v>40000</v>
      </c>
      <c r="FD189" s="9">
        <v>22000</v>
      </c>
      <c r="FE189" s="9">
        <v>25000</v>
      </c>
      <c r="FF189" s="9"/>
      <c r="FG189" s="9">
        <v>18900</v>
      </c>
      <c r="FH189" s="9">
        <v>19500</v>
      </c>
      <c r="FI189" s="9">
        <v>14000</v>
      </c>
      <c r="FJ189" s="9">
        <v>26000</v>
      </c>
      <c r="FK189" s="9">
        <v>35000</v>
      </c>
      <c r="FL189" s="9">
        <v>10000</v>
      </c>
      <c r="FM189" s="9">
        <v>15000</v>
      </c>
      <c r="FN189" s="9">
        <v>15000</v>
      </c>
      <c r="FO189" s="9">
        <v>10000</v>
      </c>
      <c r="FP189" s="9">
        <v>31000</v>
      </c>
      <c r="FQ189" s="9"/>
      <c r="FR189" s="9">
        <v>8000</v>
      </c>
      <c r="FS189" s="9">
        <v>20000</v>
      </c>
      <c r="FT189" s="9">
        <f t="shared" si="42"/>
        <v>534400</v>
      </c>
      <c r="FU189" s="7">
        <f t="shared" si="43"/>
        <v>131000</v>
      </c>
      <c r="FV189" s="11">
        <f t="shared" si="44"/>
        <v>11.565013525698829</v>
      </c>
      <c r="FW189" s="11">
        <f t="shared" si="45"/>
        <v>2.8349864743011706</v>
      </c>
      <c r="FX189" s="12">
        <f t="shared" si="46"/>
        <v>2.8912533814247072</v>
      </c>
      <c r="FY189" s="12">
        <f t="shared" si="47"/>
        <v>0.70874661857529264</v>
      </c>
    </row>
    <row r="190" spans="1:181" ht="43.5" customHeight="1" thickBot="1" x14ac:dyDescent="0.3">
      <c r="A190" s="4">
        <v>2951</v>
      </c>
      <c r="B190" s="27" t="s">
        <v>393</v>
      </c>
      <c r="C190" s="27" t="s">
        <v>394</v>
      </c>
      <c r="D190" s="2" t="s">
        <v>395</v>
      </c>
      <c r="E190" s="3">
        <v>45636</v>
      </c>
      <c r="F190" s="3">
        <f t="shared" ref="F190" si="59">WORKDAY(E190,G190)</f>
        <v>45790</v>
      </c>
      <c r="G190" s="4">
        <v>110</v>
      </c>
      <c r="H190" s="377">
        <f t="shared" si="57"/>
        <v>71.694444444444443</v>
      </c>
      <c r="I190" s="377">
        <f t="shared" si="58"/>
        <v>38.305555555555557</v>
      </c>
      <c r="J190" s="155" t="s">
        <v>158</v>
      </c>
      <c r="K190" s="10">
        <v>300000</v>
      </c>
      <c r="L190" s="10">
        <v>792000</v>
      </c>
      <c r="M190" s="21">
        <f t="shared" si="55"/>
        <v>36000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>
        <v>36000</v>
      </c>
      <c r="DV190" s="9">
        <v>34000</v>
      </c>
      <c r="DW190" s="9">
        <v>30000</v>
      </c>
      <c r="DX190" s="9">
        <v>10000</v>
      </c>
      <c r="DY190" s="9">
        <v>20000</v>
      </c>
      <c r="DZ190" s="9">
        <v>36000</v>
      </c>
      <c r="EA190" s="9">
        <v>36000</v>
      </c>
      <c r="EB190" s="9">
        <v>36000</v>
      </c>
      <c r="EC190" s="9"/>
      <c r="ED190" s="9">
        <v>36000</v>
      </c>
      <c r="EE190" s="9">
        <v>36000</v>
      </c>
      <c r="EF190" s="9"/>
      <c r="EG190" s="9"/>
      <c r="EH190" s="9">
        <v>18000</v>
      </c>
      <c r="EI190" s="9"/>
      <c r="EJ190" s="9">
        <v>15200</v>
      </c>
      <c r="EK190" s="9">
        <v>50000</v>
      </c>
      <c r="EL190" s="9">
        <v>17000</v>
      </c>
      <c r="EM190" s="9"/>
      <c r="EN190" s="9"/>
      <c r="EO190" s="9"/>
      <c r="EP190" s="9"/>
      <c r="EQ190" s="9">
        <v>66000</v>
      </c>
      <c r="ER190" s="9"/>
      <c r="ES190" s="9"/>
      <c r="ET190" s="9"/>
      <c r="EU190" s="9"/>
      <c r="EV190" s="9"/>
      <c r="EW190" s="9"/>
      <c r="EX190" s="9">
        <v>20000</v>
      </c>
      <c r="EY190" s="9"/>
      <c r="EZ190" s="9"/>
      <c r="FA190" s="9">
        <v>20000</v>
      </c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>
        <f t="shared" si="42"/>
        <v>516200</v>
      </c>
      <c r="FU190" s="7">
        <f t="shared" si="43"/>
        <v>275800</v>
      </c>
      <c r="FV190" s="11">
        <f t="shared" si="44"/>
        <v>14.338888888888889</v>
      </c>
      <c r="FW190" s="11">
        <f t="shared" si="45"/>
        <v>7.6611111111111114</v>
      </c>
      <c r="FX190" s="12">
        <f t="shared" si="46"/>
        <v>3.5847222222222221</v>
      </c>
      <c r="FY190" s="12">
        <f t="shared" si="47"/>
        <v>1.9152777777777779</v>
      </c>
    </row>
    <row r="191" spans="1:181" ht="43.5" customHeight="1" thickBot="1" x14ac:dyDescent="0.3">
      <c r="A191" s="4">
        <v>3048</v>
      </c>
      <c r="B191" s="27" t="s">
        <v>393</v>
      </c>
      <c r="C191" s="27" t="s">
        <v>396</v>
      </c>
      <c r="D191" s="2" t="s">
        <v>395</v>
      </c>
      <c r="E191" s="3">
        <v>45698</v>
      </c>
      <c r="F191" s="3">
        <f t="shared" si="56"/>
        <v>45978</v>
      </c>
      <c r="G191" s="4">
        <v>200</v>
      </c>
      <c r="H191" s="377">
        <f t="shared" si="57"/>
        <v>49.6</v>
      </c>
      <c r="I191" s="377">
        <f t="shared" si="58"/>
        <v>150.4</v>
      </c>
      <c r="J191" s="192" t="s">
        <v>397</v>
      </c>
      <c r="K191" s="7">
        <v>500000</v>
      </c>
      <c r="L191" s="7">
        <v>1500000</v>
      </c>
      <c r="M191" s="21">
        <f t="shared" si="55"/>
        <v>37500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>
        <v>45000</v>
      </c>
      <c r="EE191" s="9">
        <v>30000</v>
      </c>
      <c r="EF191" s="9"/>
      <c r="EG191" s="9">
        <v>69000</v>
      </c>
      <c r="EH191" s="9">
        <v>6000</v>
      </c>
      <c r="EI191" s="9">
        <v>60000</v>
      </c>
      <c r="EJ191" s="9"/>
      <c r="EK191" s="9"/>
      <c r="EL191" s="9"/>
      <c r="EM191" s="9">
        <v>31400</v>
      </c>
      <c r="EN191" s="9"/>
      <c r="EO191" s="9">
        <v>55600</v>
      </c>
      <c r="EP191" s="9"/>
      <c r="EQ191" s="9" t="s">
        <v>542</v>
      </c>
      <c r="ER191" s="9">
        <v>35000</v>
      </c>
      <c r="ES191" s="9">
        <v>40000</v>
      </c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>
        <f t="shared" si="42"/>
        <v>372000</v>
      </c>
      <c r="FU191" s="7">
        <f t="shared" si="43"/>
        <v>1128000</v>
      </c>
      <c r="FV191" s="11">
        <f t="shared" si="44"/>
        <v>9.92</v>
      </c>
      <c r="FW191" s="11">
        <f t="shared" si="45"/>
        <v>30.080000000000002</v>
      </c>
      <c r="FX191" s="12">
        <f t="shared" si="46"/>
        <v>2.48</v>
      </c>
      <c r="FY191" s="12">
        <f t="shared" si="47"/>
        <v>7.5200000000000005</v>
      </c>
    </row>
    <row r="192" spans="1:181" ht="43.5" customHeight="1" thickBot="1" x14ac:dyDescent="0.3">
      <c r="A192" s="4">
        <v>3436</v>
      </c>
      <c r="B192" s="155" t="s">
        <v>543</v>
      </c>
      <c r="C192" s="155" t="s">
        <v>407</v>
      </c>
      <c r="D192" s="155"/>
      <c r="E192" s="3">
        <v>45940</v>
      </c>
      <c r="F192" s="3">
        <f t="shared" si="56"/>
        <v>46094</v>
      </c>
      <c r="G192" s="4">
        <v>110</v>
      </c>
      <c r="H192" s="377">
        <f t="shared" si="57"/>
        <v>18.333333333333332</v>
      </c>
      <c r="I192" s="377">
        <f t="shared" si="58"/>
        <v>91.666666666666671</v>
      </c>
      <c r="J192" s="2" t="s">
        <v>927</v>
      </c>
      <c r="K192" s="162">
        <v>100000</v>
      </c>
      <c r="L192" s="162">
        <v>264000</v>
      </c>
      <c r="M192" s="21">
        <f t="shared" si="55"/>
        <v>12000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 t="s">
        <v>143</v>
      </c>
      <c r="EL192" s="9"/>
      <c r="EM192" s="9" t="s">
        <v>143</v>
      </c>
      <c r="EN192" s="9" t="s">
        <v>143</v>
      </c>
      <c r="EO192" s="9"/>
      <c r="EP192" s="9"/>
      <c r="EQ192" s="9"/>
      <c r="ER192" s="9"/>
      <c r="ES192" s="9" t="s">
        <v>143</v>
      </c>
      <c r="ET192" s="9"/>
      <c r="EU192" s="9"/>
      <c r="EV192" s="9" t="s">
        <v>143</v>
      </c>
      <c r="EW192" s="9"/>
      <c r="EX192" s="9"/>
      <c r="EY192" s="9"/>
      <c r="EZ192" s="9"/>
      <c r="FA192" s="9"/>
      <c r="FB192" s="9"/>
      <c r="FC192" s="9" t="s">
        <v>143</v>
      </c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>
        <v>44000</v>
      </c>
      <c r="FQ192" s="9"/>
      <c r="FR192" s="9"/>
      <c r="FS192" s="9"/>
      <c r="FT192" s="9">
        <f t="shared" si="42"/>
        <v>44000</v>
      </c>
      <c r="FU192" s="7">
        <f t="shared" si="43"/>
        <v>220000</v>
      </c>
      <c r="FV192" s="11">
        <f t="shared" si="44"/>
        <v>3.6666666666666665</v>
      </c>
      <c r="FW192" s="11">
        <f t="shared" si="45"/>
        <v>18.333333333333336</v>
      </c>
      <c r="FX192" s="12">
        <f t="shared" si="46"/>
        <v>0.91666666666666663</v>
      </c>
      <c r="FY192" s="12">
        <f t="shared" si="47"/>
        <v>4.5833333333333339</v>
      </c>
    </row>
    <row r="193" spans="1:181" ht="43.5" customHeight="1" thickBot="1" x14ac:dyDescent="0.3">
      <c r="A193" s="4">
        <v>2797</v>
      </c>
      <c r="B193" s="27" t="s">
        <v>398</v>
      </c>
      <c r="C193" s="27" t="s">
        <v>1343</v>
      </c>
      <c r="D193" s="2"/>
      <c r="E193" s="3">
        <v>45544</v>
      </c>
      <c r="F193" s="3">
        <f>WORKDAY(E193,G193)</f>
        <v>45768</v>
      </c>
      <c r="G193" s="4">
        <v>160</v>
      </c>
      <c r="H193" s="377">
        <f t="shared" si="57"/>
        <v>46.666666666666664</v>
      </c>
      <c r="I193" s="377">
        <f t="shared" si="58"/>
        <v>113.33333333333334</v>
      </c>
      <c r="J193" s="355" t="s">
        <v>401</v>
      </c>
      <c r="K193" s="7">
        <v>400000</v>
      </c>
      <c r="L193" s="7">
        <v>1200000</v>
      </c>
      <c r="M193" s="8">
        <f t="shared" si="55"/>
        <v>37500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>
        <v>150000</v>
      </c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>
        <v>100000</v>
      </c>
      <c r="FI193" s="9"/>
      <c r="FJ193" s="9"/>
      <c r="FK193" s="9"/>
      <c r="FL193" s="9"/>
      <c r="FM193" s="9"/>
      <c r="FN193" s="9"/>
      <c r="FO193" s="9"/>
      <c r="FP193" s="9"/>
      <c r="FQ193" s="9">
        <v>100000</v>
      </c>
      <c r="FR193" s="9"/>
      <c r="FS193" s="9"/>
      <c r="FT193" s="9">
        <f t="shared" si="42"/>
        <v>350000</v>
      </c>
      <c r="FU193" s="7">
        <f t="shared" si="43"/>
        <v>850000</v>
      </c>
      <c r="FV193" s="11">
        <f t="shared" si="44"/>
        <v>9.3333333333333321</v>
      </c>
      <c r="FW193" s="11">
        <f t="shared" si="45"/>
        <v>22.666666666666668</v>
      </c>
      <c r="FX193" s="12">
        <f t="shared" si="46"/>
        <v>2.333333333333333</v>
      </c>
      <c r="FY193" s="12">
        <f t="shared" si="47"/>
        <v>5.666666666666667</v>
      </c>
    </row>
    <row r="194" spans="1:181" ht="43.5" customHeight="1" thickBot="1" x14ac:dyDescent="0.3">
      <c r="A194" s="4">
        <v>3491</v>
      </c>
      <c r="B194" s="2" t="s">
        <v>727</v>
      </c>
      <c r="C194" s="27"/>
      <c r="D194" s="2"/>
      <c r="E194" s="3">
        <v>45974</v>
      </c>
      <c r="F194" s="3">
        <f t="shared" ref="F193:F223" si="60">WORKDAY(E194,G194)</f>
        <v>46002</v>
      </c>
      <c r="G194" s="4">
        <v>20</v>
      </c>
      <c r="H194" s="377" t="e">
        <f t="shared" si="57"/>
        <v>#DIV/0!</v>
      </c>
      <c r="I194" s="377" t="e">
        <f t="shared" si="58"/>
        <v>#DIV/0!</v>
      </c>
      <c r="J194" s="355" t="s">
        <v>368</v>
      </c>
      <c r="K194" s="7">
        <v>100000</v>
      </c>
      <c r="L194" s="7">
        <v>160000</v>
      </c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 t="s">
        <v>143</v>
      </c>
      <c r="EL194" s="9"/>
      <c r="EM194" s="9" t="s">
        <v>143</v>
      </c>
      <c r="EN194" s="9" t="s">
        <v>143</v>
      </c>
      <c r="EO194" s="9"/>
      <c r="EP194" s="9"/>
      <c r="EQ194" s="9"/>
      <c r="ER194" s="9"/>
      <c r="ES194" s="9" t="s">
        <v>143</v>
      </c>
      <c r="ET194" s="9"/>
      <c r="EU194" s="9"/>
      <c r="EV194" s="9" t="s">
        <v>143</v>
      </c>
      <c r="EW194" s="9"/>
      <c r="EX194" s="9"/>
      <c r="EY194" s="9"/>
      <c r="EZ194" s="9"/>
      <c r="FA194" s="9"/>
      <c r="FB194" s="9"/>
      <c r="FC194" s="9" t="s">
        <v>143</v>
      </c>
      <c r="FD194" s="9"/>
      <c r="FE194" s="9"/>
      <c r="FF194" s="9"/>
      <c r="FG194" s="9"/>
      <c r="FH194" s="9"/>
      <c r="FI194" s="9"/>
      <c r="FJ194" s="9"/>
      <c r="FK194" s="9"/>
      <c r="FL194" s="9" t="s">
        <v>143</v>
      </c>
      <c r="FM194" s="9"/>
      <c r="FN194" s="9"/>
      <c r="FO194" s="9"/>
      <c r="FP194" s="9"/>
      <c r="FQ194" s="9"/>
      <c r="FR194" s="9"/>
      <c r="FS194" s="9"/>
      <c r="FT194" s="9">
        <f t="shared" ref="FT194:FT258" si="61">SUM(N194:FS194)</f>
        <v>0</v>
      </c>
      <c r="FU194" s="7">
        <f t="shared" ref="FU194:FU258" si="62">SUM(L194-FT194)</f>
        <v>160000</v>
      </c>
      <c r="FV194" s="11" t="e">
        <f t="shared" ref="FV194:FV258" si="63">SUM( H194/5)</f>
        <v>#DIV/0!</v>
      </c>
      <c r="FW194" s="11" t="e">
        <f t="shared" ref="FW194:FW258" si="64">SUM( I194/5)</f>
        <v>#DIV/0!</v>
      </c>
      <c r="FX194" s="12" t="e">
        <f t="shared" ref="FX194:FX258" si="65">SUM(FV194/4)</f>
        <v>#DIV/0!</v>
      </c>
      <c r="FY194" s="12" t="e">
        <f t="shared" ref="FY194:FY258" si="66">SUM(FW194/4)</f>
        <v>#DIV/0!</v>
      </c>
    </row>
    <row r="195" spans="1:181" ht="43.5" customHeight="1" thickBot="1" x14ac:dyDescent="0.3">
      <c r="A195" s="4">
        <v>3498</v>
      </c>
      <c r="B195" s="359" t="s">
        <v>727</v>
      </c>
      <c r="C195" s="27"/>
      <c r="D195" s="456"/>
      <c r="E195" s="457">
        <v>45977</v>
      </c>
      <c r="F195" s="3">
        <f t="shared" si="60"/>
        <v>46003</v>
      </c>
      <c r="G195" s="458">
        <v>20</v>
      </c>
      <c r="H195" s="377" t="e">
        <f t="shared" si="57"/>
        <v>#DIV/0!</v>
      </c>
      <c r="I195" s="377" t="e">
        <f t="shared" si="58"/>
        <v>#DIV/0!</v>
      </c>
      <c r="J195" s="503" t="s">
        <v>368</v>
      </c>
      <c r="K195" s="22">
        <v>40000</v>
      </c>
      <c r="L195" s="10">
        <v>64000</v>
      </c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 t="s">
        <v>143</v>
      </c>
      <c r="EL195" s="9"/>
      <c r="EM195" s="9" t="s">
        <v>143</v>
      </c>
      <c r="EN195" s="9" t="s">
        <v>143</v>
      </c>
      <c r="EO195" s="9"/>
      <c r="EP195" s="9"/>
      <c r="EQ195" s="9"/>
      <c r="ER195" s="9"/>
      <c r="ES195" s="9" t="s">
        <v>143</v>
      </c>
      <c r="ET195" s="9"/>
      <c r="EU195" s="9"/>
      <c r="EV195" s="9" t="s">
        <v>143</v>
      </c>
      <c r="EW195" s="9"/>
      <c r="EX195" s="9"/>
      <c r="EY195" s="9"/>
      <c r="EZ195" s="9"/>
      <c r="FA195" s="9"/>
      <c r="FB195" s="9"/>
      <c r="FC195" s="9" t="s">
        <v>143</v>
      </c>
      <c r="FD195" s="9"/>
      <c r="FE195" s="9"/>
      <c r="FF195" s="9"/>
      <c r="FG195" s="9"/>
      <c r="FH195" s="9"/>
      <c r="FI195" s="9"/>
      <c r="FJ195" s="9"/>
      <c r="FK195" s="9"/>
      <c r="FL195" s="9" t="s">
        <v>143</v>
      </c>
      <c r="FM195" s="9"/>
      <c r="FN195" s="9"/>
      <c r="FO195" s="9"/>
      <c r="FP195" s="9"/>
      <c r="FQ195" s="9"/>
      <c r="FR195" s="9"/>
      <c r="FS195" s="9"/>
      <c r="FT195" s="9">
        <f t="shared" si="61"/>
        <v>0</v>
      </c>
      <c r="FU195" s="7">
        <f t="shared" si="62"/>
        <v>64000</v>
      </c>
      <c r="FV195" s="11" t="e">
        <f t="shared" si="63"/>
        <v>#DIV/0!</v>
      </c>
      <c r="FW195" s="11" t="e">
        <f t="shared" si="64"/>
        <v>#DIV/0!</v>
      </c>
      <c r="FX195" s="12" t="e">
        <f t="shared" si="65"/>
        <v>#DIV/0!</v>
      </c>
      <c r="FY195" s="12" t="e">
        <f t="shared" si="66"/>
        <v>#DIV/0!</v>
      </c>
    </row>
    <row r="196" spans="1:181" ht="43.5" customHeight="1" thickBot="1" x14ac:dyDescent="0.3">
      <c r="A196" s="4">
        <v>3502</v>
      </c>
      <c r="B196" s="2" t="s">
        <v>727</v>
      </c>
      <c r="C196" s="27"/>
      <c r="D196" s="2"/>
      <c r="E196" s="3">
        <v>45979</v>
      </c>
      <c r="F196" s="3">
        <f t="shared" si="60"/>
        <v>46007</v>
      </c>
      <c r="G196" s="4">
        <v>20</v>
      </c>
      <c r="H196" s="377" t="e">
        <f t="shared" si="57"/>
        <v>#DIV/0!</v>
      </c>
      <c r="I196" s="377" t="e">
        <f t="shared" si="58"/>
        <v>#DIV/0!</v>
      </c>
      <c r="J196" s="355" t="s">
        <v>368</v>
      </c>
      <c r="K196" s="7">
        <v>30000</v>
      </c>
      <c r="L196" s="7">
        <v>48000</v>
      </c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>
        <f t="shared" si="61"/>
        <v>0</v>
      </c>
      <c r="FU196" s="7">
        <f t="shared" si="62"/>
        <v>48000</v>
      </c>
      <c r="FV196" s="11" t="e">
        <f t="shared" si="63"/>
        <v>#DIV/0!</v>
      </c>
      <c r="FW196" s="11" t="e">
        <f t="shared" si="64"/>
        <v>#DIV/0!</v>
      </c>
      <c r="FX196" s="12" t="e">
        <f t="shared" si="65"/>
        <v>#DIV/0!</v>
      </c>
      <c r="FY196" s="12" t="e">
        <f t="shared" si="66"/>
        <v>#DIV/0!</v>
      </c>
    </row>
    <row r="197" spans="1:181" ht="43.5" customHeight="1" thickBot="1" x14ac:dyDescent="0.3">
      <c r="A197" s="4">
        <v>3507</v>
      </c>
      <c r="B197" s="2" t="s">
        <v>727</v>
      </c>
      <c r="C197" s="27"/>
      <c r="D197" s="2"/>
      <c r="E197" s="3">
        <v>45981</v>
      </c>
      <c r="F197" s="3">
        <f t="shared" si="60"/>
        <v>46009</v>
      </c>
      <c r="G197" s="4">
        <v>20</v>
      </c>
      <c r="H197" s="377" t="e">
        <f t="shared" si="57"/>
        <v>#DIV/0!</v>
      </c>
      <c r="I197" s="377" t="e">
        <f t="shared" si="58"/>
        <v>#DIV/0!</v>
      </c>
      <c r="J197" s="355" t="s">
        <v>368</v>
      </c>
      <c r="K197" s="10">
        <v>20000</v>
      </c>
      <c r="L197" s="10">
        <v>32000</v>
      </c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 t="s">
        <v>143</v>
      </c>
      <c r="EL197" s="9"/>
      <c r="EM197" s="9" t="s">
        <v>143</v>
      </c>
      <c r="EN197" s="9" t="s">
        <v>143</v>
      </c>
      <c r="EO197" s="9"/>
      <c r="EP197" s="9"/>
      <c r="EQ197" s="9"/>
      <c r="ER197" s="9"/>
      <c r="ES197" s="9" t="s">
        <v>143</v>
      </c>
      <c r="ET197" s="9"/>
      <c r="EU197" s="9"/>
      <c r="EV197" s="9" t="s">
        <v>143</v>
      </c>
      <c r="EW197" s="9"/>
      <c r="EX197" s="9"/>
      <c r="EY197" s="9"/>
      <c r="EZ197" s="9"/>
      <c r="FA197" s="9"/>
      <c r="FB197" s="9"/>
      <c r="FC197" s="9" t="s">
        <v>143</v>
      </c>
      <c r="FD197" s="9"/>
      <c r="FE197" s="9"/>
      <c r="FF197" s="9"/>
      <c r="FG197" s="9"/>
      <c r="FH197" s="9"/>
      <c r="FI197" s="9"/>
      <c r="FJ197" s="9"/>
      <c r="FK197" s="9"/>
      <c r="FL197" s="9" t="s">
        <v>143</v>
      </c>
      <c r="FM197" s="9"/>
      <c r="FN197" s="9"/>
      <c r="FO197" s="9"/>
      <c r="FP197" s="9"/>
      <c r="FQ197" s="9"/>
      <c r="FR197" s="9"/>
      <c r="FS197" s="9"/>
      <c r="FT197" s="9">
        <f t="shared" si="61"/>
        <v>0</v>
      </c>
      <c r="FU197" s="7">
        <f t="shared" si="62"/>
        <v>32000</v>
      </c>
      <c r="FV197" s="11" t="e">
        <f t="shared" si="63"/>
        <v>#DIV/0!</v>
      </c>
      <c r="FW197" s="11" t="e">
        <f t="shared" si="64"/>
        <v>#DIV/0!</v>
      </c>
      <c r="FX197" s="12" t="e">
        <f t="shared" si="65"/>
        <v>#DIV/0!</v>
      </c>
      <c r="FY197" s="12" t="e">
        <f t="shared" si="66"/>
        <v>#DIV/0!</v>
      </c>
    </row>
    <row r="198" spans="1:181" ht="43.5" customHeight="1" thickBot="1" x14ac:dyDescent="0.3">
      <c r="A198" s="372">
        <v>3514</v>
      </c>
      <c r="B198" s="2" t="s">
        <v>727</v>
      </c>
      <c r="C198" s="27"/>
      <c r="D198" s="2"/>
      <c r="E198" s="3">
        <v>45985</v>
      </c>
      <c r="F198" s="3">
        <f t="shared" si="60"/>
        <v>46013</v>
      </c>
      <c r="G198" s="4">
        <v>20</v>
      </c>
      <c r="H198" s="377" t="e">
        <f t="shared" ref="H198:H228" si="67">(FT198* 5)/M198</f>
        <v>#DIV/0!</v>
      </c>
      <c r="I198" s="377" t="e">
        <f t="shared" si="58"/>
        <v>#DIV/0!</v>
      </c>
      <c r="J198" s="355" t="s">
        <v>368</v>
      </c>
      <c r="K198" s="7">
        <v>20000</v>
      </c>
      <c r="L198" s="7">
        <v>32000</v>
      </c>
      <c r="M198" s="21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 t="s">
        <v>143</v>
      </c>
      <c r="EL198" s="9"/>
      <c r="EM198" s="9" t="s">
        <v>143</v>
      </c>
      <c r="EN198" s="9" t="s">
        <v>143</v>
      </c>
      <c r="EO198" s="9"/>
      <c r="EP198" s="9"/>
      <c r="EQ198" s="9"/>
      <c r="ER198" s="9"/>
      <c r="ES198" s="9" t="s">
        <v>143</v>
      </c>
      <c r="ET198" s="9"/>
      <c r="EU198" s="9"/>
      <c r="EV198" s="9" t="s">
        <v>143</v>
      </c>
      <c r="EW198" s="9"/>
      <c r="EX198" s="9"/>
      <c r="EY198" s="9"/>
      <c r="EZ198" s="9"/>
      <c r="FA198" s="9"/>
      <c r="FB198" s="9"/>
      <c r="FC198" s="9" t="s">
        <v>143</v>
      </c>
      <c r="FD198" s="9"/>
      <c r="FE198" s="9"/>
      <c r="FF198" s="9"/>
      <c r="FG198" s="9"/>
      <c r="FH198" s="9"/>
      <c r="FI198" s="9"/>
      <c r="FJ198" s="9"/>
      <c r="FK198" s="9"/>
      <c r="FL198" s="9" t="s">
        <v>143</v>
      </c>
      <c r="FM198" s="9"/>
      <c r="FN198" s="9"/>
      <c r="FO198" s="9"/>
      <c r="FP198" s="9"/>
      <c r="FQ198" s="9"/>
      <c r="FR198" s="9"/>
      <c r="FS198" s="9"/>
      <c r="FT198" s="9">
        <f t="shared" si="61"/>
        <v>0</v>
      </c>
      <c r="FU198" s="7">
        <f t="shared" si="62"/>
        <v>32000</v>
      </c>
      <c r="FV198" s="11" t="e">
        <f t="shared" si="63"/>
        <v>#DIV/0!</v>
      </c>
      <c r="FW198" s="11" t="e">
        <f t="shared" si="64"/>
        <v>#DIV/0!</v>
      </c>
      <c r="FX198" s="12" t="e">
        <f t="shared" si="65"/>
        <v>#DIV/0!</v>
      </c>
      <c r="FY198" s="12" t="e">
        <f t="shared" si="66"/>
        <v>#DIV/0!</v>
      </c>
    </row>
    <row r="199" spans="1:181" ht="43.5" customHeight="1" thickBot="1" x14ac:dyDescent="0.3">
      <c r="A199" s="4">
        <v>3231</v>
      </c>
      <c r="B199" s="27" t="s">
        <v>1234</v>
      </c>
      <c r="C199" s="27" t="s">
        <v>1235</v>
      </c>
      <c r="D199" s="2" t="s">
        <v>1236</v>
      </c>
      <c r="E199" s="3">
        <v>45818</v>
      </c>
      <c r="F199" s="3">
        <f t="shared" si="60"/>
        <v>46042</v>
      </c>
      <c r="G199" s="4">
        <v>160</v>
      </c>
      <c r="H199" s="377">
        <f t="shared" si="67"/>
        <v>80</v>
      </c>
      <c r="I199" s="377">
        <f t="shared" si="58"/>
        <v>80</v>
      </c>
      <c r="J199" s="355" t="s">
        <v>1237</v>
      </c>
      <c r="K199" s="10">
        <v>400000</v>
      </c>
      <c r="L199" s="10">
        <v>1200000</v>
      </c>
      <c r="M199" s="8">
        <f t="shared" ref="M199:M219" si="68">(L199/G199)*5</f>
        <v>37500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 t="s">
        <v>143</v>
      </c>
      <c r="EL199" s="9"/>
      <c r="EM199" s="9" t="s">
        <v>143</v>
      </c>
      <c r="EN199" s="9" t="s">
        <v>143</v>
      </c>
      <c r="EO199" s="9"/>
      <c r="EP199" s="9"/>
      <c r="EQ199" s="9"/>
      <c r="ER199" s="9"/>
      <c r="ES199" s="9" t="s">
        <v>143</v>
      </c>
      <c r="ET199" s="9"/>
      <c r="EU199" s="9"/>
      <c r="EV199" s="9"/>
      <c r="EW199" s="9"/>
      <c r="EX199" s="9"/>
      <c r="EY199" s="9"/>
      <c r="EZ199" s="9">
        <v>150000</v>
      </c>
      <c r="FA199" s="9"/>
      <c r="FB199" s="9"/>
      <c r="FC199" s="9"/>
      <c r="FD199" s="9">
        <v>150000</v>
      </c>
      <c r="FE199" s="9"/>
      <c r="FF199" s="9"/>
      <c r="FG199" s="9"/>
      <c r="FH199" s="9"/>
      <c r="FI199" s="9"/>
      <c r="FJ199" s="9">
        <v>150000</v>
      </c>
      <c r="FK199" s="9"/>
      <c r="FL199" s="9"/>
      <c r="FM199" s="9"/>
      <c r="FN199" s="9"/>
      <c r="FO199" s="9">
        <v>150000</v>
      </c>
      <c r="FP199" s="9"/>
      <c r="FQ199" s="9"/>
      <c r="FR199" s="9"/>
      <c r="FS199" s="9"/>
      <c r="FT199" s="9">
        <f t="shared" si="61"/>
        <v>600000</v>
      </c>
      <c r="FU199" s="7">
        <f t="shared" si="62"/>
        <v>600000</v>
      </c>
      <c r="FV199" s="11">
        <f t="shared" si="63"/>
        <v>16</v>
      </c>
      <c r="FW199" s="11">
        <f t="shared" si="64"/>
        <v>16</v>
      </c>
      <c r="FX199" s="12">
        <f t="shared" si="65"/>
        <v>4</v>
      </c>
      <c r="FY199" s="12">
        <f t="shared" si="66"/>
        <v>4</v>
      </c>
    </row>
    <row r="200" spans="1:181" ht="43.5" customHeight="1" thickBot="1" x14ac:dyDescent="0.3">
      <c r="A200" s="4">
        <v>3420</v>
      </c>
      <c r="B200" s="27" t="s">
        <v>406</v>
      </c>
      <c r="C200" s="27" t="s">
        <v>407</v>
      </c>
      <c r="D200" s="2"/>
      <c r="E200" s="3">
        <v>45929</v>
      </c>
      <c r="F200" s="3">
        <f t="shared" si="60"/>
        <v>46153</v>
      </c>
      <c r="G200" s="4">
        <v>160</v>
      </c>
      <c r="H200" s="377">
        <f t="shared" si="67"/>
        <v>20</v>
      </c>
      <c r="I200" s="377">
        <f t="shared" ref="I200:I217" si="69">G200-H200</f>
        <v>140</v>
      </c>
      <c r="J200" s="355" t="s">
        <v>1355</v>
      </c>
      <c r="K200" s="19">
        <v>200000</v>
      </c>
      <c r="L200" s="7">
        <v>576000</v>
      </c>
      <c r="M200" s="21">
        <f t="shared" si="68"/>
        <v>18000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 t="s">
        <v>143</v>
      </c>
      <c r="EL200" s="9"/>
      <c r="EM200" s="9" t="s">
        <v>143</v>
      </c>
      <c r="EN200" s="9" t="s">
        <v>143</v>
      </c>
      <c r="EO200" s="9"/>
      <c r="EP200" s="9"/>
      <c r="EQ200" s="9"/>
      <c r="ER200" s="9"/>
      <c r="ES200" s="9" t="s">
        <v>143</v>
      </c>
      <c r="ET200" s="9"/>
      <c r="EU200" s="9"/>
      <c r="EV200" s="9" t="s">
        <v>143</v>
      </c>
      <c r="EW200" s="9"/>
      <c r="EX200" s="9"/>
      <c r="EY200" s="9"/>
      <c r="EZ200" s="9"/>
      <c r="FA200" s="9"/>
      <c r="FB200" s="9"/>
      <c r="FC200" s="9" t="s">
        <v>143</v>
      </c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>
        <v>72000</v>
      </c>
      <c r="FP200" s="9"/>
      <c r="FQ200" s="9"/>
      <c r="FR200" s="9"/>
      <c r="FS200" s="9"/>
      <c r="FT200" s="9">
        <f t="shared" si="61"/>
        <v>72000</v>
      </c>
      <c r="FU200" s="7">
        <f t="shared" si="62"/>
        <v>504000</v>
      </c>
      <c r="FV200" s="11">
        <f t="shared" si="63"/>
        <v>4</v>
      </c>
      <c r="FW200" s="11">
        <f t="shared" si="64"/>
        <v>28</v>
      </c>
      <c r="FX200" s="12">
        <f t="shared" si="65"/>
        <v>1</v>
      </c>
      <c r="FY200" s="12">
        <f t="shared" si="66"/>
        <v>7</v>
      </c>
    </row>
    <row r="201" spans="1:181" ht="43.5" customHeight="1" thickBot="1" x14ac:dyDescent="0.3">
      <c r="A201" s="4">
        <v>3446</v>
      </c>
      <c r="B201" s="27" t="s">
        <v>406</v>
      </c>
      <c r="C201" s="27" t="s">
        <v>407</v>
      </c>
      <c r="D201" s="2"/>
      <c r="E201" s="3">
        <v>45825</v>
      </c>
      <c r="F201" s="3">
        <f>WORKDAY(E201,G201)</f>
        <v>45937</v>
      </c>
      <c r="G201" s="4">
        <v>80</v>
      </c>
      <c r="H201" s="377">
        <f t="shared" si="67"/>
        <v>20</v>
      </c>
      <c r="I201" s="377">
        <f t="shared" si="69"/>
        <v>60</v>
      </c>
      <c r="J201" s="355" t="s">
        <v>325</v>
      </c>
      <c r="K201" s="7">
        <v>100000</v>
      </c>
      <c r="L201" s="7">
        <v>216000</v>
      </c>
      <c r="M201" s="21">
        <f t="shared" si="68"/>
        <v>13500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 t="s">
        <v>143</v>
      </c>
      <c r="EL201" s="9"/>
      <c r="EM201" s="9" t="s">
        <v>143</v>
      </c>
      <c r="EN201" s="9" t="s">
        <v>143</v>
      </c>
      <c r="EO201" s="9"/>
      <c r="EP201" s="9"/>
      <c r="EQ201" s="9"/>
      <c r="ER201" s="9"/>
      <c r="ES201" s="9" t="s">
        <v>143</v>
      </c>
      <c r="ET201" s="9"/>
      <c r="EU201" s="9"/>
      <c r="EV201" s="9" t="s">
        <v>143</v>
      </c>
      <c r="EW201" s="9"/>
      <c r="EX201" s="9"/>
      <c r="EY201" s="9"/>
      <c r="EZ201" s="9"/>
      <c r="FA201" s="9"/>
      <c r="FB201" s="9"/>
      <c r="FC201" s="9" t="s">
        <v>143</v>
      </c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>
        <v>54000</v>
      </c>
      <c r="FP201" s="9"/>
      <c r="FQ201" s="9"/>
      <c r="FR201" s="9"/>
      <c r="FS201" s="9"/>
      <c r="FT201" s="9">
        <f t="shared" si="61"/>
        <v>54000</v>
      </c>
      <c r="FU201" s="7">
        <f t="shared" si="62"/>
        <v>162000</v>
      </c>
      <c r="FV201" s="11">
        <f t="shared" si="63"/>
        <v>4</v>
      </c>
      <c r="FW201" s="11">
        <f t="shared" si="64"/>
        <v>12</v>
      </c>
      <c r="FX201" s="12">
        <f t="shared" si="65"/>
        <v>1</v>
      </c>
      <c r="FY201" s="12">
        <f t="shared" si="66"/>
        <v>3</v>
      </c>
    </row>
    <row r="202" spans="1:181" ht="43.5" customHeight="1" thickBot="1" x14ac:dyDescent="0.3">
      <c r="A202" s="4">
        <v>3358</v>
      </c>
      <c r="B202" s="27" t="s">
        <v>410</v>
      </c>
      <c r="C202" s="27" t="s">
        <v>411</v>
      </c>
      <c r="D202" s="2">
        <v>20317686979</v>
      </c>
      <c r="E202" s="3">
        <v>45890</v>
      </c>
      <c r="F202" s="3">
        <f t="shared" ref="F202" si="70">WORKDAY(E202,G202)</f>
        <v>46058</v>
      </c>
      <c r="G202" s="4">
        <v>120</v>
      </c>
      <c r="H202" s="377">
        <f t="shared" si="67"/>
        <v>60</v>
      </c>
      <c r="I202" s="377">
        <f t="shared" si="69"/>
        <v>60</v>
      </c>
      <c r="J202" s="355" t="s">
        <v>1316</v>
      </c>
      <c r="K202" s="10">
        <v>400000</v>
      </c>
      <c r="L202" s="10">
        <v>1056000</v>
      </c>
      <c r="M202" s="21">
        <f t="shared" si="68"/>
        <v>44000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 t="s">
        <v>143</v>
      </c>
      <c r="EL202" s="9"/>
      <c r="EM202" s="9" t="s">
        <v>143</v>
      </c>
      <c r="EN202" s="9" t="s">
        <v>143</v>
      </c>
      <c r="EO202" s="9"/>
      <c r="EP202" s="9"/>
      <c r="EQ202" s="9"/>
      <c r="ER202" s="9"/>
      <c r="ES202" s="9" t="s">
        <v>143</v>
      </c>
      <c r="ET202" s="9"/>
      <c r="EU202" s="9"/>
      <c r="EV202" s="9" t="s">
        <v>143</v>
      </c>
      <c r="EW202" s="9"/>
      <c r="EX202" s="9"/>
      <c r="EY202" s="9"/>
      <c r="EZ202" s="9"/>
      <c r="FA202" s="9"/>
      <c r="FB202" s="9"/>
      <c r="FC202" s="9" t="s">
        <v>143</v>
      </c>
      <c r="FD202" s="9"/>
      <c r="FE202" s="9"/>
      <c r="FF202" s="9"/>
      <c r="FG202" s="9"/>
      <c r="FH202" s="9"/>
      <c r="FI202" s="9"/>
      <c r="FJ202" s="9">
        <v>176000</v>
      </c>
      <c r="FK202" s="9"/>
      <c r="FL202" s="9"/>
      <c r="FM202" s="9"/>
      <c r="FN202" s="9">
        <v>176000</v>
      </c>
      <c r="FO202" s="9"/>
      <c r="FP202" s="9"/>
      <c r="FQ202" s="9"/>
      <c r="FR202" s="9">
        <v>176000</v>
      </c>
      <c r="FS202" s="9"/>
      <c r="FT202" s="9">
        <f t="shared" si="61"/>
        <v>528000</v>
      </c>
      <c r="FU202" s="7">
        <f t="shared" si="62"/>
        <v>528000</v>
      </c>
      <c r="FV202" s="11">
        <f t="shared" si="63"/>
        <v>12</v>
      </c>
      <c r="FW202" s="11">
        <f t="shared" si="64"/>
        <v>12</v>
      </c>
      <c r="FX202" s="12">
        <f t="shared" si="65"/>
        <v>3</v>
      </c>
      <c r="FY202" s="12">
        <f t="shared" si="66"/>
        <v>3</v>
      </c>
    </row>
    <row r="203" spans="1:181" ht="43.5" customHeight="1" thickBot="1" x14ac:dyDescent="0.3">
      <c r="A203" s="4">
        <v>3070</v>
      </c>
      <c r="B203" s="27" t="s">
        <v>1265</v>
      </c>
      <c r="C203" s="27" t="s">
        <v>414</v>
      </c>
      <c r="D203" s="2"/>
      <c r="E203" s="3">
        <v>45707</v>
      </c>
      <c r="F203" s="3">
        <f t="shared" si="60"/>
        <v>45861</v>
      </c>
      <c r="G203" s="4">
        <v>110</v>
      </c>
      <c r="H203" s="377">
        <f t="shared" si="67"/>
        <v>90.486111111111114</v>
      </c>
      <c r="I203" s="377">
        <f t="shared" si="69"/>
        <v>19.513888888888886</v>
      </c>
      <c r="J203" s="355" t="s">
        <v>415</v>
      </c>
      <c r="K203" s="10">
        <v>300000</v>
      </c>
      <c r="L203" s="10">
        <v>792000</v>
      </c>
      <c r="M203" s="8">
        <f t="shared" si="68"/>
        <v>36000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>
        <v>72000</v>
      </c>
      <c r="EG203" s="9"/>
      <c r="EH203" s="9"/>
      <c r="EI203" s="9">
        <v>72000</v>
      </c>
      <c r="EJ203" s="9"/>
      <c r="EK203" s="9">
        <v>72000</v>
      </c>
      <c r="EL203" s="9"/>
      <c r="EM203" s="9">
        <v>72000</v>
      </c>
      <c r="EN203" s="9"/>
      <c r="EO203" s="9">
        <v>72000</v>
      </c>
      <c r="EP203" s="9"/>
      <c r="EQ203" s="9"/>
      <c r="ER203" s="9">
        <v>72000</v>
      </c>
      <c r="ES203" s="9"/>
      <c r="ET203" s="9">
        <v>72000</v>
      </c>
      <c r="EU203" s="9"/>
      <c r="EV203" s="9"/>
      <c r="EW203" s="9"/>
      <c r="EX203" s="9">
        <v>40000</v>
      </c>
      <c r="EY203" s="9"/>
      <c r="EZ203" s="9"/>
      <c r="FA203" s="9">
        <v>10000</v>
      </c>
      <c r="FB203" s="9">
        <v>10000</v>
      </c>
      <c r="FC203" s="9">
        <v>10000</v>
      </c>
      <c r="FD203" s="9">
        <v>10000</v>
      </c>
      <c r="FE203" s="9">
        <v>10000</v>
      </c>
      <c r="FF203" s="9"/>
      <c r="FG203" s="9">
        <v>10000</v>
      </c>
      <c r="FH203" s="9"/>
      <c r="FI203" s="9">
        <v>7500</v>
      </c>
      <c r="FJ203" s="9"/>
      <c r="FK203" s="9">
        <v>10000</v>
      </c>
      <c r="FL203" s="9"/>
      <c r="FM203" s="9"/>
      <c r="FN203" s="9"/>
      <c r="FO203" s="9">
        <v>10000</v>
      </c>
      <c r="FP203" s="9">
        <v>10000</v>
      </c>
      <c r="FQ203" s="9"/>
      <c r="FR203" s="9"/>
      <c r="FS203" s="9">
        <v>10000</v>
      </c>
      <c r="FT203" s="9">
        <f t="shared" si="61"/>
        <v>651500</v>
      </c>
      <c r="FU203" s="7">
        <f t="shared" si="62"/>
        <v>140500</v>
      </c>
      <c r="FV203" s="11">
        <f t="shared" si="63"/>
        <v>18.097222222222221</v>
      </c>
      <c r="FW203" s="11">
        <f t="shared" si="64"/>
        <v>3.9027777777777772</v>
      </c>
      <c r="FX203" s="12">
        <f t="shared" si="65"/>
        <v>4.5243055555555554</v>
      </c>
      <c r="FY203" s="12">
        <f t="shared" si="66"/>
        <v>0.97569444444444431</v>
      </c>
    </row>
    <row r="204" spans="1:181" ht="43.5" customHeight="1" thickBot="1" x14ac:dyDescent="0.3">
      <c r="A204" s="4">
        <v>3248</v>
      </c>
      <c r="B204" s="27" t="s">
        <v>1265</v>
      </c>
      <c r="C204" s="27" t="s">
        <v>414</v>
      </c>
      <c r="D204" s="2"/>
      <c r="E204" s="3">
        <v>45826</v>
      </c>
      <c r="F204" s="3">
        <f>WORKDAY(E204,G204)</f>
        <v>45926</v>
      </c>
      <c r="G204" s="4">
        <v>72</v>
      </c>
      <c r="H204" s="377">
        <f t="shared" si="67"/>
        <v>70.238095238095241</v>
      </c>
      <c r="I204" s="377">
        <f t="shared" si="69"/>
        <v>1.7619047619047592</v>
      </c>
      <c r="J204" s="155" t="s">
        <v>464</v>
      </c>
      <c r="K204" s="10">
        <v>70000</v>
      </c>
      <c r="L204" s="10">
        <v>151200</v>
      </c>
      <c r="M204" s="8">
        <f t="shared" si="68"/>
        <v>10500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 t="s">
        <v>143</v>
      </c>
      <c r="EL204" s="9"/>
      <c r="EM204" s="9" t="s">
        <v>143</v>
      </c>
      <c r="EN204" s="9" t="s">
        <v>143</v>
      </c>
      <c r="EO204" s="9"/>
      <c r="EP204" s="9"/>
      <c r="EQ204" s="9"/>
      <c r="ER204" s="9"/>
      <c r="ES204" s="9" t="s">
        <v>143</v>
      </c>
      <c r="ET204" s="9"/>
      <c r="EU204" s="9"/>
      <c r="EV204" s="9"/>
      <c r="EW204" s="9"/>
      <c r="EX204" s="9"/>
      <c r="EY204" s="9"/>
      <c r="EZ204" s="9">
        <v>40000</v>
      </c>
      <c r="FA204" s="9">
        <v>10000</v>
      </c>
      <c r="FB204" s="9">
        <v>10000</v>
      </c>
      <c r="FC204" s="9">
        <v>10000</v>
      </c>
      <c r="FD204" s="9">
        <v>10000</v>
      </c>
      <c r="FE204" s="9">
        <v>10000</v>
      </c>
      <c r="FF204" s="9"/>
      <c r="FG204" s="9">
        <v>10000</v>
      </c>
      <c r="FH204" s="9"/>
      <c r="FI204" s="9">
        <v>7500</v>
      </c>
      <c r="FJ204" s="9"/>
      <c r="FK204" s="9">
        <v>10000</v>
      </c>
      <c r="FL204" s="9"/>
      <c r="FM204" s="9"/>
      <c r="FN204" s="9"/>
      <c r="FO204" s="9">
        <v>10000</v>
      </c>
      <c r="FP204" s="9">
        <v>10000</v>
      </c>
      <c r="FQ204" s="9"/>
      <c r="FR204" s="9"/>
      <c r="FS204" s="9">
        <v>10000</v>
      </c>
      <c r="FT204" s="9">
        <f t="shared" si="61"/>
        <v>147500</v>
      </c>
      <c r="FU204" s="7">
        <f t="shared" si="62"/>
        <v>3700</v>
      </c>
      <c r="FV204" s="11">
        <f t="shared" si="63"/>
        <v>14.047619047619047</v>
      </c>
      <c r="FW204" s="11">
        <f t="shared" si="64"/>
        <v>0.35238095238095185</v>
      </c>
      <c r="FX204" s="12">
        <f t="shared" si="65"/>
        <v>3.5119047619047619</v>
      </c>
      <c r="FY204" s="12">
        <f t="shared" si="66"/>
        <v>8.8095238095237963E-2</v>
      </c>
    </row>
    <row r="205" spans="1:181" ht="43.5" customHeight="1" thickBot="1" x14ac:dyDescent="0.3">
      <c r="A205" s="4">
        <v>3387</v>
      </c>
      <c r="B205" s="27" t="s">
        <v>1332</v>
      </c>
      <c r="C205" s="27" t="s">
        <v>1333</v>
      </c>
      <c r="D205" s="2"/>
      <c r="E205" s="3">
        <v>45909</v>
      </c>
      <c r="F205" s="3">
        <f>WORKDAY(E205,G205)</f>
        <v>46133</v>
      </c>
      <c r="G205" s="4">
        <v>160</v>
      </c>
      <c r="H205" s="377">
        <f t="shared" si="67"/>
        <v>40</v>
      </c>
      <c r="I205" s="377">
        <f t="shared" si="69"/>
        <v>120</v>
      </c>
      <c r="J205" s="355" t="s">
        <v>1331</v>
      </c>
      <c r="K205" s="7">
        <v>1000000</v>
      </c>
      <c r="L205" s="7">
        <v>2880000</v>
      </c>
      <c r="M205" s="21">
        <f t="shared" si="68"/>
        <v>90000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 t="s">
        <v>143</v>
      </c>
      <c r="EL205" s="9"/>
      <c r="EM205" s="9" t="s">
        <v>143</v>
      </c>
      <c r="EN205" s="9" t="s">
        <v>143</v>
      </c>
      <c r="EO205" s="9"/>
      <c r="EP205" s="9"/>
      <c r="EQ205" s="9"/>
      <c r="ER205" s="9"/>
      <c r="ES205" s="9" t="s">
        <v>143</v>
      </c>
      <c r="ET205" s="9"/>
      <c r="EU205" s="9"/>
      <c r="EV205" s="9" t="s">
        <v>143</v>
      </c>
      <c r="EW205" s="9"/>
      <c r="EX205" s="9"/>
      <c r="EY205" s="9"/>
      <c r="EZ205" s="9"/>
      <c r="FA205" s="9"/>
      <c r="FB205" s="9"/>
      <c r="FC205" s="9" t="s">
        <v>143</v>
      </c>
      <c r="FD205" s="9"/>
      <c r="FE205" s="9"/>
      <c r="FF205" s="9"/>
      <c r="FG205" s="9"/>
      <c r="FH205" s="9"/>
      <c r="FI205" s="9"/>
      <c r="FJ205" s="9">
        <v>360000</v>
      </c>
      <c r="FK205" s="9"/>
      <c r="FL205" s="9"/>
      <c r="FM205" s="9"/>
      <c r="FN205" s="9"/>
      <c r="FO205" s="9">
        <v>360000</v>
      </c>
      <c r="FP205" s="9"/>
      <c r="FQ205" s="9"/>
      <c r="FR205" s="9"/>
      <c r="FS205" s="9"/>
      <c r="FT205" s="9">
        <f t="shared" si="61"/>
        <v>720000</v>
      </c>
      <c r="FU205" s="7">
        <f t="shared" si="62"/>
        <v>2160000</v>
      </c>
      <c r="FV205" s="11">
        <f t="shared" si="63"/>
        <v>8</v>
      </c>
      <c r="FW205" s="11">
        <f t="shared" si="64"/>
        <v>24</v>
      </c>
      <c r="FX205" s="12">
        <f t="shared" si="65"/>
        <v>2</v>
      </c>
      <c r="FY205" s="12">
        <f t="shared" si="66"/>
        <v>6</v>
      </c>
    </row>
    <row r="206" spans="1:181" ht="43.5" customHeight="1" thickBot="1" x14ac:dyDescent="0.3">
      <c r="A206" s="4">
        <v>3337</v>
      </c>
      <c r="B206" s="2" t="s">
        <v>739</v>
      </c>
      <c r="C206" s="2" t="s">
        <v>740</v>
      </c>
      <c r="D206" s="2">
        <v>24324078</v>
      </c>
      <c r="E206" s="3">
        <v>45877</v>
      </c>
      <c r="F206" s="3">
        <f t="shared" si="60"/>
        <v>46157</v>
      </c>
      <c r="G206" s="29">
        <v>200</v>
      </c>
      <c r="H206" s="377">
        <f t="shared" si="67"/>
        <v>33.516483516483518</v>
      </c>
      <c r="I206" s="377">
        <f t="shared" si="69"/>
        <v>166.4835164835165</v>
      </c>
      <c r="J206" s="2" t="s">
        <v>1303</v>
      </c>
      <c r="K206" s="10">
        <v>700000</v>
      </c>
      <c r="L206" s="10">
        <v>2184000</v>
      </c>
      <c r="M206" s="21">
        <f t="shared" si="68"/>
        <v>54600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 t="s">
        <v>143</v>
      </c>
      <c r="EL206" s="9"/>
      <c r="EM206" s="9" t="s">
        <v>143</v>
      </c>
      <c r="EN206" s="9" t="s">
        <v>143</v>
      </c>
      <c r="EO206" s="9"/>
      <c r="EP206" s="9"/>
      <c r="EQ206" s="9"/>
      <c r="ER206" s="9"/>
      <c r="ES206" s="9" t="s">
        <v>143</v>
      </c>
      <c r="ET206" s="9"/>
      <c r="EU206" s="9"/>
      <c r="EV206" s="9" t="s">
        <v>143</v>
      </c>
      <c r="EW206" s="9"/>
      <c r="EX206" s="9"/>
      <c r="EY206" s="9"/>
      <c r="EZ206" s="9"/>
      <c r="FA206" s="9"/>
      <c r="FB206" s="9"/>
      <c r="FC206" s="9"/>
      <c r="FD206" s="9"/>
      <c r="FE206" s="9"/>
      <c r="FF206" s="9">
        <v>100000</v>
      </c>
      <c r="FG206" s="9">
        <v>60000</v>
      </c>
      <c r="FH206" s="9"/>
      <c r="FI206" s="9"/>
      <c r="FJ206" s="9">
        <v>46000</v>
      </c>
      <c r="FK206" s="9"/>
      <c r="FL206" s="9"/>
      <c r="FM206" s="9">
        <v>60000</v>
      </c>
      <c r="FN206" s="9"/>
      <c r="FO206" s="9"/>
      <c r="FP206" s="9"/>
      <c r="FQ206" s="9"/>
      <c r="FR206" s="9">
        <v>100000</v>
      </c>
      <c r="FS206" s="9"/>
      <c r="FT206" s="9">
        <f t="shared" si="61"/>
        <v>366000</v>
      </c>
      <c r="FU206" s="7">
        <f t="shared" si="62"/>
        <v>1818000</v>
      </c>
      <c r="FV206" s="11">
        <f t="shared" si="63"/>
        <v>6.7032967032967035</v>
      </c>
      <c r="FW206" s="11">
        <f t="shared" si="64"/>
        <v>33.296703296703299</v>
      </c>
      <c r="FX206" s="12">
        <f t="shared" si="65"/>
        <v>1.6758241758241759</v>
      </c>
      <c r="FY206" s="12">
        <f t="shared" si="66"/>
        <v>8.3241758241758248</v>
      </c>
    </row>
    <row r="207" spans="1:181" ht="43.5" customHeight="1" thickBot="1" x14ac:dyDescent="0.3">
      <c r="A207" s="4">
        <v>3390</v>
      </c>
      <c r="B207" s="27" t="s">
        <v>416</v>
      </c>
      <c r="C207" s="27" t="s">
        <v>417</v>
      </c>
      <c r="D207" s="28"/>
      <c r="E207" s="3">
        <v>45912</v>
      </c>
      <c r="F207" s="3">
        <f t="shared" si="60"/>
        <v>46080</v>
      </c>
      <c r="G207" s="29">
        <v>120</v>
      </c>
      <c r="H207" s="377">
        <f t="shared" si="67"/>
        <v>60</v>
      </c>
      <c r="I207" s="377">
        <f t="shared" si="69"/>
        <v>60</v>
      </c>
      <c r="J207" s="363" t="s">
        <v>1338</v>
      </c>
      <c r="K207" s="7">
        <v>500000</v>
      </c>
      <c r="L207" s="7">
        <v>1320000</v>
      </c>
      <c r="M207" s="21">
        <f t="shared" si="68"/>
        <v>55000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 t="s">
        <v>143</v>
      </c>
      <c r="EL207" s="9"/>
      <c r="EM207" s="9" t="s">
        <v>143</v>
      </c>
      <c r="EN207" s="9" t="s">
        <v>143</v>
      </c>
      <c r="EO207" s="9"/>
      <c r="EP207" s="9"/>
      <c r="EQ207" s="9"/>
      <c r="ER207" s="9"/>
      <c r="ES207" s="9" t="s">
        <v>143</v>
      </c>
      <c r="ET207" s="9"/>
      <c r="EU207" s="9"/>
      <c r="EV207" s="9" t="s">
        <v>143</v>
      </c>
      <c r="EW207" s="9"/>
      <c r="EX207" s="9"/>
      <c r="EY207" s="9"/>
      <c r="EZ207" s="9"/>
      <c r="FA207" s="9"/>
      <c r="FB207" s="9"/>
      <c r="FC207" s="9" t="s">
        <v>143</v>
      </c>
      <c r="FD207" s="9"/>
      <c r="FE207" s="9"/>
      <c r="FF207" s="9"/>
      <c r="FG207" s="9"/>
      <c r="FH207" s="9"/>
      <c r="FI207" s="9"/>
      <c r="FJ207" s="9"/>
      <c r="FK207" s="9">
        <v>220000</v>
      </c>
      <c r="FL207" s="9"/>
      <c r="FM207" s="9"/>
      <c r="FN207" s="9"/>
      <c r="FO207" s="9"/>
      <c r="FP207" s="9">
        <v>220000</v>
      </c>
      <c r="FQ207" s="9">
        <v>220000</v>
      </c>
      <c r="FR207" s="9"/>
      <c r="FS207" s="9"/>
      <c r="FT207" s="9">
        <f t="shared" si="61"/>
        <v>660000</v>
      </c>
      <c r="FU207" s="7">
        <f t="shared" si="62"/>
        <v>660000</v>
      </c>
      <c r="FV207" s="11">
        <f t="shared" si="63"/>
        <v>12</v>
      </c>
      <c r="FW207" s="11">
        <f t="shared" si="64"/>
        <v>12</v>
      </c>
      <c r="FX207" s="12">
        <f t="shared" si="65"/>
        <v>3</v>
      </c>
      <c r="FY207" s="12">
        <f t="shared" si="66"/>
        <v>3</v>
      </c>
    </row>
    <row r="208" spans="1:181" ht="43.5" customHeight="1" thickBot="1" x14ac:dyDescent="0.3">
      <c r="A208" s="4">
        <v>3201</v>
      </c>
      <c r="B208" s="27" t="s">
        <v>419</v>
      </c>
      <c r="C208" s="27" t="s">
        <v>420</v>
      </c>
      <c r="D208" s="2"/>
      <c r="E208" s="3">
        <v>45794</v>
      </c>
      <c r="F208" s="3">
        <f>WORKDAY(E208,G208)</f>
        <v>46017</v>
      </c>
      <c r="G208" s="4">
        <v>160</v>
      </c>
      <c r="H208" s="377">
        <f t="shared" si="67"/>
        <v>100</v>
      </c>
      <c r="I208" s="377">
        <f t="shared" si="69"/>
        <v>60</v>
      </c>
      <c r="J208" s="355" t="s">
        <v>1220</v>
      </c>
      <c r="K208" s="7">
        <v>170000</v>
      </c>
      <c r="L208" s="7">
        <v>510000</v>
      </c>
      <c r="M208" s="21">
        <f t="shared" si="68"/>
        <v>15937.5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 t="s">
        <v>143</v>
      </c>
      <c r="EL208" s="9"/>
      <c r="EM208" s="9" t="s">
        <v>143</v>
      </c>
      <c r="EN208" s="9" t="s">
        <v>143</v>
      </c>
      <c r="EO208" s="9"/>
      <c r="EP208" s="9"/>
      <c r="EQ208" s="9"/>
      <c r="ER208" s="9"/>
      <c r="ES208" s="9"/>
      <c r="ET208" s="9"/>
      <c r="EU208" s="9">
        <v>63750</v>
      </c>
      <c r="EV208" s="9"/>
      <c r="EW208" s="9"/>
      <c r="EX208" s="9"/>
      <c r="EY208" s="9">
        <v>63750</v>
      </c>
      <c r="EZ208" s="9"/>
      <c r="FA208" s="9"/>
      <c r="FB208" s="9"/>
      <c r="FC208" s="9"/>
      <c r="FD208" s="9">
        <v>63750</v>
      </c>
      <c r="FE208" s="9"/>
      <c r="FF208" s="9"/>
      <c r="FG208" s="9"/>
      <c r="FH208" s="9">
        <v>63750</v>
      </c>
      <c r="FI208" s="9"/>
      <c r="FJ208" s="9"/>
      <c r="FK208" s="9"/>
      <c r="FL208" s="9">
        <v>63750</v>
      </c>
      <c r="FM208" s="9"/>
      <c r="FN208" s="9"/>
      <c r="FO208" s="9"/>
      <c r="FP208" s="9"/>
      <c r="FQ208" s="9"/>
      <c r="FR208" s="9"/>
      <c r="FS208" s="9"/>
      <c r="FT208" s="9">
        <f t="shared" si="61"/>
        <v>318750</v>
      </c>
      <c r="FU208" s="7">
        <f t="shared" si="62"/>
        <v>191250</v>
      </c>
      <c r="FV208" s="11">
        <f t="shared" si="63"/>
        <v>20</v>
      </c>
      <c r="FW208" s="11">
        <f t="shared" si="64"/>
        <v>12</v>
      </c>
      <c r="FX208" s="12">
        <f t="shared" si="65"/>
        <v>5</v>
      </c>
      <c r="FY208" s="12">
        <f t="shared" si="66"/>
        <v>3</v>
      </c>
    </row>
    <row r="209" spans="1:181" ht="43.5" customHeight="1" thickBot="1" x14ac:dyDescent="0.3">
      <c r="A209" s="4">
        <v>3256</v>
      </c>
      <c r="B209" s="27" t="s">
        <v>419</v>
      </c>
      <c r="C209" s="27" t="s">
        <v>420</v>
      </c>
      <c r="D209" s="2"/>
      <c r="E209" s="3">
        <v>45830</v>
      </c>
      <c r="F209" s="3">
        <f t="shared" si="60"/>
        <v>45982</v>
      </c>
      <c r="G209" s="4">
        <v>110</v>
      </c>
      <c r="H209" s="377">
        <f t="shared" si="67"/>
        <v>65</v>
      </c>
      <c r="I209" s="377">
        <f t="shared" si="69"/>
        <v>45</v>
      </c>
      <c r="J209" s="155" t="s">
        <v>193</v>
      </c>
      <c r="K209" s="22">
        <v>200000</v>
      </c>
      <c r="L209" s="10">
        <v>528000</v>
      </c>
      <c r="M209" s="21">
        <f t="shared" si="68"/>
        <v>24000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 t="s">
        <v>143</v>
      </c>
      <c r="EL209" s="9"/>
      <c r="EM209" s="9" t="s">
        <v>143</v>
      </c>
      <c r="EN209" s="9" t="s">
        <v>143</v>
      </c>
      <c r="EO209" s="9"/>
      <c r="EP209" s="9"/>
      <c r="EQ209" s="9"/>
      <c r="ER209" s="9"/>
      <c r="ES209" s="9" t="s">
        <v>143</v>
      </c>
      <c r="ET209" s="9"/>
      <c r="EU209" s="9"/>
      <c r="EV209" s="9">
        <v>24000</v>
      </c>
      <c r="EW209" s="9"/>
      <c r="EX209" s="9">
        <v>24000</v>
      </c>
      <c r="EY209" s="9">
        <v>24000</v>
      </c>
      <c r="EZ209" s="9"/>
      <c r="FA209" s="9">
        <v>48000</v>
      </c>
      <c r="FB209" s="9"/>
      <c r="FC209" s="9">
        <v>24000</v>
      </c>
      <c r="FD209" s="9"/>
      <c r="FE209" s="9"/>
      <c r="FF209" s="9"/>
      <c r="FG209" s="9">
        <v>24000</v>
      </c>
      <c r="FH209" s="9"/>
      <c r="FI209" s="9">
        <v>24000</v>
      </c>
      <c r="FJ209" s="9">
        <v>24000</v>
      </c>
      <c r="FK209" s="9"/>
      <c r="FL209" s="9"/>
      <c r="FM209" s="9">
        <v>24000</v>
      </c>
      <c r="FN209" s="9">
        <v>24000</v>
      </c>
      <c r="FO209" s="9"/>
      <c r="FP209" s="9"/>
      <c r="FQ209" s="9">
        <v>24000</v>
      </c>
      <c r="FR209" s="9">
        <v>24000</v>
      </c>
      <c r="FS209" s="9"/>
      <c r="FT209" s="9">
        <f t="shared" si="61"/>
        <v>312000</v>
      </c>
      <c r="FU209" s="7">
        <f t="shared" si="62"/>
        <v>216000</v>
      </c>
      <c r="FV209" s="11">
        <f t="shared" si="63"/>
        <v>13</v>
      </c>
      <c r="FW209" s="11">
        <f t="shared" si="64"/>
        <v>9</v>
      </c>
      <c r="FX209" s="12">
        <f t="shared" si="65"/>
        <v>3.25</v>
      </c>
      <c r="FY209" s="12">
        <f t="shared" si="66"/>
        <v>2.25</v>
      </c>
    </row>
    <row r="210" spans="1:181" ht="43.5" customHeight="1" thickBot="1" x14ac:dyDescent="0.3">
      <c r="A210" s="4">
        <v>3282</v>
      </c>
      <c r="B210" s="27" t="s">
        <v>419</v>
      </c>
      <c r="C210" s="27" t="s">
        <v>420</v>
      </c>
      <c r="D210" s="2"/>
      <c r="E210" s="3">
        <v>45849</v>
      </c>
      <c r="F210" s="3">
        <f t="shared" si="60"/>
        <v>46003</v>
      </c>
      <c r="G210" s="4">
        <v>110</v>
      </c>
      <c r="H210" s="377">
        <f t="shared" si="67"/>
        <v>50</v>
      </c>
      <c r="I210" s="377">
        <f t="shared" si="69"/>
        <v>60</v>
      </c>
      <c r="J210" s="155" t="s">
        <v>452</v>
      </c>
      <c r="K210" s="7">
        <v>250000</v>
      </c>
      <c r="L210" s="7">
        <v>660000</v>
      </c>
      <c r="M210" s="21">
        <f t="shared" si="68"/>
        <v>30000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 t="s">
        <v>143</v>
      </c>
      <c r="EL210" s="9"/>
      <c r="EM210" s="9" t="s">
        <v>143</v>
      </c>
      <c r="EN210" s="9" t="s">
        <v>143</v>
      </c>
      <c r="EO210" s="9"/>
      <c r="EP210" s="9"/>
      <c r="EQ210" s="9"/>
      <c r="ER210" s="9"/>
      <c r="ES210" s="9" t="s">
        <v>143</v>
      </c>
      <c r="ET210" s="9"/>
      <c r="EU210" s="9"/>
      <c r="EV210" s="9" t="s">
        <v>143</v>
      </c>
      <c r="EW210" s="9"/>
      <c r="EX210" s="9"/>
      <c r="EY210" s="9"/>
      <c r="EZ210" s="9">
        <v>30000</v>
      </c>
      <c r="FA210" s="9">
        <v>30000</v>
      </c>
      <c r="FB210" s="9"/>
      <c r="FC210" s="9">
        <v>30000</v>
      </c>
      <c r="FD210" s="9"/>
      <c r="FE210" s="9"/>
      <c r="FF210" s="9"/>
      <c r="FG210" s="9">
        <v>30000</v>
      </c>
      <c r="FH210" s="9"/>
      <c r="FI210" s="9">
        <v>30000</v>
      </c>
      <c r="FJ210" s="9">
        <v>30000</v>
      </c>
      <c r="FK210" s="9"/>
      <c r="FL210" s="9"/>
      <c r="FM210" s="9">
        <v>30000</v>
      </c>
      <c r="FN210" s="9">
        <v>30000</v>
      </c>
      <c r="FO210" s="9"/>
      <c r="FP210" s="9"/>
      <c r="FQ210" s="9">
        <v>30000</v>
      </c>
      <c r="FR210" s="9">
        <v>30000</v>
      </c>
      <c r="FS210" s="9"/>
      <c r="FT210" s="9">
        <f t="shared" si="61"/>
        <v>300000</v>
      </c>
      <c r="FU210" s="7">
        <f t="shared" si="62"/>
        <v>360000</v>
      </c>
      <c r="FV210" s="11">
        <f t="shared" si="63"/>
        <v>10</v>
      </c>
      <c r="FW210" s="11">
        <f t="shared" si="64"/>
        <v>12</v>
      </c>
      <c r="FX210" s="12">
        <f t="shared" si="65"/>
        <v>2.5</v>
      </c>
      <c r="FY210" s="12">
        <f t="shared" si="66"/>
        <v>3</v>
      </c>
    </row>
    <row r="211" spans="1:181" ht="43.5" customHeight="1" thickBot="1" x14ac:dyDescent="0.3">
      <c r="A211" s="4">
        <v>3302</v>
      </c>
      <c r="B211" s="27" t="s">
        <v>419</v>
      </c>
      <c r="C211" s="27" t="s">
        <v>420</v>
      </c>
      <c r="D211" s="2"/>
      <c r="E211" s="3">
        <v>45859</v>
      </c>
      <c r="F211" s="3">
        <f t="shared" si="60"/>
        <v>46139</v>
      </c>
      <c r="G211" s="4">
        <v>200</v>
      </c>
      <c r="H211" s="377">
        <f t="shared" si="67"/>
        <v>60</v>
      </c>
      <c r="I211" s="377">
        <f t="shared" si="69"/>
        <v>140</v>
      </c>
      <c r="J211" s="355" t="s">
        <v>1282</v>
      </c>
      <c r="K211" s="7">
        <v>250000</v>
      </c>
      <c r="L211" s="7">
        <v>850000</v>
      </c>
      <c r="M211" s="21">
        <f t="shared" si="68"/>
        <v>21250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 t="s">
        <v>143</v>
      </c>
      <c r="EL211" s="9"/>
      <c r="EM211" s="9" t="s">
        <v>143</v>
      </c>
      <c r="EN211" s="9" t="s">
        <v>143</v>
      </c>
      <c r="EO211" s="9"/>
      <c r="EP211" s="9"/>
      <c r="EQ211" s="9"/>
      <c r="ER211" s="9"/>
      <c r="ES211" s="9" t="s">
        <v>143</v>
      </c>
      <c r="ET211" s="9"/>
      <c r="EU211" s="9"/>
      <c r="EV211" s="9" t="s">
        <v>143</v>
      </c>
      <c r="EW211" s="9"/>
      <c r="EX211" s="9"/>
      <c r="EY211" s="9"/>
      <c r="EZ211" s="9"/>
      <c r="FA211" s="9"/>
      <c r="FB211" s="9"/>
      <c r="FC211" s="9"/>
      <c r="FD211" s="9">
        <v>85000</v>
      </c>
      <c r="FE211" s="9"/>
      <c r="FF211" s="9"/>
      <c r="FG211" s="9"/>
      <c r="FH211" s="9">
        <v>85000</v>
      </c>
      <c r="FI211" s="9"/>
      <c r="FJ211" s="9"/>
      <c r="FK211" s="9"/>
      <c r="FL211" s="9">
        <v>85000</v>
      </c>
      <c r="FM211" s="9"/>
      <c r="FN211" s="9"/>
      <c r="FO211" s="9"/>
      <c r="FP211" s="9"/>
      <c r="FQ211" s="9"/>
      <c r="FR211" s="9"/>
      <c r="FS211" s="9"/>
      <c r="FT211" s="9">
        <f t="shared" si="61"/>
        <v>255000</v>
      </c>
      <c r="FU211" s="7">
        <f t="shared" si="62"/>
        <v>595000</v>
      </c>
      <c r="FV211" s="11">
        <f t="shared" si="63"/>
        <v>12</v>
      </c>
      <c r="FW211" s="11">
        <f t="shared" si="64"/>
        <v>28</v>
      </c>
      <c r="FX211" s="12">
        <f t="shared" si="65"/>
        <v>3</v>
      </c>
      <c r="FY211" s="12">
        <f t="shared" si="66"/>
        <v>7</v>
      </c>
    </row>
    <row r="212" spans="1:181" ht="43.5" customHeight="1" thickBot="1" x14ac:dyDescent="0.3">
      <c r="A212" s="4">
        <v>3330</v>
      </c>
      <c r="B212" s="27" t="s">
        <v>419</v>
      </c>
      <c r="C212" s="27" t="s">
        <v>420</v>
      </c>
      <c r="D212" s="2"/>
      <c r="E212" s="3">
        <v>45871</v>
      </c>
      <c r="F212" s="3">
        <f t="shared" si="60"/>
        <v>46024</v>
      </c>
      <c r="G212" s="4">
        <v>110</v>
      </c>
      <c r="H212" s="377">
        <f t="shared" si="67"/>
        <v>34.333333333333336</v>
      </c>
      <c r="I212" s="377">
        <f t="shared" si="69"/>
        <v>75.666666666666657</v>
      </c>
      <c r="J212" s="155" t="s">
        <v>193</v>
      </c>
      <c r="K212" s="7">
        <v>250000</v>
      </c>
      <c r="L212" s="7">
        <v>660000</v>
      </c>
      <c r="M212" s="21">
        <f t="shared" si="68"/>
        <v>30000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 t="s">
        <v>143</v>
      </c>
      <c r="EL212" s="9"/>
      <c r="EM212" s="9" t="s">
        <v>143</v>
      </c>
      <c r="EN212" s="9" t="s">
        <v>143</v>
      </c>
      <c r="EO212" s="9"/>
      <c r="EP212" s="9"/>
      <c r="EQ212" s="9"/>
      <c r="ER212" s="9"/>
      <c r="ES212" s="9" t="s">
        <v>143</v>
      </c>
      <c r="ET212" s="9"/>
      <c r="EU212" s="9"/>
      <c r="EV212" s="9" t="s">
        <v>143</v>
      </c>
      <c r="EW212" s="9"/>
      <c r="EX212" s="9"/>
      <c r="EY212" s="9"/>
      <c r="EZ212" s="9"/>
      <c r="FA212" s="9"/>
      <c r="FB212" s="9"/>
      <c r="FC212" s="9">
        <v>30000</v>
      </c>
      <c r="FD212" s="9"/>
      <c r="FE212" s="9"/>
      <c r="FF212" s="9"/>
      <c r="FG212" s="9">
        <v>26000</v>
      </c>
      <c r="FH212" s="9">
        <v>4000</v>
      </c>
      <c r="FI212" s="9">
        <v>30000</v>
      </c>
      <c r="FJ212" s="9">
        <v>30000</v>
      </c>
      <c r="FK212" s="9"/>
      <c r="FL212" s="9"/>
      <c r="FM212" s="9">
        <v>26000</v>
      </c>
      <c r="FN212" s="9"/>
      <c r="FO212" s="9"/>
      <c r="FP212" s="9"/>
      <c r="FQ212" s="9">
        <v>30000</v>
      </c>
      <c r="FR212" s="9">
        <v>30000</v>
      </c>
      <c r="FS212" s="9"/>
      <c r="FT212" s="9">
        <f t="shared" si="61"/>
        <v>206000</v>
      </c>
      <c r="FU212" s="7">
        <f t="shared" si="62"/>
        <v>454000</v>
      </c>
      <c r="FV212" s="11">
        <f t="shared" si="63"/>
        <v>6.8666666666666671</v>
      </c>
      <c r="FW212" s="11">
        <f t="shared" si="64"/>
        <v>15.133333333333331</v>
      </c>
      <c r="FX212" s="12">
        <f t="shared" si="65"/>
        <v>1.7166666666666668</v>
      </c>
      <c r="FY212" s="12">
        <f t="shared" si="66"/>
        <v>3.7833333333333328</v>
      </c>
    </row>
    <row r="213" spans="1:181" ht="43.5" customHeight="1" thickBot="1" x14ac:dyDescent="0.3">
      <c r="A213" s="4">
        <v>3418</v>
      </c>
      <c r="B213" s="27" t="s">
        <v>419</v>
      </c>
      <c r="C213" s="27" t="s">
        <v>420</v>
      </c>
      <c r="D213" s="2"/>
      <c r="E213" s="3">
        <v>45927</v>
      </c>
      <c r="F213" s="3">
        <f t="shared" si="60"/>
        <v>46206</v>
      </c>
      <c r="G213" s="4">
        <v>200</v>
      </c>
      <c r="H213" s="377">
        <f t="shared" si="67"/>
        <v>20</v>
      </c>
      <c r="I213" s="377">
        <f t="shared" si="69"/>
        <v>180</v>
      </c>
      <c r="J213" s="355" t="s">
        <v>1353</v>
      </c>
      <c r="K213" s="7">
        <v>200000</v>
      </c>
      <c r="L213" s="7">
        <v>624000</v>
      </c>
      <c r="M213" s="21">
        <f t="shared" si="68"/>
        <v>15600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 t="s">
        <v>143</v>
      </c>
      <c r="EL213" s="9"/>
      <c r="EM213" s="9" t="s">
        <v>143</v>
      </c>
      <c r="EN213" s="9" t="s">
        <v>143</v>
      </c>
      <c r="EO213" s="9"/>
      <c r="EP213" s="9"/>
      <c r="EQ213" s="9"/>
      <c r="ER213" s="9"/>
      <c r="ES213" s="9" t="s">
        <v>143</v>
      </c>
      <c r="ET213" s="9"/>
      <c r="EU213" s="9"/>
      <c r="EV213" s="9" t="s">
        <v>143</v>
      </c>
      <c r="EW213" s="9"/>
      <c r="EX213" s="9"/>
      <c r="EY213" s="9"/>
      <c r="EZ213" s="9"/>
      <c r="FA213" s="9"/>
      <c r="FB213" s="9"/>
      <c r="FC213" s="9" t="s">
        <v>143</v>
      </c>
      <c r="FD213" s="9"/>
      <c r="FE213" s="9"/>
      <c r="FF213" s="9"/>
      <c r="FG213" s="9"/>
      <c r="FH213" s="9"/>
      <c r="FI213" s="9"/>
      <c r="FJ213" s="9"/>
      <c r="FK213" s="9"/>
      <c r="FL213" s="9">
        <v>62400</v>
      </c>
      <c r="FM213" s="9"/>
      <c r="FN213" s="9"/>
      <c r="FO213" s="9"/>
      <c r="FP213" s="9"/>
      <c r="FQ213" s="9"/>
      <c r="FR213" s="9"/>
      <c r="FS213" s="9"/>
      <c r="FT213" s="9">
        <f t="shared" si="61"/>
        <v>62400</v>
      </c>
      <c r="FU213" s="7">
        <f t="shared" si="62"/>
        <v>561600</v>
      </c>
      <c r="FV213" s="11">
        <f t="shared" si="63"/>
        <v>4</v>
      </c>
      <c r="FW213" s="11">
        <f t="shared" si="64"/>
        <v>36</v>
      </c>
      <c r="FX213" s="12">
        <f t="shared" si="65"/>
        <v>1</v>
      </c>
      <c r="FY213" s="12">
        <f t="shared" si="66"/>
        <v>9</v>
      </c>
    </row>
    <row r="214" spans="1:181" ht="43.5" customHeight="1" thickBot="1" x14ac:dyDescent="0.3">
      <c r="A214" s="4">
        <v>3188</v>
      </c>
      <c r="B214" s="27" t="s">
        <v>1228</v>
      </c>
      <c r="C214" s="27" t="s">
        <v>420</v>
      </c>
      <c r="D214" s="2"/>
      <c r="E214" s="3">
        <v>45789</v>
      </c>
      <c r="F214" s="3">
        <f t="shared" si="60"/>
        <v>45943</v>
      </c>
      <c r="G214" s="4">
        <v>110</v>
      </c>
      <c r="H214" s="377">
        <f t="shared" si="67"/>
        <v>60</v>
      </c>
      <c r="I214" s="377">
        <f t="shared" si="69"/>
        <v>50</v>
      </c>
      <c r="J214" s="155" t="s">
        <v>422</v>
      </c>
      <c r="K214" s="19">
        <v>150000</v>
      </c>
      <c r="L214" s="7">
        <v>396000</v>
      </c>
      <c r="M214" s="21">
        <f t="shared" si="68"/>
        <v>18000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 t="s">
        <v>143</v>
      </c>
      <c r="EL214" s="9"/>
      <c r="EM214" s="9" t="s">
        <v>143</v>
      </c>
      <c r="EN214" s="9" t="s">
        <v>143</v>
      </c>
      <c r="EO214" s="9"/>
      <c r="EP214" s="9">
        <v>18000</v>
      </c>
      <c r="EQ214" s="9"/>
      <c r="ER214" s="9">
        <v>18000</v>
      </c>
      <c r="ES214" s="9"/>
      <c r="ET214" s="9">
        <v>36000</v>
      </c>
      <c r="EU214" s="9"/>
      <c r="EV214" s="9">
        <v>36000</v>
      </c>
      <c r="EW214" s="9">
        <v>18000</v>
      </c>
      <c r="EX214" s="9"/>
      <c r="EY214" s="9">
        <v>18000</v>
      </c>
      <c r="EZ214" s="9"/>
      <c r="FA214" s="9"/>
      <c r="FB214" s="9">
        <v>18000</v>
      </c>
      <c r="FC214" s="9"/>
      <c r="FD214" s="9">
        <v>18000</v>
      </c>
      <c r="FE214" s="9">
        <v>18000</v>
      </c>
      <c r="FF214" s="9"/>
      <c r="FG214" s="9"/>
      <c r="FH214" s="9"/>
      <c r="FI214" s="9">
        <v>18000</v>
      </c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>
        <f t="shared" si="61"/>
        <v>216000</v>
      </c>
      <c r="FU214" s="7">
        <f t="shared" si="62"/>
        <v>180000</v>
      </c>
      <c r="FV214" s="11">
        <f t="shared" si="63"/>
        <v>12</v>
      </c>
      <c r="FW214" s="11">
        <f t="shared" si="64"/>
        <v>10</v>
      </c>
      <c r="FX214" s="12">
        <f t="shared" si="65"/>
        <v>3</v>
      </c>
      <c r="FY214" s="12">
        <f t="shared" si="66"/>
        <v>2.5</v>
      </c>
    </row>
    <row r="215" spans="1:181" ht="43.5" customHeight="1" thickBot="1" x14ac:dyDescent="0.3">
      <c r="A215" s="4">
        <v>3235</v>
      </c>
      <c r="B215" s="27" t="s">
        <v>424</v>
      </c>
      <c r="C215" s="27" t="s">
        <v>425</v>
      </c>
      <c r="D215" s="2"/>
      <c r="E215" s="3">
        <v>45818</v>
      </c>
      <c r="F215" s="3">
        <f t="shared" si="60"/>
        <v>45972</v>
      </c>
      <c r="G215" s="4">
        <v>110</v>
      </c>
      <c r="H215" s="377">
        <f t="shared" si="67"/>
        <v>110</v>
      </c>
      <c r="I215" s="377">
        <f t="shared" si="69"/>
        <v>0</v>
      </c>
      <c r="J215" s="155" t="s">
        <v>349</v>
      </c>
      <c r="K215" s="7">
        <v>150000</v>
      </c>
      <c r="L215" s="7">
        <v>396000</v>
      </c>
      <c r="M215" s="21">
        <f t="shared" si="68"/>
        <v>18000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 t="s">
        <v>143</v>
      </c>
      <c r="EL215" s="9"/>
      <c r="EM215" s="9" t="s">
        <v>143</v>
      </c>
      <c r="EN215" s="9" t="s">
        <v>143</v>
      </c>
      <c r="EO215" s="9"/>
      <c r="EP215" s="9"/>
      <c r="EQ215" s="9"/>
      <c r="ER215" s="9"/>
      <c r="ES215" s="9" t="s">
        <v>143</v>
      </c>
      <c r="ET215" s="9"/>
      <c r="EU215" s="9">
        <v>18000</v>
      </c>
      <c r="EV215" s="9">
        <v>18000</v>
      </c>
      <c r="EW215" s="9">
        <v>18000</v>
      </c>
      <c r="EX215" s="9"/>
      <c r="EY215" s="9">
        <v>36000</v>
      </c>
      <c r="EZ215" s="9"/>
      <c r="FA215" s="9">
        <v>36000</v>
      </c>
      <c r="FB215" s="9">
        <v>18000</v>
      </c>
      <c r="FC215" s="9"/>
      <c r="FD215" s="9">
        <v>18000</v>
      </c>
      <c r="FE215" s="9">
        <v>18000</v>
      </c>
      <c r="FF215" s="9">
        <v>18000</v>
      </c>
      <c r="FG215" s="9">
        <v>18000</v>
      </c>
      <c r="FH215" s="9">
        <v>18000</v>
      </c>
      <c r="FI215" s="9">
        <v>18000</v>
      </c>
      <c r="FJ215" s="9">
        <v>18000</v>
      </c>
      <c r="FK215" s="9">
        <v>18000</v>
      </c>
      <c r="FL215" s="9">
        <v>18000</v>
      </c>
      <c r="FM215" s="9">
        <v>18000</v>
      </c>
      <c r="FN215" s="9" t="s">
        <v>143</v>
      </c>
      <c r="FO215" s="9">
        <v>18000</v>
      </c>
      <c r="FP215" s="9">
        <v>18000</v>
      </c>
      <c r="FQ215" s="9"/>
      <c r="FR215" s="9">
        <v>18000</v>
      </c>
      <c r="FS215" s="9">
        <v>18000</v>
      </c>
      <c r="FT215" s="9">
        <f t="shared" si="61"/>
        <v>396000</v>
      </c>
      <c r="FU215" s="7">
        <f t="shared" si="62"/>
        <v>0</v>
      </c>
      <c r="FV215" s="11">
        <f t="shared" si="63"/>
        <v>22</v>
      </c>
      <c r="FW215" s="11">
        <f t="shared" si="64"/>
        <v>0</v>
      </c>
      <c r="FX215" s="12">
        <f t="shared" si="65"/>
        <v>5.5</v>
      </c>
      <c r="FY215" s="12">
        <f t="shared" si="66"/>
        <v>0</v>
      </c>
    </row>
    <row r="216" spans="1:181" ht="43.5" customHeight="1" thickBot="1" x14ac:dyDescent="0.3">
      <c r="A216" s="4">
        <v>3410</v>
      </c>
      <c r="B216" s="27" t="s">
        <v>424</v>
      </c>
      <c r="C216" s="27" t="s">
        <v>425</v>
      </c>
      <c r="D216" s="2"/>
      <c r="E216" s="3">
        <v>45922</v>
      </c>
      <c r="F216" s="3">
        <f t="shared" si="60"/>
        <v>46076</v>
      </c>
      <c r="G216" s="4">
        <v>110</v>
      </c>
      <c r="H216" s="377">
        <f t="shared" si="67"/>
        <v>40</v>
      </c>
      <c r="I216" s="377">
        <f t="shared" si="69"/>
        <v>70</v>
      </c>
      <c r="J216" s="155" t="s">
        <v>349</v>
      </c>
      <c r="K216" s="19">
        <v>150000</v>
      </c>
      <c r="L216" s="7">
        <v>396000</v>
      </c>
      <c r="M216" s="8">
        <f t="shared" si="68"/>
        <v>18000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 t="s">
        <v>143</v>
      </c>
      <c r="EL216" s="9"/>
      <c r="EM216" s="9" t="s">
        <v>143</v>
      </c>
      <c r="EN216" s="9" t="s">
        <v>143</v>
      </c>
      <c r="EO216" s="9"/>
      <c r="EP216" s="9"/>
      <c r="EQ216" s="9"/>
      <c r="ER216" s="9"/>
      <c r="ES216" s="9" t="s">
        <v>143</v>
      </c>
      <c r="ET216" s="9"/>
      <c r="EU216" s="9"/>
      <c r="EV216" s="9" t="s">
        <v>143</v>
      </c>
      <c r="EW216" s="9"/>
      <c r="EX216" s="9"/>
      <c r="EY216" s="9"/>
      <c r="EZ216" s="9"/>
      <c r="FA216" s="9"/>
      <c r="FB216" s="9"/>
      <c r="FC216" s="9" t="s">
        <v>143</v>
      </c>
      <c r="FD216" s="9"/>
      <c r="FE216" s="9"/>
      <c r="FF216" s="9"/>
      <c r="FG216" s="9"/>
      <c r="FH216" s="9"/>
      <c r="FI216" s="9"/>
      <c r="FJ216" s="9"/>
      <c r="FK216" s="9">
        <v>36000</v>
      </c>
      <c r="FL216" s="9">
        <v>18000</v>
      </c>
      <c r="FM216" s="9">
        <v>18000</v>
      </c>
      <c r="FN216" s="9"/>
      <c r="FO216" s="9">
        <v>18000</v>
      </c>
      <c r="FP216" s="9"/>
      <c r="FQ216" s="9">
        <v>18000</v>
      </c>
      <c r="FR216" s="9">
        <v>18000</v>
      </c>
      <c r="FS216" s="9">
        <v>18000</v>
      </c>
      <c r="FT216" s="9">
        <f t="shared" si="61"/>
        <v>144000</v>
      </c>
      <c r="FU216" s="7">
        <f t="shared" si="62"/>
        <v>252000</v>
      </c>
      <c r="FV216" s="11">
        <f t="shared" si="63"/>
        <v>8</v>
      </c>
      <c r="FW216" s="11">
        <f t="shared" si="64"/>
        <v>14</v>
      </c>
      <c r="FX216" s="12">
        <f t="shared" si="65"/>
        <v>2</v>
      </c>
      <c r="FY216" s="12">
        <f t="shared" si="66"/>
        <v>3.5</v>
      </c>
    </row>
    <row r="217" spans="1:181" ht="43.5" customHeight="1" thickBot="1" x14ac:dyDescent="0.3">
      <c r="A217" s="4">
        <v>3476</v>
      </c>
      <c r="B217" s="27" t="s">
        <v>424</v>
      </c>
      <c r="C217" s="27" t="s">
        <v>425</v>
      </c>
      <c r="D217" s="2"/>
      <c r="E217" s="3">
        <v>45963</v>
      </c>
      <c r="F217" s="3">
        <f t="shared" si="60"/>
        <v>46115</v>
      </c>
      <c r="G217" s="4">
        <v>110</v>
      </c>
      <c r="H217" s="377">
        <f t="shared" si="67"/>
        <v>15</v>
      </c>
      <c r="I217" s="377">
        <f t="shared" si="69"/>
        <v>95</v>
      </c>
      <c r="J217" s="155" t="s">
        <v>349</v>
      </c>
      <c r="K217" s="19">
        <v>150000</v>
      </c>
      <c r="L217" s="7">
        <v>396000</v>
      </c>
      <c r="M217" s="21">
        <f t="shared" si="68"/>
        <v>18000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 t="s">
        <v>143</v>
      </c>
      <c r="EL217" s="9"/>
      <c r="EM217" s="9" t="s">
        <v>143</v>
      </c>
      <c r="EN217" s="9" t="s">
        <v>143</v>
      </c>
      <c r="EO217" s="9"/>
      <c r="EP217" s="9"/>
      <c r="EQ217" s="9"/>
      <c r="ER217" s="9"/>
      <c r="ES217" s="9" t="s">
        <v>143</v>
      </c>
      <c r="ET217" s="9"/>
      <c r="EU217" s="9"/>
      <c r="EV217" s="9" t="s">
        <v>143</v>
      </c>
      <c r="EW217" s="9"/>
      <c r="EX217" s="9"/>
      <c r="EY217" s="9"/>
      <c r="EZ217" s="9"/>
      <c r="FA217" s="9"/>
      <c r="FB217" s="9"/>
      <c r="FC217" s="9" t="s">
        <v>143</v>
      </c>
      <c r="FD217" s="9"/>
      <c r="FE217" s="9"/>
      <c r="FF217" s="9"/>
      <c r="FG217" s="9"/>
      <c r="FH217" s="9"/>
      <c r="FI217" s="9"/>
      <c r="FJ217" s="9"/>
      <c r="FK217" s="9"/>
      <c r="FL217" s="9" t="s">
        <v>143</v>
      </c>
      <c r="FM217" s="9"/>
      <c r="FN217" s="9"/>
      <c r="FO217" s="9">
        <v>18000</v>
      </c>
      <c r="FP217" s="9"/>
      <c r="FQ217" s="9">
        <v>18000</v>
      </c>
      <c r="FR217" s="9"/>
      <c r="FS217" s="9">
        <v>18000</v>
      </c>
      <c r="FT217" s="9">
        <f t="shared" si="61"/>
        <v>54000</v>
      </c>
      <c r="FU217" s="7">
        <f t="shared" si="62"/>
        <v>342000</v>
      </c>
      <c r="FV217" s="11">
        <f t="shared" si="63"/>
        <v>3</v>
      </c>
      <c r="FW217" s="11">
        <f t="shared" si="64"/>
        <v>19</v>
      </c>
      <c r="FX217" s="12">
        <f t="shared" si="65"/>
        <v>0.75</v>
      </c>
      <c r="FY217" s="12">
        <f t="shared" si="66"/>
        <v>4.75</v>
      </c>
    </row>
    <row r="218" spans="1:181" ht="43.5" customHeight="1" thickBot="1" x14ac:dyDescent="0.3">
      <c r="A218" s="372">
        <v>3518</v>
      </c>
      <c r="B218" s="27" t="s">
        <v>1422</v>
      </c>
      <c r="C218" s="27" t="s">
        <v>1424</v>
      </c>
      <c r="D218" s="2"/>
      <c r="E218" s="3">
        <v>45987</v>
      </c>
      <c r="F218" s="3">
        <f t="shared" si="60"/>
        <v>46015</v>
      </c>
      <c r="G218" s="4">
        <v>20</v>
      </c>
      <c r="H218" s="377">
        <f t="shared" si="67"/>
        <v>0</v>
      </c>
      <c r="I218" s="151"/>
      <c r="J218" s="155" t="s">
        <v>1423</v>
      </c>
      <c r="K218" s="10">
        <v>200000</v>
      </c>
      <c r="L218" s="10">
        <v>280000</v>
      </c>
      <c r="M218" s="8">
        <f t="shared" si="68"/>
        <v>70000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 t="s">
        <v>143</v>
      </c>
      <c r="EL218" s="9"/>
      <c r="EM218" s="9" t="s">
        <v>143</v>
      </c>
      <c r="EN218" s="9" t="s">
        <v>143</v>
      </c>
      <c r="EO218" s="9"/>
      <c r="EP218" s="9"/>
      <c r="EQ218" s="9"/>
      <c r="ER218" s="9"/>
      <c r="ES218" s="9" t="s">
        <v>143</v>
      </c>
      <c r="ET218" s="9"/>
      <c r="EU218" s="9"/>
      <c r="EV218" s="9" t="s">
        <v>143</v>
      </c>
      <c r="EW218" s="9"/>
      <c r="EX218" s="9"/>
      <c r="EY218" s="9"/>
      <c r="EZ218" s="9"/>
      <c r="FA218" s="9"/>
      <c r="FB218" s="9"/>
      <c r="FC218" s="9" t="s">
        <v>143</v>
      </c>
      <c r="FD218" s="9"/>
      <c r="FE218" s="9"/>
      <c r="FF218" s="9"/>
      <c r="FG218" s="9"/>
      <c r="FH218" s="9"/>
      <c r="FI218" s="9"/>
      <c r="FJ218" s="9"/>
      <c r="FK218" s="9"/>
      <c r="FL218" s="9" t="s">
        <v>143</v>
      </c>
      <c r="FM218" s="9"/>
      <c r="FN218" s="9"/>
      <c r="FO218" s="9"/>
      <c r="FP218" s="9"/>
      <c r="FQ218" s="9"/>
      <c r="FR218" s="9"/>
      <c r="FS218" s="9"/>
      <c r="FT218" s="9">
        <f t="shared" si="61"/>
        <v>0</v>
      </c>
      <c r="FU218" s="7">
        <f t="shared" si="62"/>
        <v>280000</v>
      </c>
      <c r="FV218" s="11">
        <f t="shared" si="63"/>
        <v>0</v>
      </c>
      <c r="FW218" s="11">
        <f t="shared" si="64"/>
        <v>0</v>
      </c>
      <c r="FX218" s="12">
        <f t="shared" si="65"/>
        <v>0</v>
      </c>
      <c r="FY218" s="12">
        <f t="shared" si="66"/>
        <v>0</v>
      </c>
    </row>
    <row r="219" spans="1:181" ht="43.5" customHeight="1" thickBot="1" x14ac:dyDescent="0.3">
      <c r="A219" s="4">
        <v>3364</v>
      </c>
      <c r="B219" s="27" t="s">
        <v>1200</v>
      </c>
      <c r="C219" s="27" t="s">
        <v>430</v>
      </c>
      <c r="D219" s="2"/>
      <c r="E219" s="3">
        <v>45892</v>
      </c>
      <c r="F219" s="3">
        <f>WORKDAY(E219,G219)</f>
        <v>45993</v>
      </c>
      <c r="G219" s="4">
        <v>72</v>
      </c>
      <c r="H219" s="377">
        <f t="shared" si="67"/>
        <v>55</v>
      </c>
      <c r="I219" s="377">
        <f t="shared" ref="I219:I254" si="71">G219-H219</f>
        <v>17</v>
      </c>
      <c r="J219" s="155" t="s">
        <v>1313</v>
      </c>
      <c r="K219" s="7">
        <v>250000</v>
      </c>
      <c r="L219" s="7">
        <v>540000</v>
      </c>
      <c r="M219" s="21">
        <f t="shared" si="68"/>
        <v>37500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 t="s">
        <v>143</v>
      </c>
      <c r="EL219" s="9"/>
      <c r="EM219" s="9" t="s">
        <v>143</v>
      </c>
      <c r="EN219" s="9" t="s">
        <v>143</v>
      </c>
      <c r="EO219" s="9"/>
      <c r="EP219" s="9"/>
      <c r="EQ219" s="9"/>
      <c r="ER219" s="9"/>
      <c r="ES219" s="9" t="s">
        <v>143</v>
      </c>
      <c r="ET219" s="9"/>
      <c r="EU219" s="9"/>
      <c r="EV219" s="9" t="s">
        <v>143</v>
      </c>
      <c r="EW219" s="9"/>
      <c r="EX219" s="9"/>
      <c r="EY219" s="9"/>
      <c r="EZ219" s="9"/>
      <c r="FA219" s="9"/>
      <c r="FB219" s="9"/>
      <c r="FC219" s="9" t="s">
        <v>143</v>
      </c>
      <c r="FD219" s="9"/>
      <c r="FE219" s="9">
        <v>37500</v>
      </c>
      <c r="FF219" s="9"/>
      <c r="FG219" s="9">
        <v>75000</v>
      </c>
      <c r="FH219" s="9"/>
      <c r="FI219" s="9">
        <v>27000</v>
      </c>
      <c r="FJ219" s="9">
        <v>48000</v>
      </c>
      <c r="FK219" s="9">
        <v>37500</v>
      </c>
      <c r="FL219" s="9"/>
      <c r="FM219" s="9">
        <v>37500</v>
      </c>
      <c r="FN219" s="9"/>
      <c r="FO219" s="9">
        <v>75000</v>
      </c>
      <c r="FP219" s="9"/>
      <c r="FQ219" s="9">
        <v>37500</v>
      </c>
      <c r="FR219" s="9"/>
      <c r="FS219" s="9">
        <v>37500</v>
      </c>
      <c r="FT219" s="9">
        <f t="shared" si="61"/>
        <v>412500</v>
      </c>
      <c r="FU219" s="7">
        <f t="shared" si="62"/>
        <v>127500</v>
      </c>
      <c r="FV219" s="11">
        <f t="shared" si="63"/>
        <v>11</v>
      </c>
      <c r="FW219" s="11">
        <f t="shared" si="64"/>
        <v>3.4</v>
      </c>
      <c r="FX219" s="12">
        <f t="shared" si="65"/>
        <v>2.75</v>
      </c>
      <c r="FY219" s="12">
        <f t="shared" si="66"/>
        <v>0.85</v>
      </c>
    </row>
    <row r="220" spans="1:181" ht="43.5" customHeight="1" thickBot="1" x14ac:dyDescent="0.3">
      <c r="A220" s="4">
        <v>3504</v>
      </c>
      <c r="B220" s="27" t="s">
        <v>1200</v>
      </c>
      <c r="C220" s="27" t="s">
        <v>430</v>
      </c>
      <c r="D220" s="2"/>
      <c r="E220" s="3">
        <v>45981</v>
      </c>
      <c r="F220" s="3">
        <f t="shared" si="60"/>
        <v>46007</v>
      </c>
      <c r="G220" s="4">
        <v>18</v>
      </c>
      <c r="H220" s="377" t="e">
        <f t="shared" si="67"/>
        <v>#DIV/0!</v>
      </c>
      <c r="I220" s="377" t="e">
        <f t="shared" si="71"/>
        <v>#DIV/0!</v>
      </c>
      <c r="J220" s="355" t="s">
        <v>403</v>
      </c>
      <c r="K220" s="7">
        <v>250000</v>
      </c>
      <c r="L220" s="7">
        <v>350000</v>
      </c>
      <c r="M220" s="21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 t="s">
        <v>143</v>
      </c>
      <c r="EL220" s="9"/>
      <c r="EM220" s="9" t="s">
        <v>143</v>
      </c>
      <c r="EN220" s="9" t="s">
        <v>143</v>
      </c>
      <c r="EO220" s="9"/>
      <c r="EP220" s="9"/>
      <c r="EQ220" s="9"/>
      <c r="ER220" s="9"/>
      <c r="ES220" s="9" t="s">
        <v>143</v>
      </c>
      <c r="ET220" s="9"/>
      <c r="EU220" s="9"/>
      <c r="EV220" s="9" t="s">
        <v>143</v>
      </c>
      <c r="EW220" s="9"/>
      <c r="EX220" s="9"/>
      <c r="EY220" s="9"/>
      <c r="EZ220" s="9"/>
      <c r="FA220" s="9"/>
      <c r="FB220" s="9"/>
      <c r="FC220" s="9" t="s">
        <v>143</v>
      </c>
      <c r="FD220" s="9"/>
      <c r="FE220" s="9"/>
      <c r="FF220" s="9"/>
      <c r="FG220" s="9"/>
      <c r="FH220" s="9"/>
      <c r="FI220" s="9"/>
      <c r="FJ220" s="9"/>
      <c r="FK220" s="9"/>
      <c r="FL220" s="9" t="s">
        <v>143</v>
      </c>
      <c r="FM220" s="9"/>
      <c r="FN220" s="9"/>
      <c r="FO220" s="9"/>
      <c r="FP220" s="9"/>
      <c r="FQ220" s="9"/>
      <c r="FR220" s="9"/>
      <c r="FS220" s="9"/>
      <c r="FT220" s="9">
        <f t="shared" si="61"/>
        <v>0</v>
      </c>
      <c r="FU220" s="7">
        <f t="shared" si="62"/>
        <v>350000</v>
      </c>
      <c r="FV220" s="11" t="e">
        <f t="shared" si="63"/>
        <v>#DIV/0!</v>
      </c>
      <c r="FW220" s="11" t="e">
        <f t="shared" si="64"/>
        <v>#DIV/0!</v>
      </c>
      <c r="FX220" s="12" t="e">
        <f t="shared" si="65"/>
        <v>#DIV/0!</v>
      </c>
      <c r="FY220" s="12" t="e">
        <f t="shared" si="66"/>
        <v>#DIV/0!</v>
      </c>
    </row>
    <row r="221" spans="1:181" ht="43.5" customHeight="1" thickBot="1" x14ac:dyDescent="0.3">
      <c r="A221" s="4">
        <v>3454</v>
      </c>
      <c r="B221" s="27" t="s">
        <v>663</v>
      </c>
      <c r="C221" s="27" t="s">
        <v>664</v>
      </c>
      <c r="D221" s="28"/>
      <c r="E221" s="3">
        <v>45950</v>
      </c>
      <c r="F221" s="3">
        <f>WORKDAY(E221,G221)</f>
        <v>46174</v>
      </c>
      <c r="G221" s="4">
        <v>160</v>
      </c>
      <c r="H221" s="377">
        <f t="shared" si="67"/>
        <v>20</v>
      </c>
      <c r="I221" s="377">
        <f t="shared" si="71"/>
        <v>140</v>
      </c>
      <c r="J221" s="155" t="s">
        <v>1379</v>
      </c>
      <c r="K221" s="10">
        <v>400000</v>
      </c>
      <c r="L221" s="10">
        <v>1152000</v>
      </c>
      <c r="M221" s="21">
        <f t="shared" ref="M221:M231" si="72">(L221/G221)*5</f>
        <v>36000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 t="s">
        <v>143</v>
      </c>
      <c r="EL221" s="9"/>
      <c r="EM221" s="9" t="s">
        <v>143</v>
      </c>
      <c r="EN221" s="9" t="s">
        <v>143</v>
      </c>
      <c r="EO221" s="9"/>
      <c r="EP221" s="9"/>
      <c r="EQ221" s="9"/>
      <c r="ER221" s="9"/>
      <c r="ES221" s="9" t="s">
        <v>143</v>
      </c>
      <c r="ET221" s="9"/>
      <c r="EU221" s="9"/>
      <c r="EV221" s="9" t="s">
        <v>143</v>
      </c>
      <c r="EW221" s="9"/>
      <c r="EX221" s="9"/>
      <c r="EY221" s="9"/>
      <c r="EZ221" s="9"/>
      <c r="FA221" s="9"/>
      <c r="FB221" s="9"/>
      <c r="FC221" s="9" t="s">
        <v>143</v>
      </c>
      <c r="FD221" s="9"/>
      <c r="FE221" s="9"/>
      <c r="FF221" s="9"/>
      <c r="FG221" s="9"/>
      <c r="FH221" s="9"/>
      <c r="FI221" s="9"/>
      <c r="FJ221" s="9"/>
      <c r="FK221" s="9"/>
      <c r="FL221" s="9" t="s">
        <v>143</v>
      </c>
      <c r="FM221" s="9"/>
      <c r="FN221" s="9"/>
      <c r="FO221" s="9"/>
      <c r="FP221" s="9">
        <v>36000</v>
      </c>
      <c r="FQ221" s="9">
        <v>36000</v>
      </c>
      <c r="FR221" s="9">
        <v>36000</v>
      </c>
      <c r="FS221" s="9">
        <v>36000</v>
      </c>
      <c r="FT221" s="9">
        <f t="shared" si="61"/>
        <v>144000</v>
      </c>
      <c r="FU221" s="7">
        <f t="shared" si="62"/>
        <v>1008000</v>
      </c>
      <c r="FV221" s="11">
        <f t="shared" si="63"/>
        <v>4</v>
      </c>
      <c r="FW221" s="11">
        <f t="shared" si="64"/>
        <v>28</v>
      </c>
      <c r="FX221" s="12">
        <f t="shared" si="65"/>
        <v>1</v>
      </c>
      <c r="FY221" s="12">
        <f t="shared" si="66"/>
        <v>7</v>
      </c>
    </row>
    <row r="222" spans="1:181" ht="43.5" customHeight="1" thickBot="1" x14ac:dyDescent="0.3">
      <c r="A222" s="4">
        <v>2844</v>
      </c>
      <c r="B222" s="27" t="s">
        <v>431</v>
      </c>
      <c r="C222" s="27" t="s">
        <v>432</v>
      </c>
      <c r="D222" s="2"/>
      <c r="E222" s="3">
        <v>45569</v>
      </c>
      <c r="F222" s="3">
        <f t="shared" ref="F222" si="73">WORKDAY(E222,G222)</f>
        <v>46017</v>
      </c>
      <c r="G222" s="4">
        <v>320</v>
      </c>
      <c r="H222" s="377">
        <f t="shared" si="67"/>
        <v>122.93333333333334</v>
      </c>
      <c r="I222" s="377">
        <f t="shared" si="71"/>
        <v>197.06666666666666</v>
      </c>
      <c r="J222" s="355" t="s">
        <v>436</v>
      </c>
      <c r="K222" s="7">
        <v>3000000</v>
      </c>
      <c r="L222" s="7">
        <v>12000000</v>
      </c>
      <c r="M222" s="8">
        <f t="shared" si="72"/>
        <v>187500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>
        <v>750000</v>
      </c>
      <c r="DP222" s="9"/>
      <c r="DQ222" s="9"/>
      <c r="DR222" s="9"/>
      <c r="DS222" s="9"/>
      <c r="DT222" s="9">
        <v>750000</v>
      </c>
      <c r="DU222" s="9"/>
      <c r="DV222" s="9"/>
      <c r="DW222" s="9"/>
      <c r="DX222" s="9"/>
      <c r="DY222" s="9">
        <v>750000</v>
      </c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>
        <v>500000</v>
      </c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>
        <v>250000</v>
      </c>
      <c r="FF222" s="9"/>
      <c r="FG222" s="9"/>
      <c r="FH222" s="9"/>
      <c r="FI222" s="9">
        <v>230000</v>
      </c>
      <c r="FJ222" s="9">
        <v>230000</v>
      </c>
      <c r="FK222" s="9"/>
      <c r="FL222" s="9"/>
      <c r="FM222" s="9"/>
      <c r="FN222" s="9">
        <v>230000</v>
      </c>
      <c r="FO222" s="9"/>
      <c r="FP222" s="9">
        <v>460000</v>
      </c>
      <c r="FQ222" s="9"/>
      <c r="FR222" s="9">
        <v>460000</v>
      </c>
      <c r="FS222" s="9"/>
      <c r="FT222" s="9">
        <f t="shared" si="61"/>
        <v>4610000</v>
      </c>
      <c r="FU222" s="7">
        <f t="shared" si="62"/>
        <v>7390000</v>
      </c>
      <c r="FV222" s="11">
        <f t="shared" si="63"/>
        <v>24.586666666666666</v>
      </c>
      <c r="FW222" s="11">
        <f t="shared" si="64"/>
        <v>39.413333333333334</v>
      </c>
      <c r="FX222" s="12">
        <f t="shared" si="65"/>
        <v>6.1466666666666665</v>
      </c>
      <c r="FY222" s="12">
        <f t="shared" si="66"/>
        <v>9.8533333333333335</v>
      </c>
    </row>
    <row r="223" spans="1:181" ht="43.5" customHeight="1" thickBot="1" x14ac:dyDescent="0.3">
      <c r="A223" s="4">
        <v>3019</v>
      </c>
      <c r="B223" s="27" t="s">
        <v>431</v>
      </c>
      <c r="C223" s="27" t="s">
        <v>432</v>
      </c>
      <c r="D223" s="2"/>
      <c r="E223" s="3">
        <v>45681</v>
      </c>
      <c r="F223" s="3">
        <f t="shared" si="60"/>
        <v>46017</v>
      </c>
      <c r="G223" s="4">
        <v>240</v>
      </c>
      <c r="H223" s="377">
        <f t="shared" si="67"/>
        <v>93.6</v>
      </c>
      <c r="I223" s="377">
        <f t="shared" si="71"/>
        <v>146.4</v>
      </c>
      <c r="J223" s="355" t="s">
        <v>438</v>
      </c>
      <c r="K223" s="10">
        <v>1000000</v>
      </c>
      <c r="L223" s="10">
        <v>3000000</v>
      </c>
      <c r="M223" s="8">
        <f t="shared" si="72"/>
        <v>62500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>
        <v>250000</v>
      </c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>
        <v>230000</v>
      </c>
      <c r="FD223" s="9"/>
      <c r="FE223" s="9"/>
      <c r="FF223" s="9"/>
      <c r="FG223" s="9"/>
      <c r="FH223" s="9">
        <v>230000</v>
      </c>
      <c r="FI223" s="9"/>
      <c r="FJ223" s="9"/>
      <c r="FK223" s="9"/>
      <c r="FL223" s="9"/>
      <c r="FM223" s="9">
        <v>230000</v>
      </c>
      <c r="FN223" s="9"/>
      <c r="FO223" s="9"/>
      <c r="FP223" s="9"/>
      <c r="FQ223" s="9"/>
      <c r="FR223" s="9"/>
      <c r="FS223" s="9">
        <v>230000</v>
      </c>
      <c r="FT223" s="9">
        <f t="shared" si="61"/>
        <v>1170000</v>
      </c>
      <c r="FU223" s="7">
        <f t="shared" si="62"/>
        <v>1830000</v>
      </c>
      <c r="FV223" s="11">
        <f t="shared" si="63"/>
        <v>18.72</v>
      </c>
      <c r="FW223" s="11">
        <f t="shared" si="64"/>
        <v>29.28</v>
      </c>
      <c r="FX223" s="12">
        <f t="shared" si="65"/>
        <v>4.68</v>
      </c>
      <c r="FY223" s="12">
        <f t="shared" si="66"/>
        <v>7.32</v>
      </c>
    </row>
    <row r="224" spans="1:181" ht="43.5" customHeight="1" thickBot="1" x14ac:dyDescent="0.3">
      <c r="A224" s="4">
        <v>2306</v>
      </c>
      <c r="B224" s="27" t="s">
        <v>440</v>
      </c>
      <c r="C224" s="27" t="s">
        <v>441</v>
      </c>
      <c r="D224" s="2" t="s">
        <v>442</v>
      </c>
      <c r="E224" s="3">
        <v>45221</v>
      </c>
      <c r="F224" s="3">
        <f>WORKDAY(E224,G224)</f>
        <v>45321</v>
      </c>
      <c r="G224" s="4">
        <v>72</v>
      </c>
      <c r="H224" s="377">
        <f t="shared" si="67"/>
        <v>5.5555555555555554</v>
      </c>
      <c r="I224" s="377">
        <f t="shared" si="71"/>
        <v>66.444444444444443</v>
      </c>
      <c r="J224" s="155" t="s">
        <v>443</v>
      </c>
      <c r="K224" s="7">
        <v>300000</v>
      </c>
      <c r="L224" s="7">
        <v>648000</v>
      </c>
      <c r="M224" s="21">
        <f t="shared" si="72"/>
        <v>45000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 t="s">
        <v>143</v>
      </c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 t="s">
        <v>143</v>
      </c>
      <c r="BI224" s="9"/>
      <c r="BJ224" s="9"/>
      <c r="BK224" s="9"/>
      <c r="BL224" s="9"/>
      <c r="BM224" s="9">
        <v>50000</v>
      </c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>
        <f t="shared" si="61"/>
        <v>50000</v>
      </c>
      <c r="FU224" s="7">
        <f t="shared" si="62"/>
        <v>598000</v>
      </c>
      <c r="FV224" s="11">
        <f t="shared" si="63"/>
        <v>1.1111111111111112</v>
      </c>
      <c r="FW224" s="11">
        <f t="shared" si="64"/>
        <v>13.288888888888888</v>
      </c>
      <c r="FX224" s="12">
        <f t="shared" si="65"/>
        <v>0.27777777777777779</v>
      </c>
      <c r="FY224" s="12">
        <f t="shared" si="66"/>
        <v>3.322222222222222</v>
      </c>
    </row>
    <row r="225" spans="1:181" ht="43.5" customHeight="1" thickBot="1" x14ac:dyDescent="0.3">
      <c r="A225" s="4">
        <v>2236</v>
      </c>
      <c r="B225" s="27" t="s">
        <v>444</v>
      </c>
      <c r="C225" s="27" t="s">
        <v>445</v>
      </c>
      <c r="D225" s="2"/>
      <c r="E225" s="3">
        <v>45174</v>
      </c>
      <c r="F225" s="3">
        <f t="shared" ref="F225:F245" si="74">WORKDAY(E225,G225)</f>
        <v>45972</v>
      </c>
      <c r="G225" s="4">
        <v>570</v>
      </c>
      <c r="H225" s="377">
        <f t="shared" si="67"/>
        <v>438.46153846153851</v>
      </c>
      <c r="I225" s="377">
        <f t="shared" si="71"/>
        <v>131.53846153846149</v>
      </c>
      <c r="J225" s="355" t="s">
        <v>446</v>
      </c>
      <c r="K225" s="7">
        <v>224100</v>
      </c>
      <c r="L225" s="7">
        <v>520000</v>
      </c>
      <c r="M225" s="478">
        <f t="shared" si="72"/>
        <v>4561.4035087719294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 t="s">
        <v>143</v>
      </c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>
        <v>20000</v>
      </c>
      <c r="BG225" s="9"/>
      <c r="BH225" s="9"/>
      <c r="BI225" s="9"/>
      <c r="BJ225" s="9">
        <v>20000</v>
      </c>
      <c r="BK225" s="9"/>
      <c r="BL225" s="9"/>
      <c r="BM225" s="9"/>
      <c r="BN225" s="9"/>
      <c r="BO225" s="9">
        <v>20000</v>
      </c>
      <c r="BP225" s="9"/>
      <c r="BQ225" s="9"/>
      <c r="BR225" s="9"/>
      <c r="BS225" s="9">
        <v>20000</v>
      </c>
      <c r="BT225" s="9"/>
      <c r="BU225" s="9"/>
      <c r="BV225" s="9"/>
      <c r="BW225" s="9"/>
      <c r="BX225" s="9">
        <v>20000</v>
      </c>
      <c r="BY225" s="9"/>
      <c r="BZ225" s="9"/>
      <c r="CA225" s="9"/>
      <c r="CB225" s="9">
        <v>20000</v>
      </c>
      <c r="CC225" s="9"/>
      <c r="CD225" s="9"/>
      <c r="CE225" s="9"/>
      <c r="CF225" s="9"/>
      <c r="CG225" s="9"/>
      <c r="CH225" s="9">
        <v>20000</v>
      </c>
      <c r="CI225" s="9"/>
      <c r="CJ225" s="9"/>
      <c r="CK225" s="9"/>
      <c r="CL225" s="9"/>
      <c r="CM225" s="9">
        <v>10000</v>
      </c>
      <c r="CN225" s="9"/>
      <c r="CO225" s="9"/>
      <c r="CP225" s="9"/>
      <c r="CQ225" s="9"/>
      <c r="CR225" s="9"/>
      <c r="CS225" s="9">
        <v>20000</v>
      </c>
      <c r="CT225" s="9"/>
      <c r="CU225" s="9"/>
      <c r="CV225" s="9"/>
      <c r="CW225" s="9"/>
      <c r="CX225" s="9">
        <v>20000</v>
      </c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>
        <v>20000</v>
      </c>
      <c r="DK225" s="9"/>
      <c r="DL225" s="9"/>
      <c r="DM225" s="9"/>
      <c r="DN225" s="9"/>
      <c r="DO225" s="9">
        <v>20000</v>
      </c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>
        <v>15000</v>
      </c>
      <c r="EE225" s="9"/>
      <c r="EF225" s="9"/>
      <c r="EG225" s="9"/>
      <c r="EH225" s="9">
        <v>15000</v>
      </c>
      <c r="EI225" s="9"/>
      <c r="EJ225" s="9"/>
      <c r="EK225" s="9"/>
      <c r="EL225" s="9">
        <v>20000</v>
      </c>
      <c r="EM225" s="9"/>
      <c r="EN225" s="9"/>
      <c r="EO225" s="9"/>
      <c r="EP225" s="9">
        <v>20000</v>
      </c>
      <c r="EQ225" s="9"/>
      <c r="ER225" s="9"/>
      <c r="ES225" s="9"/>
      <c r="ET225" s="9">
        <v>20000</v>
      </c>
      <c r="EU225" s="9"/>
      <c r="EV225" s="9"/>
      <c r="EW225" s="9"/>
      <c r="EX225" s="9"/>
      <c r="EY225" s="9">
        <v>20000</v>
      </c>
      <c r="EZ225" s="9"/>
      <c r="FA225" s="9"/>
      <c r="FB225" s="9"/>
      <c r="FC225" s="9">
        <v>20000</v>
      </c>
      <c r="FD225" s="9"/>
      <c r="FE225" s="9"/>
      <c r="FF225" s="9"/>
      <c r="FG225" s="9"/>
      <c r="FH225" s="9">
        <v>20000</v>
      </c>
      <c r="FI225" s="9"/>
      <c r="FJ225" s="9"/>
      <c r="FK225" s="9"/>
      <c r="FL225" s="9">
        <v>20000</v>
      </c>
      <c r="FM225" s="9"/>
      <c r="FN225" s="9"/>
      <c r="FO225" s="9"/>
      <c r="FP225" s="9"/>
      <c r="FQ225" s="9"/>
      <c r="FR225" s="9"/>
      <c r="FS225" s="9"/>
      <c r="FT225" s="9">
        <f t="shared" si="61"/>
        <v>400000</v>
      </c>
      <c r="FU225" s="7">
        <f t="shared" si="62"/>
        <v>120000</v>
      </c>
      <c r="FV225" s="11">
        <f t="shared" si="63"/>
        <v>87.692307692307708</v>
      </c>
      <c r="FW225" s="11">
        <f t="shared" si="64"/>
        <v>26.307692307692299</v>
      </c>
      <c r="FX225" s="12">
        <f t="shared" si="65"/>
        <v>21.923076923076927</v>
      </c>
      <c r="FY225" s="12">
        <f t="shared" si="66"/>
        <v>6.5769230769230749</v>
      </c>
    </row>
    <row r="226" spans="1:181" ht="43.5" customHeight="1" thickBot="1" x14ac:dyDescent="0.3">
      <c r="A226" s="4">
        <v>3197</v>
      </c>
      <c r="B226" s="27" t="s">
        <v>447</v>
      </c>
      <c r="C226" s="27" t="s">
        <v>448</v>
      </c>
      <c r="D226" s="2"/>
      <c r="E226" s="3">
        <v>45793</v>
      </c>
      <c r="F226" s="3">
        <f>WORKDAY(E226,G226)</f>
        <v>46017</v>
      </c>
      <c r="G226" s="4">
        <v>160</v>
      </c>
      <c r="H226" s="377">
        <f t="shared" si="67"/>
        <v>100</v>
      </c>
      <c r="I226" s="377">
        <f t="shared" si="71"/>
        <v>60</v>
      </c>
      <c r="J226" s="355" t="s">
        <v>1219</v>
      </c>
      <c r="K226" s="7">
        <v>120000</v>
      </c>
      <c r="L226" s="7">
        <v>360000</v>
      </c>
      <c r="M226" s="21">
        <f t="shared" si="72"/>
        <v>11250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 t="s">
        <v>143</v>
      </c>
      <c r="EL226" s="9"/>
      <c r="EM226" s="9" t="s">
        <v>143</v>
      </c>
      <c r="EN226" s="9" t="s">
        <v>143</v>
      </c>
      <c r="EO226" s="9"/>
      <c r="EP226" s="9"/>
      <c r="EQ226" s="9"/>
      <c r="ER226" s="9"/>
      <c r="ES226" s="9"/>
      <c r="ET226" s="9">
        <v>45000</v>
      </c>
      <c r="EU226" s="9"/>
      <c r="EV226" s="9"/>
      <c r="EW226" s="9"/>
      <c r="EX226" s="9">
        <v>45000</v>
      </c>
      <c r="EY226" s="9"/>
      <c r="EZ226" s="9"/>
      <c r="FA226" s="9"/>
      <c r="FB226" s="9"/>
      <c r="FC226" s="9"/>
      <c r="FD226" s="9"/>
      <c r="FE226" s="9"/>
      <c r="FF226" s="9"/>
      <c r="FG226" s="9">
        <v>45000</v>
      </c>
      <c r="FH226" s="9"/>
      <c r="FI226" s="9"/>
      <c r="FJ226" s="9"/>
      <c r="FK226" s="9">
        <v>45000</v>
      </c>
      <c r="FL226" s="9"/>
      <c r="FM226" s="9"/>
      <c r="FN226" s="9"/>
      <c r="FO226" s="9"/>
      <c r="FP226" s="9">
        <v>45000</v>
      </c>
      <c r="FQ226" s="9"/>
      <c r="FR226" s="9"/>
      <c r="FS226" s="9"/>
      <c r="FT226" s="9">
        <f t="shared" si="61"/>
        <v>225000</v>
      </c>
      <c r="FU226" s="7">
        <f t="shared" si="62"/>
        <v>135000</v>
      </c>
      <c r="FV226" s="11">
        <f t="shared" si="63"/>
        <v>20</v>
      </c>
      <c r="FW226" s="11">
        <f t="shared" si="64"/>
        <v>12</v>
      </c>
      <c r="FX226" s="12">
        <f t="shared" si="65"/>
        <v>5</v>
      </c>
      <c r="FY226" s="12">
        <f t="shared" si="66"/>
        <v>3</v>
      </c>
    </row>
    <row r="227" spans="1:181" ht="43.5" customHeight="1" thickBot="1" x14ac:dyDescent="0.3">
      <c r="A227" s="4">
        <v>3445</v>
      </c>
      <c r="B227" s="27" t="s">
        <v>447</v>
      </c>
      <c r="C227" s="27" t="s">
        <v>448</v>
      </c>
      <c r="D227" s="2"/>
      <c r="E227" s="3">
        <v>45945</v>
      </c>
      <c r="F227" s="3">
        <f>WORKDAY(E227,G227)</f>
        <v>46057</v>
      </c>
      <c r="G227" s="4">
        <v>80</v>
      </c>
      <c r="H227" s="377">
        <f t="shared" si="67"/>
        <v>19.62962962962963</v>
      </c>
      <c r="I227" s="377">
        <f t="shared" si="71"/>
        <v>60.370370370370367</v>
      </c>
      <c r="J227" s="355" t="s">
        <v>1376</v>
      </c>
      <c r="K227" s="7">
        <v>100000</v>
      </c>
      <c r="L227" s="7">
        <v>216000</v>
      </c>
      <c r="M227" s="8">
        <f t="shared" si="72"/>
        <v>13500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 t="s">
        <v>143</v>
      </c>
      <c r="EL227" s="9"/>
      <c r="EM227" s="9" t="s">
        <v>143</v>
      </c>
      <c r="EN227" s="9" t="s">
        <v>143</v>
      </c>
      <c r="EO227" s="9"/>
      <c r="EP227" s="9"/>
      <c r="EQ227" s="9"/>
      <c r="ER227" s="9"/>
      <c r="ES227" s="9" t="s">
        <v>143</v>
      </c>
      <c r="ET227" s="9"/>
      <c r="EU227" s="9"/>
      <c r="EV227" s="9" t="s">
        <v>143</v>
      </c>
      <c r="EW227" s="9"/>
      <c r="EX227" s="9"/>
      <c r="EY227" s="9"/>
      <c r="EZ227" s="9"/>
      <c r="FA227" s="9"/>
      <c r="FB227" s="9"/>
      <c r="FC227" s="9" t="s">
        <v>143</v>
      </c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>
        <v>53000</v>
      </c>
      <c r="FQ227" s="9"/>
      <c r="FR227" s="9"/>
      <c r="FS227" s="9"/>
      <c r="FT227" s="9">
        <f t="shared" si="61"/>
        <v>53000</v>
      </c>
      <c r="FU227" s="7">
        <f t="shared" si="62"/>
        <v>163000</v>
      </c>
      <c r="FV227" s="11">
        <f t="shared" si="63"/>
        <v>3.925925925925926</v>
      </c>
      <c r="FW227" s="11">
        <f t="shared" si="64"/>
        <v>12.074074074074073</v>
      </c>
      <c r="FX227" s="12">
        <f t="shared" si="65"/>
        <v>0.98148148148148151</v>
      </c>
      <c r="FY227" s="12">
        <f t="shared" si="66"/>
        <v>3.0185185185185182</v>
      </c>
    </row>
    <row r="228" spans="1:181" ht="43.5" customHeight="1" thickBot="1" x14ac:dyDescent="0.3">
      <c r="A228" s="4">
        <v>2526</v>
      </c>
      <c r="B228" s="27" t="s">
        <v>450</v>
      </c>
      <c r="C228" s="27" t="s">
        <v>451</v>
      </c>
      <c r="D228" s="2">
        <v>13141036</v>
      </c>
      <c r="E228" s="3">
        <v>45369</v>
      </c>
      <c r="F228" s="3">
        <f t="shared" ref="F228" si="75">WORKDAY(E228,G228)</f>
        <v>45523</v>
      </c>
      <c r="G228" s="4">
        <v>110</v>
      </c>
      <c r="H228" s="377">
        <f t="shared" si="67"/>
        <v>68.520833333333343</v>
      </c>
      <c r="I228" s="377">
        <f t="shared" si="71"/>
        <v>41.479166666666657</v>
      </c>
      <c r="J228" s="155" t="s">
        <v>452</v>
      </c>
      <c r="K228" s="7">
        <v>250000</v>
      </c>
      <c r="L228" s="7">
        <v>720000</v>
      </c>
      <c r="M228" s="23">
        <f t="shared" si="72"/>
        <v>32727.272727272724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 t="s">
        <v>143</v>
      </c>
      <c r="CB228" s="9" t="s">
        <v>143</v>
      </c>
      <c r="CC228" s="9"/>
      <c r="CD228" s="9"/>
      <c r="CE228" s="9"/>
      <c r="CF228" s="9">
        <v>37000</v>
      </c>
      <c r="CG228" s="9">
        <v>37500</v>
      </c>
      <c r="CH228" s="9"/>
      <c r="CI228" s="9"/>
      <c r="CJ228" s="9"/>
      <c r="CK228" s="9"/>
      <c r="CL228" s="9"/>
      <c r="CM228" s="9"/>
      <c r="CN228" s="9"/>
      <c r="CO228" s="9"/>
      <c r="CP228" s="9">
        <v>30000</v>
      </c>
      <c r="CQ228" s="9"/>
      <c r="CR228" s="9">
        <v>30000</v>
      </c>
      <c r="CS228" s="9">
        <v>30000</v>
      </c>
      <c r="CT228" s="9"/>
      <c r="CU228" s="9"/>
      <c r="CV228" s="9"/>
      <c r="CW228" s="9">
        <v>30000</v>
      </c>
      <c r="CX228" s="9"/>
      <c r="CY228" s="9"/>
      <c r="CZ228" s="9">
        <v>30000</v>
      </c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>
        <v>14000</v>
      </c>
      <c r="DM228" s="9"/>
      <c r="DN228" s="9">
        <v>18000</v>
      </c>
      <c r="DO228" s="9"/>
      <c r="DP228" s="9"/>
      <c r="DQ228" s="9"/>
      <c r="DR228" s="9">
        <v>30000</v>
      </c>
      <c r="DS228" s="9"/>
      <c r="DT228" s="9"/>
      <c r="DU228" s="9">
        <v>13000</v>
      </c>
      <c r="DV228" s="9"/>
      <c r="DW228" s="9"/>
      <c r="DX228" s="9">
        <v>18000</v>
      </c>
      <c r="DY228" s="9"/>
      <c r="DZ228" s="9"/>
      <c r="EA228" s="9"/>
      <c r="EB228" s="9"/>
      <c r="EC228" s="9">
        <v>13000</v>
      </c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>
        <v>30000</v>
      </c>
      <c r="ES228" s="9"/>
      <c r="ET228" s="9"/>
      <c r="EU228" s="9"/>
      <c r="EV228" s="9"/>
      <c r="EW228" s="9"/>
      <c r="EX228" s="9">
        <v>28000</v>
      </c>
      <c r="EY228" s="9"/>
      <c r="EZ228" s="9"/>
      <c r="FA228" s="9"/>
      <c r="FB228" s="9">
        <v>30000</v>
      </c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>
        <v>30000</v>
      </c>
      <c r="FR228" s="9"/>
      <c r="FS228" s="9"/>
      <c r="FT228" s="9">
        <f t="shared" si="61"/>
        <v>448500</v>
      </c>
      <c r="FU228" s="7">
        <f t="shared" si="62"/>
        <v>271500</v>
      </c>
      <c r="FV228" s="11">
        <f t="shared" si="63"/>
        <v>13.704166666666669</v>
      </c>
      <c r="FW228" s="11">
        <f t="shared" si="64"/>
        <v>8.2958333333333307</v>
      </c>
      <c r="FX228" s="12">
        <f t="shared" si="65"/>
        <v>3.4260416666666673</v>
      </c>
      <c r="FY228" s="12">
        <f t="shared" si="66"/>
        <v>2.0739583333333327</v>
      </c>
    </row>
    <row r="229" spans="1:181" ht="43.5" customHeight="1" thickBot="1" x14ac:dyDescent="0.3">
      <c r="A229" s="4">
        <v>3314</v>
      </c>
      <c r="B229" s="27" t="s">
        <v>751</v>
      </c>
      <c r="C229" s="27"/>
      <c r="D229" s="2"/>
      <c r="E229" s="3">
        <v>45862</v>
      </c>
      <c r="F229" s="3">
        <f t="shared" si="74"/>
        <v>45974</v>
      </c>
      <c r="G229" s="4">
        <v>80</v>
      </c>
      <c r="H229" s="377">
        <f t="shared" ref="H229:H254" si="76">(FT229* 5)/M229</f>
        <v>77.777777777777771</v>
      </c>
      <c r="I229" s="377">
        <f t="shared" si="71"/>
        <v>2.2222222222222285</v>
      </c>
      <c r="J229" s="355" t="s">
        <v>1289</v>
      </c>
      <c r="K229" s="7">
        <v>100000</v>
      </c>
      <c r="L229" s="7">
        <v>216000</v>
      </c>
      <c r="M229" s="21">
        <f t="shared" si="72"/>
        <v>13500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 t="s">
        <v>143</v>
      </c>
      <c r="EL229" s="9"/>
      <c r="EM229" s="9" t="s">
        <v>143</v>
      </c>
      <c r="EN229" s="9" t="s">
        <v>143</v>
      </c>
      <c r="EO229" s="9"/>
      <c r="EP229" s="9"/>
      <c r="EQ229" s="9"/>
      <c r="ER229" s="9"/>
      <c r="ES229" s="9" t="s">
        <v>143</v>
      </c>
      <c r="ET229" s="9"/>
      <c r="EU229" s="9"/>
      <c r="EV229" s="9" t="s">
        <v>143</v>
      </c>
      <c r="EW229" s="9"/>
      <c r="EX229" s="9"/>
      <c r="EY229" s="9"/>
      <c r="EZ229" s="9"/>
      <c r="FA229" s="9"/>
      <c r="FB229" s="9">
        <v>55000</v>
      </c>
      <c r="FC229" s="9"/>
      <c r="FD229" s="9"/>
      <c r="FE229" s="9"/>
      <c r="FF229" s="9"/>
      <c r="FG229" s="9">
        <v>50000</v>
      </c>
      <c r="FH229" s="9"/>
      <c r="FI229" s="9"/>
      <c r="FJ229" s="9"/>
      <c r="FK229" s="9"/>
      <c r="FL229" s="9">
        <v>55000</v>
      </c>
      <c r="FM229" s="9"/>
      <c r="FN229" s="9"/>
      <c r="FO229" s="9"/>
      <c r="FP229" s="9"/>
      <c r="FQ229" s="9">
        <v>50000</v>
      </c>
      <c r="FR229" s="9"/>
      <c r="FS229" s="9"/>
      <c r="FT229" s="9">
        <f t="shared" si="61"/>
        <v>210000</v>
      </c>
      <c r="FU229" s="7">
        <f t="shared" si="62"/>
        <v>6000</v>
      </c>
      <c r="FV229" s="11">
        <f t="shared" si="63"/>
        <v>15.555555555555554</v>
      </c>
      <c r="FW229" s="11">
        <f t="shared" si="64"/>
        <v>0.4444444444444457</v>
      </c>
      <c r="FX229" s="12">
        <f t="shared" si="65"/>
        <v>3.8888888888888884</v>
      </c>
      <c r="FY229" s="12">
        <f t="shared" si="66"/>
        <v>0.11111111111111142</v>
      </c>
    </row>
    <row r="230" spans="1:181" ht="43.5" customHeight="1" thickBot="1" x14ac:dyDescent="0.3">
      <c r="A230" s="4">
        <v>3451</v>
      </c>
      <c r="B230" s="27" t="s">
        <v>751</v>
      </c>
      <c r="C230" s="27"/>
      <c r="D230" s="2"/>
      <c r="E230" s="3">
        <v>45948</v>
      </c>
      <c r="F230" s="3">
        <f t="shared" si="74"/>
        <v>46059</v>
      </c>
      <c r="G230" s="4">
        <v>80</v>
      </c>
      <c r="H230" s="377">
        <f t="shared" si="76"/>
        <v>0</v>
      </c>
      <c r="I230" s="377">
        <f t="shared" si="71"/>
        <v>80</v>
      </c>
      <c r="J230" s="355" t="s">
        <v>1377</v>
      </c>
      <c r="K230" s="7">
        <v>70000</v>
      </c>
      <c r="L230" s="7">
        <v>151200</v>
      </c>
      <c r="M230" s="21">
        <f t="shared" si="72"/>
        <v>9450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 t="s">
        <v>143</v>
      </c>
      <c r="EL230" s="9"/>
      <c r="EM230" s="9" t="s">
        <v>143</v>
      </c>
      <c r="EN230" s="9" t="s">
        <v>143</v>
      </c>
      <c r="EO230" s="9"/>
      <c r="EP230" s="9"/>
      <c r="EQ230" s="9"/>
      <c r="ER230" s="9"/>
      <c r="ES230" s="9" t="s">
        <v>143</v>
      </c>
      <c r="ET230" s="9"/>
      <c r="EU230" s="9"/>
      <c r="EV230" s="9" t="s">
        <v>143</v>
      </c>
      <c r="EW230" s="9"/>
      <c r="EX230" s="9"/>
      <c r="EY230" s="9"/>
      <c r="EZ230" s="9"/>
      <c r="FA230" s="9"/>
      <c r="FB230" s="9"/>
      <c r="FC230" s="9" t="s">
        <v>143</v>
      </c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>
        <f t="shared" si="61"/>
        <v>0</v>
      </c>
      <c r="FU230" s="7">
        <f t="shared" si="62"/>
        <v>151200</v>
      </c>
      <c r="FV230" s="11">
        <f t="shared" si="63"/>
        <v>0</v>
      </c>
      <c r="FW230" s="11">
        <f t="shared" si="64"/>
        <v>16</v>
      </c>
      <c r="FX230" s="12">
        <f t="shared" si="65"/>
        <v>0</v>
      </c>
      <c r="FY230" s="12">
        <f t="shared" si="66"/>
        <v>4</v>
      </c>
    </row>
    <row r="231" spans="1:181" ht="43.5" customHeight="1" thickBot="1" x14ac:dyDescent="0.3">
      <c r="A231" s="4">
        <v>3361</v>
      </c>
      <c r="B231" s="27" t="s">
        <v>930</v>
      </c>
      <c r="C231" s="27"/>
      <c r="D231" s="28"/>
      <c r="E231" s="3">
        <v>45891</v>
      </c>
      <c r="F231" s="3">
        <f t="shared" si="74"/>
        <v>45989</v>
      </c>
      <c r="G231" s="4">
        <v>70</v>
      </c>
      <c r="H231" s="377">
        <f t="shared" si="76"/>
        <v>56.12903225806452</v>
      </c>
      <c r="I231" s="377">
        <f t="shared" si="71"/>
        <v>13.87096774193548</v>
      </c>
      <c r="J231" s="16" t="s">
        <v>1227</v>
      </c>
      <c r="K231" s="7">
        <v>100000</v>
      </c>
      <c r="L231" s="7">
        <v>217000</v>
      </c>
      <c r="M231" s="21">
        <f t="shared" si="72"/>
        <v>15500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 t="s">
        <v>143</v>
      </c>
      <c r="EL231" s="9"/>
      <c r="EM231" s="9" t="s">
        <v>143</v>
      </c>
      <c r="EN231" s="9" t="s">
        <v>143</v>
      </c>
      <c r="EO231" s="9"/>
      <c r="EP231" s="9"/>
      <c r="EQ231" s="9"/>
      <c r="ER231" s="9"/>
      <c r="ES231" s="9" t="s">
        <v>143</v>
      </c>
      <c r="ET231" s="9"/>
      <c r="EU231" s="9"/>
      <c r="EV231" s="9" t="s">
        <v>143</v>
      </c>
      <c r="EW231" s="9"/>
      <c r="EX231" s="9"/>
      <c r="EY231" s="9"/>
      <c r="EZ231" s="9"/>
      <c r="FA231" s="9"/>
      <c r="FB231" s="9"/>
      <c r="FC231" s="9" t="s">
        <v>143</v>
      </c>
      <c r="FD231" s="9"/>
      <c r="FE231" s="9"/>
      <c r="FF231" s="9"/>
      <c r="FG231" s="9"/>
      <c r="FH231" s="9">
        <v>62000</v>
      </c>
      <c r="FI231" s="9"/>
      <c r="FJ231" s="9"/>
      <c r="FK231" s="9"/>
      <c r="FL231" s="9"/>
      <c r="FM231" s="9">
        <v>62000</v>
      </c>
      <c r="FN231" s="9"/>
      <c r="FO231" s="9"/>
      <c r="FP231" s="9"/>
      <c r="FQ231" s="9">
        <v>50000</v>
      </c>
      <c r="FR231" s="9"/>
      <c r="FS231" s="9"/>
      <c r="FT231" s="9">
        <f t="shared" si="61"/>
        <v>174000</v>
      </c>
      <c r="FU231" s="7">
        <f t="shared" si="62"/>
        <v>43000</v>
      </c>
      <c r="FV231" s="11">
        <f t="shared" si="63"/>
        <v>11.225806451612904</v>
      </c>
      <c r="FW231" s="11">
        <f t="shared" si="64"/>
        <v>2.7741935483870961</v>
      </c>
      <c r="FX231" s="12">
        <f t="shared" si="65"/>
        <v>2.806451612903226</v>
      </c>
      <c r="FY231" s="12">
        <f t="shared" si="66"/>
        <v>0.69354838709677402</v>
      </c>
    </row>
    <row r="232" spans="1:181" ht="43.5" customHeight="1" thickBot="1" x14ac:dyDescent="0.3">
      <c r="A232" s="4">
        <v>3354</v>
      </c>
      <c r="B232" s="27" t="s">
        <v>455</v>
      </c>
      <c r="C232" s="27"/>
      <c r="D232" s="2"/>
      <c r="E232" s="3">
        <v>45887</v>
      </c>
      <c r="F232" s="3">
        <f t="shared" si="74"/>
        <v>45987</v>
      </c>
      <c r="G232" s="4">
        <v>72</v>
      </c>
      <c r="H232" s="377">
        <f t="shared" si="76"/>
        <v>61.666666666666664</v>
      </c>
      <c r="I232" s="377">
        <f t="shared" si="71"/>
        <v>10.333333333333336</v>
      </c>
      <c r="J232" s="155" t="s">
        <v>161</v>
      </c>
      <c r="K232" s="19">
        <v>100000</v>
      </c>
      <c r="L232" s="7">
        <v>216000</v>
      </c>
      <c r="M232" s="21">
        <v>15000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 t="s">
        <v>143</v>
      </c>
      <c r="EL232" s="9"/>
      <c r="EM232" s="9" t="s">
        <v>143</v>
      </c>
      <c r="EN232" s="9" t="s">
        <v>143</v>
      </c>
      <c r="EO232" s="9"/>
      <c r="EP232" s="9"/>
      <c r="EQ232" s="9"/>
      <c r="ER232" s="9"/>
      <c r="ES232" s="9" t="s">
        <v>143</v>
      </c>
      <c r="ET232" s="9"/>
      <c r="EU232" s="9"/>
      <c r="EV232" s="9" t="s">
        <v>143</v>
      </c>
      <c r="EW232" s="9"/>
      <c r="EX232" s="9"/>
      <c r="EY232" s="9"/>
      <c r="EZ232" s="9"/>
      <c r="FA232" s="9"/>
      <c r="FB232" s="9"/>
      <c r="FC232" s="9" t="s">
        <v>143</v>
      </c>
      <c r="FD232" s="9"/>
      <c r="FE232" s="9"/>
      <c r="FF232" s="9">
        <v>45000</v>
      </c>
      <c r="FG232" s="9"/>
      <c r="FH232" s="9"/>
      <c r="FI232" s="9">
        <v>15000</v>
      </c>
      <c r="FJ232" s="9"/>
      <c r="FK232" s="9"/>
      <c r="FL232" s="9"/>
      <c r="FM232" s="9">
        <v>75000</v>
      </c>
      <c r="FN232" s="9"/>
      <c r="FO232" s="9"/>
      <c r="FP232" s="9"/>
      <c r="FQ232" s="9">
        <v>50000</v>
      </c>
      <c r="FR232" s="9"/>
      <c r="FS232" s="9"/>
      <c r="FT232" s="9">
        <f t="shared" si="61"/>
        <v>185000</v>
      </c>
      <c r="FU232" s="7">
        <f t="shared" si="62"/>
        <v>31000</v>
      </c>
      <c r="FV232" s="11">
        <f t="shared" si="63"/>
        <v>12.333333333333332</v>
      </c>
      <c r="FW232" s="11">
        <f t="shared" si="64"/>
        <v>2.0666666666666673</v>
      </c>
      <c r="FX232" s="12">
        <f t="shared" si="65"/>
        <v>3.083333333333333</v>
      </c>
      <c r="FY232" s="12">
        <f t="shared" si="66"/>
        <v>0.51666666666666683</v>
      </c>
    </row>
    <row r="233" spans="1:181" ht="43.5" customHeight="1" thickBot="1" x14ac:dyDescent="0.3">
      <c r="A233" s="4">
        <v>3444</v>
      </c>
      <c r="B233" s="27" t="s">
        <v>1375</v>
      </c>
      <c r="C233" s="27"/>
      <c r="D233" s="2"/>
      <c r="E233" s="3">
        <v>45945</v>
      </c>
      <c r="F233" s="3">
        <f t="shared" si="74"/>
        <v>45952</v>
      </c>
      <c r="G233" s="4">
        <v>5</v>
      </c>
      <c r="H233" s="377" t="e">
        <f t="shared" si="76"/>
        <v>#VALUE!</v>
      </c>
      <c r="I233" s="377" t="e">
        <f t="shared" si="71"/>
        <v>#VALUE!</v>
      </c>
      <c r="J233" s="355" t="s">
        <v>1374</v>
      </c>
      <c r="K233" s="7">
        <v>50000</v>
      </c>
      <c r="L233" s="7">
        <v>72000</v>
      </c>
      <c r="M233" s="21" t="s">
        <v>143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 t="s">
        <v>143</v>
      </c>
      <c r="EL233" s="9"/>
      <c r="EM233" s="9" t="s">
        <v>143</v>
      </c>
      <c r="EN233" s="9" t="s">
        <v>143</v>
      </c>
      <c r="EO233" s="9"/>
      <c r="EP233" s="9"/>
      <c r="EQ233" s="9"/>
      <c r="ER233" s="9"/>
      <c r="ES233" s="9" t="s">
        <v>143</v>
      </c>
      <c r="ET233" s="9"/>
      <c r="EU233" s="9"/>
      <c r="EV233" s="9" t="s">
        <v>143</v>
      </c>
      <c r="EW233" s="9"/>
      <c r="EX233" s="9"/>
      <c r="EY233" s="9"/>
      <c r="EZ233" s="9"/>
      <c r="FA233" s="9"/>
      <c r="FB233" s="9"/>
      <c r="FC233" s="9" t="s">
        <v>143</v>
      </c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>
        <v>60000</v>
      </c>
      <c r="FO233" s="9"/>
      <c r="FP233" s="9"/>
      <c r="FQ233" s="9"/>
      <c r="FR233" s="9"/>
      <c r="FS233" s="9"/>
      <c r="FT233" s="9">
        <f t="shared" si="61"/>
        <v>60000</v>
      </c>
      <c r="FU233" s="7">
        <f t="shared" si="62"/>
        <v>12000</v>
      </c>
      <c r="FV233" s="11" t="e">
        <f t="shared" si="63"/>
        <v>#VALUE!</v>
      </c>
      <c r="FW233" s="11" t="e">
        <f t="shared" si="64"/>
        <v>#VALUE!</v>
      </c>
      <c r="FX233" s="12" t="e">
        <f t="shared" si="65"/>
        <v>#VALUE!</v>
      </c>
      <c r="FY233" s="12" t="e">
        <f t="shared" si="66"/>
        <v>#VALUE!</v>
      </c>
    </row>
    <row r="234" spans="1:181" ht="43.5" customHeight="1" thickBot="1" x14ac:dyDescent="0.3">
      <c r="A234" s="4">
        <v>3213</v>
      </c>
      <c r="B234" s="27" t="s">
        <v>456</v>
      </c>
      <c r="C234" s="27" t="s">
        <v>457</v>
      </c>
      <c r="D234" s="2">
        <v>35869349</v>
      </c>
      <c r="E234" s="3">
        <v>45803</v>
      </c>
      <c r="F234" s="3">
        <f t="shared" si="74"/>
        <v>45957</v>
      </c>
      <c r="G234" s="4">
        <v>110</v>
      </c>
      <c r="H234" s="377">
        <f t="shared" si="76"/>
        <v>64.166666666666671</v>
      </c>
      <c r="I234" s="377">
        <f t="shared" si="71"/>
        <v>45.833333333333329</v>
      </c>
      <c r="J234" s="192" t="s">
        <v>1225</v>
      </c>
      <c r="K234" s="19">
        <v>200000</v>
      </c>
      <c r="L234" s="7">
        <v>528000</v>
      </c>
      <c r="M234" s="21">
        <f t="shared" ref="M234:M252" si="77">(L234/G234)*5</f>
        <v>24000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 t="s">
        <v>143</v>
      </c>
      <c r="EL234" s="9"/>
      <c r="EM234" s="9" t="s">
        <v>143</v>
      </c>
      <c r="EN234" s="9" t="s">
        <v>143</v>
      </c>
      <c r="EO234" s="9"/>
      <c r="EP234" s="9"/>
      <c r="EQ234" s="9"/>
      <c r="ER234" s="9"/>
      <c r="ES234" s="9">
        <v>48000</v>
      </c>
      <c r="ET234" s="9"/>
      <c r="EU234" s="9">
        <v>48000</v>
      </c>
      <c r="EV234" s="9"/>
      <c r="EW234" s="9"/>
      <c r="EX234" s="9"/>
      <c r="EY234" s="9"/>
      <c r="EZ234" s="9">
        <v>48000</v>
      </c>
      <c r="FA234" s="9"/>
      <c r="FB234" s="9"/>
      <c r="FC234" s="9"/>
      <c r="FD234" s="9"/>
      <c r="FE234" s="9"/>
      <c r="FF234" s="9"/>
      <c r="FG234" s="9"/>
      <c r="FH234" s="9">
        <v>48000</v>
      </c>
      <c r="FI234" s="9"/>
      <c r="FJ234" s="9">
        <v>48000</v>
      </c>
      <c r="FK234" s="9"/>
      <c r="FL234" s="9"/>
      <c r="FM234" s="9">
        <v>48000</v>
      </c>
      <c r="FN234" s="9"/>
      <c r="FO234" s="9">
        <v>10000</v>
      </c>
      <c r="FP234" s="9"/>
      <c r="FQ234" s="9"/>
      <c r="FR234" s="9"/>
      <c r="FS234" s="9">
        <v>10000</v>
      </c>
      <c r="FT234" s="9">
        <f t="shared" si="61"/>
        <v>308000</v>
      </c>
      <c r="FU234" s="7">
        <f t="shared" si="62"/>
        <v>220000</v>
      </c>
      <c r="FV234" s="11">
        <f t="shared" si="63"/>
        <v>12.833333333333334</v>
      </c>
      <c r="FW234" s="11">
        <f t="shared" si="64"/>
        <v>9.1666666666666661</v>
      </c>
      <c r="FX234" s="12">
        <f t="shared" si="65"/>
        <v>3.2083333333333335</v>
      </c>
      <c r="FY234" s="12">
        <f t="shared" si="66"/>
        <v>2.2916666666666665</v>
      </c>
    </row>
    <row r="235" spans="1:181" ht="43.5" customHeight="1" thickBot="1" x14ac:dyDescent="0.3">
      <c r="A235" s="372">
        <v>3510</v>
      </c>
      <c r="B235" s="2" t="s">
        <v>626</v>
      </c>
      <c r="C235" s="2" t="s">
        <v>208</v>
      </c>
      <c r="D235" s="2"/>
      <c r="E235" s="3">
        <v>45983</v>
      </c>
      <c r="F235" s="3">
        <f t="shared" si="74"/>
        <v>46262</v>
      </c>
      <c r="G235" s="4">
        <v>200</v>
      </c>
      <c r="H235" s="377">
        <f t="shared" si="76"/>
        <v>0</v>
      </c>
      <c r="I235" s="377">
        <f t="shared" si="71"/>
        <v>200</v>
      </c>
      <c r="J235" s="355" t="s">
        <v>1413</v>
      </c>
      <c r="K235" s="7">
        <v>200000</v>
      </c>
      <c r="L235" s="7">
        <v>624000</v>
      </c>
      <c r="M235" s="21">
        <f t="shared" si="77"/>
        <v>15600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 t="s">
        <v>143</v>
      </c>
      <c r="EL235" s="9"/>
      <c r="EM235" s="9" t="s">
        <v>143</v>
      </c>
      <c r="EN235" s="9" t="s">
        <v>143</v>
      </c>
      <c r="EO235" s="9"/>
      <c r="EP235" s="9"/>
      <c r="EQ235" s="9"/>
      <c r="ER235" s="9"/>
      <c r="ES235" s="9" t="s">
        <v>143</v>
      </c>
      <c r="ET235" s="9"/>
      <c r="EU235" s="9"/>
      <c r="EV235" s="9" t="s">
        <v>143</v>
      </c>
      <c r="EW235" s="9"/>
      <c r="EX235" s="9"/>
      <c r="EY235" s="9"/>
      <c r="EZ235" s="9"/>
      <c r="FA235" s="9"/>
      <c r="FB235" s="9"/>
      <c r="FC235" s="9" t="s">
        <v>143</v>
      </c>
      <c r="FD235" s="9"/>
      <c r="FE235" s="9"/>
      <c r="FF235" s="9"/>
      <c r="FG235" s="9"/>
      <c r="FH235" s="9"/>
      <c r="FI235" s="9"/>
      <c r="FJ235" s="9"/>
      <c r="FK235" s="9"/>
      <c r="FL235" s="9" t="s">
        <v>143</v>
      </c>
      <c r="FM235" s="9"/>
      <c r="FN235" s="9"/>
      <c r="FO235" s="9"/>
      <c r="FP235" s="9"/>
      <c r="FQ235" s="9"/>
      <c r="FR235" s="9"/>
      <c r="FS235" s="9"/>
      <c r="FT235" s="9">
        <f t="shared" si="61"/>
        <v>0</v>
      </c>
      <c r="FU235" s="7">
        <f t="shared" si="62"/>
        <v>624000</v>
      </c>
      <c r="FV235" s="11">
        <f t="shared" si="63"/>
        <v>0</v>
      </c>
      <c r="FW235" s="11">
        <f t="shared" si="64"/>
        <v>40</v>
      </c>
      <c r="FX235" s="12">
        <f t="shared" si="65"/>
        <v>0</v>
      </c>
      <c r="FY235" s="12">
        <f t="shared" si="66"/>
        <v>10</v>
      </c>
    </row>
    <row r="236" spans="1:181" ht="43.5" customHeight="1" thickBot="1" x14ac:dyDescent="0.3">
      <c r="A236" s="4">
        <v>2814</v>
      </c>
      <c r="B236" s="27" t="s">
        <v>459</v>
      </c>
      <c r="C236" s="27" t="s">
        <v>460</v>
      </c>
      <c r="D236" s="2"/>
      <c r="E236" s="3">
        <v>45553</v>
      </c>
      <c r="F236" s="3">
        <f t="shared" si="74"/>
        <v>45721</v>
      </c>
      <c r="G236" s="4">
        <v>120</v>
      </c>
      <c r="H236" s="377">
        <f t="shared" si="76"/>
        <v>44.393939393939391</v>
      </c>
      <c r="I236" s="377">
        <f t="shared" si="71"/>
        <v>75.606060606060609</v>
      </c>
      <c r="J236" s="355" t="s">
        <v>461</v>
      </c>
      <c r="K236" s="7">
        <v>300000</v>
      </c>
      <c r="L236" s="7">
        <v>792000</v>
      </c>
      <c r="M236" s="21">
        <f t="shared" si="77"/>
        <v>33000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>
        <v>133000</v>
      </c>
      <c r="DP236" s="9"/>
      <c r="DQ236" s="9"/>
      <c r="DR236" s="9">
        <v>100000</v>
      </c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>
        <v>30000</v>
      </c>
      <c r="EP236" s="9"/>
      <c r="EQ236" s="9">
        <v>30000</v>
      </c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>
        <f t="shared" si="61"/>
        <v>293000</v>
      </c>
      <c r="FU236" s="7">
        <f t="shared" si="62"/>
        <v>499000</v>
      </c>
      <c r="FV236" s="11">
        <f t="shared" si="63"/>
        <v>8.8787878787878789</v>
      </c>
      <c r="FW236" s="11">
        <f t="shared" si="64"/>
        <v>15.121212121212121</v>
      </c>
      <c r="FX236" s="12">
        <f t="shared" si="65"/>
        <v>2.2196969696969697</v>
      </c>
      <c r="FY236" s="12">
        <f t="shared" si="66"/>
        <v>3.7803030303030303</v>
      </c>
    </row>
    <row r="237" spans="1:181" ht="43.5" customHeight="1" thickBot="1" x14ac:dyDescent="0.3">
      <c r="A237" s="4">
        <v>3313</v>
      </c>
      <c r="B237" s="27" t="s">
        <v>462</v>
      </c>
      <c r="C237" s="27" t="s">
        <v>463</v>
      </c>
      <c r="D237" s="2">
        <v>20284723342</v>
      </c>
      <c r="E237" s="3">
        <v>45862</v>
      </c>
      <c r="F237" s="3">
        <f t="shared" si="74"/>
        <v>45964</v>
      </c>
      <c r="G237" s="4">
        <v>72</v>
      </c>
      <c r="H237" s="377">
        <f t="shared" si="76"/>
        <v>70</v>
      </c>
      <c r="I237" s="377">
        <f t="shared" si="71"/>
        <v>2</v>
      </c>
      <c r="J237" s="155" t="s">
        <v>1396</v>
      </c>
      <c r="K237" s="10">
        <v>150000</v>
      </c>
      <c r="L237" s="10">
        <v>324000</v>
      </c>
      <c r="M237" s="21">
        <f t="shared" si="77"/>
        <v>22500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 t="s">
        <v>143</v>
      </c>
      <c r="EL237" s="9"/>
      <c r="EM237" s="9" t="s">
        <v>143</v>
      </c>
      <c r="EN237" s="9" t="s">
        <v>143</v>
      </c>
      <c r="EO237" s="9"/>
      <c r="EP237" s="9"/>
      <c r="EQ237" s="9"/>
      <c r="ER237" s="9"/>
      <c r="ES237" s="9" t="s">
        <v>143</v>
      </c>
      <c r="ET237" s="9"/>
      <c r="EU237" s="9"/>
      <c r="EV237" s="9" t="s">
        <v>143</v>
      </c>
      <c r="EW237" s="9"/>
      <c r="EX237" s="9"/>
      <c r="EY237" s="9"/>
      <c r="EZ237" s="9"/>
      <c r="FA237" s="9">
        <v>22500</v>
      </c>
      <c r="FB237" s="9">
        <v>22500</v>
      </c>
      <c r="FC237" s="9"/>
      <c r="FD237" s="9">
        <v>22500</v>
      </c>
      <c r="FE237" s="9">
        <v>22500</v>
      </c>
      <c r="FF237" s="9">
        <v>45000</v>
      </c>
      <c r="FG237" s="9">
        <v>22500</v>
      </c>
      <c r="FH237" s="9"/>
      <c r="FI237" s="9">
        <v>45000</v>
      </c>
      <c r="FJ237" s="9"/>
      <c r="FK237" s="9">
        <v>22500</v>
      </c>
      <c r="FL237" s="9"/>
      <c r="FM237" s="9">
        <v>22500</v>
      </c>
      <c r="FN237" s="9">
        <v>22500</v>
      </c>
      <c r="FO237" s="9"/>
      <c r="FP237" s="9">
        <v>22500</v>
      </c>
      <c r="FQ237" s="9">
        <v>22500</v>
      </c>
      <c r="FR237" s="9"/>
      <c r="FS237" s="9"/>
      <c r="FT237" s="9">
        <f t="shared" si="61"/>
        <v>315000</v>
      </c>
      <c r="FU237" s="7">
        <f t="shared" si="62"/>
        <v>9000</v>
      </c>
      <c r="FV237" s="11">
        <f t="shared" si="63"/>
        <v>14</v>
      </c>
      <c r="FW237" s="11">
        <f t="shared" si="64"/>
        <v>0.4</v>
      </c>
      <c r="FX237" s="12">
        <f t="shared" si="65"/>
        <v>3.5</v>
      </c>
      <c r="FY237" s="12">
        <f t="shared" si="66"/>
        <v>0.1</v>
      </c>
    </row>
    <row r="238" spans="1:181" ht="43.5" customHeight="1" thickBot="1" x14ac:dyDescent="0.3">
      <c r="A238" s="4">
        <v>3417</v>
      </c>
      <c r="B238" s="27" t="s">
        <v>462</v>
      </c>
      <c r="C238" s="27" t="s">
        <v>463</v>
      </c>
      <c r="D238" s="2">
        <v>20284723342</v>
      </c>
      <c r="E238" s="3">
        <v>45862</v>
      </c>
      <c r="F238" s="3">
        <f t="shared" si="74"/>
        <v>45964</v>
      </c>
      <c r="G238" s="4">
        <v>72</v>
      </c>
      <c r="H238" s="377">
        <f t="shared" si="76"/>
        <v>25</v>
      </c>
      <c r="I238" s="377">
        <f t="shared" si="71"/>
        <v>47</v>
      </c>
      <c r="J238" s="155" t="s">
        <v>1313</v>
      </c>
      <c r="K238" s="10">
        <v>150000</v>
      </c>
      <c r="L238" s="10">
        <v>540000</v>
      </c>
      <c r="M238" s="21">
        <f t="shared" si="77"/>
        <v>37500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 t="s">
        <v>143</v>
      </c>
      <c r="EL238" s="9"/>
      <c r="EM238" s="9" t="s">
        <v>143</v>
      </c>
      <c r="EN238" s="9" t="s">
        <v>143</v>
      </c>
      <c r="EO238" s="9"/>
      <c r="EP238" s="9"/>
      <c r="EQ238" s="9"/>
      <c r="ER238" s="9"/>
      <c r="ES238" s="9" t="s">
        <v>143</v>
      </c>
      <c r="ET238" s="9"/>
      <c r="EU238" s="9"/>
      <c r="EV238" s="9" t="s">
        <v>143</v>
      </c>
      <c r="EW238" s="9"/>
      <c r="EX238" s="9"/>
      <c r="EY238" s="9"/>
      <c r="EZ238" s="9"/>
      <c r="FA238" s="9"/>
      <c r="FB238" s="9"/>
      <c r="FC238" s="9" t="s">
        <v>143</v>
      </c>
      <c r="FD238" s="9"/>
      <c r="FE238" s="9"/>
      <c r="FF238" s="9"/>
      <c r="FG238" s="9"/>
      <c r="FH238" s="9"/>
      <c r="FI238" s="9"/>
      <c r="FJ238" s="9"/>
      <c r="FK238" s="9">
        <v>37500</v>
      </c>
      <c r="FL238" s="9"/>
      <c r="FM238" s="9">
        <v>37500</v>
      </c>
      <c r="FN238" s="9">
        <v>37500</v>
      </c>
      <c r="FO238" s="9"/>
      <c r="FP238" s="9">
        <v>37500</v>
      </c>
      <c r="FQ238" s="9">
        <v>37500</v>
      </c>
      <c r="FR238" s="9"/>
      <c r="FS238" s="9"/>
      <c r="FT238" s="9">
        <f t="shared" si="61"/>
        <v>187500</v>
      </c>
      <c r="FU238" s="7">
        <f t="shared" si="62"/>
        <v>352500</v>
      </c>
      <c r="FV238" s="11">
        <f t="shared" si="63"/>
        <v>5</v>
      </c>
      <c r="FW238" s="11">
        <f t="shared" si="64"/>
        <v>9.4</v>
      </c>
      <c r="FX238" s="12">
        <f t="shared" si="65"/>
        <v>1.25</v>
      </c>
      <c r="FY238" s="12">
        <f t="shared" si="66"/>
        <v>2.35</v>
      </c>
    </row>
    <row r="239" spans="1:181" ht="43.5" customHeight="1" thickBot="1" x14ac:dyDescent="0.3">
      <c r="A239" s="4">
        <v>3212</v>
      </c>
      <c r="B239" s="27" t="s">
        <v>465</v>
      </c>
      <c r="C239" s="27" t="s">
        <v>466</v>
      </c>
      <c r="D239" s="2"/>
      <c r="E239" s="3">
        <v>45801</v>
      </c>
      <c r="F239" s="3">
        <f>WORKDAY(E239,G239)</f>
        <v>46024</v>
      </c>
      <c r="G239" s="4">
        <v>160</v>
      </c>
      <c r="H239" s="377">
        <f t="shared" si="76"/>
        <v>79.961904761904762</v>
      </c>
      <c r="I239" s="377">
        <f t="shared" si="71"/>
        <v>80.038095238095238</v>
      </c>
      <c r="J239" s="355" t="s">
        <v>1223</v>
      </c>
      <c r="K239" s="10">
        <v>700000</v>
      </c>
      <c r="L239" s="10">
        <v>2100000</v>
      </c>
      <c r="M239" s="390">
        <f t="shared" si="77"/>
        <v>65625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 t="s">
        <v>143</v>
      </c>
      <c r="EL239" s="9"/>
      <c r="EM239" s="9" t="s">
        <v>143</v>
      </c>
      <c r="EN239" s="9" t="s">
        <v>143</v>
      </c>
      <c r="EO239" s="9"/>
      <c r="EP239" s="9"/>
      <c r="EQ239" s="9"/>
      <c r="ER239" s="9"/>
      <c r="ES239" s="9">
        <v>262000</v>
      </c>
      <c r="ET239" s="9"/>
      <c r="EU239" s="9"/>
      <c r="EV239" s="9"/>
      <c r="EW239" s="9"/>
      <c r="EX239" s="9">
        <v>262500</v>
      </c>
      <c r="EY239" s="9"/>
      <c r="EZ239" s="9"/>
      <c r="FA239" s="9"/>
      <c r="FB239" s="9"/>
      <c r="FC239" s="9">
        <v>262500</v>
      </c>
      <c r="FD239" s="9"/>
      <c r="FE239" s="9"/>
      <c r="FF239" s="9"/>
      <c r="FG239" s="9"/>
      <c r="FH239" s="9"/>
      <c r="FI239" s="9"/>
      <c r="FJ239" s="9"/>
      <c r="FK239" s="9">
        <v>262500</v>
      </c>
      <c r="FL239" s="9"/>
      <c r="FM239" s="9"/>
      <c r="FN239" s="9"/>
      <c r="FO239" s="9"/>
      <c r="FP239" s="9"/>
      <c r="FQ239" s="9"/>
      <c r="FR239" s="9"/>
      <c r="FS239" s="9"/>
      <c r="FT239" s="9">
        <f t="shared" si="61"/>
        <v>1049500</v>
      </c>
      <c r="FU239" s="7">
        <f t="shared" si="62"/>
        <v>1050500</v>
      </c>
      <c r="FV239" s="11">
        <f t="shared" si="63"/>
        <v>15.992380952380952</v>
      </c>
      <c r="FW239" s="11">
        <f t="shared" si="64"/>
        <v>16.007619047619048</v>
      </c>
      <c r="FX239" s="12">
        <f t="shared" si="65"/>
        <v>3.9980952380952379</v>
      </c>
      <c r="FY239" s="12">
        <f t="shared" si="66"/>
        <v>4.0019047619047621</v>
      </c>
    </row>
    <row r="240" spans="1:181" ht="43.5" customHeight="1" thickBot="1" x14ac:dyDescent="0.3">
      <c r="A240" s="4">
        <v>3295</v>
      </c>
      <c r="B240" s="27" t="s">
        <v>1275</v>
      </c>
      <c r="C240" s="27" t="s">
        <v>466</v>
      </c>
      <c r="D240" s="2"/>
      <c r="E240" s="3">
        <v>45856</v>
      </c>
      <c r="F240" s="3">
        <f t="shared" si="74"/>
        <v>46024</v>
      </c>
      <c r="G240" s="4">
        <v>120</v>
      </c>
      <c r="H240" s="377">
        <f t="shared" si="76"/>
        <v>20</v>
      </c>
      <c r="I240" s="377">
        <f t="shared" si="71"/>
        <v>100</v>
      </c>
      <c r="J240" s="355" t="s">
        <v>1276</v>
      </c>
      <c r="K240" s="20">
        <v>400000</v>
      </c>
      <c r="L240" s="7">
        <v>1056000</v>
      </c>
      <c r="M240" s="21">
        <f t="shared" si="77"/>
        <v>44000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 t="s">
        <v>143</v>
      </c>
      <c r="EL240" s="9"/>
      <c r="EM240" s="9" t="s">
        <v>143</v>
      </c>
      <c r="EN240" s="9" t="s">
        <v>143</v>
      </c>
      <c r="EO240" s="9"/>
      <c r="EP240" s="9"/>
      <c r="EQ240" s="9"/>
      <c r="ER240" s="9"/>
      <c r="ES240" s="9" t="s">
        <v>143</v>
      </c>
      <c r="ET240" s="9"/>
      <c r="EU240" s="9"/>
      <c r="EV240" s="9" t="s">
        <v>143</v>
      </c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>
        <v>176000</v>
      </c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>
        <f t="shared" si="61"/>
        <v>176000</v>
      </c>
      <c r="FU240" s="7">
        <f t="shared" si="62"/>
        <v>880000</v>
      </c>
      <c r="FV240" s="11">
        <f t="shared" si="63"/>
        <v>4</v>
      </c>
      <c r="FW240" s="11">
        <f t="shared" si="64"/>
        <v>20</v>
      </c>
      <c r="FX240" s="12">
        <f t="shared" si="65"/>
        <v>1</v>
      </c>
      <c r="FY240" s="12">
        <f t="shared" si="66"/>
        <v>5</v>
      </c>
    </row>
    <row r="241" spans="1:183" ht="43.5" customHeight="1" thickBot="1" x14ac:dyDescent="0.3">
      <c r="A241" s="4">
        <v>3493</v>
      </c>
      <c r="B241" s="2" t="s">
        <v>599</v>
      </c>
      <c r="C241" s="2" t="s">
        <v>466</v>
      </c>
      <c r="D241" s="2"/>
      <c r="E241" s="3">
        <v>45975</v>
      </c>
      <c r="F241" s="3">
        <f t="shared" si="74"/>
        <v>46077</v>
      </c>
      <c r="G241" s="4">
        <v>72</v>
      </c>
      <c r="H241" s="377">
        <f t="shared" si="76"/>
        <v>10.833333333333334</v>
      </c>
      <c r="I241" s="377">
        <f t="shared" si="71"/>
        <v>61.166666666666664</v>
      </c>
      <c r="J241" s="2" t="s">
        <v>576</v>
      </c>
      <c r="K241" s="7">
        <v>40000</v>
      </c>
      <c r="L241" s="7">
        <v>86400</v>
      </c>
      <c r="M241" s="21">
        <f t="shared" si="77"/>
        <v>6000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 t="s">
        <v>143</v>
      </c>
      <c r="EL241" s="9"/>
      <c r="EM241" s="9" t="s">
        <v>143</v>
      </c>
      <c r="EN241" s="9" t="s">
        <v>143</v>
      </c>
      <c r="EO241" s="9"/>
      <c r="EP241" s="9"/>
      <c r="EQ241" s="9"/>
      <c r="ER241" s="9"/>
      <c r="ES241" s="9" t="s">
        <v>143</v>
      </c>
      <c r="ET241" s="9"/>
      <c r="EU241" s="9"/>
      <c r="EV241" s="9" t="s">
        <v>143</v>
      </c>
      <c r="EW241" s="9"/>
      <c r="EX241" s="9"/>
      <c r="EY241" s="9"/>
      <c r="EZ241" s="9"/>
      <c r="FA241" s="9"/>
      <c r="FB241" s="9"/>
      <c r="FC241" s="9" t="s">
        <v>143</v>
      </c>
      <c r="FD241" s="9"/>
      <c r="FE241" s="9"/>
      <c r="FF241" s="9"/>
      <c r="FG241" s="9"/>
      <c r="FH241" s="9"/>
      <c r="FI241" s="9"/>
      <c r="FJ241" s="9"/>
      <c r="FK241" s="9"/>
      <c r="FL241" s="9" t="s">
        <v>143</v>
      </c>
      <c r="FM241" s="9"/>
      <c r="FN241" s="9"/>
      <c r="FO241" s="9"/>
      <c r="FP241" s="9"/>
      <c r="FQ241" s="9">
        <v>7000</v>
      </c>
      <c r="FR241" s="9">
        <v>6000</v>
      </c>
      <c r="FS241" s="9"/>
      <c r="FT241" s="9">
        <f t="shared" si="61"/>
        <v>13000</v>
      </c>
      <c r="FU241" s="7">
        <f t="shared" si="62"/>
        <v>73400</v>
      </c>
      <c r="FV241" s="11">
        <f t="shared" si="63"/>
        <v>2.166666666666667</v>
      </c>
      <c r="FW241" s="11">
        <f t="shared" si="64"/>
        <v>12.233333333333333</v>
      </c>
      <c r="FX241" s="12">
        <f t="shared" si="65"/>
        <v>0.54166666666666674</v>
      </c>
      <c r="FY241" s="12">
        <f t="shared" si="66"/>
        <v>3.0583333333333331</v>
      </c>
    </row>
    <row r="242" spans="1:183" ht="43.5" customHeight="1" thickBot="1" x14ac:dyDescent="0.3">
      <c r="A242" s="4">
        <v>3214</v>
      </c>
      <c r="B242" s="27" t="s">
        <v>467</v>
      </c>
      <c r="C242" s="27" t="s">
        <v>468</v>
      </c>
      <c r="D242" s="418"/>
      <c r="E242" s="3">
        <v>45803</v>
      </c>
      <c r="F242" s="3">
        <f t="shared" si="74"/>
        <v>46027</v>
      </c>
      <c r="G242" s="4">
        <v>160</v>
      </c>
      <c r="H242" s="377">
        <f t="shared" si="76"/>
        <v>120</v>
      </c>
      <c r="I242" s="377">
        <f t="shared" si="71"/>
        <v>40</v>
      </c>
      <c r="J242" s="355" t="s">
        <v>1226</v>
      </c>
      <c r="K242" s="7">
        <v>400000</v>
      </c>
      <c r="L242" s="7">
        <v>1200000</v>
      </c>
      <c r="M242" s="21">
        <f t="shared" si="77"/>
        <v>37500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 t="s">
        <v>143</v>
      </c>
      <c r="EL242" s="9"/>
      <c r="EM242" s="9" t="s">
        <v>143</v>
      </c>
      <c r="EN242" s="9" t="s">
        <v>143</v>
      </c>
      <c r="EO242" s="9"/>
      <c r="EP242" s="9"/>
      <c r="EQ242" s="9"/>
      <c r="ER242" s="9"/>
      <c r="ES242" s="9"/>
      <c r="ET242" s="9"/>
      <c r="EU242" s="9"/>
      <c r="EV242" s="9">
        <v>150000</v>
      </c>
      <c r="EW242" s="9"/>
      <c r="EX242" s="9"/>
      <c r="EY242" s="9"/>
      <c r="EZ242" s="9">
        <v>150000</v>
      </c>
      <c r="FA242" s="9"/>
      <c r="FB242" s="9"/>
      <c r="FC242" s="9"/>
      <c r="FD242" s="9">
        <v>150000</v>
      </c>
      <c r="FE242" s="9"/>
      <c r="FF242" s="9"/>
      <c r="FG242" s="9"/>
      <c r="FH242" s="9"/>
      <c r="FI242" s="9"/>
      <c r="FJ242" s="9">
        <v>150000</v>
      </c>
      <c r="FK242" s="9"/>
      <c r="FL242" s="9"/>
      <c r="FM242" s="9"/>
      <c r="FN242" s="9">
        <v>150000</v>
      </c>
      <c r="FO242" s="9"/>
      <c r="FP242" s="9"/>
      <c r="FQ242" s="9"/>
      <c r="FR242" s="9"/>
      <c r="FS242" s="9">
        <v>150000</v>
      </c>
      <c r="FT242" s="9">
        <f t="shared" si="61"/>
        <v>900000</v>
      </c>
      <c r="FU242" s="7">
        <f t="shared" si="62"/>
        <v>300000</v>
      </c>
      <c r="FV242" s="11">
        <f t="shared" si="63"/>
        <v>24</v>
      </c>
      <c r="FW242" s="11">
        <f t="shared" si="64"/>
        <v>8</v>
      </c>
      <c r="FX242" s="12">
        <f t="shared" si="65"/>
        <v>6</v>
      </c>
      <c r="FY242" s="12">
        <f t="shared" si="66"/>
        <v>2</v>
      </c>
    </row>
    <row r="243" spans="1:183" ht="43.5" customHeight="1" thickBot="1" x14ac:dyDescent="0.3">
      <c r="A243" s="4">
        <v>3340</v>
      </c>
      <c r="B243" s="27" t="s">
        <v>467</v>
      </c>
      <c r="C243" s="27" t="s">
        <v>468</v>
      </c>
      <c r="D243" s="418"/>
      <c r="E243" s="3">
        <v>45877</v>
      </c>
      <c r="F243" s="3">
        <f t="shared" si="74"/>
        <v>46101</v>
      </c>
      <c r="G243" s="4">
        <v>160</v>
      </c>
      <c r="H243" s="377">
        <f t="shared" si="76"/>
        <v>80</v>
      </c>
      <c r="I243" s="377">
        <f t="shared" si="71"/>
        <v>80</v>
      </c>
      <c r="J243" s="355" t="s">
        <v>1226</v>
      </c>
      <c r="K243" s="7">
        <v>400000</v>
      </c>
      <c r="L243" s="7">
        <v>1200000</v>
      </c>
      <c r="M243" s="21">
        <f t="shared" si="77"/>
        <v>37500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 t="s">
        <v>143</v>
      </c>
      <c r="EL243" s="9"/>
      <c r="EM243" s="9" t="s">
        <v>143</v>
      </c>
      <c r="EN243" s="9" t="s">
        <v>143</v>
      </c>
      <c r="EO243" s="9"/>
      <c r="EP243" s="9"/>
      <c r="EQ243" s="9"/>
      <c r="ER243" s="9"/>
      <c r="ES243" s="9" t="s">
        <v>143</v>
      </c>
      <c r="ET243" s="9"/>
      <c r="EU243" s="9"/>
      <c r="EV243" s="9" t="s">
        <v>143</v>
      </c>
      <c r="EW243" s="9"/>
      <c r="EX243" s="9"/>
      <c r="EY243" s="9"/>
      <c r="EZ243" s="9"/>
      <c r="FA243" s="9"/>
      <c r="FB243" s="9"/>
      <c r="FC243" s="9"/>
      <c r="FD243" s="9">
        <v>150000</v>
      </c>
      <c r="FE243" s="9"/>
      <c r="FF243" s="9"/>
      <c r="FG243" s="9"/>
      <c r="FH243" s="9"/>
      <c r="FI243" s="9"/>
      <c r="FJ243" s="9">
        <v>150000</v>
      </c>
      <c r="FK243" s="9"/>
      <c r="FL243" s="9"/>
      <c r="FM243" s="9"/>
      <c r="FN243" s="9">
        <v>150000</v>
      </c>
      <c r="FO243" s="9"/>
      <c r="FP243" s="9"/>
      <c r="FQ243" s="9"/>
      <c r="FR243" s="9"/>
      <c r="FS243" s="9">
        <v>150000</v>
      </c>
      <c r="FT243" s="9">
        <f t="shared" si="61"/>
        <v>600000</v>
      </c>
      <c r="FU243" s="7">
        <f t="shared" si="62"/>
        <v>600000</v>
      </c>
      <c r="FV243" s="11">
        <f t="shared" si="63"/>
        <v>16</v>
      </c>
      <c r="FW243" s="11">
        <f t="shared" si="64"/>
        <v>16</v>
      </c>
      <c r="FX243" s="12">
        <f t="shared" si="65"/>
        <v>4</v>
      </c>
      <c r="FY243" s="12">
        <f t="shared" si="66"/>
        <v>4</v>
      </c>
    </row>
    <row r="244" spans="1:183" ht="43.5" customHeight="1" thickBot="1" x14ac:dyDescent="0.3">
      <c r="A244" s="4">
        <v>3475</v>
      </c>
      <c r="B244" s="27" t="s">
        <v>467</v>
      </c>
      <c r="C244" s="27" t="s">
        <v>468</v>
      </c>
      <c r="D244" s="2"/>
      <c r="E244" s="3">
        <v>45962</v>
      </c>
      <c r="F244" s="3">
        <f t="shared" si="74"/>
        <v>46157</v>
      </c>
      <c r="G244" s="4">
        <v>140</v>
      </c>
      <c r="H244" s="377">
        <f t="shared" si="76"/>
        <v>20</v>
      </c>
      <c r="I244" s="377">
        <f t="shared" si="71"/>
        <v>120</v>
      </c>
      <c r="J244" s="355" t="s">
        <v>1389</v>
      </c>
      <c r="K244" s="7">
        <v>300000</v>
      </c>
      <c r="L244" s="7">
        <v>756000</v>
      </c>
      <c r="M244" s="21">
        <f t="shared" si="77"/>
        <v>27000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 t="s">
        <v>143</v>
      </c>
      <c r="EL244" s="9"/>
      <c r="EM244" s="9" t="s">
        <v>143</v>
      </c>
      <c r="EN244" s="9" t="s">
        <v>143</v>
      </c>
      <c r="EO244" s="9"/>
      <c r="EP244" s="9"/>
      <c r="EQ244" s="9"/>
      <c r="ER244" s="9"/>
      <c r="ES244" s="9" t="s">
        <v>143</v>
      </c>
      <c r="ET244" s="9"/>
      <c r="EU244" s="9"/>
      <c r="EV244" s="9" t="s">
        <v>143</v>
      </c>
      <c r="EW244" s="9"/>
      <c r="EX244" s="9"/>
      <c r="EY244" s="9"/>
      <c r="EZ244" s="9"/>
      <c r="FA244" s="9"/>
      <c r="FB244" s="9"/>
      <c r="FC244" s="9" t="s">
        <v>143</v>
      </c>
      <c r="FD244" s="9"/>
      <c r="FE244" s="9"/>
      <c r="FF244" s="9"/>
      <c r="FG244" s="9"/>
      <c r="FH244" s="9"/>
      <c r="FI244" s="9"/>
      <c r="FJ244" s="9"/>
      <c r="FK244" s="9"/>
      <c r="FL244" s="9" t="s">
        <v>143</v>
      </c>
      <c r="FM244" s="9"/>
      <c r="FN244" s="9"/>
      <c r="FO244" s="9"/>
      <c r="FP244" s="9">
        <v>54000</v>
      </c>
      <c r="FQ244" s="9"/>
      <c r="FR244" s="9">
        <v>54000</v>
      </c>
      <c r="FS244" s="9"/>
      <c r="FT244" s="9">
        <f t="shared" si="61"/>
        <v>108000</v>
      </c>
      <c r="FU244" s="7">
        <f t="shared" si="62"/>
        <v>648000</v>
      </c>
      <c r="FV244" s="11">
        <f t="shared" si="63"/>
        <v>4</v>
      </c>
      <c r="FW244" s="11">
        <f t="shared" si="64"/>
        <v>24</v>
      </c>
      <c r="FX244" s="12">
        <f t="shared" si="65"/>
        <v>1</v>
      </c>
      <c r="FY244" s="12">
        <f t="shared" si="66"/>
        <v>6</v>
      </c>
    </row>
    <row r="245" spans="1:183" ht="43.5" customHeight="1" thickBot="1" x14ac:dyDescent="0.3">
      <c r="A245" s="4">
        <v>3442</v>
      </c>
      <c r="B245" s="27" t="s">
        <v>469</v>
      </c>
      <c r="C245" s="27" t="s">
        <v>470</v>
      </c>
      <c r="D245" s="2"/>
      <c r="E245" s="3">
        <v>45944</v>
      </c>
      <c r="F245" s="3">
        <f t="shared" si="74"/>
        <v>46084</v>
      </c>
      <c r="G245" s="4">
        <v>100</v>
      </c>
      <c r="H245" s="377">
        <f t="shared" si="76"/>
        <v>18.518518518518519</v>
      </c>
      <c r="I245" s="377">
        <f t="shared" si="71"/>
        <v>81.481481481481481</v>
      </c>
      <c r="J245" s="355" t="s">
        <v>1371</v>
      </c>
      <c r="K245" s="7">
        <v>1000000</v>
      </c>
      <c r="L245" s="7">
        <v>2160000</v>
      </c>
      <c r="M245" s="8">
        <f t="shared" si="77"/>
        <v>108000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 t="s">
        <v>143</v>
      </c>
      <c r="EL245" s="9"/>
      <c r="EM245" s="9" t="s">
        <v>143</v>
      </c>
      <c r="EN245" s="9" t="s">
        <v>143</v>
      </c>
      <c r="EO245" s="9"/>
      <c r="EP245" s="9"/>
      <c r="EQ245" s="9"/>
      <c r="ER245" s="9"/>
      <c r="ES245" s="9" t="s">
        <v>143</v>
      </c>
      <c r="ET245" s="9"/>
      <c r="EU245" s="9"/>
      <c r="EV245" s="9" t="s">
        <v>143</v>
      </c>
      <c r="EW245" s="9"/>
      <c r="EX245" s="9"/>
      <c r="EY245" s="9"/>
      <c r="EZ245" s="9"/>
      <c r="FA245" s="9"/>
      <c r="FB245" s="9"/>
      <c r="FC245" s="9" t="s">
        <v>143</v>
      </c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>
        <v>400000</v>
      </c>
      <c r="FP245" s="9"/>
      <c r="FQ245" s="9"/>
      <c r="FR245" s="9"/>
      <c r="FS245" s="9"/>
      <c r="FT245" s="9">
        <f t="shared" si="61"/>
        <v>400000</v>
      </c>
      <c r="FU245" s="7">
        <f t="shared" si="62"/>
        <v>1760000</v>
      </c>
      <c r="FV245" s="11">
        <f t="shared" si="63"/>
        <v>3.7037037037037037</v>
      </c>
      <c r="FW245" s="11">
        <f t="shared" si="64"/>
        <v>16.296296296296298</v>
      </c>
      <c r="FX245" s="12">
        <f t="shared" si="65"/>
        <v>0.92592592592592593</v>
      </c>
      <c r="FY245" s="12">
        <f t="shared" si="66"/>
        <v>4.0740740740740744</v>
      </c>
    </row>
    <row r="246" spans="1:183" ht="43.5" customHeight="1" thickBot="1" x14ac:dyDescent="0.3">
      <c r="A246" s="4">
        <v>3304</v>
      </c>
      <c r="B246" s="27" t="s">
        <v>471</v>
      </c>
      <c r="C246" s="27" t="s">
        <v>1312</v>
      </c>
      <c r="D246" s="2"/>
      <c r="E246" s="3">
        <v>45860</v>
      </c>
      <c r="F246" s="3">
        <f>WORKDAY(E246,G246)</f>
        <v>45972</v>
      </c>
      <c r="G246" s="4">
        <v>80</v>
      </c>
      <c r="H246" s="377">
        <f t="shared" si="76"/>
        <v>72.345679012345684</v>
      </c>
      <c r="I246" s="377">
        <f t="shared" si="71"/>
        <v>7.6543209876543159</v>
      </c>
      <c r="J246" s="355" t="s">
        <v>1284</v>
      </c>
      <c r="K246" s="7">
        <v>300000</v>
      </c>
      <c r="L246" s="7">
        <v>648000</v>
      </c>
      <c r="M246" s="8">
        <f t="shared" si="77"/>
        <v>40500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 t="s">
        <v>143</v>
      </c>
      <c r="EL246" s="9"/>
      <c r="EM246" s="9" t="s">
        <v>143</v>
      </c>
      <c r="EN246" s="9" t="s">
        <v>143</v>
      </c>
      <c r="EO246" s="9"/>
      <c r="EP246" s="9"/>
      <c r="EQ246" s="9"/>
      <c r="ER246" s="9"/>
      <c r="ES246" s="9" t="s">
        <v>143</v>
      </c>
      <c r="ET246" s="9"/>
      <c r="EU246" s="9"/>
      <c r="EV246" s="9" t="s">
        <v>143</v>
      </c>
      <c r="EW246" s="9"/>
      <c r="EX246" s="9"/>
      <c r="EY246" s="9"/>
      <c r="EZ246" s="9"/>
      <c r="FA246" s="9"/>
      <c r="FB246" s="9"/>
      <c r="FC246" s="9"/>
      <c r="FD246" s="9">
        <v>112000</v>
      </c>
      <c r="FE246" s="9">
        <v>50000</v>
      </c>
      <c r="FF246" s="9"/>
      <c r="FG246" s="9"/>
      <c r="FH246" s="9"/>
      <c r="FI246" s="9">
        <v>162000</v>
      </c>
      <c r="FJ246" s="9"/>
      <c r="FK246" s="9"/>
      <c r="FL246" s="9"/>
      <c r="FM246" s="9">
        <v>100000</v>
      </c>
      <c r="FN246" s="9">
        <v>62000</v>
      </c>
      <c r="FO246" s="9"/>
      <c r="FP246" s="9"/>
      <c r="FQ246" s="9"/>
      <c r="FR246" s="9"/>
      <c r="FS246" s="9">
        <v>100000</v>
      </c>
      <c r="FT246" s="9">
        <f t="shared" si="61"/>
        <v>586000</v>
      </c>
      <c r="FU246" s="7">
        <f t="shared" si="62"/>
        <v>62000</v>
      </c>
      <c r="FV246" s="11">
        <f t="shared" si="63"/>
        <v>14.469135802469136</v>
      </c>
      <c r="FW246" s="11">
        <f t="shared" si="64"/>
        <v>1.5308641975308632</v>
      </c>
      <c r="FX246" s="12">
        <f t="shared" si="65"/>
        <v>3.617283950617284</v>
      </c>
      <c r="FY246" s="12">
        <f t="shared" si="66"/>
        <v>0.38271604938271581</v>
      </c>
    </row>
    <row r="247" spans="1:183" ht="43.5" customHeight="1" thickBot="1" x14ac:dyDescent="0.3">
      <c r="A247" s="4">
        <v>3480</v>
      </c>
      <c r="B247" s="2" t="s">
        <v>609</v>
      </c>
      <c r="C247" s="2" t="s">
        <v>610</v>
      </c>
      <c r="D247" s="2"/>
      <c r="E247" s="3">
        <v>45969</v>
      </c>
      <c r="F247" s="3">
        <f t="shared" ref="F247:F250" si="78">WORKDAY(E247,G247)</f>
        <v>46122</v>
      </c>
      <c r="G247" s="4">
        <v>110</v>
      </c>
      <c r="H247" s="377">
        <f t="shared" si="76"/>
        <v>11</v>
      </c>
      <c r="I247" s="377">
        <f t="shared" si="71"/>
        <v>99</v>
      </c>
      <c r="J247" s="155" t="s">
        <v>279</v>
      </c>
      <c r="K247" s="7">
        <v>100000</v>
      </c>
      <c r="L247" s="7">
        <v>264000</v>
      </c>
      <c r="M247" s="8">
        <f t="shared" si="77"/>
        <v>12000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 t="s">
        <v>143</v>
      </c>
      <c r="EL247" s="9"/>
      <c r="EM247" s="9" t="s">
        <v>143</v>
      </c>
      <c r="EN247" s="9" t="s">
        <v>143</v>
      </c>
      <c r="EO247" s="9"/>
      <c r="EP247" s="9"/>
      <c r="EQ247" s="9"/>
      <c r="ER247" s="9"/>
      <c r="ES247" s="9" t="s">
        <v>143</v>
      </c>
      <c r="ET247" s="9"/>
      <c r="EU247" s="9"/>
      <c r="EV247" s="9" t="s">
        <v>143</v>
      </c>
      <c r="EW247" s="9"/>
      <c r="EX247" s="9"/>
      <c r="EY247" s="9"/>
      <c r="EZ247" s="9"/>
      <c r="FA247" s="9"/>
      <c r="FB247" s="9"/>
      <c r="FC247" s="9" t="s">
        <v>143</v>
      </c>
      <c r="FD247" s="9"/>
      <c r="FE247" s="9"/>
      <c r="FF247" s="9"/>
      <c r="FG247" s="9"/>
      <c r="FH247" s="9"/>
      <c r="FI247" s="9"/>
      <c r="FJ247" s="9"/>
      <c r="FK247" s="9"/>
      <c r="FL247" s="9" t="s">
        <v>143</v>
      </c>
      <c r="FM247" s="9"/>
      <c r="FN247" s="9"/>
      <c r="FO247" s="9"/>
      <c r="FP247" s="9">
        <v>12000</v>
      </c>
      <c r="FQ247" s="9">
        <v>14400</v>
      </c>
      <c r="FR247" s="9"/>
      <c r="FS247" s="9"/>
      <c r="FT247" s="9">
        <f t="shared" si="61"/>
        <v>26400</v>
      </c>
      <c r="FU247" s="7">
        <f t="shared" si="62"/>
        <v>237600</v>
      </c>
      <c r="FV247" s="11">
        <f t="shared" si="63"/>
        <v>2.2000000000000002</v>
      </c>
      <c r="FW247" s="11">
        <f t="shared" si="64"/>
        <v>19.8</v>
      </c>
      <c r="FX247" s="12">
        <f t="shared" si="65"/>
        <v>0.55000000000000004</v>
      </c>
      <c r="FY247" s="12">
        <f t="shared" si="66"/>
        <v>4.95</v>
      </c>
    </row>
    <row r="248" spans="1:183" ht="43.5" customHeight="1" thickBot="1" x14ac:dyDescent="0.3">
      <c r="A248" s="4">
        <v>3066</v>
      </c>
      <c r="B248" s="27" t="s">
        <v>474</v>
      </c>
      <c r="C248" s="27" t="s">
        <v>387</v>
      </c>
      <c r="D248" s="2">
        <v>2034839888</v>
      </c>
      <c r="E248" s="3">
        <v>45705</v>
      </c>
      <c r="F248" s="3">
        <f t="shared" si="78"/>
        <v>45873</v>
      </c>
      <c r="G248" s="4">
        <v>120</v>
      </c>
      <c r="H248" s="377">
        <f t="shared" si="76"/>
        <v>86.515151515151516</v>
      </c>
      <c r="I248" s="377">
        <f t="shared" si="71"/>
        <v>33.484848484848484</v>
      </c>
      <c r="J248" s="355" t="s">
        <v>477</v>
      </c>
      <c r="K248" s="7">
        <v>150000</v>
      </c>
      <c r="L248" s="7">
        <v>396000</v>
      </c>
      <c r="M248" s="8">
        <f t="shared" si="77"/>
        <v>16500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>
        <v>66000</v>
      </c>
      <c r="EI248" s="9"/>
      <c r="EJ248" s="9"/>
      <c r="EK248" s="9"/>
      <c r="EL248" s="9">
        <v>66000</v>
      </c>
      <c r="EM248" s="9"/>
      <c r="EN248" s="9"/>
      <c r="EO248" s="9" t="s">
        <v>143</v>
      </c>
      <c r="EP248" s="9">
        <v>20750</v>
      </c>
      <c r="EQ248" s="9">
        <v>45250</v>
      </c>
      <c r="ER248" s="9"/>
      <c r="ES248" s="9"/>
      <c r="ET248" s="9"/>
      <c r="EU248" s="9"/>
      <c r="EV248" s="9"/>
      <c r="EW248" s="9">
        <v>66000</v>
      </c>
      <c r="EX248" s="9"/>
      <c r="EY248" s="9"/>
      <c r="EZ248" s="9"/>
      <c r="FA248" s="9"/>
      <c r="FB248" s="9"/>
      <c r="FC248" s="9"/>
      <c r="FD248" s="9"/>
      <c r="FE248" s="9"/>
      <c r="FF248" s="9"/>
      <c r="FG248" s="9">
        <v>21500</v>
      </c>
      <c r="FH248" s="9"/>
      <c r="FI248" s="9"/>
      <c r="FJ248" s="9">
        <v>0</v>
      </c>
      <c r="FK248" s="9"/>
      <c r="FL248" s="9"/>
      <c r="FM248" s="9"/>
      <c r="FN248" s="9"/>
      <c r="FO248" s="9"/>
      <c r="FP248" s="9"/>
      <c r="FQ248" s="9"/>
      <c r="FR248" s="9"/>
      <c r="FS248" s="9"/>
      <c r="FT248" s="9">
        <f t="shared" si="61"/>
        <v>285500</v>
      </c>
      <c r="FU248" s="7">
        <f t="shared" si="62"/>
        <v>110500</v>
      </c>
      <c r="FV248" s="11">
        <f t="shared" si="63"/>
        <v>17.303030303030305</v>
      </c>
      <c r="FW248" s="11">
        <f t="shared" si="64"/>
        <v>6.6969696969696972</v>
      </c>
      <c r="FX248" s="12">
        <f t="shared" si="65"/>
        <v>4.3257575757575761</v>
      </c>
      <c r="FY248" s="12">
        <f t="shared" si="66"/>
        <v>1.6742424242424243</v>
      </c>
    </row>
    <row r="249" spans="1:183" ht="43.5" customHeight="1" thickBot="1" x14ac:dyDescent="0.3">
      <c r="A249" s="4">
        <v>3080</v>
      </c>
      <c r="B249" s="27" t="s">
        <v>474</v>
      </c>
      <c r="C249" s="27" t="s">
        <v>387</v>
      </c>
      <c r="D249" s="2">
        <v>2034839888</v>
      </c>
      <c r="E249" s="3">
        <v>45713</v>
      </c>
      <c r="F249" s="3">
        <f t="shared" si="78"/>
        <v>45881</v>
      </c>
      <c r="G249" s="4">
        <v>120</v>
      </c>
      <c r="H249" s="377">
        <f t="shared" si="76"/>
        <v>79.848484848484844</v>
      </c>
      <c r="I249" s="377">
        <f t="shared" si="71"/>
        <v>40.151515151515156</v>
      </c>
      <c r="J249" s="355" t="s">
        <v>478</v>
      </c>
      <c r="K249" s="7">
        <v>75000</v>
      </c>
      <c r="L249" s="7">
        <v>198000</v>
      </c>
      <c r="M249" s="8">
        <f t="shared" si="77"/>
        <v>8250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>
        <v>32750</v>
      </c>
      <c r="EI249" s="9"/>
      <c r="EJ249" s="9"/>
      <c r="EK249" s="9"/>
      <c r="EL249" s="9">
        <v>4750</v>
      </c>
      <c r="EM249" s="9">
        <v>28250</v>
      </c>
      <c r="EN249" s="9"/>
      <c r="EO249" s="9" t="s">
        <v>143</v>
      </c>
      <c r="EP249" s="9"/>
      <c r="EQ249" s="9">
        <v>24750</v>
      </c>
      <c r="ER249" s="9">
        <v>8250</v>
      </c>
      <c r="ES249" s="9"/>
      <c r="ET249" s="9"/>
      <c r="EU249" s="9"/>
      <c r="EV249" s="9"/>
      <c r="EW249" s="9">
        <v>33000</v>
      </c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>
        <f t="shared" si="61"/>
        <v>131750</v>
      </c>
      <c r="FU249" s="7">
        <f t="shared" si="62"/>
        <v>66250</v>
      </c>
      <c r="FV249" s="11">
        <f t="shared" si="63"/>
        <v>15.969696969696969</v>
      </c>
      <c r="FW249" s="11">
        <f t="shared" si="64"/>
        <v>8.0303030303030312</v>
      </c>
      <c r="FX249" s="12">
        <f t="shared" si="65"/>
        <v>3.9924242424242422</v>
      </c>
      <c r="FY249" s="12">
        <f t="shared" si="66"/>
        <v>2.0075757575757578</v>
      </c>
    </row>
    <row r="250" spans="1:183" ht="43.5" customHeight="1" thickBot="1" x14ac:dyDescent="0.3">
      <c r="A250" s="4">
        <v>3120</v>
      </c>
      <c r="B250" s="27" t="s">
        <v>474</v>
      </c>
      <c r="C250" s="27" t="s">
        <v>387</v>
      </c>
      <c r="D250" s="2">
        <v>2034839888</v>
      </c>
      <c r="E250" s="3">
        <v>45736</v>
      </c>
      <c r="F250" s="3">
        <f t="shared" si="78"/>
        <v>45904</v>
      </c>
      <c r="G250" s="4">
        <v>120</v>
      </c>
      <c r="H250" s="377">
        <f t="shared" si="76"/>
        <v>57.954545454545453</v>
      </c>
      <c r="I250" s="377">
        <f t="shared" si="71"/>
        <v>62.045454545454547</v>
      </c>
      <c r="J250" s="355" t="s">
        <v>476</v>
      </c>
      <c r="K250" s="7">
        <v>50000</v>
      </c>
      <c r="L250" s="7">
        <v>132000</v>
      </c>
      <c r="M250" s="8">
        <f t="shared" si="77"/>
        <v>5500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>
        <v>19750</v>
      </c>
      <c r="EN250" s="9"/>
      <c r="EO250" s="9" t="s">
        <v>143</v>
      </c>
      <c r="EP250" s="9"/>
      <c r="EQ250" s="9"/>
      <c r="ER250" s="9">
        <v>22000</v>
      </c>
      <c r="ES250" s="9"/>
      <c r="ET250" s="9"/>
      <c r="EU250" s="9"/>
      <c r="EV250" s="9"/>
      <c r="EW250" s="9">
        <v>22000</v>
      </c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>
        <f t="shared" si="61"/>
        <v>63750</v>
      </c>
      <c r="FU250" s="7">
        <f t="shared" si="62"/>
        <v>68250</v>
      </c>
      <c r="FV250" s="11">
        <f t="shared" si="63"/>
        <v>11.59090909090909</v>
      </c>
      <c r="FW250" s="11">
        <f t="shared" si="64"/>
        <v>12.40909090909091</v>
      </c>
      <c r="FX250" s="12">
        <f t="shared" si="65"/>
        <v>2.8977272727272725</v>
      </c>
      <c r="FY250" s="12">
        <f t="shared" si="66"/>
        <v>3.1022727272727275</v>
      </c>
    </row>
    <row r="251" spans="1:183" ht="43.5" customHeight="1" thickBot="1" x14ac:dyDescent="0.3">
      <c r="A251" s="4">
        <v>3172</v>
      </c>
      <c r="B251" s="27" t="s">
        <v>474</v>
      </c>
      <c r="C251" s="27" t="s">
        <v>387</v>
      </c>
      <c r="D251" s="2">
        <v>2034839888</v>
      </c>
      <c r="E251" s="3">
        <v>45775</v>
      </c>
      <c r="F251" s="3">
        <f t="shared" ref="F251:F252" si="79">WORKDAY(E251,G251)</f>
        <v>45887</v>
      </c>
      <c r="G251" s="4">
        <v>80</v>
      </c>
      <c r="H251" s="377">
        <f t="shared" si="76"/>
        <v>27.222222222222221</v>
      </c>
      <c r="I251" s="377">
        <f t="shared" si="71"/>
        <v>52.777777777777779</v>
      </c>
      <c r="J251" s="355" t="s">
        <v>1203</v>
      </c>
      <c r="K251" s="10">
        <v>50000</v>
      </c>
      <c r="L251" s="10">
        <v>108000</v>
      </c>
      <c r="M251" s="8">
        <f t="shared" si="77"/>
        <v>6750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 t="s">
        <v>143</v>
      </c>
      <c r="EP251" s="9"/>
      <c r="EQ251" s="9"/>
      <c r="ER251" s="9">
        <v>9750</v>
      </c>
      <c r="ES251" s="9"/>
      <c r="ET251" s="9"/>
      <c r="EU251" s="9"/>
      <c r="EV251" s="9"/>
      <c r="EW251" s="9">
        <v>27000</v>
      </c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>
        <f t="shared" si="61"/>
        <v>36750</v>
      </c>
      <c r="FU251" s="7">
        <f t="shared" si="62"/>
        <v>71250</v>
      </c>
      <c r="FV251" s="11">
        <f t="shared" si="63"/>
        <v>5.4444444444444446</v>
      </c>
      <c r="FW251" s="11">
        <f t="shared" si="64"/>
        <v>10.555555555555555</v>
      </c>
      <c r="FX251" s="12">
        <f t="shared" si="65"/>
        <v>1.3611111111111112</v>
      </c>
      <c r="FY251" s="12">
        <f t="shared" si="66"/>
        <v>2.6388888888888888</v>
      </c>
    </row>
    <row r="252" spans="1:183" ht="43.5" customHeight="1" thickBot="1" x14ac:dyDescent="0.3">
      <c r="A252" s="372">
        <v>3524</v>
      </c>
      <c r="B252" s="27" t="s">
        <v>242</v>
      </c>
      <c r="C252" s="27" t="s">
        <v>243</v>
      </c>
      <c r="D252" s="2"/>
      <c r="E252" s="3">
        <v>45992</v>
      </c>
      <c r="F252" s="3">
        <f t="shared" si="79"/>
        <v>46104</v>
      </c>
      <c r="G252" s="4">
        <v>80</v>
      </c>
      <c r="H252" s="377">
        <f t="shared" si="76"/>
        <v>0</v>
      </c>
      <c r="I252" s="377">
        <f t="shared" si="71"/>
        <v>80</v>
      </c>
      <c r="J252" s="355" t="s">
        <v>409</v>
      </c>
      <c r="K252" s="504">
        <v>50000</v>
      </c>
      <c r="L252" s="7">
        <v>108000</v>
      </c>
      <c r="M252" s="21">
        <f t="shared" si="77"/>
        <v>6750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 t="s">
        <v>143</v>
      </c>
      <c r="EL252" s="9"/>
      <c r="EM252" s="9" t="s">
        <v>143</v>
      </c>
      <c r="EN252" s="9" t="s">
        <v>143</v>
      </c>
      <c r="EO252" s="9"/>
      <c r="EP252" s="9"/>
      <c r="EQ252" s="9"/>
      <c r="ER252" s="9"/>
      <c r="ES252" s="9" t="s">
        <v>143</v>
      </c>
      <c r="ET252" s="9"/>
      <c r="EU252" s="9"/>
      <c r="EV252" s="9" t="s">
        <v>143</v>
      </c>
      <c r="EW252" s="9"/>
      <c r="EX252" s="9"/>
      <c r="EY252" s="9"/>
      <c r="EZ252" s="9"/>
      <c r="FA252" s="9"/>
      <c r="FB252" s="9"/>
      <c r="FC252" s="9" t="s">
        <v>143</v>
      </c>
      <c r="FD252" s="9"/>
      <c r="FE252" s="9"/>
      <c r="FF252" s="9"/>
      <c r="FG252" s="9"/>
      <c r="FH252" s="9"/>
      <c r="FI252" s="9"/>
      <c r="FJ252" s="9"/>
      <c r="FK252" s="9"/>
      <c r="FL252" s="9" t="s">
        <v>143</v>
      </c>
      <c r="FM252" s="9"/>
      <c r="FN252" s="9"/>
      <c r="FO252" s="9"/>
      <c r="FP252" s="9"/>
      <c r="FQ252" s="9"/>
      <c r="FR252" s="9"/>
      <c r="FS252" s="9"/>
      <c r="FT252" s="9">
        <f t="shared" si="61"/>
        <v>0</v>
      </c>
      <c r="FU252" s="7">
        <f t="shared" si="62"/>
        <v>108000</v>
      </c>
      <c r="FV252" s="11">
        <f t="shared" si="63"/>
        <v>0</v>
      </c>
      <c r="FW252" s="11">
        <f t="shared" si="64"/>
        <v>16</v>
      </c>
      <c r="FX252" s="12">
        <f t="shared" si="65"/>
        <v>0</v>
      </c>
      <c r="FY252" s="12">
        <f t="shared" si="66"/>
        <v>4</v>
      </c>
      <c r="GA252" s="417">
        <v>274328</v>
      </c>
    </row>
    <row r="253" spans="1:183" ht="43.5" customHeight="1" thickBot="1" x14ac:dyDescent="0.3">
      <c r="A253" s="372">
        <v>3525</v>
      </c>
      <c r="B253" s="2" t="s">
        <v>707</v>
      </c>
      <c r="C253" s="2"/>
      <c r="D253" s="2"/>
      <c r="E253" s="3">
        <v>45992</v>
      </c>
      <c r="F253" s="3">
        <f t="shared" ref="F252:F254" si="80">WORKDAY(E253,G253)</f>
        <v>45999</v>
      </c>
      <c r="G253" s="4">
        <v>5</v>
      </c>
      <c r="H253" s="377" t="e">
        <f t="shared" si="76"/>
        <v>#DIV/0!</v>
      </c>
      <c r="I253" s="377" t="e">
        <f t="shared" si="71"/>
        <v>#DIV/0!</v>
      </c>
      <c r="J253" s="2" t="s">
        <v>403</v>
      </c>
      <c r="K253" s="20">
        <v>100000</v>
      </c>
      <c r="L253" s="7">
        <v>130000</v>
      </c>
      <c r="M253" s="21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 t="s">
        <v>143</v>
      </c>
      <c r="EL253" s="9"/>
      <c r="EM253" s="9" t="s">
        <v>143</v>
      </c>
      <c r="EN253" s="9" t="s">
        <v>143</v>
      </c>
      <c r="EO253" s="9"/>
      <c r="EP253" s="9"/>
      <c r="EQ253" s="9"/>
      <c r="ER253" s="9"/>
      <c r="ES253" s="9" t="s">
        <v>143</v>
      </c>
      <c r="ET253" s="9"/>
      <c r="EU253" s="9"/>
      <c r="EV253" s="9" t="s">
        <v>143</v>
      </c>
      <c r="EW253" s="9"/>
      <c r="EX253" s="9"/>
      <c r="EY253" s="9"/>
      <c r="EZ253" s="9"/>
      <c r="FA253" s="9"/>
      <c r="FB253" s="9"/>
      <c r="FC253" s="9" t="s">
        <v>143</v>
      </c>
      <c r="FD253" s="9"/>
      <c r="FE253" s="9"/>
      <c r="FF253" s="9"/>
      <c r="FG253" s="9"/>
      <c r="FH253" s="9"/>
      <c r="FI253" s="9"/>
      <c r="FJ253" s="9"/>
      <c r="FK253" s="9"/>
      <c r="FL253" s="9" t="s">
        <v>143</v>
      </c>
      <c r="FM253" s="9"/>
      <c r="FN253" s="9"/>
      <c r="FO253" s="9"/>
      <c r="FP253" s="9"/>
      <c r="FQ253" s="9"/>
      <c r="FR253" s="9"/>
      <c r="FS253" s="9"/>
      <c r="FT253" s="9">
        <f t="shared" ref="FT253" si="81">SUM(N253:FS253)</f>
        <v>0</v>
      </c>
      <c r="FU253" s="7">
        <f t="shared" ref="FU253" si="82">SUM(L253-FT253)</f>
        <v>130000</v>
      </c>
      <c r="FV253" s="11" t="e">
        <f t="shared" ref="FV253" si="83">SUM( H253/5)</f>
        <v>#DIV/0!</v>
      </c>
      <c r="FW253" s="11" t="e">
        <f t="shared" ref="FW253" si="84">SUM( I253/5)</f>
        <v>#DIV/0!</v>
      </c>
      <c r="FX253" s="12" t="e">
        <f t="shared" ref="FX253" si="85">SUM(FV253/4)</f>
        <v>#DIV/0!</v>
      </c>
      <c r="FY253" s="12" t="e">
        <f t="shared" ref="FY253" si="86">SUM(FW253/4)</f>
        <v>#DIV/0!</v>
      </c>
    </row>
    <row r="254" spans="1:183" ht="43.5" customHeight="1" thickBot="1" x14ac:dyDescent="0.3">
      <c r="A254" s="372">
        <v>3526</v>
      </c>
      <c r="B254" s="27" t="s">
        <v>151</v>
      </c>
      <c r="C254" s="27" t="s">
        <v>152</v>
      </c>
      <c r="D254" s="2"/>
      <c r="E254" s="3">
        <v>45995</v>
      </c>
      <c r="F254" s="3">
        <f>WORKDAY(E254,G254)</f>
        <v>46107</v>
      </c>
      <c r="G254" s="4">
        <v>80</v>
      </c>
      <c r="H254" s="377">
        <f t="shared" si="76"/>
        <v>0</v>
      </c>
      <c r="I254" s="377">
        <f t="shared" si="71"/>
        <v>80</v>
      </c>
      <c r="J254" s="355" t="s">
        <v>967</v>
      </c>
      <c r="K254" s="15">
        <v>150000</v>
      </c>
      <c r="L254" s="7">
        <v>324000</v>
      </c>
      <c r="M254" s="8">
        <f t="shared" ref="M254" si="87">(L254/G254)*5</f>
        <v>20250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 t="s">
        <v>143</v>
      </c>
      <c r="EL254" s="9"/>
      <c r="EM254" s="9" t="s">
        <v>143</v>
      </c>
      <c r="EN254" s="9" t="s">
        <v>143</v>
      </c>
      <c r="EO254" s="9"/>
      <c r="EP254" s="9"/>
      <c r="EQ254" s="9"/>
      <c r="ER254" s="9"/>
      <c r="ES254" s="9" t="s">
        <v>143</v>
      </c>
      <c r="ET254" s="9"/>
      <c r="EU254" s="9"/>
      <c r="EV254" s="9" t="s">
        <v>143</v>
      </c>
      <c r="EW254" s="9"/>
      <c r="EX254" s="9"/>
      <c r="EY254" s="9"/>
      <c r="EZ254" s="9"/>
      <c r="FA254" s="9"/>
      <c r="FB254" s="9"/>
      <c r="FC254" s="9" t="s">
        <v>143</v>
      </c>
      <c r="FD254" s="9"/>
      <c r="FE254" s="9"/>
      <c r="FF254" s="9"/>
      <c r="FG254" s="9"/>
      <c r="FH254" s="9"/>
      <c r="FI254" s="9"/>
      <c r="FJ254" s="9"/>
      <c r="FK254" s="9"/>
      <c r="FL254" s="9" t="s">
        <v>143</v>
      </c>
      <c r="FM254" s="9"/>
      <c r="FN254" s="9"/>
      <c r="FO254" s="9"/>
      <c r="FP254" s="9"/>
      <c r="FQ254" s="9"/>
      <c r="FR254" s="9"/>
      <c r="FS254" s="9"/>
      <c r="FT254" s="9">
        <f t="shared" ref="FT254" si="88">SUM(N254:FS254)</f>
        <v>0</v>
      </c>
      <c r="FU254" s="7">
        <f t="shared" ref="FU254" si="89">SUM(L254-FT254)</f>
        <v>324000</v>
      </c>
      <c r="FV254" s="11">
        <f t="shared" ref="FV254" si="90">SUM( H254/5)</f>
        <v>0</v>
      </c>
      <c r="FW254" s="11">
        <f t="shared" ref="FW254" si="91">SUM( I254/5)</f>
        <v>16</v>
      </c>
      <c r="FX254" s="12">
        <f t="shared" ref="FX254:FX257" si="92">SUM(FV254/4)</f>
        <v>0</v>
      </c>
      <c r="FY254" s="12">
        <f t="shared" ref="FY254:FY257" si="93">SUM(FW254/4)</f>
        <v>4</v>
      </c>
    </row>
    <row r="255" spans="1:183" ht="43.5" customHeight="1" thickBot="1" x14ac:dyDescent="0.3">
      <c r="A255" s="372">
        <v>3527</v>
      </c>
      <c r="B255" s="27"/>
      <c r="C255" s="27"/>
      <c r="D255" s="2"/>
      <c r="E255" s="3"/>
      <c r="F255" s="3"/>
      <c r="G255" s="4"/>
      <c r="H255" s="151"/>
      <c r="I255" s="151"/>
      <c r="J255" s="155"/>
      <c r="K255" s="7"/>
      <c r="L255" s="7"/>
      <c r="M255" s="21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 t="s">
        <v>143</v>
      </c>
      <c r="EL255" s="9"/>
      <c r="EM255" s="9" t="s">
        <v>143</v>
      </c>
      <c r="EN255" s="9" t="s">
        <v>143</v>
      </c>
      <c r="EO255" s="9"/>
      <c r="EP255" s="9"/>
      <c r="EQ255" s="9"/>
      <c r="ER255" s="9"/>
      <c r="ES255" s="9" t="s">
        <v>143</v>
      </c>
      <c r="ET255" s="9"/>
      <c r="EU255" s="9"/>
      <c r="EV255" s="9" t="s">
        <v>143</v>
      </c>
      <c r="EW255" s="9"/>
      <c r="EX255" s="9"/>
      <c r="EY255" s="9"/>
      <c r="EZ255" s="9"/>
      <c r="FA255" s="9"/>
      <c r="FB255" s="9"/>
      <c r="FC255" s="9" t="s">
        <v>143</v>
      </c>
      <c r="FD255" s="9"/>
      <c r="FE255" s="9"/>
      <c r="FF255" s="9"/>
      <c r="FG255" s="9"/>
      <c r="FH255" s="9"/>
      <c r="FI255" s="9"/>
      <c r="FJ255" s="9"/>
      <c r="FK255" s="9"/>
      <c r="FL255" s="9" t="s">
        <v>143</v>
      </c>
      <c r="FM255" s="9"/>
      <c r="FN255" s="9"/>
      <c r="FO255" s="9"/>
      <c r="FP255" s="9"/>
      <c r="FQ255" s="9"/>
      <c r="FR255" s="9"/>
      <c r="FS255" s="9"/>
      <c r="FT255" s="9">
        <f t="shared" ref="FT255:FT256" si="94">SUM(N255:FS255)</f>
        <v>0</v>
      </c>
      <c r="FU255" s="7">
        <f t="shared" ref="FU255:FU256" si="95">SUM(L255-FT255)</f>
        <v>0</v>
      </c>
      <c r="FV255" s="11">
        <f t="shared" ref="FV255:FV256" si="96">SUM( H255/5)</f>
        <v>0</v>
      </c>
      <c r="FW255" s="11">
        <f t="shared" ref="FW255:FW256" si="97">SUM( I255/5)</f>
        <v>0</v>
      </c>
      <c r="FX255" s="12">
        <f t="shared" ref="FX255:FX256" si="98">SUM(FV255/4)</f>
        <v>0</v>
      </c>
      <c r="FY255" s="12">
        <f t="shared" ref="FY255:FY256" si="99">SUM(FW255/4)</f>
        <v>0</v>
      </c>
    </row>
    <row r="256" spans="1:183" ht="43.5" customHeight="1" thickBot="1" x14ac:dyDescent="0.3">
      <c r="A256" s="372">
        <v>3528</v>
      </c>
      <c r="B256" s="27"/>
      <c r="C256" s="27"/>
      <c r="D256" s="2"/>
      <c r="E256" s="3"/>
      <c r="F256" s="3"/>
      <c r="G256" s="4"/>
      <c r="H256" s="151"/>
      <c r="I256" s="151"/>
      <c r="J256" s="155"/>
      <c r="K256" s="7"/>
      <c r="L256" s="7"/>
      <c r="M256" s="21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 t="s">
        <v>143</v>
      </c>
      <c r="EL256" s="9"/>
      <c r="EM256" s="9" t="s">
        <v>143</v>
      </c>
      <c r="EN256" s="9" t="s">
        <v>143</v>
      </c>
      <c r="EO256" s="9"/>
      <c r="EP256" s="9"/>
      <c r="EQ256" s="9"/>
      <c r="ER256" s="9"/>
      <c r="ES256" s="9" t="s">
        <v>143</v>
      </c>
      <c r="ET256" s="9"/>
      <c r="EU256" s="9"/>
      <c r="EV256" s="9" t="s">
        <v>143</v>
      </c>
      <c r="EW256" s="9"/>
      <c r="EX256" s="9"/>
      <c r="EY256" s="9"/>
      <c r="EZ256" s="9"/>
      <c r="FA256" s="9"/>
      <c r="FB256" s="9"/>
      <c r="FC256" s="9" t="s">
        <v>143</v>
      </c>
      <c r="FD256" s="9"/>
      <c r="FE256" s="9"/>
      <c r="FF256" s="9"/>
      <c r="FG256" s="9"/>
      <c r="FH256" s="9"/>
      <c r="FI256" s="9"/>
      <c r="FJ256" s="9"/>
      <c r="FK256" s="9"/>
      <c r="FL256" s="9" t="s">
        <v>143</v>
      </c>
      <c r="FM256" s="9"/>
      <c r="FN256" s="9"/>
      <c r="FO256" s="9"/>
      <c r="FP256" s="9"/>
      <c r="FQ256" s="9"/>
      <c r="FR256" s="9"/>
      <c r="FS256" s="9"/>
      <c r="FT256" s="9">
        <f t="shared" si="94"/>
        <v>0</v>
      </c>
      <c r="FU256" s="7">
        <f t="shared" si="95"/>
        <v>0</v>
      </c>
      <c r="FV256" s="11">
        <f t="shared" si="96"/>
        <v>0</v>
      </c>
      <c r="FW256" s="11">
        <f t="shared" si="97"/>
        <v>0</v>
      </c>
      <c r="FX256" s="12">
        <f t="shared" si="98"/>
        <v>0</v>
      </c>
      <c r="FY256" s="12">
        <f t="shared" si="99"/>
        <v>0</v>
      </c>
    </row>
    <row r="257" spans="1:181" ht="43.5" customHeight="1" thickBot="1" x14ac:dyDescent="0.3">
      <c r="A257" s="372">
        <v>3529</v>
      </c>
      <c r="B257" s="27"/>
      <c r="C257" s="27"/>
      <c r="D257" s="2"/>
      <c r="E257" s="3"/>
      <c r="F257" s="3"/>
      <c r="G257" s="4"/>
      <c r="H257" s="151"/>
      <c r="I257" s="151"/>
      <c r="J257" s="155"/>
      <c r="K257" s="7"/>
      <c r="L257" s="7"/>
      <c r="M257" s="21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 t="s">
        <v>143</v>
      </c>
      <c r="EL257" s="9"/>
      <c r="EM257" s="9" t="s">
        <v>143</v>
      </c>
      <c r="EN257" s="9" t="s">
        <v>143</v>
      </c>
      <c r="EO257" s="9"/>
      <c r="EP257" s="9"/>
      <c r="EQ257" s="9"/>
      <c r="ER257" s="9"/>
      <c r="ES257" s="9" t="s">
        <v>143</v>
      </c>
      <c r="ET257" s="9"/>
      <c r="EU257" s="9"/>
      <c r="EV257" s="9" t="s">
        <v>143</v>
      </c>
      <c r="EW257" s="9"/>
      <c r="EX257" s="9"/>
      <c r="EY257" s="9"/>
      <c r="EZ257" s="9"/>
      <c r="FA257" s="9"/>
      <c r="FB257" s="9"/>
      <c r="FC257" s="9" t="s">
        <v>143</v>
      </c>
      <c r="FD257" s="9"/>
      <c r="FE257" s="9"/>
      <c r="FF257" s="9"/>
      <c r="FG257" s="9"/>
      <c r="FH257" s="9"/>
      <c r="FI257" s="9"/>
      <c r="FJ257" s="9"/>
      <c r="FK257" s="9"/>
      <c r="FL257" s="9" t="s">
        <v>143</v>
      </c>
      <c r="FM257" s="9"/>
      <c r="FN257" s="9"/>
      <c r="FO257" s="9"/>
      <c r="FP257" s="9"/>
      <c r="FQ257" s="9"/>
      <c r="FR257" s="9"/>
      <c r="FS257" s="9"/>
      <c r="FT257" s="9">
        <f t="shared" ref="FT257" si="100">SUM(N257:FS257)</f>
        <v>0</v>
      </c>
      <c r="FU257" s="7">
        <f t="shared" ref="FU257" si="101">SUM(L257-FT257)</f>
        <v>0</v>
      </c>
      <c r="FV257" s="11">
        <f t="shared" ref="FV257" si="102">SUM( H257/5)</f>
        <v>0</v>
      </c>
      <c r="FW257" s="11">
        <f t="shared" ref="FW257" si="103">SUM( I257/5)</f>
        <v>0</v>
      </c>
      <c r="FX257" s="12">
        <f t="shared" si="92"/>
        <v>0</v>
      </c>
      <c r="FY257" s="12">
        <f t="shared" si="93"/>
        <v>0</v>
      </c>
    </row>
    <row r="258" spans="1:181" ht="43.5" customHeight="1" thickBot="1" x14ac:dyDescent="0.3">
      <c r="A258" s="4"/>
      <c r="B258" s="27"/>
      <c r="C258" s="27"/>
      <c r="D258" s="2"/>
      <c r="E258" s="3"/>
      <c r="F258" s="3"/>
      <c r="G258" s="4"/>
      <c r="H258" s="151"/>
      <c r="I258" s="151"/>
      <c r="J258" s="155"/>
      <c r="K258" s="7"/>
      <c r="L258" s="7"/>
      <c r="M258" s="21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 t="s">
        <v>143</v>
      </c>
      <c r="EL258" s="9"/>
      <c r="EM258" s="9" t="s">
        <v>143</v>
      </c>
      <c r="EN258" s="9" t="s">
        <v>143</v>
      </c>
      <c r="EO258" s="9"/>
      <c r="EP258" s="9"/>
      <c r="EQ258" s="9"/>
      <c r="ER258" s="9"/>
      <c r="ES258" s="9" t="s">
        <v>143</v>
      </c>
      <c r="ET258" s="9"/>
      <c r="EU258" s="9"/>
      <c r="EV258" s="9" t="s">
        <v>143</v>
      </c>
      <c r="EW258" s="9"/>
      <c r="EX258" s="9"/>
      <c r="EY258" s="9"/>
      <c r="EZ258" s="9"/>
      <c r="FA258" s="9"/>
      <c r="FB258" s="9"/>
      <c r="FC258" s="9" t="s">
        <v>143</v>
      </c>
      <c r="FD258" s="9"/>
      <c r="FE258" s="9"/>
      <c r="FF258" s="9"/>
      <c r="FG258" s="9"/>
      <c r="FH258" s="9"/>
      <c r="FI258" s="9"/>
      <c r="FJ258" s="9"/>
      <c r="FK258" s="9"/>
      <c r="FL258" s="9" t="s">
        <v>143</v>
      </c>
      <c r="FM258" s="9"/>
      <c r="FN258" s="9"/>
      <c r="FO258" s="9"/>
      <c r="FP258" s="9"/>
      <c r="FQ258" s="9"/>
      <c r="FR258" s="9"/>
      <c r="FS258" s="9"/>
      <c r="FT258" s="9">
        <f t="shared" si="61"/>
        <v>0</v>
      </c>
      <c r="FU258" s="7">
        <f t="shared" si="62"/>
        <v>0</v>
      </c>
      <c r="FV258" s="11">
        <f t="shared" si="63"/>
        <v>0</v>
      </c>
      <c r="FW258" s="11">
        <f t="shared" si="64"/>
        <v>0</v>
      </c>
      <c r="FX258" s="12">
        <f t="shared" si="65"/>
        <v>0</v>
      </c>
      <c r="FY258" s="12">
        <f t="shared" si="66"/>
        <v>0</v>
      </c>
    </row>
    <row r="259" spans="1:181" s="13" customFormat="1" ht="43.5" customHeight="1" thickBot="1" x14ac:dyDescent="0.25">
      <c r="A259" s="31"/>
      <c r="B259" s="373"/>
      <c r="C259" s="373" t="s">
        <v>143</v>
      </c>
      <c r="D259" s="32"/>
      <c r="E259" s="33"/>
      <c r="F259" s="34"/>
      <c r="G259" s="34"/>
      <c r="H259" s="376"/>
      <c r="I259" s="376"/>
      <c r="J259" s="354"/>
      <c r="K259" s="364">
        <f t="shared" ref="K259:AP259" si="104">SUM(K2:K258)</f>
        <v>67028400</v>
      </c>
      <c r="L259" s="364">
        <f t="shared" si="104"/>
        <v>178291468</v>
      </c>
      <c r="M259" s="364">
        <f t="shared" si="104"/>
        <v>6715609.644490012</v>
      </c>
      <c r="N259" s="364">
        <f t="shared" si="104"/>
        <v>0</v>
      </c>
      <c r="O259" s="364">
        <f t="shared" si="104"/>
        <v>0</v>
      </c>
      <c r="P259" s="364">
        <f t="shared" si="104"/>
        <v>0</v>
      </c>
      <c r="Q259" s="364">
        <f t="shared" si="104"/>
        <v>0</v>
      </c>
      <c r="R259" s="364">
        <f t="shared" si="104"/>
        <v>0</v>
      </c>
      <c r="S259" s="364">
        <f t="shared" si="104"/>
        <v>0</v>
      </c>
      <c r="T259" s="364">
        <f t="shared" si="104"/>
        <v>0</v>
      </c>
      <c r="U259" s="364">
        <f t="shared" si="104"/>
        <v>0</v>
      </c>
      <c r="V259" s="364">
        <f t="shared" si="104"/>
        <v>0</v>
      </c>
      <c r="W259" s="364">
        <f t="shared" si="104"/>
        <v>0</v>
      </c>
      <c r="X259" s="364">
        <f t="shared" si="104"/>
        <v>0</v>
      </c>
      <c r="Y259" s="364">
        <f t="shared" si="104"/>
        <v>0</v>
      </c>
      <c r="Z259" s="364">
        <f t="shared" si="104"/>
        <v>0</v>
      </c>
      <c r="AA259" s="364">
        <f t="shared" si="104"/>
        <v>14290</v>
      </c>
      <c r="AB259" s="364">
        <f t="shared" si="104"/>
        <v>0</v>
      </c>
      <c r="AC259" s="364">
        <f t="shared" si="104"/>
        <v>0</v>
      </c>
      <c r="AD259" s="364">
        <f t="shared" si="104"/>
        <v>0</v>
      </c>
      <c r="AE259" s="364">
        <f t="shared" si="104"/>
        <v>0</v>
      </c>
      <c r="AF259" s="364">
        <f t="shared" si="104"/>
        <v>0</v>
      </c>
      <c r="AG259" s="364">
        <f t="shared" si="104"/>
        <v>0</v>
      </c>
      <c r="AH259" s="364">
        <f t="shared" si="104"/>
        <v>0</v>
      </c>
      <c r="AI259" s="364">
        <f t="shared" si="104"/>
        <v>30640</v>
      </c>
      <c r="AJ259" s="364">
        <f t="shared" si="104"/>
        <v>0</v>
      </c>
      <c r="AK259" s="364">
        <f t="shared" si="104"/>
        <v>0</v>
      </c>
      <c r="AL259" s="364">
        <f t="shared" si="104"/>
        <v>0</v>
      </c>
      <c r="AM259" s="364">
        <f t="shared" si="104"/>
        <v>39440</v>
      </c>
      <c r="AN259" s="364">
        <f t="shared" si="104"/>
        <v>0</v>
      </c>
      <c r="AO259" s="364">
        <f t="shared" si="104"/>
        <v>0</v>
      </c>
      <c r="AP259" s="364">
        <f t="shared" si="104"/>
        <v>0</v>
      </c>
      <c r="AQ259" s="364">
        <f t="shared" ref="AQ259:BV259" si="105">SUM(AQ2:AQ258)</f>
        <v>0</v>
      </c>
      <c r="AR259" s="364">
        <f t="shared" si="105"/>
        <v>39440</v>
      </c>
      <c r="AS259" s="364">
        <f t="shared" si="105"/>
        <v>0</v>
      </c>
      <c r="AT259" s="364">
        <f t="shared" si="105"/>
        <v>0</v>
      </c>
      <c r="AU259" s="364">
        <f t="shared" si="105"/>
        <v>0</v>
      </c>
      <c r="AV259" s="364">
        <f t="shared" si="105"/>
        <v>0</v>
      </c>
      <c r="AW259" s="364">
        <f t="shared" si="105"/>
        <v>0</v>
      </c>
      <c r="AX259" s="364">
        <f t="shared" si="105"/>
        <v>0</v>
      </c>
      <c r="AY259" s="364">
        <f t="shared" si="105"/>
        <v>0</v>
      </c>
      <c r="AZ259" s="364">
        <f t="shared" si="105"/>
        <v>0</v>
      </c>
      <c r="BA259" s="364">
        <f t="shared" si="105"/>
        <v>0</v>
      </c>
      <c r="BB259" s="364">
        <f t="shared" si="105"/>
        <v>0</v>
      </c>
      <c r="BC259" s="364">
        <f t="shared" si="105"/>
        <v>0</v>
      </c>
      <c r="BD259" s="364">
        <f t="shared" si="105"/>
        <v>0</v>
      </c>
      <c r="BE259" s="364">
        <f t="shared" si="105"/>
        <v>39440</v>
      </c>
      <c r="BF259" s="364">
        <f t="shared" si="105"/>
        <v>20000</v>
      </c>
      <c r="BG259" s="364">
        <f t="shared" si="105"/>
        <v>0</v>
      </c>
      <c r="BH259" s="364">
        <f t="shared" si="105"/>
        <v>0</v>
      </c>
      <c r="BI259" s="364">
        <f t="shared" si="105"/>
        <v>39440</v>
      </c>
      <c r="BJ259" s="364">
        <f t="shared" si="105"/>
        <v>20000</v>
      </c>
      <c r="BK259" s="364">
        <f t="shared" si="105"/>
        <v>0</v>
      </c>
      <c r="BL259" s="364">
        <f t="shared" si="105"/>
        <v>0</v>
      </c>
      <c r="BM259" s="364">
        <f t="shared" si="105"/>
        <v>50000</v>
      </c>
      <c r="BN259" s="364">
        <f t="shared" si="105"/>
        <v>39440</v>
      </c>
      <c r="BO259" s="364">
        <f t="shared" si="105"/>
        <v>20000</v>
      </c>
      <c r="BP259" s="364">
        <f t="shared" si="105"/>
        <v>0</v>
      </c>
      <c r="BQ259" s="364">
        <f t="shared" si="105"/>
        <v>0</v>
      </c>
      <c r="BR259" s="364">
        <f t="shared" si="105"/>
        <v>0</v>
      </c>
      <c r="BS259" s="364">
        <f t="shared" si="105"/>
        <v>20000</v>
      </c>
      <c r="BT259" s="364">
        <f t="shared" si="105"/>
        <v>0</v>
      </c>
      <c r="BU259" s="364">
        <f t="shared" si="105"/>
        <v>0</v>
      </c>
      <c r="BV259" s="364">
        <f t="shared" si="105"/>
        <v>0</v>
      </c>
      <c r="BW259" s="364">
        <f t="shared" ref="BW259:DB259" si="106">SUM(BW2:BW258)</f>
        <v>0</v>
      </c>
      <c r="BX259" s="364">
        <f t="shared" si="106"/>
        <v>20000</v>
      </c>
      <c r="BY259" s="364">
        <f t="shared" si="106"/>
        <v>0</v>
      </c>
      <c r="BZ259" s="364">
        <f t="shared" si="106"/>
        <v>0</v>
      </c>
      <c r="CA259" s="364">
        <f t="shared" si="106"/>
        <v>0</v>
      </c>
      <c r="CB259" s="364">
        <f t="shared" si="106"/>
        <v>74500</v>
      </c>
      <c r="CC259" s="364">
        <f t="shared" si="106"/>
        <v>0</v>
      </c>
      <c r="CD259" s="364">
        <f t="shared" si="106"/>
        <v>0</v>
      </c>
      <c r="CE259" s="364">
        <f t="shared" si="106"/>
        <v>0</v>
      </c>
      <c r="CF259" s="364">
        <f t="shared" si="106"/>
        <v>91500</v>
      </c>
      <c r="CG259" s="364">
        <f t="shared" si="106"/>
        <v>37500</v>
      </c>
      <c r="CH259" s="364">
        <f t="shared" si="106"/>
        <v>20000</v>
      </c>
      <c r="CI259" s="364">
        <f t="shared" si="106"/>
        <v>0</v>
      </c>
      <c r="CJ259" s="364">
        <f t="shared" si="106"/>
        <v>0</v>
      </c>
      <c r="CK259" s="364">
        <f t="shared" si="106"/>
        <v>0</v>
      </c>
      <c r="CL259" s="364">
        <f t="shared" si="106"/>
        <v>0</v>
      </c>
      <c r="CM259" s="364">
        <f t="shared" si="106"/>
        <v>10000</v>
      </c>
      <c r="CN259" s="364">
        <f t="shared" si="106"/>
        <v>0</v>
      </c>
      <c r="CO259" s="364">
        <f t="shared" si="106"/>
        <v>0</v>
      </c>
      <c r="CP259" s="364">
        <f t="shared" si="106"/>
        <v>30000</v>
      </c>
      <c r="CQ259" s="364">
        <f t="shared" si="106"/>
        <v>0</v>
      </c>
      <c r="CR259" s="364">
        <f t="shared" si="106"/>
        <v>30000</v>
      </c>
      <c r="CS259" s="364">
        <f t="shared" si="106"/>
        <v>50000</v>
      </c>
      <c r="CT259" s="364">
        <f t="shared" si="106"/>
        <v>0</v>
      </c>
      <c r="CU259" s="364">
        <f t="shared" si="106"/>
        <v>0</v>
      </c>
      <c r="CV259" s="364">
        <f t="shared" si="106"/>
        <v>0</v>
      </c>
      <c r="CW259" s="364">
        <f t="shared" si="106"/>
        <v>30000</v>
      </c>
      <c r="CX259" s="364">
        <f t="shared" si="106"/>
        <v>120000</v>
      </c>
      <c r="CY259" s="364">
        <f t="shared" si="106"/>
        <v>0</v>
      </c>
      <c r="CZ259" s="364">
        <f t="shared" si="106"/>
        <v>47000</v>
      </c>
      <c r="DA259" s="364">
        <f t="shared" si="106"/>
        <v>40500</v>
      </c>
      <c r="DB259" s="364">
        <f t="shared" si="106"/>
        <v>19000</v>
      </c>
      <c r="DC259" s="364">
        <f t="shared" ref="DC259:EH259" si="107">SUM(DC2:DC258)</f>
        <v>0</v>
      </c>
      <c r="DD259" s="364">
        <f t="shared" si="107"/>
        <v>20000</v>
      </c>
      <c r="DE259" s="364">
        <f t="shared" si="107"/>
        <v>0</v>
      </c>
      <c r="DF259" s="364">
        <f t="shared" si="107"/>
        <v>0</v>
      </c>
      <c r="DG259" s="364">
        <f t="shared" si="107"/>
        <v>0</v>
      </c>
      <c r="DH259" s="364">
        <f t="shared" si="107"/>
        <v>124500</v>
      </c>
      <c r="DI259" s="364">
        <f t="shared" si="107"/>
        <v>30000</v>
      </c>
      <c r="DJ259" s="364">
        <f t="shared" si="107"/>
        <v>58500</v>
      </c>
      <c r="DK259" s="364">
        <f t="shared" si="107"/>
        <v>0</v>
      </c>
      <c r="DL259" s="364">
        <f t="shared" si="107"/>
        <v>34000</v>
      </c>
      <c r="DM259" s="364">
        <f t="shared" si="107"/>
        <v>120000</v>
      </c>
      <c r="DN259" s="364">
        <f t="shared" si="107"/>
        <v>68000</v>
      </c>
      <c r="DO259" s="364">
        <f t="shared" si="107"/>
        <v>972000</v>
      </c>
      <c r="DP259" s="364">
        <f t="shared" si="107"/>
        <v>0</v>
      </c>
      <c r="DQ259" s="364">
        <f t="shared" si="107"/>
        <v>255000</v>
      </c>
      <c r="DR259" s="364">
        <f t="shared" si="107"/>
        <v>145000</v>
      </c>
      <c r="DS259" s="364">
        <f t="shared" si="107"/>
        <v>186800</v>
      </c>
      <c r="DT259" s="364">
        <f t="shared" si="107"/>
        <v>750000</v>
      </c>
      <c r="DU259" s="364">
        <f t="shared" si="107"/>
        <v>149800</v>
      </c>
      <c r="DV259" s="364">
        <f t="shared" si="107"/>
        <v>306800</v>
      </c>
      <c r="DW259" s="364">
        <f t="shared" si="107"/>
        <v>60000</v>
      </c>
      <c r="DX259" s="364">
        <f t="shared" si="107"/>
        <v>163300</v>
      </c>
      <c r="DY259" s="364">
        <f t="shared" si="107"/>
        <v>770000</v>
      </c>
      <c r="DZ259" s="364">
        <f t="shared" si="107"/>
        <v>171800</v>
      </c>
      <c r="EA259" s="364">
        <f t="shared" si="107"/>
        <v>253500</v>
      </c>
      <c r="EB259" s="364">
        <f t="shared" si="107"/>
        <v>204000</v>
      </c>
      <c r="EC259" s="364">
        <f t="shared" si="107"/>
        <v>232800</v>
      </c>
      <c r="ED259" s="364">
        <f t="shared" si="107"/>
        <v>507000</v>
      </c>
      <c r="EE259" s="364">
        <f t="shared" si="107"/>
        <v>291000</v>
      </c>
      <c r="EF259" s="364">
        <f t="shared" si="107"/>
        <v>151600</v>
      </c>
      <c r="EG259" s="364">
        <f t="shared" si="107"/>
        <v>288400</v>
      </c>
      <c r="EH259" s="364">
        <f t="shared" si="107"/>
        <v>300350</v>
      </c>
      <c r="EI259" s="364">
        <f t="shared" ref="EI259:FN259" si="108">SUM(EI2:EI258)</f>
        <v>534500</v>
      </c>
      <c r="EJ259" s="364">
        <f t="shared" si="108"/>
        <v>15200</v>
      </c>
      <c r="EK259" s="364">
        <f t="shared" si="108"/>
        <v>804400</v>
      </c>
      <c r="EL259" s="364">
        <f t="shared" ref="EL259:FS259" si="109">SUM(EL2:EL258)</f>
        <v>492150</v>
      </c>
      <c r="EM259" s="364">
        <f t="shared" si="109"/>
        <v>411100</v>
      </c>
      <c r="EN259" s="364">
        <f t="shared" si="109"/>
        <v>162500</v>
      </c>
      <c r="EO259" s="364">
        <f t="shared" si="109"/>
        <v>857270</v>
      </c>
      <c r="EP259" s="364">
        <f t="shared" si="109"/>
        <v>1322650</v>
      </c>
      <c r="EQ259" s="364">
        <f t="shared" si="109"/>
        <v>502000</v>
      </c>
      <c r="ER259" s="364">
        <f t="shared" si="109"/>
        <v>587250</v>
      </c>
      <c r="ES259" s="364">
        <f t="shared" si="109"/>
        <v>1197358</v>
      </c>
      <c r="ET259" s="364">
        <f t="shared" si="109"/>
        <v>775250</v>
      </c>
      <c r="EU259" s="364">
        <f t="shared" si="109"/>
        <v>461250</v>
      </c>
      <c r="EV259" s="364">
        <f t="shared" si="109"/>
        <v>467300</v>
      </c>
      <c r="EW259" s="364">
        <f t="shared" si="109"/>
        <v>983920</v>
      </c>
      <c r="EX259" s="364">
        <f t="shared" si="109"/>
        <v>1558800</v>
      </c>
      <c r="EY259" s="364">
        <f t="shared" si="109"/>
        <v>1114958</v>
      </c>
      <c r="EZ259" s="364">
        <f t="shared" si="109"/>
        <v>1004000</v>
      </c>
      <c r="FA259" s="364">
        <f t="shared" si="109"/>
        <v>696842</v>
      </c>
      <c r="FB259" s="364">
        <f t="shared" si="109"/>
        <v>2441500</v>
      </c>
      <c r="FC259" s="364">
        <f t="shared" si="109"/>
        <v>823600</v>
      </c>
      <c r="FD259" s="364">
        <f t="shared" si="109"/>
        <v>1496200</v>
      </c>
      <c r="FE259" s="364">
        <f t="shared" si="109"/>
        <v>1062900</v>
      </c>
      <c r="FF259" s="364">
        <f t="shared" si="109"/>
        <v>2408349</v>
      </c>
      <c r="FG259" s="364">
        <f t="shared" si="109"/>
        <v>1703300</v>
      </c>
      <c r="FH259" s="364">
        <f t="shared" si="109"/>
        <v>3164168</v>
      </c>
      <c r="FI259" s="364">
        <f t="shared" si="109"/>
        <v>1607500</v>
      </c>
      <c r="FJ259" s="364">
        <f t="shared" si="109"/>
        <v>2668000</v>
      </c>
      <c r="FK259" s="364">
        <f t="shared" si="109"/>
        <v>3151100</v>
      </c>
      <c r="FL259" s="364">
        <f t="shared" si="109"/>
        <v>2160550</v>
      </c>
      <c r="FM259" s="364">
        <f t="shared" si="109"/>
        <v>2650300</v>
      </c>
      <c r="FN259" s="364">
        <f t="shared" si="109"/>
        <v>3038800</v>
      </c>
      <c r="FO259" s="364">
        <f t="shared" si="109"/>
        <v>4845250</v>
      </c>
      <c r="FP259" s="364">
        <f t="shared" si="109"/>
        <v>4805350</v>
      </c>
      <c r="FQ259" s="364">
        <f t="shared" si="109"/>
        <v>2412300</v>
      </c>
      <c r="FR259" s="364">
        <f t="shared" si="109"/>
        <v>3172450</v>
      </c>
      <c r="FS259" s="364">
        <f t="shared" si="109"/>
        <v>3127150</v>
      </c>
      <c r="FT259" s="364">
        <f>SUM(FT2:FT258)</f>
        <v>68293745</v>
      </c>
      <c r="FU259" s="364">
        <f>SUM(FU2:FU258)</f>
        <v>109997723</v>
      </c>
    </row>
    <row r="260" spans="1:181" ht="43.5" customHeight="1" x14ac:dyDescent="0.25">
      <c r="B260" s="447"/>
      <c r="C260" s="447"/>
      <c r="K260" s="446"/>
      <c r="L260" s="446"/>
      <c r="FJ260" s="417" t="s">
        <v>143</v>
      </c>
    </row>
    <row r="261" spans="1:181" ht="10.5" customHeight="1" x14ac:dyDescent="0.25">
      <c r="A261" s="428"/>
      <c r="B261" s="479"/>
      <c r="C261" s="479"/>
      <c r="D261" s="429"/>
      <c r="E261" s="429"/>
      <c r="F261" s="429"/>
      <c r="G261" s="430"/>
      <c r="H261" s="431"/>
      <c r="I261" s="431" t="s">
        <v>143</v>
      </c>
      <c r="J261" s="432"/>
      <c r="K261" s="429"/>
      <c r="L261" s="429"/>
      <c r="M261" s="429"/>
      <c r="N261" s="429"/>
      <c r="O261" s="429"/>
      <c r="P261" s="429"/>
      <c r="Q261" s="429"/>
      <c r="R261" s="429"/>
      <c r="S261" s="429"/>
      <c r="T261" s="429"/>
      <c r="U261" s="429"/>
      <c r="V261" s="429"/>
      <c r="W261" s="429"/>
      <c r="X261" s="429"/>
      <c r="Y261" s="429"/>
      <c r="Z261" s="429"/>
      <c r="AA261" s="429"/>
      <c r="AB261" s="429"/>
      <c r="AC261" s="429"/>
      <c r="AD261" s="429"/>
      <c r="AE261" s="429"/>
      <c r="AF261" s="429"/>
      <c r="AG261" s="429"/>
      <c r="AH261" s="429"/>
      <c r="AI261" s="429"/>
      <c r="AJ261" s="429"/>
      <c r="AK261" s="429"/>
      <c r="AL261" s="429"/>
      <c r="AM261" s="429"/>
      <c r="AN261" s="429"/>
      <c r="AO261" s="429"/>
      <c r="AP261" s="429"/>
      <c r="AQ261" s="429"/>
      <c r="AR261" s="429"/>
      <c r="AS261" s="429"/>
      <c r="AT261" s="429"/>
      <c r="AU261" s="429"/>
      <c r="AV261" s="429"/>
      <c r="AW261" s="429"/>
      <c r="AX261" s="429"/>
      <c r="AY261" s="429"/>
      <c r="AZ261" s="429"/>
      <c r="BA261" s="429"/>
      <c r="BB261" s="429"/>
      <c r="BC261" s="429"/>
      <c r="BD261" s="429"/>
      <c r="BE261" s="429"/>
      <c r="BF261" s="429"/>
      <c r="BG261" s="429"/>
      <c r="BH261" s="429"/>
      <c r="BI261" s="429"/>
      <c r="BJ261" s="429"/>
      <c r="BK261" s="429"/>
      <c r="BL261" s="429"/>
      <c r="BM261" s="429"/>
      <c r="BN261" s="429"/>
      <c r="BO261" s="429"/>
      <c r="BP261" s="429"/>
      <c r="BQ261" s="429"/>
      <c r="BR261" s="429"/>
      <c r="BS261" s="429"/>
      <c r="BT261" s="429"/>
      <c r="BU261" s="429"/>
      <c r="BV261" s="429"/>
      <c r="BW261" s="429"/>
      <c r="BX261" s="429"/>
      <c r="BY261" s="429"/>
      <c r="BZ261" s="429"/>
      <c r="CA261" s="429"/>
      <c r="CB261" s="429"/>
      <c r="CC261" s="429"/>
      <c r="CD261" s="429"/>
      <c r="CE261" s="429"/>
      <c r="CF261" s="429"/>
      <c r="CG261" s="429"/>
      <c r="CH261" s="429"/>
      <c r="CI261" s="429"/>
      <c r="CJ261" s="429"/>
      <c r="CK261" s="429"/>
      <c r="CL261" s="429"/>
      <c r="CM261" s="429"/>
      <c r="CN261" s="429"/>
      <c r="CO261" s="429"/>
      <c r="CP261" s="429"/>
      <c r="CQ261" s="429"/>
      <c r="CR261" s="429"/>
      <c r="CS261" s="429"/>
      <c r="CT261" s="429"/>
      <c r="CU261" s="429"/>
      <c r="CV261" s="429"/>
      <c r="CW261" s="429"/>
      <c r="CX261" s="429"/>
      <c r="CY261" s="429"/>
      <c r="CZ261" s="429"/>
      <c r="DA261" s="429"/>
      <c r="DB261" s="429"/>
      <c r="DC261" s="429"/>
      <c r="DD261" s="429"/>
      <c r="DE261" s="429"/>
      <c r="DF261" s="429"/>
      <c r="DG261" s="429"/>
      <c r="DH261" s="429"/>
      <c r="DI261" s="429"/>
      <c r="DJ261" s="429"/>
      <c r="DK261" s="429"/>
      <c r="DL261" s="429"/>
      <c r="DM261" s="429"/>
      <c r="DN261" s="429"/>
      <c r="DO261" s="429"/>
      <c r="DP261" s="429"/>
      <c r="DQ261" s="429"/>
      <c r="DR261" s="429"/>
      <c r="DS261" s="429"/>
      <c r="DT261" s="429"/>
      <c r="DU261" s="429"/>
      <c r="DV261" s="429"/>
      <c r="DW261" s="429"/>
      <c r="DX261" s="429"/>
      <c r="DY261" s="429"/>
      <c r="DZ261" s="429"/>
      <c r="EA261" s="429"/>
      <c r="EB261" s="429"/>
      <c r="EC261" s="429"/>
      <c r="ED261" s="429"/>
      <c r="EE261" s="429"/>
      <c r="EF261" s="429"/>
      <c r="EG261" s="429"/>
      <c r="EH261" s="429"/>
      <c r="EI261" s="429"/>
      <c r="EJ261" s="429"/>
      <c r="EK261" s="429"/>
      <c r="EL261" s="429"/>
      <c r="EM261" s="429"/>
      <c r="EN261" s="429"/>
      <c r="EO261" s="429"/>
      <c r="EP261" s="429"/>
      <c r="EQ261" s="429"/>
      <c r="ER261" s="429"/>
      <c r="ES261" s="429"/>
      <c r="ET261" s="429"/>
      <c r="EU261" s="429"/>
      <c r="EV261" s="429"/>
      <c r="EW261" s="429"/>
      <c r="EX261" s="429"/>
      <c r="EY261" s="429"/>
      <c r="EZ261" s="429"/>
      <c r="FA261" s="429"/>
      <c r="FB261" s="429"/>
      <c r="FC261" s="429"/>
      <c r="FD261" s="429"/>
      <c r="FE261" s="429"/>
      <c r="FF261" s="429"/>
      <c r="FG261" s="429"/>
      <c r="FH261" s="429"/>
      <c r="FI261" s="429"/>
      <c r="FJ261" s="429"/>
      <c r="FK261" s="429"/>
      <c r="FL261" s="429"/>
      <c r="FM261" s="429"/>
      <c r="FN261" s="429"/>
      <c r="FO261" s="429"/>
      <c r="FP261" s="429"/>
      <c r="FQ261" s="429"/>
      <c r="FR261" s="429"/>
      <c r="FS261" s="429"/>
      <c r="FT261" s="429"/>
      <c r="FU261" s="429"/>
      <c r="FV261" s="429"/>
      <c r="FW261" s="429"/>
      <c r="FX261" s="429"/>
      <c r="FY261" s="433"/>
    </row>
    <row r="262" spans="1:181" s="473" customFormat="1" ht="18.75" customHeight="1" thickBot="1" x14ac:dyDescent="0.3">
      <c r="A262" s="468"/>
      <c r="B262" s="469"/>
      <c r="C262" s="469"/>
      <c r="D262" s="468"/>
      <c r="E262" s="468"/>
      <c r="F262" s="468"/>
      <c r="G262" s="470"/>
      <c r="H262" s="471"/>
      <c r="I262" s="471"/>
      <c r="J262" s="472"/>
      <c r="K262" s="468"/>
      <c r="L262" s="468"/>
      <c r="M262" s="468"/>
      <c r="N262" s="468"/>
      <c r="O262" s="468"/>
      <c r="P262" s="468"/>
      <c r="Q262" s="468"/>
      <c r="R262" s="468"/>
      <c r="S262" s="468"/>
      <c r="T262" s="468"/>
      <c r="U262" s="468"/>
      <c r="V262" s="468"/>
      <c r="W262" s="468"/>
      <c r="X262" s="468"/>
      <c r="Y262" s="468"/>
      <c r="Z262" s="468"/>
      <c r="AA262" s="468"/>
      <c r="AB262" s="468"/>
      <c r="AC262" s="468"/>
      <c r="AD262" s="468"/>
      <c r="AE262" s="468"/>
      <c r="AF262" s="468"/>
      <c r="AG262" s="468"/>
      <c r="AH262" s="468"/>
      <c r="AI262" s="468"/>
      <c r="AJ262" s="468"/>
      <c r="AK262" s="468"/>
      <c r="AL262" s="468"/>
      <c r="AM262" s="468"/>
      <c r="AN262" s="468"/>
      <c r="AO262" s="468"/>
      <c r="AP262" s="468"/>
      <c r="AQ262" s="468"/>
      <c r="AR262" s="468"/>
      <c r="AS262" s="468"/>
      <c r="AT262" s="468"/>
      <c r="AU262" s="468"/>
      <c r="AV262" s="468"/>
      <c r="AW262" s="468"/>
      <c r="AX262" s="468"/>
      <c r="AY262" s="468"/>
      <c r="AZ262" s="468"/>
      <c r="BA262" s="468"/>
      <c r="BB262" s="468"/>
      <c r="BC262" s="468"/>
      <c r="BD262" s="468"/>
      <c r="BE262" s="468"/>
      <c r="BF262" s="468"/>
      <c r="BG262" s="468"/>
      <c r="BH262" s="468"/>
      <c r="BI262" s="468"/>
      <c r="BJ262" s="468"/>
      <c r="BK262" s="468"/>
      <c r="BL262" s="468"/>
      <c r="BM262" s="468"/>
      <c r="BN262" s="468"/>
      <c r="BO262" s="468"/>
      <c r="BP262" s="468"/>
      <c r="BQ262" s="468"/>
      <c r="BR262" s="468"/>
      <c r="BS262" s="468"/>
      <c r="BT262" s="468"/>
      <c r="BU262" s="468"/>
      <c r="BV262" s="468"/>
      <c r="BW262" s="468"/>
      <c r="BX262" s="468"/>
      <c r="BY262" s="468"/>
      <c r="BZ262" s="468"/>
      <c r="CA262" s="468"/>
      <c r="CB262" s="468"/>
      <c r="CC262" s="468"/>
      <c r="CD262" s="468"/>
      <c r="CE262" s="468"/>
      <c r="CF262" s="468"/>
      <c r="CG262" s="468"/>
      <c r="CH262" s="468"/>
      <c r="CI262" s="468"/>
      <c r="CJ262" s="468"/>
      <c r="CK262" s="468"/>
      <c r="CL262" s="468"/>
      <c r="CM262" s="468"/>
      <c r="CN262" s="468"/>
      <c r="CO262" s="468"/>
      <c r="CP262" s="468"/>
      <c r="CQ262" s="468"/>
      <c r="CR262" s="468"/>
      <c r="CS262" s="468"/>
      <c r="CT262" s="468"/>
      <c r="CU262" s="468"/>
      <c r="CV262" s="468"/>
      <c r="CW262" s="468"/>
      <c r="CX262" s="468"/>
      <c r="CY262" s="468"/>
      <c r="CZ262" s="468"/>
      <c r="DA262" s="468"/>
      <c r="DB262" s="468"/>
      <c r="DC262" s="468"/>
      <c r="DD262" s="468"/>
      <c r="DE262" s="468"/>
      <c r="DF262" s="468"/>
      <c r="DG262" s="468"/>
      <c r="DH262" s="468"/>
      <c r="DI262" s="468"/>
      <c r="DJ262" s="468"/>
      <c r="DK262" s="468"/>
      <c r="DL262" s="468"/>
      <c r="DM262" s="468"/>
      <c r="DN262" s="468"/>
      <c r="DO262" s="468"/>
      <c r="DP262" s="468"/>
      <c r="DQ262" s="468"/>
      <c r="DR262" s="468"/>
      <c r="DS262" s="468"/>
      <c r="DT262" s="468"/>
      <c r="DU262" s="468"/>
      <c r="DV262" s="468"/>
      <c r="DW262" s="468"/>
      <c r="DX262" s="468"/>
      <c r="DY262" s="468"/>
      <c r="DZ262" s="468"/>
      <c r="EA262" s="468"/>
      <c r="EB262" s="468"/>
      <c r="EC262" s="468"/>
      <c r="ED262" s="468"/>
      <c r="EE262" s="468"/>
      <c r="EF262" s="468"/>
      <c r="EG262" s="468"/>
      <c r="EH262" s="468"/>
      <c r="EI262" s="468"/>
      <c r="EJ262" s="468"/>
      <c r="EK262" s="468"/>
      <c r="EL262" s="468"/>
      <c r="EM262" s="468"/>
      <c r="EN262" s="468"/>
      <c r="EO262" s="468"/>
      <c r="EP262" s="468"/>
      <c r="EQ262" s="468"/>
      <c r="ER262" s="468"/>
      <c r="ES262" s="468"/>
      <c r="ET262" s="468"/>
      <c r="EU262" s="468"/>
      <c r="EV262" s="468"/>
      <c r="EW262" s="468"/>
      <c r="EX262" s="468"/>
      <c r="EY262" s="468"/>
      <c r="EZ262" s="468"/>
      <c r="FA262" s="468"/>
      <c r="FB262" s="468"/>
      <c r="FC262" s="468"/>
      <c r="FD262" s="468"/>
      <c r="FE262" s="468"/>
      <c r="FF262" s="468"/>
      <c r="FG262" s="468"/>
      <c r="FH262" s="468"/>
      <c r="FI262" s="468"/>
      <c r="FJ262" s="468"/>
      <c r="FK262" s="468"/>
      <c r="FL262" s="468"/>
      <c r="FM262" s="468"/>
      <c r="FN262" s="468"/>
      <c r="FO262" s="468"/>
      <c r="FP262" s="468"/>
      <c r="FQ262" s="468"/>
      <c r="FR262" s="468"/>
      <c r="FS262" s="468"/>
      <c r="FT262" s="468"/>
      <c r="FU262" s="468"/>
      <c r="FV262" s="468"/>
      <c r="FW262" s="468"/>
      <c r="FX262" s="468"/>
      <c r="FY262" s="468"/>
    </row>
    <row r="263" spans="1:181" ht="43.5" customHeight="1" thickBot="1" x14ac:dyDescent="0.3">
      <c r="A263" s="446"/>
      <c r="B263" s="445" t="s">
        <v>1293</v>
      </c>
      <c r="C263" s="445">
        <v>20000</v>
      </c>
      <c r="D263" s="446"/>
      <c r="E263" s="446"/>
      <c r="F263" s="446"/>
      <c r="G263" s="448"/>
      <c r="H263" s="449"/>
      <c r="I263" s="449" t="s">
        <v>143</v>
      </c>
      <c r="J263" s="450"/>
      <c r="K263" s="474" t="s">
        <v>479</v>
      </c>
      <c r="L263" s="475">
        <f>SUM(L259-K259)</f>
        <v>111263068</v>
      </c>
      <c r="M263" s="446"/>
      <c r="N263" s="446"/>
      <c r="O263" s="446"/>
      <c r="P263" s="446"/>
      <c r="Q263" s="446"/>
      <c r="R263" s="446"/>
      <c r="S263" s="446"/>
      <c r="T263" s="446"/>
      <c r="U263" s="446"/>
      <c r="V263" s="446"/>
      <c r="W263" s="446"/>
      <c r="X263" s="446"/>
      <c r="Y263" s="446"/>
      <c r="Z263" s="446"/>
      <c r="AA263" s="446"/>
      <c r="AB263" s="446"/>
      <c r="AC263" s="446"/>
      <c r="AD263" s="446"/>
      <c r="AE263" s="446"/>
      <c r="AF263" s="446"/>
      <c r="AG263" s="446"/>
      <c r="AH263" s="446"/>
      <c r="AI263" s="446"/>
      <c r="AJ263" s="446"/>
      <c r="AK263" s="446"/>
      <c r="AL263" s="446"/>
      <c r="AM263" s="446"/>
      <c r="AN263" s="446"/>
      <c r="AO263" s="446"/>
      <c r="AP263" s="446"/>
      <c r="AQ263" s="446"/>
      <c r="AR263" s="446"/>
      <c r="AS263" s="446"/>
      <c r="AT263" s="446"/>
      <c r="AU263" s="446"/>
      <c r="AV263" s="446"/>
      <c r="AW263" s="446"/>
      <c r="AX263" s="446"/>
      <c r="AY263" s="446"/>
      <c r="AZ263" s="446"/>
      <c r="BA263" s="446"/>
      <c r="BB263" s="446"/>
      <c r="BC263" s="446"/>
      <c r="BD263" s="446"/>
      <c r="BE263" s="446"/>
      <c r="BF263" s="446"/>
      <c r="BG263" s="446"/>
      <c r="BH263" s="446"/>
      <c r="BI263" s="446"/>
      <c r="BJ263" s="446"/>
      <c r="BK263" s="446"/>
      <c r="BL263" s="446"/>
      <c r="BM263" s="446"/>
      <c r="BN263" s="446"/>
      <c r="BO263" s="446"/>
      <c r="BP263" s="446"/>
      <c r="BQ263" s="446"/>
      <c r="BR263" s="446"/>
      <c r="BS263" s="446"/>
      <c r="BT263" s="446"/>
      <c r="BU263" s="446"/>
      <c r="BV263" s="446"/>
      <c r="BW263" s="446"/>
      <c r="BX263" s="446"/>
      <c r="BY263" s="446"/>
      <c r="BZ263" s="446"/>
      <c r="CA263" s="446"/>
      <c r="CB263" s="446"/>
      <c r="CC263" s="446"/>
      <c r="CD263" s="446"/>
      <c r="CE263" s="446"/>
      <c r="CF263" s="446"/>
      <c r="CG263" s="446"/>
      <c r="CH263" s="446"/>
      <c r="CI263" s="446"/>
      <c r="CJ263" s="446"/>
      <c r="CK263" s="446"/>
      <c r="CL263" s="446"/>
      <c r="CM263" s="446"/>
      <c r="CN263" s="446"/>
      <c r="CO263" s="446"/>
      <c r="CP263" s="446"/>
      <c r="CQ263" s="446"/>
      <c r="CR263" s="446"/>
      <c r="CS263" s="446"/>
      <c r="CT263" s="446"/>
      <c r="CU263" s="446"/>
      <c r="CV263" s="446"/>
      <c r="CW263" s="446"/>
      <c r="CX263" s="446"/>
      <c r="CY263" s="446"/>
      <c r="CZ263" s="446"/>
      <c r="DA263" s="446"/>
      <c r="DB263" s="446"/>
      <c r="DC263" s="446"/>
      <c r="DD263" s="446"/>
      <c r="DE263" s="446"/>
      <c r="DF263" s="446"/>
      <c r="DG263" s="446"/>
      <c r="DH263" s="446"/>
      <c r="DI263" s="446"/>
      <c r="DJ263" s="446"/>
      <c r="DK263" s="446"/>
      <c r="DL263" s="446"/>
      <c r="DM263" s="446"/>
      <c r="DN263" s="446"/>
      <c r="DO263" s="446"/>
      <c r="DP263" s="446"/>
      <c r="DQ263" s="446"/>
      <c r="DR263" s="446"/>
      <c r="DS263" s="446"/>
      <c r="DT263" s="446"/>
      <c r="DU263" s="446"/>
      <c r="DV263" s="446"/>
      <c r="DW263" s="446"/>
      <c r="DX263" s="446"/>
      <c r="DY263" s="446"/>
      <c r="DZ263" s="446"/>
      <c r="EA263" s="446"/>
      <c r="EB263" s="446"/>
      <c r="EC263" s="446"/>
      <c r="ED263" s="446"/>
      <c r="EE263" s="446"/>
      <c r="EF263" s="446"/>
      <c r="EG263" s="446"/>
      <c r="EH263" s="446"/>
      <c r="EI263" s="446"/>
      <c r="EJ263" s="446"/>
      <c r="EK263" s="446"/>
      <c r="EL263" s="446"/>
      <c r="EM263" s="446"/>
      <c r="EN263" s="446"/>
      <c r="EO263" s="446"/>
      <c r="EP263" s="446"/>
      <c r="EQ263" s="446"/>
      <c r="ER263" s="446"/>
      <c r="ES263" s="446"/>
      <c r="ET263" s="446"/>
      <c r="EU263" s="446"/>
      <c r="EV263" s="446"/>
      <c r="EW263" s="446"/>
      <c r="EX263" s="446"/>
      <c r="EY263" s="446"/>
      <c r="EZ263" s="446"/>
      <c r="FA263" s="446"/>
      <c r="FB263" s="446"/>
      <c r="FC263" s="446"/>
      <c r="FD263" s="446"/>
      <c r="FE263" s="446"/>
      <c r="FF263" s="446"/>
      <c r="FG263" s="446"/>
      <c r="FH263" s="446"/>
      <c r="FI263" s="446"/>
      <c r="FJ263" s="446"/>
      <c r="FK263" s="446"/>
      <c r="FL263" s="446"/>
      <c r="FM263" s="446"/>
      <c r="FN263" s="446"/>
      <c r="FO263" s="446"/>
      <c r="FP263" s="446"/>
      <c r="FQ263" s="446"/>
      <c r="FR263" s="446"/>
      <c r="FS263" s="446"/>
      <c r="FT263" s="446" t="s">
        <v>143</v>
      </c>
      <c r="FU263" s="446"/>
      <c r="FV263" s="446"/>
      <c r="FW263" s="446" t="s">
        <v>143</v>
      </c>
      <c r="FX263" s="446"/>
      <c r="FY263" s="446"/>
    </row>
    <row r="264" spans="1:181" ht="43.5" customHeight="1" thickBot="1" x14ac:dyDescent="0.3">
      <c r="A264" s="446"/>
      <c r="B264" s="445" t="s">
        <v>1259</v>
      </c>
      <c r="C264" s="445">
        <v>30000</v>
      </c>
      <c r="D264" s="446"/>
      <c r="E264" s="446"/>
      <c r="F264" s="446"/>
      <c r="G264" s="448"/>
      <c r="H264" s="449"/>
      <c r="I264" s="449"/>
      <c r="J264" s="450"/>
      <c r="K264" s="35" t="s">
        <v>480</v>
      </c>
      <c r="L264" s="36">
        <f>FS259*100/M259/100</f>
        <v>0.4656539265300727</v>
      </c>
      <c r="M264" s="446"/>
      <c r="N264" s="446"/>
      <c r="O264" s="446"/>
      <c r="P264" s="446"/>
      <c r="Q264" s="446"/>
      <c r="R264" s="446"/>
      <c r="S264" s="446"/>
      <c r="T264" s="446"/>
      <c r="U264" s="446"/>
      <c r="V264" s="446"/>
      <c r="W264" s="446"/>
      <c r="X264" s="446"/>
      <c r="Y264" s="446"/>
      <c r="Z264" s="446"/>
      <c r="AA264" s="446"/>
      <c r="AB264" s="446"/>
      <c r="AC264" s="446"/>
      <c r="AD264" s="446"/>
      <c r="AE264" s="446"/>
      <c r="AF264" s="446"/>
      <c r="AG264" s="446"/>
      <c r="AH264" s="446"/>
      <c r="AI264" s="446"/>
      <c r="AJ264" s="446"/>
      <c r="AK264" s="446"/>
      <c r="AL264" s="446"/>
      <c r="AM264" s="446"/>
      <c r="AN264" s="446"/>
      <c r="AO264" s="446"/>
      <c r="AP264" s="446"/>
      <c r="AQ264" s="446"/>
      <c r="AR264" s="446"/>
      <c r="AS264" s="446"/>
      <c r="AT264" s="446"/>
      <c r="AU264" s="446"/>
      <c r="AV264" s="446"/>
      <c r="AW264" s="446"/>
      <c r="AX264" s="446"/>
      <c r="AY264" s="446"/>
      <c r="AZ264" s="446"/>
      <c r="BA264" s="446"/>
      <c r="BB264" s="446"/>
      <c r="BC264" s="446"/>
      <c r="BD264" s="446"/>
      <c r="BE264" s="446"/>
      <c r="BF264" s="446"/>
      <c r="BG264" s="446"/>
      <c r="BH264" s="446"/>
      <c r="BI264" s="446"/>
      <c r="BJ264" s="446"/>
      <c r="BK264" s="446"/>
      <c r="BL264" s="446"/>
      <c r="BM264" s="446"/>
      <c r="BN264" s="446"/>
      <c r="BO264" s="446"/>
      <c r="BP264" s="446"/>
      <c r="BQ264" s="446"/>
      <c r="BR264" s="446"/>
      <c r="BS264" s="446"/>
      <c r="BT264" s="446"/>
      <c r="BU264" s="446"/>
      <c r="BV264" s="446"/>
      <c r="BW264" s="446"/>
      <c r="BX264" s="446"/>
      <c r="BY264" s="446"/>
      <c r="BZ264" s="446"/>
      <c r="CA264" s="446"/>
      <c r="CB264" s="446"/>
      <c r="CC264" s="446"/>
      <c r="CD264" s="446"/>
      <c r="CE264" s="446"/>
      <c r="CF264" s="446"/>
      <c r="CG264" s="446"/>
      <c r="CH264" s="446"/>
      <c r="CI264" s="446"/>
      <c r="CJ264" s="446"/>
      <c r="CK264" s="446"/>
      <c r="CL264" s="446"/>
      <c r="CM264" s="446"/>
      <c r="CN264" s="446"/>
      <c r="CO264" s="446"/>
      <c r="CP264" s="446"/>
      <c r="CQ264" s="446"/>
      <c r="CR264" s="446"/>
      <c r="CS264" s="446"/>
      <c r="CT264" s="446"/>
      <c r="CU264" s="446"/>
      <c r="CV264" s="446"/>
      <c r="CW264" s="446"/>
      <c r="CX264" s="446"/>
      <c r="CY264" s="446"/>
      <c r="CZ264" s="446"/>
      <c r="DA264" s="446"/>
      <c r="DB264" s="446"/>
      <c r="DC264" s="446"/>
      <c r="DD264" s="446"/>
      <c r="DE264" s="446"/>
      <c r="DF264" s="446"/>
      <c r="DG264" s="446"/>
      <c r="DH264" s="446"/>
      <c r="DI264" s="446"/>
      <c r="DJ264" s="446"/>
      <c r="DK264" s="446"/>
      <c r="DL264" s="446"/>
      <c r="DM264" s="446"/>
      <c r="DN264" s="446"/>
      <c r="DO264" s="446"/>
      <c r="DP264" s="446"/>
      <c r="DQ264" s="446"/>
      <c r="DR264" s="446"/>
      <c r="DS264" s="446"/>
      <c r="DT264" s="446"/>
      <c r="DU264" s="446"/>
      <c r="DV264" s="446"/>
      <c r="DW264" s="446"/>
      <c r="DX264" s="446"/>
      <c r="DY264" s="446"/>
      <c r="DZ264" s="446"/>
      <c r="EA264" s="446"/>
      <c r="EB264" s="446"/>
      <c r="EC264" s="446"/>
      <c r="ED264" s="446"/>
      <c r="EE264" s="446"/>
      <c r="EF264" s="446"/>
      <c r="EG264" s="446"/>
      <c r="EH264" s="446"/>
      <c r="EI264" s="446"/>
      <c r="EJ264" s="446"/>
      <c r="EK264" s="446"/>
      <c r="EL264" s="446"/>
      <c r="EM264" s="446"/>
      <c r="EN264" s="446"/>
      <c r="EO264" s="446"/>
      <c r="EP264" s="446"/>
      <c r="EQ264" s="446"/>
      <c r="ER264" s="446"/>
      <c r="ES264" s="446"/>
      <c r="ET264" s="446"/>
      <c r="EU264" s="446"/>
      <c r="EV264" s="446"/>
      <c r="EW264" s="446"/>
      <c r="EX264" s="446"/>
      <c r="EY264" s="446"/>
      <c r="EZ264" s="446"/>
      <c r="FA264" s="446"/>
      <c r="FB264" s="446"/>
      <c r="FC264" s="446"/>
      <c r="FD264" s="446"/>
      <c r="FE264" s="446"/>
      <c r="FF264" s="446"/>
      <c r="FG264" s="446"/>
      <c r="FH264" s="446"/>
      <c r="FI264" s="446"/>
      <c r="FJ264" s="446"/>
      <c r="FK264" s="446"/>
      <c r="FL264" s="446"/>
      <c r="FM264" s="446"/>
      <c r="FN264" s="446"/>
      <c r="FO264" s="446"/>
      <c r="FP264" s="446"/>
      <c r="FQ264" s="446"/>
      <c r="FR264" s="446"/>
      <c r="FS264" s="446"/>
      <c r="FT264" s="446"/>
      <c r="FU264" s="446"/>
      <c r="FV264" s="446"/>
      <c r="FW264" s="446"/>
      <c r="FX264" s="446"/>
      <c r="FY264" s="446"/>
    </row>
    <row r="265" spans="1:181" ht="43.5" customHeight="1" thickBot="1" x14ac:dyDescent="0.3">
      <c r="A265" s="446"/>
      <c r="B265" s="445" t="s">
        <v>1322</v>
      </c>
      <c r="C265" s="445">
        <v>22000</v>
      </c>
      <c r="D265" s="446"/>
      <c r="E265" s="446"/>
      <c r="F265" s="446"/>
      <c r="G265" s="448"/>
      <c r="H265" s="449"/>
      <c r="I265" s="449"/>
      <c r="J265" s="450"/>
      <c r="K265" s="37" t="s">
        <v>481</v>
      </c>
      <c r="L265" s="37">
        <f>SUM(FU259-FT259)</f>
        <v>41703978</v>
      </c>
      <c r="M265" s="446"/>
      <c r="N265" s="446"/>
      <c r="O265" s="446"/>
      <c r="P265" s="446"/>
      <c r="Q265" s="446"/>
      <c r="R265" s="446"/>
      <c r="S265" s="446"/>
      <c r="T265" s="446"/>
      <c r="U265" s="446"/>
      <c r="V265" s="446"/>
      <c r="W265" s="446"/>
      <c r="X265" s="446"/>
      <c r="Y265" s="446"/>
      <c r="Z265" s="446"/>
      <c r="AA265" s="446"/>
      <c r="AB265" s="446"/>
      <c r="AC265" s="446"/>
      <c r="AD265" s="446"/>
      <c r="AE265" s="446"/>
      <c r="AF265" s="446"/>
      <c r="AG265" s="446"/>
      <c r="AH265" s="446"/>
      <c r="AI265" s="446"/>
      <c r="AJ265" s="446"/>
      <c r="AK265" s="446"/>
      <c r="AL265" s="446"/>
      <c r="AM265" s="446"/>
      <c r="AN265" s="446"/>
      <c r="AO265" s="446"/>
      <c r="AP265" s="446"/>
      <c r="AQ265" s="446"/>
      <c r="AR265" s="446"/>
      <c r="AS265" s="446"/>
      <c r="AT265" s="446"/>
      <c r="AU265" s="446"/>
      <c r="AV265" s="446"/>
      <c r="AW265" s="446"/>
      <c r="AX265" s="446"/>
      <c r="AY265" s="446"/>
      <c r="AZ265" s="446"/>
      <c r="BA265" s="446"/>
      <c r="BB265" s="446"/>
      <c r="BC265" s="446"/>
      <c r="BD265" s="446"/>
      <c r="BE265" s="446"/>
      <c r="BF265" s="446"/>
      <c r="BG265" s="446"/>
      <c r="BH265" s="446"/>
      <c r="BI265" s="446"/>
      <c r="BJ265" s="446"/>
      <c r="BK265" s="446"/>
      <c r="BL265" s="446"/>
      <c r="BM265" s="446"/>
      <c r="BN265" s="446"/>
      <c r="BO265" s="446"/>
      <c r="BP265" s="446"/>
      <c r="BQ265" s="446"/>
      <c r="BR265" s="446"/>
      <c r="BS265" s="446"/>
      <c r="BT265" s="446"/>
      <c r="BU265" s="446"/>
      <c r="BV265" s="446"/>
      <c r="BW265" s="446"/>
      <c r="BX265" s="446"/>
      <c r="BY265" s="446"/>
      <c r="BZ265" s="446"/>
      <c r="CA265" s="446"/>
      <c r="CB265" s="446"/>
      <c r="CC265" s="446"/>
      <c r="CD265" s="446"/>
      <c r="CE265" s="446"/>
      <c r="CF265" s="446"/>
      <c r="CG265" s="446"/>
      <c r="CH265" s="446"/>
      <c r="CI265" s="446"/>
      <c r="CJ265" s="446"/>
      <c r="CK265" s="446"/>
      <c r="CL265" s="446"/>
      <c r="CM265" s="446"/>
      <c r="CN265" s="446"/>
      <c r="CO265" s="446"/>
      <c r="CP265" s="446"/>
      <c r="CQ265" s="446"/>
      <c r="CR265" s="446"/>
      <c r="CS265" s="446"/>
      <c r="CT265" s="446"/>
      <c r="CU265" s="446"/>
      <c r="CV265" s="446"/>
      <c r="CW265" s="446"/>
      <c r="CX265" s="446"/>
      <c r="CY265" s="446"/>
      <c r="CZ265" s="446"/>
      <c r="DA265" s="446"/>
      <c r="DB265" s="446"/>
      <c r="DC265" s="446"/>
      <c r="DD265" s="446"/>
      <c r="DE265" s="446"/>
      <c r="DF265" s="446"/>
      <c r="DG265" s="446"/>
      <c r="DH265" s="446"/>
      <c r="DI265" s="446"/>
      <c r="DJ265" s="446"/>
      <c r="DK265" s="446"/>
      <c r="DL265" s="446"/>
      <c r="DM265" s="446"/>
      <c r="DN265" s="446"/>
      <c r="DO265" s="446"/>
      <c r="DP265" s="446"/>
      <c r="DQ265" s="446"/>
      <c r="DR265" s="446"/>
      <c r="DS265" s="446"/>
      <c r="DT265" s="446"/>
      <c r="DU265" s="446"/>
      <c r="DV265" s="446"/>
      <c r="DW265" s="446"/>
      <c r="DX265" s="446"/>
      <c r="DY265" s="446"/>
      <c r="DZ265" s="446"/>
      <c r="EA265" s="446"/>
      <c r="EB265" s="446"/>
      <c r="EC265" s="446"/>
      <c r="ED265" s="446"/>
      <c r="EE265" s="446"/>
      <c r="EF265" s="446"/>
      <c r="EG265" s="446"/>
      <c r="EH265" s="446"/>
      <c r="EI265" s="446"/>
      <c r="EJ265" s="446"/>
      <c r="EK265" s="446"/>
      <c r="EL265" s="446"/>
      <c r="EM265" s="446"/>
      <c r="EN265" s="446"/>
      <c r="EO265" s="446"/>
      <c r="EP265" s="446"/>
      <c r="EQ265" s="446"/>
      <c r="ER265" s="446"/>
      <c r="ES265" s="446"/>
      <c r="ET265" s="446"/>
      <c r="EU265" s="446"/>
      <c r="EV265" s="446"/>
      <c r="EW265" s="446"/>
      <c r="EX265" s="446"/>
      <c r="EY265" s="446"/>
      <c r="EZ265" s="446"/>
      <c r="FA265" s="446"/>
      <c r="FB265" s="446"/>
      <c r="FC265" s="446"/>
      <c r="FD265" s="446"/>
      <c r="FE265" s="446"/>
      <c r="FF265" s="446"/>
      <c r="FG265" s="446"/>
      <c r="FH265" s="446"/>
      <c r="FI265" s="446"/>
      <c r="FJ265" s="446"/>
      <c r="FK265" s="446"/>
      <c r="FL265" s="446"/>
      <c r="FM265" s="446"/>
      <c r="FN265" s="446"/>
      <c r="FO265" s="446"/>
      <c r="FP265" s="446"/>
      <c r="FQ265" s="446"/>
      <c r="FR265" s="446"/>
      <c r="FS265" s="446"/>
      <c r="FT265" s="446"/>
      <c r="FU265" s="446"/>
      <c r="FV265" s="446"/>
      <c r="FW265" s="446"/>
      <c r="FX265" s="446"/>
      <c r="FY265" s="446"/>
    </row>
    <row r="266" spans="1:181" ht="43.5" customHeight="1" thickBot="1" x14ac:dyDescent="0.3">
      <c r="A266" s="446"/>
      <c r="B266" s="445" t="s">
        <v>1380</v>
      </c>
      <c r="C266" s="445">
        <v>10000</v>
      </c>
      <c r="D266" s="446"/>
      <c r="E266" s="446"/>
      <c r="F266" s="446"/>
      <c r="G266" s="448"/>
      <c r="H266" s="449"/>
      <c r="I266" s="449"/>
      <c r="J266" s="450"/>
      <c r="K266" s="38" t="s">
        <v>482</v>
      </c>
      <c r="L266" s="38">
        <f>COUNT(  FS2:FS258)</f>
        <v>41</v>
      </c>
      <c r="M266" s="446"/>
      <c r="N266" s="446"/>
      <c r="O266" s="446"/>
      <c r="P266" s="446"/>
      <c r="Q266" s="446"/>
      <c r="R266" s="446"/>
      <c r="S266" s="446"/>
      <c r="T266" s="446"/>
      <c r="U266" s="446"/>
      <c r="V266" s="446"/>
      <c r="W266" s="446"/>
      <c r="X266" s="446"/>
      <c r="Y266" s="446"/>
      <c r="Z266" s="446"/>
      <c r="AA266" s="446"/>
      <c r="AB266" s="446"/>
      <c r="AC266" s="446"/>
      <c r="AD266" s="446"/>
      <c r="AE266" s="446"/>
      <c r="AF266" s="446"/>
      <c r="AG266" s="446"/>
      <c r="AH266" s="446"/>
      <c r="AI266" s="446"/>
      <c r="AJ266" s="446"/>
      <c r="AK266" s="446"/>
      <c r="AL266" s="446"/>
      <c r="AM266" s="446"/>
      <c r="AN266" s="446"/>
      <c r="AO266" s="446"/>
      <c r="AP266" s="446"/>
      <c r="AQ266" s="446"/>
      <c r="AR266" s="446"/>
      <c r="AS266" s="446"/>
      <c r="AT266" s="446"/>
      <c r="AU266" s="446"/>
      <c r="AV266" s="446"/>
      <c r="AW266" s="446"/>
      <c r="AX266" s="446"/>
      <c r="AY266" s="446"/>
      <c r="AZ266" s="446"/>
      <c r="BA266" s="446"/>
      <c r="BB266" s="446"/>
      <c r="BC266" s="446"/>
      <c r="BD266" s="446"/>
      <c r="BE266" s="446"/>
      <c r="BF266" s="446"/>
      <c r="BG266" s="446"/>
      <c r="BH266" s="446"/>
      <c r="BI266" s="446"/>
      <c r="BJ266" s="446"/>
      <c r="BK266" s="446"/>
      <c r="BL266" s="446"/>
      <c r="BM266" s="446"/>
      <c r="BN266" s="446"/>
      <c r="BO266" s="446"/>
      <c r="BP266" s="446"/>
      <c r="BQ266" s="446"/>
      <c r="BR266" s="446"/>
      <c r="BS266" s="446"/>
      <c r="BT266" s="446"/>
      <c r="BU266" s="446"/>
      <c r="BV266" s="446"/>
      <c r="BW266" s="446"/>
      <c r="BX266" s="446"/>
      <c r="BY266" s="446"/>
      <c r="BZ266" s="446"/>
      <c r="CA266" s="446"/>
      <c r="CB266" s="446"/>
      <c r="CC266" s="446"/>
      <c r="CD266" s="446"/>
      <c r="CE266" s="446"/>
      <c r="CF266" s="446"/>
      <c r="CG266" s="446"/>
      <c r="CH266" s="446"/>
      <c r="CI266" s="446"/>
      <c r="CJ266" s="446"/>
      <c r="CK266" s="446"/>
      <c r="CL266" s="446"/>
      <c r="CM266" s="446"/>
      <c r="CN266" s="446"/>
      <c r="CO266" s="446"/>
      <c r="CP266" s="446"/>
      <c r="CQ266" s="446"/>
      <c r="CR266" s="446"/>
      <c r="CS266" s="446"/>
      <c r="CT266" s="446"/>
      <c r="CU266" s="446"/>
      <c r="CV266" s="446"/>
      <c r="CW266" s="446"/>
      <c r="CX266" s="446"/>
      <c r="CY266" s="446"/>
      <c r="CZ266" s="446"/>
      <c r="DA266" s="446"/>
      <c r="DB266" s="446"/>
      <c r="DC266" s="446"/>
      <c r="DD266" s="446"/>
      <c r="DE266" s="446"/>
      <c r="DF266" s="446"/>
      <c r="DG266" s="446"/>
      <c r="DH266" s="446"/>
      <c r="DI266" s="446"/>
      <c r="DJ266" s="446"/>
      <c r="DK266" s="446"/>
      <c r="DL266" s="446"/>
      <c r="DM266" s="446"/>
      <c r="DN266" s="446"/>
      <c r="DO266" s="446"/>
      <c r="DP266" s="446"/>
      <c r="DQ266" s="446"/>
      <c r="DR266" s="446"/>
      <c r="DS266" s="446"/>
      <c r="DT266" s="446"/>
      <c r="DU266" s="446"/>
      <c r="DV266" s="446"/>
      <c r="DW266" s="446"/>
      <c r="DX266" s="446"/>
      <c r="DY266" s="446"/>
      <c r="DZ266" s="446"/>
      <c r="EA266" s="446"/>
      <c r="EB266" s="446"/>
      <c r="EC266" s="446"/>
      <c r="ED266" s="446"/>
      <c r="EE266" s="446"/>
      <c r="EF266" s="446"/>
      <c r="EG266" s="446"/>
      <c r="EH266" s="446"/>
      <c r="EI266" s="446"/>
      <c r="EJ266" s="446"/>
      <c r="EK266" s="446"/>
      <c r="EL266" s="446"/>
      <c r="EM266" s="446"/>
      <c r="EN266" s="446"/>
      <c r="EO266" s="446"/>
      <c r="EP266" s="446"/>
      <c r="EQ266" s="446"/>
      <c r="ER266" s="446"/>
      <c r="ES266" s="446"/>
      <c r="ET266" s="446"/>
      <c r="EU266" s="446"/>
      <c r="EV266" s="446"/>
      <c r="EW266" s="446"/>
      <c r="EX266" s="446"/>
      <c r="EY266" s="446"/>
      <c r="EZ266" s="446"/>
      <c r="FA266" s="446"/>
      <c r="FB266" s="446"/>
      <c r="FC266" s="446"/>
      <c r="FD266" s="446"/>
      <c r="FE266" s="446"/>
      <c r="FF266" s="446"/>
      <c r="FG266" s="446"/>
      <c r="FH266" s="446"/>
      <c r="FI266" s="446"/>
      <c r="FJ266" s="446"/>
      <c r="FK266" s="446"/>
      <c r="FL266" s="446"/>
      <c r="FM266" s="446"/>
      <c r="FN266" s="446"/>
      <c r="FO266" s="446"/>
      <c r="FP266" s="446"/>
      <c r="FQ266" s="446"/>
      <c r="FR266" s="446"/>
      <c r="FS266" s="446"/>
      <c r="FT266" s="446"/>
      <c r="FU266" s="446"/>
      <c r="FV266" s="446"/>
      <c r="FW266" s="446"/>
      <c r="FX266" s="446"/>
      <c r="FY266" s="446"/>
    </row>
    <row r="267" spans="1:181" ht="43.5" customHeight="1" thickBot="1" x14ac:dyDescent="0.3">
      <c r="A267" s="446"/>
      <c r="C267" s="445">
        <f>SUM(C263:C266)</f>
        <v>82000</v>
      </c>
      <c r="D267" s="446"/>
      <c r="E267" s="446"/>
      <c r="F267" s="446"/>
      <c r="G267" s="448"/>
      <c r="H267" s="449"/>
      <c r="I267" s="449"/>
      <c r="J267" s="450"/>
      <c r="K267" s="39" t="s">
        <v>1264</v>
      </c>
      <c r="L267" s="40">
        <f>SUM(FS259-L268)</f>
        <v>2677150</v>
      </c>
      <c r="M267" s="446"/>
      <c r="N267" s="446"/>
      <c r="O267" s="446"/>
      <c r="P267" s="446"/>
      <c r="Q267" s="446"/>
      <c r="R267" s="446"/>
      <c r="S267" s="446"/>
      <c r="T267" s="446"/>
      <c r="U267" s="446"/>
      <c r="V267" s="446"/>
      <c r="W267" s="446"/>
      <c r="X267" s="446"/>
      <c r="Y267" s="446"/>
      <c r="Z267" s="446"/>
      <c r="AA267" s="446"/>
      <c r="AB267" s="446"/>
      <c r="AC267" s="446"/>
      <c r="AD267" s="446"/>
      <c r="AE267" s="446"/>
      <c r="AF267" s="446"/>
      <c r="AG267" s="446"/>
      <c r="AH267" s="446"/>
      <c r="AI267" s="446"/>
      <c r="AJ267" s="446"/>
      <c r="AK267" s="446"/>
      <c r="AL267" s="446"/>
      <c r="AM267" s="446"/>
      <c r="AN267" s="446"/>
      <c r="AO267" s="446"/>
      <c r="AP267" s="446"/>
      <c r="AQ267" s="446"/>
      <c r="AR267" s="446"/>
      <c r="AS267" s="446"/>
      <c r="AT267" s="446"/>
      <c r="AU267" s="446"/>
      <c r="AV267" s="446"/>
      <c r="AW267" s="446"/>
      <c r="AX267" s="446"/>
      <c r="AY267" s="446"/>
      <c r="AZ267" s="446"/>
      <c r="BA267" s="446"/>
      <c r="BB267" s="446"/>
      <c r="BC267" s="446"/>
      <c r="BD267" s="446"/>
      <c r="BE267" s="446"/>
      <c r="BF267" s="446"/>
      <c r="BG267" s="446"/>
      <c r="BH267" s="446"/>
      <c r="BI267" s="446"/>
      <c r="BJ267" s="446"/>
      <c r="BK267" s="446"/>
      <c r="BL267" s="446"/>
      <c r="BM267" s="446"/>
      <c r="BN267" s="446"/>
      <c r="BO267" s="446"/>
      <c r="BP267" s="446"/>
      <c r="BQ267" s="446"/>
      <c r="BR267" s="446"/>
      <c r="BS267" s="446"/>
      <c r="BT267" s="446"/>
      <c r="BU267" s="446"/>
      <c r="BV267" s="446"/>
      <c r="BW267" s="446"/>
      <c r="BX267" s="446"/>
      <c r="BY267" s="446"/>
      <c r="BZ267" s="446"/>
      <c r="CA267" s="446"/>
      <c r="CB267" s="446"/>
      <c r="CC267" s="446"/>
      <c r="CD267" s="446"/>
      <c r="CE267" s="446"/>
      <c r="CF267" s="446"/>
      <c r="CG267" s="446"/>
      <c r="CH267" s="446"/>
      <c r="CI267" s="446"/>
      <c r="CJ267" s="446"/>
      <c r="CK267" s="446"/>
      <c r="CL267" s="446"/>
      <c r="CM267" s="446"/>
      <c r="CN267" s="446"/>
      <c r="CO267" s="446"/>
      <c r="CP267" s="446"/>
      <c r="CQ267" s="446"/>
      <c r="CR267" s="446"/>
      <c r="CS267" s="446"/>
      <c r="CT267" s="446"/>
      <c r="CU267" s="446"/>
      <c r="CV267" s="446"/>
      <c r="CW267" s="446"/>
      <c r="CX267" s="446"/>
      <c r="CY267" s="446"/>
      <c r="CZ267" s="446"/>
      <c r="DA267" s="446"/>
      <c r="DB267" s="446"/>
      <c r="DC267" s="446"/>
      <c r="DD267" s="446"/>
      <c r="DE267" s="446"/>
      <c r="DF267" s="446"/>
      <c r="DG267" s="446"/>
      <c r="DH267" s="446"/>
      <c r="DI267" s="446"/>
      <c r="DJ267" s="446"/>
      <c r="DK267" s="446"/>
      <c r="DL267" s="446"/>
      <c r="DM267" s="446"/>
      <c r="DN267" s="446"/>
      <c r="DO267" s="446"/>
      <c r="DP267" s="446"/>
      <c r="DQ267" s="446"/>
      <c r="DR267" s="446"/>
      <c r="DS267" s="446"/>
      <c r="DT267" s="446"/>
      <c r="DU267" s="446"/>
      <c r="DV267" s="446"/>
      <c r="DW267" s="446"/>
      <c r="DX267" s="446"/>
      <c r="DY267" s="446"/>
      <c r="DZ267" s="446"/>
      <c r="EA267" s="446"/>
      <c r="EB267" s="446"/>
      <c r="EC267" s="446"/>
      <c r="ED267" s="446"/>
      <c r="EE267" s="446"/>
      <c r="EF267" s="446"/>
      <c r="EG267" s="446"/>
      <c r="EH267" s="446"/>
      <c r="EI267" s="446"/>
      <c r="EJ267" s="446"/>
      <c r="EK267" s="446"/>
      <c r="EL267" s="446"/>
      <c r="EM267" s="446"/>
      <c r="EN267" s="446"/>
      <c r="EO267" s="446"/>
      <c r="EP267" s="446"/>
      <c r="EQ267" s="446"/>
      <c r="ER267" s="446"/>
      <c r="ES267" s="446"/>
      <c r="ET267" s="446"/>
      <c r="EU267" s="446"/>
      <c r="EV267" s="446"/>
      <c r="EW267" s="446"/>
      <c r="EX267" s="446"/>
      <c r="EY267" s="446"/>
      <c r="EZ267" s="446"/>
      <c r="FA267" s="446"/>
      <c r="FB267" s="446"/>
      <c r="FC267" s="446"/>
      <c r="FD267" s="446"/>
      <c r="FE267" s="446"/>
      <c r="FF267" s="446"/>
      <c r="FG267" s="446"/>
      <c r="FH267" s="446"/>
      <c r="FI267" s="446"/>
      <c r="FJ267" s="446"/>
      <c r="FK267" s="446"/>
      <c r="FL267" s="446"/>
      <c r="FM267" s="446"/>
      <c r="FN267" s="446"/>
      <c r="FO267" s="446"/>
      <c r="FP267" s="446"/>
      <c r="FQ267" s="446"/>
      <c r="FR267" s="446"/>
      <c r="FS267" s="446"/>
      <c r="FT267" s="446"/>
      <c r="FU267" s="446"/>
      <c r="FV267" s="446"/>
      <c r="FW267" s="446"/>
      <c r="FX267" s="446"/>
      <c r="FY267" s="446"/>
    </row>
    <row r="268" spans="1:181" ht="43.5" customHeight="1" thickBot="1" x14ac:dyDescent="0.3">
      <c r="A268" s="446"/>
      <c r="D268" s="446"/>
      <c r="E268" s="446" t="s">
        <v>143</v>
      </c>
      <c r="F268" s="446"/>
      <c r="G268" s="448"/>
      <c r="H268" s="449"/>
      <c r="I268" s="449"/>
      <c r="J268" s="450"/>
      <c r="K268" s="41" t="s">
        <v>483</v>
      </c>
      <c r="L268" s="42">
        <v>450000</v>
      </c>
      <c r="M268" s="446"/>
      <c r="N268" s="446"/>
      <c r="O268" s="446"/>
      <c r="P268" s="446"/>
      <c r="Q268" s="446"/>
      <c r="R268" s="446"/>
      <c r="S268" s="446"/>
      <c r="T268" s="446"/>
      <c r="U268" s="446"/>
      <c r="V268" s="446"/>
      <c r="W268" s="446"/>
      <c r="X268" s="446"/>
      <c r="Y268" s="446"/>
      <c r="Z268" s="446"/>
      <c r="AA268" s="446"/>
      <c r="AB268" s="446"/>
      <c r="AC268" s="446"/>
      <c r="AD268" s="446"/>
      <c r="AE268" s="446"/>
      <c r="AF268" s="446"/>
      <c r="AG268" s="446"/>
      <c r="AH268" s="446"/>
      <c r="AI268" s="446"/>
      <c r="AJ268" s="446"/>
      <c r="AK268" s="446"/>
      <c r="AL268" s="446"/>
      <c r="AM268" s="446"/>
      <c r="AN268" s="446"/>
      <c r="AO268" s="446"/>
      <c r="AP268" s="446"/>
      <c r="AQ268" s="446"/>
      <c r="AR268" s="446"/>
      <c r="AS268" s="446"/>
      <c r="AT268" s="446"/>
      <c r="AU268" s="446"/>
      <c r="AV268" s="446"/>
      <c r="AW268" s="446"/>
      <c r="AX268" s="446"/>
      <c r="AY268" s="446"/>
      <c r="AZ268" s="446"/>
      <c r="BA268" s="446"/>
      <c r="BB268" s="446"/>
      <c r="BC268" s="446"/>
      <c r="BD268" s="446"/>
      <c r="BE268" s="446"/>
      <c r="BF268" s="446"/>
      <c r="BG268" s="446"/>
      <c r="BH268" s="446"/>
      <c r="BI268" s="446"/>
      <c r="BJ268" s="446"/>
      <c r="BK268" s="446"/>
      <c r="BL268" s="446"/>
      <c r="BM268" s="446"/>
      <c r="BN268" s="446"/>
      <c r="BO268" s="446"/>
      <c r="BP268" s="446"/>
      <c r="BQ268" s="446"/>
      <c r="BR268" s="446"/>
      <c r="BS268" s="446"/>
      <c r="BT268" s="446"/>
      <c r="BU268" s="446"/>
      <c r="BV268" s="446"/>
      <c r="BW268" s="446"/>
      <c r="BX268" s="446"/>
      <c r="BY268" s="446"/>
      <c r="BZ268" s="446"/>
      <c r="CA268" s="446"/>
      <c r="CB268" s="446"/>
      <c r="CC268" s="446"/>
      <c r="CD268" s="446"/>
      <c r="CE268" s="446"/>
      <c r="CF268" s="446"/>
      <c r="CG268" s="446"/>
      <c r="CH268" s="446"/>
      <c r="CI268" s="446"/>
      <c r="CJ268" s="446"/>
      <c r="CK268" s="446"/>
      <c r="CL268" s="446"/>
      <c r="CM268" s="446"/>
      <c r="CN268" s="446"/>
      <c r="CO268" s="446"/>
      <c r="CP268" s="446"/>
      <c r="CQ268" s="446"/>
      <c r="CR268" s="446"/>
      <c r="CS268" s="446"/>
      <c r="CT268" s="446"/>
      <c r="CU268" s="446"/>
      <c r="CV268" s="446"/>
      <c r="CW268" s="446"/>
      <c r="CX268" s="446"/>
      <c r="CY268" s="446"/>
      <c r="CZ268" s="446"/>
      <c r="DA268" s="446"/>
      <c r="DB268" s="446"/>
      <c r="DC268" s="446"/>
      <c r="DD268" s="446"/>
      <c r="DE268" s="446"/>
      <c r="DF268" s="446"/>
      <c r="DG268" s="446"/>
      <c r="DH268" s="446"/>
      <c r="DI268" s="446"/>
      <c r="DJ268" s="446"/>
      <c r="DK268" s="446"/>
      <c r="DL268" s="446"/>
      <c r="DM268" s="446"/>
      <c r="DN268" s="446"/>
      <c r="DO268" s="446"/>
      <c r="DP268" s="446"/>
      <c r="DQ268" s="446"/>
      <c r="DR268" s="446"/>
      <c r="DS268" s="446"/>
      <c r="DT268" s="446"/>
      <c r="DU268" s="446"/>
      <c r="DV268" s="446"/>
      <c r="DW268" s="446"/>
      <c r="DX268" s="446"/>
      <c r="DY268" s="446"/>
      <c r="DZ268" s="446"/>
      <c r="EA268" s="446"/>
      <c r="EB268" s="446"/>
      <c r="EC268" s="446"/>
      <c r="ED268" s="446"/>
      <c r="EE268" s="446"/>
      <c r="EF268" s="446"/>
      <c r="EG268" s="446"/>
      <c r="EH268" s="446"/>
      <c r="EI268" s="446"/>
      <c r="EJ268" s="446"/>
      <c r="EK268" s="446"/>
      <c r="EL268" s="446"/>
      <c r="EM268" s="446"/>
      <c r="EN268" s="446"/>
      <c r="EO268" s="446"/>
      <c r="EP268" s="446"/>
      <c r="EQ268" s="446"/>
      <c r="ER268" s="446"/>
      <c r="ES268" s="446"/>
      <c r="ET268" s="446"/>
      <c r="EU268" s="446"/>
      <c r="EV268" s="446"/>
      <c r="EW268" s="446"/>
      <c r="EX268" s="446"/>
      <c r="EY268" s="446"/>
      <c r="EZ268" s="446"/>
      <c r="FA268" s="446"/>
      <c r="FB268" s="446"/>
      <c r="FC268" s="446"/>
      <c r="FD268" s="446"/>
      <c r="FE268" s="446"/>
      <c r="FF268" s="446"/>
      <c r="FG268" s="446"/>
      <c r="FH268" s="446"/>
      <c r="FI268" s="446"/>
      <c r="FJ268" s="446"/>
      <c r="FK268" s="446"/>
      <c r="FL268" s="446"/>
      <c r="FM268" s="446"/>
      <c r="FN268" s="446"/>
      <c r="FO268" s="446"/>
      <c r="FP268" s="446"/>
      <c r="FQ268" s="446"/>
      <c r="FR268" s="446"/>
      <c r="FS268" s="446"/>
      <c r="FT268" s="446" t="s">
        <v>143</v>
      </c>
      <c r="FU268" s="446"/>
      <c r="FV268" s="446"/>
      <c r="FW268" s="446"/>
      <c r="FX268" s="446"/>
      <c r="FY268" s="446"/>
    </row>
    <row r="269" spans="1:181" ht="43.5" customHeight="1" x14ac:dyDescent="0.25">
      <c r="A269" s="446"/>
      <c r="F269" s="446"/>
      <c r="G269" s="448"/>
      <c r="H269" s="449"/>
      <c r="I269" s="449"/>
      <c r="J269" s="450"/>
      <c r="K269" s="451"/>
      <c r="L269" s="452"/>
      <c r="M269" s="446"/>
      <c r="N269" s="446"/>
      <c r="O269" s="446"/>
      <c r="P269" s="446"/>
      <c r="Q269" s="446"/>
      <c r="R269" s="446"/>
      <c r="S269" s="446"/>
      <c r="T269" s="446"/>
      <c r="U269" s="446"/>
      <c r="V269" s="446"/>
      <c r="W269" s="446"/>
      <c r="X269" s="446"/>
      <c r="Y269" s="446"/>
      <c r="Z269" s="446"/>
      <c r="AA269" s="446"/>
      <c r="AB269" s="446"/>
      <c r="AC269" s="446"/>
      <c r="AD269" s="446"/>
      <c r="AE269" s="446"/>
      <c r="AF269" s="446"/>
      <c r="AG269" s="446"/>
      <c r="AH269" s="446"/>
      <c r="AI269" s="446"/>
      <c r="AJ269" s="446"/>
      <c r="AK269" s="446"/>
      <c r="AL269" s="446"/>
      <c r="AM269" s="446"/>
      <c r="AN269" s="446"/>
      <c r="AO269" s="446"/>
      <c r="AP269" s="446"/>
      <c r="AQ269" s="446"/>
      <c r="AR269" s="446"/>
      <c r="AS269" s="446"/>
      <c r="AT269" s="446"/>
      <c r="AU269" s="446"/>
      <c r="AV269" s="446"/>
      <c r="AW269" s="446"/>
      <c r="AX269" s="446"/>
      <c r="AY269" s="446"/>
      <c r="AZ269" s="446"/>
      <c r="BA269" s="446"/>
      <c r="BB269" s="446"/>
      <c r="BC269" s="446"/>
      <c r="BD269" s="446"/>
      <c r="BE269" s="446"/>
      <c r="BF269" s="446"/>
      <c r="BG269" s="446"/>
      <c r="BH269" s="446"/>
      <c r="BI269" s="446"/>
      <c r="BJ269" s="446"/>
      <c r="BK269" s="446"/>
      <c r="BL269" s="446"/>
      <c r="BM269" s="446"/>
      <c r="BN269" s="446"/>
      <c r="BO269" s="446"/>
      <c r="BP269" s="446"/>
      <c r="BQ269" s="446"/>
      <c r="BR269" s="446"/>
      <c r="BS269" s="446"/>
      <c r="BT269" s="446"/>
      <c r="BU269" s="446"/>
      <c r="BV269" s="446"/>
      <c r="BW269" s="446"/>
      <c r="BX269" s="446"/>
      <c r="BY269" s="446"/>
      <c r="BZ269" s="446"/>
      <c r="CA269" s="446"/>
      <c r="CB269" s="446"/>
      <c r="CC269" s="446"/>
      <c r="CD269" s="446"/>
      <c r="CE269" s="446"/>
      <c r="CF269" s="446"/>
      <c r="CG269" s="446"/>
      <c r="CH269" s="446"/>
      <c r="CI269" s="446"/>
      <c r="CJ269" s="446"/>
      <c r="CK269" s="446"/>
      <c r="CL269" s="446"/>
      <c r="CM269" s="446"/>
      <c r="CN269" s="446"/>
      <c r="CO269" s="446"/>
      <c r="CP269" s="446"/>
      <c r="CQ269" s="446"/>
      <c r="CR269" s="446"/>
      <c r="CS269" s="446"/>
      <c r="CT269" s="446"/>
      <c r="CU269" s="446"/>
      <c r="CV269" s="446"/>
      <c r="CW269" s="446"/>
      <c r="CX269" s="446"/>
      <c r="CY269" s="446"/>
      <c r="CZ269" s="446"/>
      <c r="DA269" s="446"/>
      <c r="DB269" s="446"/>
      <c r="DC269" s="446"/>
      <c r="DD269" s="446"/>
      <c r="DE269" s="446"/>
      <c r="DF269" s="446"/>
      <c r="DG269" s="446"/>
      <c r="DH269" s="446"/>
      <c r="DI269" s="446"/>
      <c r="DJ269" s="446"/>
      <c r="DK269" s="446"/>
      <c r="DL269" s="446"/>
      <c r="DM269" s="446"/>
      <c r="DN269" s="446"/>
      <c r="DO269" s="446"/>
      <c r="DP269" s="446"/>
      <c r="DQ269" s="446"/>
      <c r="DR269" s="446"/>
      <c r="DS269" s="446"/>
      <c r="DT269" s="446"/>
      <c r="DU269" s="446"/>
      <c r="DV269" s="446"/>
      <c r="DW269" s="446"/>
      <c r="DX269" s="446"/>
      <c r="DY269" s="446"/>
      <c r="DZ269" s="446"/>
      <c r="EA269" s="446"/>
      <c r="EB269" s="446"/>
      <c r="EC269" s="446"/>
      <c r="ED269" s="446"/>
      <c r="EE269" s="446"/>
      <c r="EF269" s="446"/>
      <c r="EG269" s="446"/>
      <c r="EH269" s="446"/>
      <c r="EI269" s="446"/>
      <c r="EJ269" s="446"/>
      <c r="EK269" s="446"/>
      <c r="EL269" s="446"/>
      <c r="EM269" s="446"/>
      <c r="EN269" s="446"/>
      <c r="EO269" s="446"/>
      <c r="EP269" s="446"/>
      <c r="EQ269" s="446"/>
      <c r="ER269" s="446"/>
      <c r="ES269" s="446"/>
      <c r="ET269" s="446"/>
      <c r="EU269" s="446"/>
      <c r="EV269" s="446"/>
      <c r="EW269" s="446"/>
      <c r="EX269" s="446"/>
      <c r="EY269" s="446"/>
      <c r="EZ269" s="446"/>
      <c r="FA269" s="446"/>
      <c r="FB269" s="446"/>
      <c r="FC269" s="446"/>
      <c r="FD269" s="446"/>
      <c r="FE269" s="446"/>
      <c r="FF269" s="446"/>
      <c r="FG269" s="446"/>
      <c r="FH269" s="446"/>
      <c r="FI269" s="446"/>
      <c r="FJ269" s="446"/>
      <c r="FK269" s="446"/>
      <c r="FL269" s="446"/>
      <c r="FM269" s="446"/>
      <c r="FN269" s="446"/>
      <c r="FO269" s="446"/>
      <c r="FP269" s="446"/>
      <c r="FQ269" s="446"/>
      <c r="FR269" s="446"/>
      <c r="FS269" s="446"/>
      <c r="FT269" s="446"/>
      <c r="FU269" s="446"/>
      <c r="FV269" s="446"/>
      <c r="FW269" s="446"/>
      <c r="FX269" s="446"/>
      <c r="FY269" s="446"/>
    </row>
    <row r="270" spans="1:181" ht="43.5" customHeight="1" x14ac:dyDescent="0.25">
      <c r="A270" s="446"/>
      <c r="C270" s="328" t="s">
        <v>143</v>
      </c>
      <c r="F270" s="446"/>
      <c r="G270" s="448"/>
      <c r="H270" s="449"/>
      <c r="I270" s="449"/>
      <c r="J270" s="450"/>
      <c r="K270" s="446"/>
      <c r="L270" s="446" t="s">
        <v>143</v>
      </c>
      <c r="M270" s="446"/>
      <c r="N270" s="446"/>
      <c r="O270" s="446"/>
      <c r="P270" s="446"/>
      <c r="Q270" s="446"/>
      <c r="R270" s="446"/>
      <c r="S270" s="446"/>
      <c r="T270" s="446"/>
      <c r="U270" s="446"/>
      <c r="V270" s="446"/>
      <c r="W270" s="446"/>
      <c r="X270" s="446"/>
      <c r="Y270" s="446"/>
      <c r="Z270" s="446"/>
      <c r="AA270" s="446"/>
      <c r="AB270" s="446"/>
      <c r="AC270" s="446"/>
      <c r="AD270" s="446"/>
      <c r="AE270" s="446"/>
      <c r="AF270" s="446"/>
      <c r="AG270" s="446"/>
      <c r="AH270" s="446"/>
      <c r="AI270" s="446"/>
      <c r="AJ270" s="446"/>
      <c r="AK270" s="446"/>
      <c r="AL270" s="446"/>
      <c r="AM270" s="446"/>
      <c r="AN270" s="446"/>
      <c r="AO270" s="446"/>
      <c r="AP270" s="446"/>
      <c r="AQ270" s="446"/>
      <c r="AR270" s="446"/>
      <c r="AS270" s="446"/>
      <c r="AT270" s="446"/>
      <c r="AU270" s="446"/>
      <c r="AV270" s="446"/>
      <c r="AW270" s="446"/>
      <c r="AX270" s="446"/>
      <c r="AY270" s="446"/>
      <c r="AZ270" s="446"/>
      <c r="BA270" s="446"/>
      <c r="BB270" s="446"/>
      <c r="BC270" s="446"/>
      <c r="BD270" s="446"/>
      <c r="BE270" s="446"/>
      <c r="BF270" s="446"/>
      <c r="BG270" s="446"/>
      <c r="BH270" s="446"/>
      <c r="BI270" s="446"/>
      <c r="BJ270" s="446"/>
      <c r="BK270" s="446"/>
      <c r="BL270" s="446"/>
      <c r="BM270" s="446"/>
      <c r="BN270" s="446"/>
      <c r="BO270" s="446"/>
      <c r="BP270" s="446"/>
      <c r="BQ270" s="446"/>
      <c r="BR270" s="446"/>
      <c r="BS270" s="446"/>
      <c r="BT270" s="446"/>
      <c r="BU270" s="446"/>
      <c r="BV270" s="446"/>
      <c r="BW270" s="446"/>
      <c r="BX270" s="446"/>
      <c r="BY270" s="446"/>
      <c r="BZ270" s="446"/>
      <c r="CA270" s="446"/>
      <c r="CB270" s="446"/>
      <c r="CC270" s="446"/>
      <c r="CD270" s="446"/>
      <c r="CE270" s="446"/>
      <c r="CF270" s="446"/>
      <c r="CG270" s="446"/>
      <c r="CH270" s="446"/>
      <c r="CI270" s="446"/>
      <c r="CJ270" s="446"/>
      <c r="CK270" s="446"/>
      <c r="CL270" s="446"/>
      <c r="CM270" s="446"/>
      <c r="CN270" s="446"/>
      <c r="CO270" s="446"/>
      <c r="CP270" s="446"/>
      <c r="CQ270" s="446"/>
      <c r="CR270" s="446"/>
      <c r="CS270" s="446"/>
      <c r="CT270" s="446"/>
      <c r="CU270" s="446"/>
      <c r="CV270" s="446"/>
      <c r="CW270" s="446"/>
      <c r="CX270" s="446"/>
      <c r="CY270" s="446"/>
      <c r="CZ270" s="446"/>
      <c r="DA270" s="446"/>
      <c r="DB270" s="446"/>
      <c r="DC270" s="446"/>
      <c r="DD270" s="446"/>
      <c r="DE270" s="446"/>
      <c r="DF270" s="446"/>
      <c r="DG270" s="446"/>
      <c r="DH270" s="446"/>
      <c r="DI270" s="446"/>
      <c r="DJ270" s="446"/>
      <c r="DK270" s="446"/>
      <c r="DL270" s="446"/>
      <c r="DM270" s="446"/>
      <c r="DN270" s="446"/>
      <c r="DO270" s="446"/>
      <c r="DP270" s="446"/>
      <c r="DQ270" s="446"/>
      <c r="DR270" s="446"/>
      <c r="DS270" s="446"/>
      <c r="DT270" s="446"/>
      <c r="DU270" s="446"/>
      <c r="DV270" s="446"/>
      <c r="DW270" s="446"/>
      <c r="DX270" s="446"/>
      <c r="DY270" s="446"/>
      <c r="DZ270" s="446"/>
      <c r="EA270" s="446"/>
      <c r="EB270" s="446"/>
      <c r="EC270" s="446"/>
      <c r="ED270" s="446"/>
      <c r="EE270" s="446"/>
      <c r="EF270" s="446"/>
      <c r="EG270" s="446"/>
      <c r="EH270" s="446"/>
      <c r="EI270" s="446"/>
      <c r="EJ270" s="446"/>
      <c r="EK270" s="446"/>
      <c r="EL270" s="446"/>
      <c r="EM270" s="446"/>
      <c r="EN270" s="446"/>
      <c r="EO270" s="446"/>
      <c r="EP270" s="446"/>
      <c r="EQ270" s="446"/>
      <c r="ER270" s="446"/>
      <c r="ES270" s="446"/>
      <c r="ET270" s="446"/>
      <c r="EU270" s="446"/>
      <c r="EV270" s="446"/>
      <c r="EW270" s="446"/>
      <c r="EX270" s="446"/>
      <c r="EY270" s="446"/>
      <c r="EZ270" s="446"/>
      <c r="FA270" s="446"/>
      <c r="FB270" s="446"/>
      <c r="FC270" s="446"/>
      <c r="FD270" s="446"/>
      <c r="FE270" s="446"/>
      <c r="FF270" s="446"/>
      <c r="FG270" s="446"/>
      <c r="FH270" s="446"/>
      <c r="FI270" s="446"/>
      <c r="FJ270" s="446"/>
      <c r="FK270" s="446"/>
      <c r="FL270" s="446"/>
      <c r="FM270" s="446"/>
      <c r="FN270" s="446"/>
      <c r="FO270" s="446"/>
      <c r="FP270" s="446"/>
      <c r="FQ270" s="446"/>
      <c r="FR270" s="446"/>
      <c r="FS270" s="446"/>
      <c r="FT270" s="446"/>
      <c r="FU270" s="446"/>
      <c r="FV270" s="446"/>
      <c r="FW270" s="446"/>
      <c r="FX270" s="446"/>
      <c r="FY270" s="446"/>
    </row>
    <row r="271" spans="1:181" ht="43.5" customHeight="1" x14ac:dyDescent="0.25">
      <c r="FW271" s="417" t="s">
        <v>143</v>
      </c>
    </row>
    <row r="274" spans="2:11" ht="43.5" customHeight="1" x14ac:dyDescent="0.25">
      <c r="K274" s="417" t="s">
        <v>143</v>
      </c>
    </row>
    <row r="275" spans="2:11" ht="43.5" customHeight="1" x14ac:dyDescent="0.25">
      <c r="J275" s="419" t="s">
        <v>143</v>
      </c>
    </row>
    <row r="279" spans="2:11" ht="43.5" customHeight="1" x14ac:dyDescent="0.25">
      <c r="B279" s="328" t="s">
        <v>143</v>
      </c>
    </row>
    <row r="290" spans="2:2" ht="43.5" customHeight="1" x14ac:dyDescent="0.25">
      <c r="B290" s="328" t="s">
        <v>143</v>
      </c>
    </row>
  </sheetData>
  <sortState xmlns:xlrd2="http://schemas.microsoft.com/office/spreadsheetml/2017/richdata2" ref="A2:FY258">
    <sortCondition ref="B2:B258"/>
  </sortState>
  <phoneticPr fontId="3" type="noConversion"/>
  <pageMargins left="0.11811023622047245" right="0.11811023622047245" top="0.74803149606299213" bottom="0.74803149606299213" header="0.31496062992125984" footer="0.31496062992125984"/>
  <pageSetup paperSize="9" scale="83" fitToHeight="0" orientation="landscape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573F-44B8-4787-89C0-F78B7004F407}">
  <sheetPr>
    <pageSetUpPr fitToPage="1"/>
  </sheetPr>
  <dimension ref="A1:F33"/>
  <sheetViews>
    <sheetView workbookViewId="0">
      <selection activeCell="C8" sqref="C8"/>
    </sheetView>
  </sheetViews>
  <sheetFormatPr baseColWidth="10" defaultColWidth="17.42578125" defaultRowHeight="15" x14ac:dyDescent="0.25"/>
  <sheetData>
    <row r="1" spans="1:6" ht="30.75" customHeight="1" thickBot="1" x14ac:dyDescent="0.35">
      <c r="A1" s="45" t="s">
        <v>484</v>
      </c>
      <c r="B1" s="505" t="s">
        <v>1334</v>
      </c>
      <c r="C1" s="506"/>
      <c r="D1" s="96" t="s">
        <v>1344</v>
      </c>
      <c r="E1" s="97"/>
      <c r="F1" s="260" t="s">
        <v>1152</v>
      </c>
    </row>
    <row r="2" spans="1:6" ht="19.5" thickBot="1" x14ac:dyDescent="0.35">
      <c r="A2" s="45" t="s">
        <v>486</v>
      </c>
      <c r="B2" s="102">
        <v>3388</v>
      </c>
      <c r="C2" s="261" t="s">
        <v>143</v>
      </c>
      <c r="D2" s="45" t="s">
        <v>487</v>
      </c>
      <c r="E2" s="281">
        <v>45861</v>
      </c>
      <c r="F2" s="262" t="s">
        <v>502</v>
      </c>
    </row>
    <row r="3" spans="1:6" ht="19.5" thickBot="1" x14ac:dyDescent="0.35">
      <c r="A3" s="45" t="s">
        <v>489</v>
      </c>
      <c r="B3" s="106">
        <v>3823</v>
      </c>
      <c r="C3" s="55" t="s">
        <v>143</v>
      </c>
      <c r="D3" s="263" t="s">
        <v>1153</v>
      </c>
      <c r="E3" s="422">
        <v>45938</v>
      </c>
      <c r="F3" s="423" t="s">
        <v>492</v>
      </c>
    </row>
    <row r="4" spans="1:6" ht="19.5" thickBot="1" x14ac:dyDescent="0.35">
      <c r="A4" s="109" t="s">
        <v>493</v>
      </c>
      <c r="B4" s="110" t="s">
        <v>494</v>
      </c>
      <c r="C4" s="111" t="s">
        <v>495</v>
      </c>
      <c r="D4" s="109" t="s">
        <v>493</v>
      </c>
      <c r="E4" s="110" t="s">
        <v>494</v>
      </c>
      <c r="F4" s="111" t="s">
        <v>495</v>
      </c>
    </row>
    <row r="5" spans="1:6" ht="26.25" customHeight="1" x14ac:dyDescent="0.25">
      <c r="A5" s="63" t="s">
        <v>143</v>
      </c>
      <c r="B5" s="115"/>
      <c r="C5" s="65">
        <v>1</v>
      </c>
      <c r="D5" s="63" t="s">
        <v>143</v>
      </c>
      <c r="E5" s="264"/>
      <c r="F5" s="265">
        <v>29</v>
      </c>
    </row>
    <row r="6" spans="1:6" ht="26.25" customHeight="1" x14ac:dyDescent="0.25">
      <c r="A6" s="66" t="s">
        <v>143</v>
      </c>
      <c r="B6" s="67"/>
      <c r="C6" s="68">
        <v>2</v>
      </c>
      <c r="D6" s="66" t="s">
        <v>143</v>
      </c>
      <c r="E6" s="266"/>
      <c r="F6" s="267">
        <v>30</v>
      </c>
    </row>
    <row r="7" spans="1:6" ht="26.25" customHeight="1" x14ac:dyDescent="0.25">
      <c r="A7" s="66" t="s">
        <v>143</v>
      </c>
      <c r="B7" s="71"/>
      <c r="C7" s="68">
        <v>3</v>
      </c>
      <c r="D7" s="66" t="s">
        <v>143</v>
      </c>
      <c r="E7" s="266"/>
      <c r="F7" s="267">
        <v>31</v>
      </c>
    </row>
    <row r="8" spans="1:6" ht="26.25" customHeight="1" x14ac:dyDescent="0.25">
      <c r="A8" s="66" t="s">
        <v>143</v>
      </c>
      <c r="B8" s="71"/>
      <c r="C8" s="68">
        <v>4</v>
      </c>
      <c r="D8" s="66" t="s">
        <v>143</v>
      </c>
      <c r="E8" s="266"/>
      <c r="F8" s="267">
        <v>32</v>
      </c>
    </row>
    <row r="9" spans="1:6" ht="26.25" customHeight="1" x14ac:dyDescent="0.25">
      <c r="A9" s="70" t="s">
        <v>143</v>
      </c>
      <c r="B9" s="71" t="s">
        <v>143</v>
      </c>
      <c r="C9" s="68">
        <v>5</v>
      </c>
      <c r="D9" s="66" t="s">
        <v>143</v>
      </c>
      <c r="E9" s="266"/>
      <c r="F9" s="267">
        <v>33</v>
      </c>
    </row>
    <row r="10" spans="1:6" ht="26.25" customHeight="1" x14ac:dyDescent="0.25">
      <c r="A10" s="66" t="s">
        <v>143</v>
      </c>
      <c r="B10" s="71"/>
      <c r="C10" s="68">
        <v>6</v>
      </c>
      <c r="D10" s="66" t="s">
        <v>143</v>
      </c>
      <c r="E10" s="266"/>
      <c r="F10" s="267">
        <v>34</v>
      </c>
    </row>
    <row r="11" spans="1:6" ht="26.25" customHeight="1" x14ac:dyDescent="0.25">
      <c r="A11" s="66" t="s">
        <v>143</v>
      </c>
      <c r="B11" s="71"/>
      <c r="C11" s="68">
        <v>7</v>
      </c>
      <c r="D11" s="66" t="s">
        <v>143</v>
      </c>
      <c r="E11" s="266"/>
      <c r="F11" s="267">
        <v>35</v>
      </c>
    </row>
    <row r="12" spans="1:6" ht="26.25" customHeight="1" x14ac:dyDescent="0.25">
      <c r="A12" s="66" t="s">
        <v>143</v>
      </c>
      <c r="B12" s="71"/>
      <c r="C12" s="68">
        <v>8</v>
      </c>
      <c r="D12" s="66" t="s">
        <v>143</v>
      </c>
      <c r="E12" s="266"/>
      <c r="F12" s="267">
        <v>36</v>
      </c>
    </row>
    <row r="13" spans="1:6" ht="26.25" customHeight="1" x14ac:dyDescent="0.25">
      <c r="A13" s="66" t="s">
        <v>143</v>
      </c>
      <c r="B13" s="71" t="s">
        <v>143</v>
      </c>
      <c r="C13" s="68">
        <v>9</v>
      </c>
      <c r="D13" s="66"/>
      <c r="E13" s="266"/>
      <c r="F13" s="267">
        <v>37</v>
      </c>
    </row>
    <row r="14" spans="1:6" ht="26.25" customHeight="1" x14ac:dyDescent="0.25">
      <c r="A14" s="66" t="s">
        <v>143</v>
      </c>
      <c r="B14" s="71"/>
      <c r="C14" s="268">
        <v>10</v>
      </c>
      <c r="D14" s="66"/>
      <c r="E14" s="266"/>
      <c r="F14" s="267">
        <v>38</v>
      </c>
    </row>
    <row r="15" spans="1:6" ht="26.25" customHeight="1" x14ac:dyDescent="0.25">
      <c r="A15" s="66" t="s">
        <v>143</v>
      </c>
      <c r="B15" s="71"/>
      <c r="C15" s="68">
        <v>11</v>
      </c>
      <c r="D15" s="66"/>
      <c r="E15" s="266"/>
      <c r="F15" s="267">
        <v>39</v>
      </c>
    </row>
    <row r="16" spans="1:6" ht="26.25" customHeight="1" x14ac:dyDescent="0.25">
      <c r="A16" s="66" t="s">
        <v>143</v>
      </c>
      <c r="B16" s="71"/>
      <c r="C16" s="68">
        <v>12</v>
      </c>
      <c r="D16" s="66"/>
      <c r="E16" s="266"/>
      <c r="F16" s="267">
        <v>40</v>
      </c>
    </row>
    <row r="17" spans="1:6" ht="26.25" customHeight="1" x14ac:dyDescent="0.25">
      <c r="A17" s="66" t="s">
        <v>143</v>
      </c>
      <c r="B17" s="71"/>
      <c r="C17" s="68">
        <v>13</v>
      </c>
      <c r="D17" s="66"/>
      <c r="E17" s="266"/>
      <c r="F17" s="267">
        <v>41</v>
      </c>
    </row>
    <row r="18" spans="1:6" ht="26.25" customHeight="1" x14ac:dyDescent="0.25">
      <c r="A18" s="66" t="s">
        <v>143</v>
      </c>
      <c r="B18" s="71"/>
      <c r="C18" s="68">
        <v>14</v>
      </c>
      <c r="D18" s="66"/>
      <c r="E18" s="266"/>
      <c r="F18" s="267">
        <v>42</v>
      </c>
    </row>
    <row r="19" spans="1:6" ht="26.25" customHeight="1" x14ac:dyDescent="0.25">
      <c r="A19" s="66" t="s">
        <v>143</v>
      </c>
      <c r="B19" s="71"/>
      <c r="C19" s="68">
        <v>15</v>
      </c>
      <c r="D19" s="66"/>
      <c r="E19" s="266"/>
      <c r="F19" s="267">
        <v>43</v>
      </c>
    </row>
    <row r="20" spans="1:6" ht="26.25" customHeight="1" x14ac:dyDescent="0.25">
      <c r="A20" s="66" t="s">
        <v>143</v>
      </c>
      <c r="B20" s="71"/>
      <c r="C20" s="68">
        <v>16</v>
      </c>
      <c r="D20" s="66" t="s">
        <v>143</v>
      </c>
      <c r="E20" s="266"/>
      <c r="F20" s="267">
        <v>44</v>
      </c>
    </row>
    <row r="21" spans="1:6" ht="26.25" customHeight="1" x14ac:dyDescent="0.25">
      <c r="A21" s="66" t="s">
        <v>143</v>
      </c>
      <c r="B21" s="71"/>
      <c r="C21" s="68">
        <v>17</v>
      </c>
      <c r="D21" s="66"/>
      <c r="E21" s="266"/>
      <c r="F21" s="267">
        <v>45</v>
      </c>
    </row>
    <row r="22" spans="1:6" ht="26.25" customHeight="1" x14ac:dyDescent="0.25">
      <c r="A22" s="66" t="s">
        <v>143</v>
      </c>
      <c r="B22" s="71"/>
      <c r="C22" s="68">
        <v>18</v>
      </c>
      <c r="D22" s="66"/>
      <c r="E22" s="266"/>
      <c r="F22" s="267">
        <v>46</v>
      </c>
    </row>
    <row r="23" spans="1:6" ht="26.25" customHeight="1" x14ac:dyDescent="0.25">
      <c r="A23" s="66" t="s">
        <v>143</v>
      </c>
      <c r="B23" s="71"/>
      <c r="C23" s="68">
        <v>19</v>
      </c>
      <c r="D23" s="66"/>
      <c r="E23" s="266"/>
      <c r="F23" s="267">
        <v>47</v>
      </c>
    </row>
    <row r="24" spans="1:6" ht="26.25" customHeight="1" x14ac:dyDescent="0.25">
      <c r="A24" s="66" t="s">
        <v>143</v>
      </c>
      <c r="B24" s="71"/>
      <c r="C24" s="268">
        <v>20</v>
      </c>
      <c r="D24" s="66"/>
      <c r="E24" s="266"/>
      <c r="F24" s="267">
        <v>48</v>
      </c>
    </row>
    <row r="25" spans="1:6" ht="26.25" customHeight="1" x14ac:dyDescent="0.25">
      <c r="A25" s="66" t="s">
        <v>143</v>
      </c>
      <c r="B25" s="71"/>
      <c r="C25" s="68">
        <v>21</v>
      </c>
      <c r="D25" s="66"/>
      <c r="E25" s="266"/>
      <c r="F25" s="267">
        <v>49</v>
      </c>
    </row>
    <row r="26" spans="1:6" ht="26.25" customHeight="1" x14ac:dyDescent="0.25">
      <c r="A26" s="66" t="s">
        <v>143</v>
      </c>
      <c r="B26" s="71"/>
      <c r="C26" s="68">
        <v>22</v>
      </c>
      <c r="D26" s="66"/>
      <c r="E26" s="266"/>
      <c r="F26" s="267">
        <v>50</v>
      </c>
    </row>
    <row r="27" spans="1:6" ht="26.25" customHeight="1" x14ac:dyDescent="0.25">
      <c r="A27" s="66"/>
      <c r="B27" s="71"/>
      <c r="C27" s="68">
        <v>23</v>
      </c>
      <c r="D27" s="66" t="s">
        <v>143</v>
      </c>
      <c r="E27" s="266"/>
      <c r="F27" s="267">
        <v>51</v>
      </c>
    </row>
    <row r="28" spans="1:6" ht="26.25" customHeight="1" x14ac:dyDescent="0.25">
      <c r="A28" s="66"/>
      <c r="B28" s="71"/>
      <c r="C28" s="68">
        <v>24</v>
      </c>
      <c r="D28" s="66" t="s">
        <v>143</v>
      </c>
      <c r="E28" s="266"/>
      <c r="F28" s="267">
        <v>52</v>
      </c>
    </row>
    <row r="29" spans="1:6" ht="26.25" customHeight="1" x14ac:dyDescent="0.25">
      <c r="A29" s="66"/>
      <c r="B29" s="71"/>
      <c r="C29" s="68">
        <v>25</v>
      </c>
      <c r="D29" s="66" t="s">
        <v>143</v>
      </c>
      <c r="E29" s="266"/>
      <c r="F29" s="267">
        <v>53</v>
      </c>
    </row>
    <row r="30" spans="1:6" ht="26.25" customHeight="1" x14ac:dyDescent="0.25">
      <c r="A30" s="66" t="s">
        <v>143</v>
      </c>
      <c r="B30" s="71"/>
      <c r="C30" s="68">
        <v>26</v>
      </c>
      <c r="D30" s="66" t="s">
        <v>143</v>
      </c>
      <c r="E30" s="266"/>
      <c r="F30" s="267">
        <v>54</v>
      </c>
    </row>
    <row r="31" spans="1:6" ht="26.25" customHeight="1" x14ac:dyDescent="0.25">
      <c r="A31" s="66" t="s">
        <v>143</v>
      </c>
      <c r="B31" s="71"/>
      <c r="C31" s="68">
        <v>27</v>
      </c>
      <c r="D31" s="66" t="s">
        <v>143</v>
      </c>
      <c r="E31" s="266"/>
      <c r="F31" s="267">
        <v>55</v>
      </c>
    </row>
    <row r="32" spans="1:6" ht="26.25" customHeight="1" thickBot="1" x14ac:dyDescent="0.3">
      <c r="A32" s="90" t="s">
        <v>143</v>
      </c>
      <c r="B32" s="91"/>
      <c r="C32" s="93">
        <v>28</v>
      </c>
      <c r="D32" s="269" t="s">
        <v>143</v>
      </c>
      <c r="E32" s="270"/>
      <c r="F32" s="271">
        <v>56</v>
      </c>
    </row>
    <row r="33" spans="5:6" ht="19.5" thickBot="1" x14ac:dyDescent="0.35">
      <c r="E33" s="263" t="s">
        <v>1154</v>
      </c>
      <c r="F33" s="424" t="s">
        <v>492</v>
      </c>
    </row>
  </sheetData>
  <mergeCells count="1">
    <mergeCell ref="B1:C1"/>
  </mergeCells>
  <pageMargins left="0.31496062992125984" right="0.11811023622047245" top="0.35433070866141736" bottom="0.35433070866141736" header="0.31496062992125984" footer="0.31496062992125984"/>
  <pageSetup paperSize="9" scale="96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75A27-E13D-4E88-81C9-A689E7E137A0}">
  <dimension ref="A1:F41"/>
  <sheetViews>
    <sheetView workbookViewId="0">
      <selection activeCell="B11" sqref="B11"/>
    </sheetView>
  </sheetViews>
  <sheetFormatPr baseColWidth="10" defaultColWidth="17" defaultRowHeight="21" customHeight="1" x14ac:dyDescent="0.25"/>
  <cols>
    <col min="1" max="16384" width="17" style="49"/>
  </cols>
  <sheetData>
    <row r="1" spans="1:6" ht="21" customHeight="1" thickBot="1" x14ac:dyDescent="0.3">
      <c r="A1" s="45"/>
      <c r="B1" s="507" t="s">
        <v>278</v>
      </c>
      <c r="C1" s="508"/>
      <c r="D1" s="46" t="s">
        <v>1407</v>
      </c>
      <c r="E1" s="47" t="s">
        <v>143</v>
      </c>
      <c r="F1" s="48" t="s">
        <v>485</v>
      </c>
    </row>
    <row r="2" spans="1:6" ht="20.25" customHeight="1" thickBot="1" x14ac:dyDescent="0.35">
      <c r="A2" s="45" t="s">
        <v>486</v>
      </c>
      <c r="B2" s="50">
        <v>3488</v>
      </c>
      <c r="C2" s="51" t="s">
        <v>143</v>
      </c>
      <c r="D2" s="45" t="s">
        <v>487</v>
      </c>
      <c r="E2" s="52">
        <v>45973</v>
      </c>
      <c r="F2" s="53" t="s">
        <v>488</v>
      </c>
    </row>
    <row r="3" spans="1:6" ht="17.25" customHeight="1" thickBot="1" x14ac:dyDescent="0.35">
      <c r="A3" s="45" t="s">
        <v>489</v>
      </c>
      <c r="B3" s="54" t="s">
        <v>490</v>
      </c>
      <c r="C3" s="55" t="s">
        <v>143</v>
      </c>
      <c r="D3" s="45" t="s">
        <v>491</v>
      </c>
      <c r="E3" s="52">
        <v>46073</v>
      </c>
      <c r="F3" s="56" t="s">
        <v>492</v>
      </c>
    </row>
    <row r="4" spans="1:6" ht="21" customHeight="1" thickBot="1" x14ac:dyDescent="0.35">
      <c r="A4" s="57" t="s">
        <v>493</v>
      </c>
      <c r="B4" s="58" t="s">
        <v>494</v>
      </c>
      <c r="C4" s="59" t="s">
        <v>495</v>
      </c>
      <c r="D4" s="57" t="s">
        <v>493</v>
      </c>
      <c r="E4" s="58" t="s">
        <v>494</v>
      </c>
      <c r="F4" s="59" t="s">
        <v>495</v>
      </c>
    </row>
    <row r="5" spans="1:6" ht="21" customHeight="1" x14ac:dyDescent="0.25">
      <c r="A5" s="60" t="s">
        <v>143</v>
      </c>
      <c r="B5" s="61"/>
      <c r="C5" s="62">
        <v>1</v>
      </c>
      <c r="D5" s="63" t="s">
        <v>143</v>
      </c>
      <c r="E5" s="64"/>
      <c r="F5" s="65">
        <v>37</v>
      </c>
    </row>
    <row r="6" spans="1:6" ht="21" customHeight="1" x14ac:dyDescent="0.25">
      <c r="A6" s="66" t="s">
        <v>143</v>
      </c>
      <c r="B6" s="67"/>
      <c r="C6" s="68">
        <v>2</v>
      </c>
      <c r="D6" s="66" t="s">
        <v>143</v>
      </c>
      <c r="E6" s="69"/>
      <c r="F6" s="68">
        <v>38</v>
      </c>
    </row>
    <row r="7" spans="1:6" ht="21" customHeight="1" x14ac:dyDescent="0.25">
      <c r="A7" s="70" t="s">
        <v>143</v>
      </c>
      <c r="B7" s="71" t="s">
        <v>143</v>
      </c>
      <c r="C7" s="72">
        <v>3</v>
      </c>
      <c r="D7" s="66" t="s">
        <v>143</v>
      </c>
      <c r="E7" s="69"/>
      <c r="F7" s="68">
        <v>39</v>
      </c>
    </row>
    <row r="8" spans="1:6" ht="21" customHeight="1" x14ac:dyDescent="0.25">
      <c r="A8" s="66" t="s">
        <v>143</v>
      </c>
      <c r="B8" s="71"/>
      <c r="C8" s="68">
        <v>4</v>
      </c>
      <c r="D8" s="66"/>
      <c r="E8" s="69" t="s">
        <v>143</v>
      </c>
      <c r="F8" s="68">
        <v>40</v>
      </c>
    </row>
    <row r="9" spans="1:6" ht="21" customHeight="1" x14ac:dyDescent="0.3">
      <c r="A9" s="73" t="s">
        <v>143</v>
      </c>
      <c r="B9" s="391" t="s">
        <v>143</v>
      </c>
      <c r="C9" s="68">
        <v>5</v>
      </c>
      <c r="D9" s="66" t="s">
        <v>143</v>
      </c>
      <c r="E9" s="69"/>
      <c r="F9" s="68">
        <v>41</v>
      </c>
    </row>
    <row r="10" spans="1:6" ht="21" customHeight="1" x14ac:dyDescent="0.25">
      <c r="A10" s="66" t="s">
        <v>143</v>
      </c>
      <c r="B10" s="71" t="s">
        <v>143</v>
      </c>
      <c r="C10" s="68">
        <v>6</v>
      </c>
      <c r="D10" s="66" t="s">
        <v>143</v>
      </c>
      <c r="E10" s="69" t="s">
        <v>143</v>
      </c>
      <c r="F10" s="68">
        <v>42</v>
      </c>
    </row>
    <row r="11" spans="1:6" ht="21" customHeight="1" x14ac:dyDescent="0.25">
      <c r="A11" s="66" t="s">
        <v>143</v>
      </c>
      <c r="B11" s="71" t="s">
        <v>143</v>
      </c>
      <c r="C11" s="68">
        <v>7</v>
      </c>
      <c r="D11" s="66" t="s">
        <v>143</v>
      </c>
      <c r="E11" s="69"/>
      <c r="F11" s="68">
        <v>43</v>
      </c>
    </row>
    <row r="12" spans="1:6" ht="21" customHeight="1" x14ac:dyDescent="0.25">
      <c r="A12" s="66" t="s">
        <v>143</v>
      </c>
      <c r="B12" s="71"/>
      <c r="C12" s="68">
        <v>8</v>
      </c>
      <c r="D12" s="66"/>
      <c r="E12" s="71"/>
      <c r="F12" s="68">
        <v>44</v>
      </c>
    </row>
    <row r="13" spans="1:6" ht="21" customHeight="1" x14ac:dyDescent="0.25">
      <c r="A13" s="66" t="s">
        <v>143</v>
      </c>
      <c r="B13" s="71" t="s">
        <v>143</v>
      </c>
      <c r="C13" s="68">
        <v>9</v>
      </c>
      <c r="D13" s="74" t="s">
        <v>143</v>
      </c>
      <c r="E13" s="71" t="s">
        <v>143</v>
      </c>
      <c r="F13" s="68">
        <v>45</v>
      </c>
    </row>
    <row r="14" spans="1:6" ht="21" customHeight="1" x14ac:dyDescent="0.35">
      <c r="A14" s="73" t="s">
        <v>143</v>
      </c>
      <c r="B14" s="75" t="s">
        <v>143</v>
      </c>
      <c r="C14" s="68">
        <v>10</v>
      </c>
      <c r="D14" s="66"/>
      <c r="E14" s="71"/>
      <c r="F14" s="68">
        <v>46</v>
      </c>
    </row>
    <row r="15" spans="1:6" ht="21" customHeight="1" x14ac:dyDescent="0.25">
      <c r="A15" s="66" t="s">
        <v>143</v>
      </c>
      <c r="B15" s="71"/>
      <c r="C15" s="68">
        <v>11</v>
      </c>
      <c r="D15" s="66" t="s">
        <v>143</v>
      </c>
      <c r="E15" s="71"/>
      <c r="F15" s="68">
        <v>47</v>
      </c>
    </row>
    <row r="16" spans="1:6" ht="21" customHeight="1" x14ac:dyDescent="0.25">
      <c r="A16" s="66" t="s">
        <v>143</v>
      </c>
      <c r="B16" s="71" t="s">
        <v>143</v>
      </c>
      <c r="C16" s="68">
        <v>12</v>
      </c>
      <c r="D16" s="66" t="s">
        <v>143</v>
      </c>
      <c r="E16" s="71"/>
      <c r="F16" s="68">
        <v>48</v>
      </c>
    </row>
    <row r="17" spans="1:6" ht="21" customHeight="1" x14ac:dyDescent="0.25">
      <c r="A17" s="66" t="s">
        <v>143</v>
      </c>
      <c r="B17" s="76" t="s">
        <v>143</v>
      </c>
      <c r="C17" s="68">
        <v>13</v>
      </c>
      <c r="D17" s="77" t="s">
        <v>143</v>
      </c>
      <c r="E17" s="78" t="s">
        <v>143</v>
      </c>
      <c r="F17" s="68">
        <v>49</v>
      </c>
    </row>
    <row r="18" spans="1:6" ht="21" customHeight="1" x14ac:dyDescent="0.3">
      <c r="A18" s="79" t="s">
        <v>143</v>
      </c>
      <c r="B18" s="80" t="s">
        <v>143</v>
      </c>
      <c r="C18" s="68">
        <v>14</v>
      </c>
      <c r="D18" s="66" t="s">
        <v>143</v>
      </c>
      <c r="E18" s="71"/>
      <c r="F18" s="68">
        <v>50</v>
      </c>
    </row>
    <row r="19" spans="1:6" ht="21" customHeight="1" x14ac:dyDescent="0.25">
      <c r="A19" s="77" t="s">
        <v>143</v>
      </c>
      <c r="B19" s="71" t="s">
        <v>143</v>
      </c>
      <c r="C19" s="68">
        <v>15</v>
      </c>
      <c r="D19" s="66" t="s">
        <v>143</v>
      </c>
      <c r="E19" s="69"/>
      <c r="F19" s="68">
        <v>51</v>
      </c>
    </row>
    <row r="20" spans="1:6" ht="21" customHeight="1" x14ac:dyDescent="0.25">
      <c r="A20" s="66" t="s">
        <v>143</v>
      </c>
      <c r="B20" s="71"/>
      <c r="C20" s="68">
        <v>16</v>
      </c>
      <c r="D20" s="66" t="s">
        <v>143</v>
      </c>
      <c r="E20" s="69"/>
      <c r="F20" s="68">
        <v>52</v>
      </c>
    </row>
    <row r="21" spans="1:6" ht="21" customHeight="1" x14ac:dyDescent="0.3">
      <c r="A21" s="66" t="s">
        <v>143</v>
      </c>
      <c r="B21" s="71"/>
      <c r="C21" s="68">
        <v>17</v>
      </c>
      <c r="D21" s="66" t="s">
        <v>143</v>
      </c>
      <c r="E21" s="81" t="s">
        <v>143</v>
      </c>
      <c r="F21" s="68">
        <v>53</v>
      </c>
    </row>
    <row r="22" spans="1:6" ht="21" customHeight="1" x14ac:dyDescent="0.25">
      <c r="A22" s="66" t="s">
        <v>143</v>
      </c>
      <c r="B22" s="71"/>
      <c r="C22" s="68">
        <v>18</v>
      </c>
      <c r="D22" s="66" t="s">
        <v>143</v>
      </c>
      <c r="E22" s="69"/>
      <c r="F22" s="68">
        <v>54</v>
      </c>
    </row>
    <row r="23" spans="1:6" ht="21" customHeight="1" x14ac:dyDescent="0.25">
      <c r="A23" s="66" t="s">
        <v>143</v>
      </c>
      <c r="B23" s="71"/>
      <c r="C23" s="68">
        <v>19</v>
      </c>
      <c r="D23" s="66" t="s">
        <v>143</v>
      </c>
      <c r="E23" s="69"/>
      <c r="F23" s="68">
        <v>55</v>
      </c>
    </row>
    <row r="24" spans="1:6" ht="21" customHeight="1" x14ac:dyDescent="0.25">
      <c r="A24" s="82" t="s">
        <v>143</v>
      </c>
      <c r="B24" s="71" t="s">
        <v>143</v>
      </c>
      <c r="C24" s="68">
        <v>20</v>
      </c>
      <c r="D24" s="66" t="s">
        <v>143</v>
      </c>
      <c r="E24" s="69"/>
      <c r="F24" s="68">
        <v>56</v>
      </c>
    </row>
    <row r="25" spans="1:6" ht="21" customHeight="1" x14ac:dyDescent="0.3">
      <c r="A25" s="66" t="s">
        <v>143</v>
      </c>
      <c r="B25" s="83" t="s">
        <v>143</v>
      </c>
      <c r="C25" s="68">
        <v>21</v>
      </c>
      <c r="D25" s="66" t="s">
        <v>143</v>
      </c>
      <c r="E25" s="69"/>
      <c r="F25" s="68">
        <v>57</v>
      </c>
    </row>
    <row r="26" spans="1:6" ht="21" customHeight="1" x14ac:dyDescent="0.25">
      <c r="A26" s="66" t="s">
        <v>143</v>
      </c>
      <c r="B26" s="71"/>
      <c r="C26" s="68">
        <v>22</v>
      </c>
      <c r="D26" s="66"/>
      <c r="E26" s="71"/>
      <c r="F26" s="68">
        <v>58</v>
      </c>
    </row>
    <row r="27" spans="1:6" ht="21" customHeight="1" x14ac:dyDescent="0.25">
      <c r="A27" s="66" t="s">
        <v>143</v>
      </c>
      <c r="B27" s="71"/>
      <c r="C27" s="68">
        <v>23</v>
      </c>
      <c r="D27" s="66" t="s">
        <v>143</v>
      </c>
      <c r="E27" s="71"/>
      <c r="F27" s="68">
        <v>59</v>
      </c>
    </row>
    <row r="28" spans="1:6" ht="21" customHeight="1" x14ac:dyDescent="0.25">
      <c r="A28" s="66" t="s">
        <v>143</v>
      </c>
      <c r="B28" s="71"/>
      <c r="C28" s="68">
        <v>24</v>
      </c>
      <c r="D28" s="66"/>
      <c r="E28" s="71"/>
      <c r="F28" s="68">
        <v>60</v>
      </c>
    </row>
    <row r="29" spans="1:6" ht="21" customHeight="1" x14ac:dyDescent="0.25">
      <c r="A29" s="66" t="s">
        <v>143</v>
      </c>
      <c r="B29" s="71"/>
      <c r="C29" s="68">
        <v>25</v>
      </c>
      <c r="D29" s="66" t="s">
        <v>143</v>
      </c>
      <c r="E29" s="71"/>
      <c r="F29" s="68">
        <v>61</v>
      </c>
    </row>
    <row r="30" spans="1:6" ht="21" customHeight="1" x14ac:dyDescent="0.25">
      <c r="A30" s="66" t="s">
        <v>143</v>
      </c>
      <c r="B30" s="71"/>
      <c r="C30" s="68">
        <v>26</v>
      </c>
      <c r="D30" s="66" t="s">
        <v>143</v>
      </c>
      <c r="E30" s="71"/>
      <c r="F30" s="68">
        <v>62</v>
      </c>
    </row>
    <row r="31" spans="1:6" ht="21" customHeight="1" x14ac:dyDescent="0.25">
      <c r="A31" s="66" t="s">
        <v>143</v>
      </c>
      <c r="B31" s="71" t="s">
        <v>143</v>
      </c>
      <c r="C31" s="68">
        <v>27</v>
      </c>
      <c r="D31" s="84"/>
      <c r="E31" s="71"/>
      <c r="F31" s="68">
        <v>63</v>
      </c>
    </row>
    <row r="32" spans="1:6" ht="21" customHeight="1" x14ac:dyDescent="0.25">
      <c r="A32" s="66" t="s">
        <v>143</v>
      </c>
      <c r="B32" s="71"/>
      <c r="C32" s="68">
        <v>28</v>
      </c>
      <c r="D32" s="84"/>
      <c r="E32" s="71"/>
      <c r="F32" s="68">
        <v>64</v>
      </c>
    </row>
    <row r="33" spans="1:6" ht="21" customHeight="1" x14ac:dyDescent="0.25">
      <c r="A33" s="66" t="s">
        <v>143</v>
      </c>
      <c r="B33" s="71"/>
      <c r="C33" s="68">
        <v>29</v>
      </c>
      <c r="D33" s="84"/>
      <c r="E33" s="71"/>
      <c r="F33" s="68">
        <v>65</v>
      </c>
    </row>
    <row r="34" spans="1:6" ht="21" customHeight="1" x14ac:dyDescent="0.25">
      <c r="A34" s="77" t="s">
        <v>143</v>
      </c>
      <c r="B34" s="71" t="s">
        <v>143</v>
      </c>
      <c r="C34" s="68">
        <v>30</v>
      </c>
      <c r="D34" s="84"/>
      <c r="E34" s="71"/>
      <c r="F34" s="68">
        <v>66</v>
      </c>
    </row>
    <row r="35" spans="1:6" ht="21" customHeight="1" x14ac:dyDescent="0.25">
      <c r="A35" s="66" t="s">
        <v>143</v>
      </c>
      <c r="B35" s="71"/>
      <c r="C35" s="68">
        <v>31</v>
      </c>
      <c r="D35" s="84"/>
      <c r="E35" s="71"/>
      <c r="F35" s="68">
        <v>67</v>
      </c>
    </row>
    <row r="36" spans="1:6" ht="21" customHeight="1" x14ac:dyDescent="0.25">
      <c r="A36" s="66" t="s">
        <v>143</v>
      </c>
      <c r="B36" s="71"/>
      <c r="C36" s="68">
        <v>32</v>
      </c>
      <c r="D36" s="84"/>
      <c r="E36" s="71"/>
      <c r="F36" s="68">
        <v>68</v>
      </c>
    </row>
    <row r="37" spans="1:6" ht="21" customHeight="1" x14ac:dyDescent="0.25">
      <c r="A37" s="77" t="s">
        <v>143</v>
      </c>
      <c r="B37" s="85" t="s">
        <v>143</v>
      </c>
      <c r="C37" s="68">
        <v>33</v>
      </c>
      <c r="D37" s="84"/>
      <c r="E37" s="71"/>
      <c r="F37" s="68">
        <v>69</v>
      </c>
    </row>
    <row r="38" spans="1:6" ht="21" customHeight="1" x14ac:dyDescent="0.25">
      <c r="A38" s="66" t="s">
        <v>143</v>
      </c>
      <c r="B38" s="71"/>
      <c r="C38" s="68">
        <v>34</v>
      </c>
      <c r="D38" s="86"/>
      <c r="E38" s="87"/>
      <c r="F38" s="88">
        <v>70</v>
      </c>
    </row>
    <row r="39" spans="1:6" ht="21" customHeight="1" x14ac:dyDescent="0.25">
      <c r="A39" s="66" t="s">
        <v>143</v>
      </c>
      <c r="B39" s="71"/>
      <c r="C39" s="89">
        <v>35</v>
      </c>
      <c r="D39" s="84"/>
      <c r="E39" s="71"/>
      <c r="F39" s="68">
        <v>71</v>
      </c>
    </row>
    <row r="40" spans="1:6" ht="21" customHeight="1" thickBot="1" x14ac:dyDescent="0.3">
      <c r="A40" s="90" t="s">
        <v>143</v>
      </c>
      <c r="B40" s="91"/>
      <c r="C40" s="92">
        <v>36</v>
      </c>
      <c r="D40" s="454" t="s">
        <v>143</v>
      </c>
      <c r="E40" s="91" t="s">
        <v>143</v>
      </c>
      <c r="F40" s="93">
        <v>72</v>
      </c>
    </row>
    <row r="41" spans="1:6" ht="21" customHeight="1" x14ac:dyDescent="0.3">
      <c r="A41" s="94"/>
      <c r="B41" s="94"/>
      <c r="C41" s="94"/>
      <c r="D41" s="94" t="s">
        <v>143</v>
      </c>
      <c r="E41" s="46" t="s">
        <v>496</v>
      </c>
      <c r="F41" s="95" t="s">
        <v>492</v>
      </c>
    </row>
  </sheetData>
  <mergeCells count="1">
    <mergeCell ref="B1:C1"/>
  </mergeCells>
  <pageMargins left="0.11811023622047245" right="0.11811023622047245" top="0.15748031496062992" bottom="0.15748031496062992" header="0.31496062992125984" footer="0.31496062992125984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1452D-4E46-4E76-BCD2-AC375C859C2D}">
  <dimension ref="A1:I46"/>
  <sheetViews>
    <sheetView workbookViewId="0">
      <selection activeCell="E11" sqref="E11"/>
    </sheetView>
  </sheetViews>
  <sheetFormatPr baseColWidth="10" defaultColWidth="11" defaultRowHeight="15" x14ac:dyDescent="0.25"/>
  <cols>
    <col min="1" max="2" width="11" style="100"/>
    <col min="3" max="3" width="10.7109375" style="100" customWidth="1"/>
    <col min="4" max="4" width="11" style="100"/>
    <col min="5" max="5" width="13" style="100" bestFit="1" customWidth="1"/>
    <col min="6" max="16384" width="11" style="100"/>
  </cols>
  <sheetData>
    <row r="1" spans="1:9" ht="18" customHeight="1" thickBot="1" x14ac:dyDescent="0.35">
      <c r="A1" s="45" t="s">
        <v>484</v>
      </c>
      <c r="B1" s="509" t="s">
        <v>1412</v>
      </c>
      <c r="C1" s="510"/>
      <c r="D1" s="434" t="s">
        <v>1388</v>
      </c>
      <c r="E1" s="45"/>
      <c r="F1" s="98" t="s">
        <v>143</v>
      </c>
      <c r="G1" s="99" t="s">
        <v>143</v>
      </c>
      <c r="I1" s="101" t="s">
        <v>497</v>
      </c>
    </row>
    <row r="2" spans="1:9" ht="18" customHeight="1" thickBot="1" x14ac:dyDescent="0.35">
      <c r="A2" s="45" t="s">
        <v>486</v>
      </c>
      <c r="B2" s="50">
        <v>3480</v>
      </c>
      <c r="C2" s="103" t="s">
        <v>143</v>
      </c>
      <c r="D2" s="45" t="s">
        <v>487</v>
      </c>
      <c r="E2" s="104">
        <v>45969</v>
      </c>
      <c r="G2" s="103" t="s">
        <v>143</v>
      </c>
      <c r="I2" s="105"/>
    </row>
    <row r="3" spans="1:9" ht="18" customHeight="1" thickBot="1" x14ac:dyDescent="0.35">
      <c r="A3" s="45" t="s">
        <v>489</v>
      </c>
      <c r="B3" s="54" t="s">
        <v>498</v>
      </c>
      <c r="C3" s="55" t="s">
        <v>143</v>
      </c>
      <c r="D3" s="107" t="s">
        <v>499</v>
      </c>
      <c r="E3" s="104">
        <v>46122</v>
      </c>
      <c r="G3" s="108" t="s">
        <v>500</v>
      </c>
      <c r="H3" s="511" t="s">
        <v>492</v>
      </c>
      <c r="I3" s="512"/>
    </row>
    <row r="4" spans="1:9" ht="18" customHeight="1" thickBot="1" x14ac:dyDescent="0.35">
      <c r="A4" s="112" t="s">
        <v>493</v>
      </c>
      <c r="B4" s="113" t="s">
        <v>494</v>
      </c>
      <c r="C4" s="114" t="s">
        <v>495</v>
      </c>
      <c r="D4" s="109" t="s">
        <v>493</v>
      </c>
      <c r="E4" s="110" t="s">
        <v>494</v>
      </c>
      <c r="F4" s="111" t="s">
        <v>495</v>
      </c>
      <c r="G4" s="112" t="s">
        <v>493</v>
      </c>
      <c r="H4" s="113" t="s">
        <v>494</v>
      </c>
      <c r="I4" s="114" t="s">
        <v>495</v>
      </c>
    </row>
    <row r="5" spans="1:9" ht="18" customHeight="1" x14ac:dyDescent="0.3">
      <c r="A5" s="440" t="s">
        <v>143</v>
      </c>
      <c r="B5" s="71"/>
      <c r="C5" s="441">
        <v>1</v>
      </c>
      <c r="D5" s="436" t="s">
        <v>143</v>
      </c>
      <c r="E5" s="64"/>
      <c r="F5" s="65">
        <v>43</v>
      </c>
      <c r="G5" s="116" t="s">
        <v>143</v>
      </c>
      <c r="H5" s="117" t="s">
        <v>143</v>
      </c>
      <c r="I5" s="65">
        <v>85</v>
      </c>
    </row>
    <row r="6" spans="1:9" ht="18" customHeight="1" x14ac:dyDescent="0.3">
      <c r="A6" s="440"/>
      <c r="B6" s="71"/>
      <c r="C6" s="441">
        <v>2</v>
      </c>
      <c r="D6" s="437"/>
      <c r="E6" s="69"/>
      <c r="F6" s="68">
        <v>44</v>
      </c>
      <c r="G6" s="118"/>
      <c r="H6" s="119"/>
      <c r="I6" s="68">
        <v>86</v>
      </c>
    </row>
    <row r="7" spans="1:9" ht="18" customHeight="1" x14ac:dyDescent="0.3">
      <c r="A7" s="440"/>
      <c r="B7" s="71"/>
      <c r="C7" s="441">
        <v>3</v>
      </c>
      <c r="D7" s="437"/>
      <c r="E7" s="76" t="s">
        <v>143</v>
      </c>
      <c r="F7" s="68">
        <v>45</v>
      </c>
      <c r="G7" s="118"/>
      <c r="H7" s="119"/>
      <c r="I7" s="68">
        <v>87</v>
      </c>
    </row>
    <row r="8" spans="1:9" ht="18" customHeight="1" x14ac:dyDescent="0.3">
      <c r="A8" s="440"/>
      <c r="B8" s="71"/>
      <c r="C8" s="441">
        <v>4</v>
      </c>
      <c r="D8" s="437"/>
      <c r="E8" s="69"/>
      <c r="F8" s="68">
        <v>46</v>
      </c>
      <c r="G8" s="118"/>
      <c r="H8" s="119"/>
      <c r="I8" s="68">
        <v>88</v>
      </c>
    </row>
    <row r="9" spans="1:9" ht="18" customHeight="1" x14ac:dyDescent="0.3">
      <c r="A9" s="440" t="s">
        <v>143</v>
      </c>
      <c r="B9" s="81" t="s">
        <v>143</v>
      </c>
      <c r="C9" s="441">
        <v>5</v>
      </c>
      <c r="D9" s="437" t="s">
        <v>143</v>
      </c>
      <c r="E9" s="69"/>
      <c r="F9" s="68">
        <v>47</v>
      </c>
      <c r="G9" s="118"/>
      <c r="H9" s="119"/>
      <c r="I9" s="68">
        <v>89</v>
      </c>
    </row>
    <row r="10" spans="1:9" ht="18" customHeight="1" x14ac:dyDescent="0.3">
      <c r="A10" s="440" t="s">
        <v>143</v>
      </c>
      <c r="B10" s="71"/>
      <c r="C10" s="441">
        <v>6</v>
      </c>
      <c r="D10" s="437" t="s">
        <v>143</v>
      </c>
      <c r="E10" s="69"/>
      <c r="F10" s="68">
        <v>48</v>
      </c>
      <c r="G10" s="118"/>
      <c r="H10" s="119"/>
      <c r="I10" s="68">
        <v>90</v>
      </c>
    </row>
    <row r="11" spans="1:9" ht="18" customHeight="1" x14ac:dyDescent="0.3">
      <c r="A11" s="440" t="s">
        <v>143</v>
      </c>
      <c r="B11" s="71"/>
      <c r="C11" s="441">
        <v>7</v>
      </c>
      <c r="D11" s="437" t="s">
        <v>143</v>
      </c>
      <c r="E11" s="69"/>
      <c r="F11" s="68">
        <v>49</v>
      </c>
      <c r="G11" s="118"/>
      <c r="H11" s="119"/>
      <c r="I11" s="68">
        <v>91</v>
      </c>
    </row>
    <row r="12" spans="1:9" ht="18" customHeight="1" x14ac:dyDescent="0.3">
      <c r="A12" s="440" t="s">
        <v>143</v>
      </c>
      <c r="B12" s="71" t="s">
        <v>143</v>
      </c>
      <c r="C12" s="441">
        <v>8</v>
      </c>
      <c r="D12" s="437" t="s">
        <v>143</v>
      </c>
      <c r="E12" s="69"/>
      <c r="F12" s="68">
        <v>50</v>
      </c>
      <c r="G12" s="118"/>
      <c r="H12" s="119"/>
      <c r="I12" s="68">
        <v>92</v>
      </c>
    </row>
    <row r="13" spans="1:9" ht="18" customHeight="1" x14ac:dyDescent="0.3">
      <c r="A13" s="440" t="s">
        <v>143</v>
      </c>
      <c r="B13" s="71"/>
      <c r="C13" s="441">
        <v>9</v>
      </c>
      <c r="D13" s="437" t="s">
        <v>143</v>
      </c>
      <c r="E13" s="69"/>
      <c r="F13" s="68">
        <v>51</v>
      </c>
      <c r="G13" s="118"/>
      <c r="H13" s="119"/>
      <c r="I13" s="68">
        <v>93</v>
      </c>
    </row>
    <row r="14" spans="1:9" ht="18" customHeight="1" x14ac:dyDescent="0.3">
      <c r="A14" s="440" t="s">
        <v>143</v>
      </c>
      <c r="B14" s="78" t="s">
        <v>143</v>
      </c>
      <c r="C14" s="441">
        <v>10</v>
      </c>
      <c r="D14" s="437" t="s">
        <v>143</v>
      </c>
      <c r="E14" s="120"/>
      <c r="F14" s="68">
        <v>52</v>
      </c>
      <c r="G14" s="118"/>
      <c r="H14" s="119"/>
      <c r="I14" s="68">
        <v>94</v>
      </c>
    </row>
    <row r="15" spans="1:9" ht="18" customHeight="1" x14ac:dyDescent="0.3">
      <c r="A15" s="440" t="s">
        <v>143</v>
      </c>
      <c r="B15" s="71"/>
      <c r="C15" s="441">
        <v>11</v>
      </c>
      <c r="D15" s="437"/>
      <c r="E15" s="71"/>
      <c r="F15" s="68">
        <v>53</v>
      </c>
      <c r="G15" s="118"/>
      <c r="H15" s="119"/>
      <c r="I15" s="68">
        <v>95</v>
      </c>
    </row>
    <row r="16" spans="1:9" ht="18" customHeight="1" x14ac:dyDescent="0.3">
      <c r="A16" s="442" t="s">
        <v>143</v>
      </c>
      <c r="B16" s="71" t="s">
        <v>143</v>
      </c>
      <c r="C16" s="441">
        <v>12</v>
      </c>
      <c r="D16" s="437" t="s">
        <v>143</v>
      </c>
      <c r="E16" s="69"/>
      <c r="F16" s="68">
        <v>54</v>
      </c>
      <c r="G16" s="118"/>
      <c r="H16" s="119"/>
      <c r="I16" s="68">
        <v>96</v>
      </c>
    </row>
    <row r="17" spans="1:9" ht="18" customHeight="1" x14ac:dyDescent="0.3">
      <c r="A17" s="440" t="s">
        <v>143</v>
      </c>
      <c r="B17" s="71"/>
      <c r="C17" s="441">
        <v>13</v>
      </c>
      <c r="D17" s="438" t="s">
        <v>143</v>
      </c>
      <c r="E17" s="121" t="s">
        <v>143</v>
      </c>
      <c r="F17" s="68">
        <v>55</v>
      </c>
      <c r="G17" s="118"/>
      <c r="H17" s="119"/>
      <c r="I17" s="68">
        <v>97</v>
      </c>
    </row>
    <row r="18" spans="1:9" ht="18" customHeight="1" x14ac:dyDescent="0.3">
      <c r="A18" s="440" t="s">
        <v>143</v>
      </c>
      <c r="B18" s="71"/>
      <c r="C18" s="441">
        <v>14</v>
      </c>
      <c r="D18" s="437" t="s">
        <v>143</v>
      </c>
      <c r="E18" s="69"/>
      <c r="F18" s="68">
        <v>56</v>
      </c>
      <c r="G18" s="118"/>
      <c r="H18" s="119"/>
      <c r="I18" s="68">
        <v>98</v>
      </c>
    </row>
    <row r="19" spans="1:9" ht="18" customHeight="1" x14ac:dyDescent="0.3">
      <c r="A19" s="440" t="s">
        <v>143</v>
      </c>
      <c r="B19" s="71"/>
      <c r="C19" s="441">
        <v>15</v>
      </c>
      <c r="D19" s="437" t="s">
        <v>143</v>
      </c>
      <c r="E19" s="69"/>
      <c r="F19" s="68">
        <v>57</v>
      </c>
      <c r="G19" s="118"/>
      <c r="H19" s="119"/>
      <c r="I19" s="68">
        <v>99</v>
      </c>
    </row>
    <row r="20" spans="1:9" ht="18" customHeight="1" x14ac:dyDescent="0.3">
      <c r="A20" s="440" t="s">
        <v>143</v>
      </c>
      <c r="B20" s="71"/>
      <c r="C20" s="441">
        <v>16</v>
      </c>
      <c r="D20" s="437" t="s">
        <v>143</v>
      </c>
      <c r="E20" s="69"/>
      <c r="F20" s="68">
        <v>58</v>
      </c>
      <c r="G20" s="118"/>
      <c r="H20" s="119"/>
      <c r="I20" s="68">
        <v>100</v>
      </c>
    </row>
    <row r="21" spans="1:9" ht="18" customHeight="1" x14ac:dyDescent="0.3">
      <c r="A21" s="440" t="s">
        <v>143</v>
      </c>
      <c r="B21" s="71"/>
      <c r="C21" s="441">
        <v>17</v>
      </c>
      <c r="D21" s="437" t="s">
        <v>143</v>
      </c>
      <c r="E21" s="69"/>
      <c r="F21" s="68">
        <v>59</v>
      </c>
      <c r="G21" s="118"/>
      <c r="H21" s="119" t="s">
        <v>143</v>
      </c>
      <c r="I21" s="68">
        <v>101</v>
      </c>
    </row>
    <row r="22" spans="1:9" ht="18" customHeight="1" x14ac:dyDescent="0.3">
      <c r="A22" s="440" t="s">
        <v>143</v>
      </c>
      <c r="B22" s="71"/>
      <c r="C22" s="441">
        <v>18</v>
      </c>
      <c r="D22" s="439" t="s">
        <v>143</v>
      </c>
      <c r="E22" s="122" t="s">
        <v>143</v>
      </c>
      <c r="F22" s="68">
        <v>60</v>
      </c>
      <c r="G22" s="118"/>
      <c r="H22" s="119"/>
      <c r="I22" s="68">
        <v>102</v>
      </c>
    </row>
    <row r="23" spans="1:9" ht="18" customHeight="1" x14ac:dyDescent="0.3">
      <c r="A23" s="440" t="s">
        <v>143</v>
      </c>
      <c r="B23" s="71"/>
      <c r="C23" s="441">
        <v>19</v>
      </c>
      <c r="D23" s="437"/>
      <c r="E23" s="71"/>
      <c r="F23" s="68">
        <v>61</v>
      </c>
      <c r="G23" s="118"/>
      <c r="H23" s="119"/>
      <c r="I23" s="68">
        <v>103</v>
      </c>
    </row>
    <row r="24" spans="1:9" ht="18" customHeight="1" x14ac:dyDescent="0.3">
      <c r="A24" s="440" t="s">
        <v>143</v>
      </c>
      <c r="B24" s="71"/>
      <c r="C24" s="441">
        <v>20</v>
      </c>
      <c r="D24" s="437" t="s">
        <v>143</v>
      </c>
      <c r="E24" s="69"/>
      <c r="F24" s="68">
        <v>62</v>
      </c>
      <c r="G24" s="118"/>
      <c r="H24" s="119"/>
      <c r="I24" s="68">
        <v>104</v>
      </c>
    </row>
    <row r="25" spans="1:9" ht="18" customHeight="1" x14ac:dyDescent="0.3">
      <c r="A25" s="440" t="s">
        <v>143</v>
      </c>
      <c r="B25" s="71"/>
      <c r="C25" s="441">
        <v>21</v>
      </c>
      <c r="D25" s="437" t="s">
        <v>143</v>
      </c>
      <c r="E25" s="69"/>
      <c r="F25" s="68">
        <v>63</v>
      </c>
      <c r="G25" s="118"/>
      <c r="H25" s="119"/>
      <c r="I25" s="68">
        <v>105</v>
      </c>
    </row>
    <row r="26" spans="1:9" ht="18" customHeight="1" x14ac:dyDescent="0.3">
      <c r="A26" s="440" t="s">
        <v>143</v>
      </c>
      <c r="B26" s="71"/>
      <c r="C26" s="441">
        <v>22</v>
      </c>
      <c r="D26" s="437" t="s">
        <v>143</v>
      </c>
      <c r="E26" s="69"/>
      <c r="F26" s="68">
        <v>64</v>
      </c>
      <c r="G26" s="118"/>
      <c r="H26" s="119"/>
      <c r="I26" s="68">
        <v>106</v>
      </c>
    </row>
    <row r="27" spans="1:9" ht="18" customHeight="1" x14ac:dyDescent="0.3">
      <c r="A27" s="440" t="s">
        <v>143</v>
      </c>
      <c r="B27" s="71"/>
      <c r="C27" s="441">
        <v>23</v>
      </c>
      <c r="D27" s="437" t="s">
        <v>143</v>
      </c>
      <c r="E27" s="69"/>
      <c r="F27" s="68">
        <v>65</v>
      </c>
      <c r="G27" s="118"/>
      <c r="H27" s="119"/>
      <c r="I27" s="68">
        <v>107</v>
      </c>
    </row>
    <row r="28" spans="1:9" ht="18" customHeight="1" x14ac:dyDescent="0.3">
      <c r="A28" s="440" t="s">
        <v>143</v>
      </c>
      <c r="B28" s="71"/>
      <c r="C28" s="441">
        <v>24</v>
      </c>
      <c r="D28" s="437" t="s">
        <v>143</v>
      </c>
      <c r="E28" s="69"/>
      <c r="F28" s="68">
        <v>66</v>
      </c>
      <c r="G28" s="118"/>
      <c r="H28" s="119"/>
      <c r="I28" s="68">
        <v>108</v>
      </c>
    </row>
    <row r="29" spans="1:9" ht="18" customHeight="1" x14ac:dyDescent="0.3">
      <c r="A29" s="440" t="s">
        <v>143</v>
      </c>
      <c r="B29" s="71"/>
      <c r="C29" s="441">
        <v>25</v>
      </c>
      <c r="D29" s="437" t="s">
        <v>143</v>
      </c>
      <c r="E29" s="69"/>
      <c r="F29" s="68">
        <v>67</v>
      </c>
      <c r="G29" s="118"/>
      <c r="H29" s="119"/>
      <c r="I29" s="68">
        <v>109</v>
      </c>
    </row>
    <row r="30" spans="1:9" ht="18" customHeight="1" thickBot="1" x14ac:dyDescent="0.35">
      <c r="A30" s="440" t="s">
        <v>143</v>
      </c>
      <c r="B30" s="71"/>
      <c r="C30" s="441">
        <v>26</v>
      </c>
      <c r="D30" s="437" t="s">
        <v>143</v>
      </c>
      <c r="E30" s="69"/>
      <c r="F30" s="68">
        <v>68</v>
      </c>
      <c r="G30" s="123"/>
      <c r="H30" s="124"/>
      <c r="I30" s="93">
        <v>110</v>
      </c>
    </row>
    <row r="31" spans="1:9" ht="18" customHeight="1" x14ac:dyDescent="0.25">
      <c r="A31" s="440" t="s">
        <v>143</v>
      </c>
      <c r="B31" s="71"/>
      <c r="C31" s="441">
        <v>27</v>
      </c>
      <c r="D31" s="437"/>
      <c r="E31" s="71"/>
      <c r="F31" s="68">
        <v>69</v>
      </c>
    </row>
    <row r="32" spans="1:9" ht="18" customHeight="1" x14ac:dyDescent="0.25">
      <c r="A32" s="440" t="s">
        <v>143</v>
      </c>
      <c r="B32" s="71"/>
      <c r="C32" s="441">
        <v>28</v>
      </c>
      <c r="D32" s="437" t="s">
        <v>143</v>
      </c>
      <c r="E32" s="69"/>
      <c r="F32" s="68">
        <v>70</v>
      </c>
      <c r="G32" s="100" t="s">
        <v>143</v>
      </c>
    </row>
    <row r="33" spans="1:9" ht="18" customHeight="1" x14ac:dyDescent="0.25">
      <c r="A33" s="440" t="s">
        <v>143</v>
      </c>
      <c r="B33" s="71"/>
      <c r="C33" s="441">
        <v>29</v>
      </c>
      <c r="D33" s="437" t="s">
        <v>143</v>
      </c>
      <c r="E33" s="69"/>
      <c r="F33" s="68">
        <v>71</v>
      </c>
      <c r="G33" s="100" t="s">
        <v>143</v>
      </c>
    </row>
    <row r="34" spans="1:9" ht="18" customHeight="1" x14ac:dyDescent="0.25">
      <c r="A34" s="440" t="s">
        <v>143</v>
      </c>
      <c r="B34" s="71" t="s">
        <v>143</v>
      </c>
      <c r="C34" s="441">
        <v>30</v>
      </c>
      <c r="D34" s="437" t="s">
        <v>143</v>
      </c>
      <c r="E34" s="69"/>
      <c r="F34" s="68">
        <v>72</v>
      </c>
    </row>
    <row r="35" spans="1:9" ht="18" customHeight="1" x14ac:dyDescent="0.25">
      <c r="A35" s="440" t="s">
        <v>143</v>
      </c>
      <c r="B35" s="71"/>
      <c r="C35" s="441">
        <v>31</v>
      </c>
      <c r="D35" s="437" t="s">
        <v>143</v>
      </c>
      <c r="E35" s="69"/>
      <c r="F35" s="68">
        <v>73</v>
      </c>
    </row>
    <row r="36" spans="1:9" ht="18" customHeight="1" x14ac:dyDescent="0.25">
      <c r="A36" s="440" t="s">
        <v>143</v>
      </c>
      <c r="B36" s="71"/>
      <c r="C36" s="441">
        <v>32</v>
      </c>
      <c r="D36" s="437" t="s">
        <v>143</v>
      </c>
      <c r="E36" s="69"/>
      <c r="F36" s="68">
        <v>74</v>
      </c>
    </row>
    <row r="37" spans="1:9" ht="18" customHeight="1" x14ac:dyDescent="0.25">
      <c r="A37" s="440" t="s">
        <v>143</v>
      </c>
      <c r="B37" s="71"/>
      <c r="C37" s="441">
        <v>33</v>
      </c>
      <c r="D37" s="437" t="s">
        <v>143</v>
      </c>
      <c r="E37" s="69"/>
      <c r="F37" s="68">
        <v>75</v>
      </c>
    </row>
    <row r="38" spans="1:9" ht="18" customHeight="1" x14ac:dyDescent="0.25">
      <c r="A38" s="440" t="s">
        <v>143</v>
      </c>
      <c r="B38" s="71"/>
      <c r="C38" s="441">
        <v>34</v>
      </c>
      <c r="D38" s="437" t="s">
        <v>143</v>
      </c>
      <c r="E38" s="69"/>
      <c r="F38" s="68">
        <v>76</v>
      </c>
    </row>
    <row r="39" spans="1:9" ht="18" customHeight="1" x14ac:dyDescent="0.25">
      <c r="A39" s="440" t="s">
        <v>143</v>
      </c>
      <c r="B39" s="71"/>
      <c r="C39" s="441">
        <v>35</v>
      </c>
      <c r="D39" s="437"/>
      <c r="E39" s="71"/>
      <c r="F39" s="68">
        <v>77</v>
      </c>
    </row>
    <row r="40" spans="1:9" ht="18" customHeight="1" x14ac:dyDescent="0.25">
      <c r="A40" s="440" t="s">
        <v>143</v>
      </c>
      <c r="B40" s="71"/>
      <c r="C40" s="441">
        <v>36</v>
      </c>
      <c r="D40" s="437" t="s">
        <v>143</v>
      </c>
      <c r="E40" s="69"/>
      <c r="F40" s="68">
        <v>78</v>
      </c>
    </row>
    <row r="41" spans="1:9" ht="18" customHeight="1" x14ac:dyDescent="0.25">
      <c r="A41" s="440"/>
      <c r="B41" s="71" t="s">
        <v>143</v>
      </c>
      <c r="C41" s="441">
        <v>37</v>
      </c>
      <c r="D41" s="437" t="s">
        <v>143</v>
      </c>
      <c r="E41" s="69"/>
      <c r="F41" s="68">
        <v>79</v>
      </c>
    </row>
    <row r="42" spans="1:9" ht="18" customHeight="1" x14ac:dyDescent="0.25">
      <c r="A42" s="440"/>
      <c r="B42" s="71"/>
      <c r="C42" s="441">
        <v>38</v>
      </c>
      <c r="D42" s="437" t="s">
        <v>143</v>
      </c>
      <c r="E42" s="69"/>
      <c r="F42" s="68">
        <v>80</v>
      </c>
    </row>
    <row r="43" spans="1:9" ht="18" customHeight="1" x14ac:dyDescent="0.25">
      <c r="A43" s="440" t="s">
        <v>143</v>
      </c>
      <c r="B43" s="71"/>
      <c r="C43" s="441">
        <v>39</v>
      </c>
      <c r="D43" s="437" t="s">
        <v>143</v>
      </c>
      <c r="E43" s="69"/>
      <c r="F43" s="68">
        <v>81</v>
      </c>
    </row>
    <row r="44" spans="1:9" ht="18" customHeight="1" x14ac:dyDescent="0.25">
      <c r="A44" s="66" t="s">
        <v>143</v>
      </c>
      <c r="B44" s="76" t="s">
        <v>143</v>
      </c>
      <c r="C44" s="68">
        <v>40</v>
      </c>
      <c r="D44" s="66" t="s">
        <v>143</v>
      </c>
      <c r="E44" s="69"/>
      <c r="F44" s="68">
        <v>82</v>
      </c>
    </row>
    <row r="45" spans="1:9" ht="18" customHeight="1" thickBot="1" x14ac:dyDescent="0.3">
      <c r="A45" s="66" t="s">
        <v>143</v>
      </c>
      <c r="B45" s="71"/>
      <c r="C45" s="68">
        <v>41</v>
      </c>
      <c r="D45" s="125"/>
      <c r="E45" s="126"/>
      <c r="F45" s="68">
        <v>83</v>
      </c>
    </row>
    <row r="46" spans="1:9" ht="18" customHeight="1" thickBot="1" x14ac:dyDescent="0.35">
      <c r="A46" s="90" t="s">
        <v>143</v>
      </c>
      <c r="B46" s="91"/>
      <c r="C46" s="93">
        <v>42</v>
      </c>
      <c r="D46" s="127"/>
      <c r="E46" s="128"/>
      <c r="F46" s="93">
        <v>84</v>
      </c>
      <c r="G46" s="108" t="s">
        <v>500</v>
      </c>
      <c r="H46" s="511" t="s">
        <v>492</v>
      </c>
      <c r="I46" s="512"/>
    </row>
  </sheetData>
  <mergeCells count="3">
    <mergeCell ref="B1:C1"/>
    <mergeCell ref="H3:I3"/>
    <mergeCell ref="H46:I46"/>
  </mergeCells>
  <pageMargins left="0.11811023622047245" right="0.11811023622047245" top="0.15748031496062992" bottom="0.15748031496062992" header="0.31496062992125984" footer="0.31496062992125984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B6D7-67B2-4C0C-9B25-7A8CB8D1041A}">
  <sheetPr>
    <pageSetUpPr fitToPage="1"/>
  </sheetPr>
  <dimension ref="A1:F12"/>
  <sheetViews>
    <sheetView workbookViewId="0">
      <selection activeCell="C7" sqref="C7"/>
    </sheetView>
  </sheetViews>
  <sheetFormatPr baseColWidth="10" defaultColWidth="23.5703125" defaultRowHeight="44.25" customHeight="1" x14ac:dyDescent="0.25"/>
  <sheetData>
    <row r="1" spans="1:6" ht="29.25" customHeight="1" thickBot="1" x14ac:dyDescent="0.35">
      <c r="A1" s="45" t="s">
        <v>484</v>
      </c>
      <c r="B1" s="513" t="s">
        <v>467</v>
      </c>
      <c r="C1" s="514"/>
      <c r="D1" s="46" t="s">
        <v>1400</v>
      </c>
      <c r="E1" s="47" t="s">
        <v>143</v>
      </c>
      <c r="F1" s="129" t="s">
        <v>501</v>
      </c>
    </row>
    <row r="2" spans="1:6" ht="19.5" thickBot="1" x14ac:dyDescent="0.35">
      <c r="A2" s="45" t="s">
        <v>486</v>
      </c>
      <c r="B2" s="50">
        <v>3475</v>
      </c>
      <c r="C2" s="366" t="s">
        <v>143</v>
      </c>
      <c r="D2" s="45" t="s">
        <v>487</v>
      </c>
      <c r="E2" s="52">
        <v>45962</v>
      </c>
      <c r="F2" s="130" t="s">
        <v>502</v>
      </c>
    </row>
    <row r="3" spans="1:6" ht="27" customHeight="1" thickBot="1" x14ac:dyDescent="0.35">
      <c r="A3" s="45" t="s">
        <v>489</v>
      </c>
      <c r="B3" s="54" t="s">
        <v>490</v>
      </c>
      <c r="C3" s="365"/>
      <c r="D3" s="94" t="s">
        <v>503</v>
      </c>
      <c r="E3" s="52">
        <v>46157</v>
      </c>
      <c r="F3" s="131" t="s">
        <v>492</v>
      </c>
    </row>
    <row r="4" spans="1:6" ht="19.5" thickBot="1" x14ac:dyDescent="0.35">
      <c r="A4" s="132" t="s">
        <v>493</v>
      </c>
      <c r="B4" s="132" t="s">
        <v>494</v>
      </c>
      <c r="C4" s="132" t="s">
        <v>495</v>
      </c>
      <c r="D4" s="132" t="s">
        <v>493</v>
      </c>
      <c r="E4" s="132" t="s">
        <v>494</v>
      </c>
      <c r="F4" s="132" t="s">
        <v>495</v>
      </c>
    </row>
    <row r="5" spans="1:6" ht="39.75" customHeight="1" thickBot="1" x14ac:dyDescent="0.4">
      <c r="A5" s="133" t="s">
        <v>504</v>
      </c>
      <c r="B5" s="134" t="s">
        <v>143</v>
      </c>
      <c r="C5" s="135">
        <v>1</v>
      </c>
      <c r="D5" s="133" t="s">
        <v>505</v>
      </c>
      <c r="E5" s="136"/>
      <c r="F5" s="135">
        <v>8</v>
      </c>
    </row>
    <row r="6" spans="1:6" ht="39.75" customHeight="1" thickBot="1" x14ac:dyDescent="0.4">
      <c r="A6" s="133" t="s">
        <v>506</v>
      </c>
      <c r="B6" s="134" t="s">
        <v>143</v>
      </c>
      <c r="C6" s="135">
        <v>2</v>
      </c>
      <c r="D6" s="133" t="s">
        <v>507</v>
      </c>
      <c r="E6" s="136"/>
      <c r="F6" s="135">
        <v>9</v>
      </c>
    </row>
    <row r="7" spans="1:6" ht="40.5" customHeight="1" thickBot="1" x14ac:dyDescent="0.35">
      <c r="A7" s="133" t="s">
        <v>508</v>
      </c>
      <c r="B7" s="467" t="s">
        <v>143</v>
      </c>
      <c r="C7" s="135">
        <v>3</v>
      </c>
      <c r="D7" s="133" t="s">
        <v>509</v>
      </c>
      <c r="E7" s="136"/>
      <c r="F7" s="135">
        <v>10</v>
      </c>
    </row>
    <row r="8" spans="1:6" ht="39.75" customHeight="1" thickBot="1" x14ac:dyDescent="0.3">
      <c r="A8" s="133" t="s">
        <v>510</v>
      </c>
      <c r="B8" s="137"/>
      <c r="C8" s="135">
        <v>4</v>
      </c>
      <c r="D8" s="133" t="s">
        <v>511</v>
      </c>
      <c r="E8" s="136"/>
      <c r="F8" s="135">
        <v>11</v>
      </c>
    </row>
    <row r="9" spans="1:6" ht="39.75" customHeight="1" thickBot="1" x14ac:dyDescent="0.3">
      <c r="A9" s="133" t="s">
        <v>512</v>
      </c>
      <c r="B9" s="136"/>
      <c r="C9" s="135">
        <v>5</v>
      </c>
      <c r="D9" s="133" t="s">
        <v>513</v>
      </c>
      <c r="E9" s="136"/>
      <c r="F9" s="135">
        <v>12</v>
      </c>
    </row>
    <row r="10" spans="1:6" ht="39.75" customHeight="1" thickBot="1" x14ac:dyDescent="0.3">
      <c r="A10" s="133" t="s">
        <v>514</v>
      </c>
      <c r="B10" s="137"/>
      <c r="C10" s="135">
        <v>6</v>
      </c>
      <c r="D10" s="133" t="s">
        <v>516</v>
      </c>
      <c r="E10" s="136"/>
      <c r="F10" s="135">
        <v>13</v>
      </c>
    </row>
    <row r="11" spans="1:6" ht="39.75" customHeight="1" thickBot="1" x14ac:dyDescent="0.3">
      <c r="A11" s="133" t="s">
        <v>515</v>
      </c>
      <c r="B11" s="137"/>
      <c r="C11" s="135">
        <v>7</v>
      </c>
      <c r="D11" s="133" t="s">
        <v>518</v>
      </c>
      <c r="E11" s="138"/>
      <c r="F11" s="139">
        <v>14</v>
      </c>
    </row>
    <row r="12" spans="1:6" ht="39.75" customHeight="1" thickBot="1" x14ac:dyDescent="0.3">
      <c r="A12" s="133" t="s">
        <v>517</v>
      </c>
      <c r="B12" s="136"/>
      <c r="C12" s="135">
        <v>8</v>
      </c>
      <c r="D12" s="133" t="s">
        <v>1401</v>
      </c>
      <c r="E12" s="138"/>
      <c r="F12" s="139">
        <v>15</v>
      </c>
    </row>
  </sheetData>
  <mergeCells count="1">
    <mergeCell ref="B1:C1"/>
  </mergeCells>
  <pageMargins left="0.70866141732283472" right="0.70866141732283472" top="0.74803149606299213" bottom="0.74803149606299213" header="0.31496062992125984" footer="0.31496062992125984"/>
  <pageSetup paperSize="9" scale="93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F261E-E6A3-4477-9235-DBED342B99BC}">
  <sheetPr>
    <pageSetUpPr fitToPage="1"/>
  </sheetPr>
  <dimension ref="A1:F11"/>
  <sheetViews>
    <sheetView workbookViewId="0">
      <selection activeCell="B9" sqref="B9:C10"/>
    </sheetView>
  </sheetViews>
  <sheetFormatPr baseColWidth="10" defaultColWidth="24.85546875" defaultRowHeight="50.25" customHeight="1" x14ac:dyDescent="0.25"/>
  <sheetData>
    <row r="1" spans="1:6" ht="50.25" customHeight="1" thickBot="1" x14ac:dyDescent="0.35">
      <c r="A1" s="45" t="s">
        <v>484</v>
      </c>
      <c r="B1" s="515" t="s">
        <v>364</v>
      </c>
      <c r="C1" s="516"/>
      <c r="D1" s="46" t="s">
        <v>1362</v>
      </c>
      <c r="E1" s="47" t="s">
        <v>143</v>
      </c>
      <c r="F1" s="129" t="s">
        <v>501</v>
      </c>
    </row>
    <row r="2" spans="1:6" ht="50.25" customHeight="1" thickBot="1" x14ac:dyDescent="0.35">
      <c r="A2" s="45" t="s">
        <v>486</v>
      </c>
      <c r="B2" s="50">
        <v>3386</v>
      </c>
      <c r="C2" s="51" t="s">
        <v>143</v>
      </c>
      <c r="D2" s="45" t="s">
        <v>487</v>
      </c>
      <c r="E2" s="52">
        <v>45909</v>
      </c>
      <c r="F2" s="130" t="s">
        <v>502</v>
      </c>
    </row>
    <row r="3" spans="1:6" ht="50.25" customHeight="1" thickBot="1" x14ac:dyDescent="0.35">
      <c r="A3" s="45" t="s">
        <v>489</v>
      </c>
      <c r="B3" s="54"/>
      <c r="C3" s="55" t="s">
        <v>143</v>
      </c>
      <c r="D3" s="94" t="s">
        <v>491</v>
      </c>
      <c r="E3" s="52">
        <v>46021</v>
      </c>
      <c r="F3" s="131" t="s">
        <v>492</v>
      </c>
    </row>
    <row r="4" spans="1:6" ht="50.25" customHeight="1" thickBot="1" x14ac:dyDescent="0.35">
      <c r="A4" s="132" t="s">
        <v>493</v>
      </c>
      <c r="B4" s="132" t="s">
        <v>494</v>
      </c>
      <c r="C4" s="132" t="s">
        <v>495</v>
      </c>
      <c r="D4" s="132" t="s">
        <v>493</v>
      </c>
      <c r="E4" s="132" t="s">
        <v>494</v>
      </c>
      <c r="F4" s="132" t="s">
        <v>495</v>
      </c>
    </row>
    <row r="5" spans="1:6" ht="50.25" customHeight="1" thickBot="1" x14ac:dyDescent="0.35">
      <c r="A5" s="133" t="s">
        <v>1349</v>
      </c>
      <c r="B5" s="444" t="s">
        <v>143</v>
      </c>
      <c r="C5" s="443">
        <v>1</v>
      </c>
      <c r="D5" s="133" t="s">
        <v>519</v>
      </c>
      <c r="E5" s="351"/>
      <c r="F5" s="352">
        <v>7</v>
      </c>
    </row>
    <row r="6" spans="1:6" ht="50.25" customHeight="1" thickBot="1" x14ac:dyDescent="0.35">
      <c r="A6" s="133" t="s">
        <v>1345</v>
      </c>
      <c r="B6" s="425" t="s">
        <v>143</v>
      </c>
      <c r="C6" s="135">
        <v>2</v>
      </c>
      <c r="D6" s="133" t="s">
        <v>520</v>
      </c>
      <c r="E6" s="351"/>
      <c r="F6" s="352">
        <v>8</v>
      </c>
    </row>
    <row r="7" spans="1:6" ht="50.25" customHeight="1" thickBot="1" x14ac:dyDescent="0.3">
      <c r="A7" s="133" t="s">
        <v>521</v>
      </c>
      <c r="B7" s="136"/>
      <c r="C7" s="135">
        <v>3</v>
      </c>
      <c r="D7" s="133" t="s">
        <v>522</v>
      </c>
      <c r="E7" s="351"/>
      <c r="F7" s="352">
        <v>9</v>
      </c>
    </row>
    <row r="8" spans="1:6" ht="50.25" customHeight="1" thickBot="1" x14ac:dyDescent="0.3">
      <c r="A8" s="133" t="s">
        <v>523</v>
      </c>
      <c r="B8" s="136"/>
      <c r="C8" s="135">
        <v>4</v>
      </c>
      <c r="D8" s="133" t="s">
        <v>524</v>
      </c>
      <c r="E8" s="351"/>
      <c r="F8" s="352">
        <v>10</v>
      </c>
    </row>
    <row r="9" spans="1:6" ht="50.25" customHeight="1" thickBot="1" x14ac:dyDescent="0.3">
      <c r="A9" s="133" t="s">
        <v>525</v>
      </c>
      <c r="B9" s="351"/>
      <c r="C9" s="352"/>
      <c r="D9" s="133" t="s">
        <v>526</v>
      </c>
      <c r="E9" s="351"/>
      <c r="F9" s="352">
        <v>11</v>
      </c>
    </row>
    <row r="10" spans="1:6" ht="50.25" customHeight="1" thickBot="1" x14ac:dyDescent="0.3">
      <c r="A10" s="133" t="s">
        <v>527</v>
      </c>
      <c r="B10" s="351"/>
      <c r="C10" s="352"/>
      <c r="D10" s="133" t="s">
        <v>528</v>
      </c>
      <c r="E10" s="351"/>
      <c r="F10" s="352">
        <v>12</v>
      </c>
    </row>
    <row r="11" spans="1:6" ht="50.25" customHeight="1" x14ac:dyDescent="0.3">
      <c r="E11" t="s">
        <v>529</v>
      </c>
      <c r="F11" s="131" t="s">
        <v>492</v>
      </c>
    </row>
  </sheetData>
  <mergeCells count="1">
    <mergeCell ref="B1:C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88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B279-6019-4E3E-B009-C504FCCE1A0D}">
  <dimension ref="A1:XDA1147"/>
  <sheetViews>
    <sheetView zoomScaleNormal="100" workbookViewId="0">
      <pane ySplit="1" topLeftCell="A1140" activePane="bottomLeft" state="frozen"/>
      <selection pane="bottomLeft" activeCell="P1148" sqref="P1148"/>
    </sheetView>
  </sheetViews>
  <sheetFormatPr baseColWidth="10" defaultRowHeight="15" x14ac:dyDescent="0.25"/>
  <cols>
    <col min="1" max="1" width="5" bestFit="1" customWidth="1"/>
    <col min="3" max="3" width="13.140625" customWidth="1"/>
    <col min="4" max="4" width="4.5703125" customWidth="1"/>
    <col min="5" max="5" width="10.42578125" bestFit="1" customWidth="1"/>
    <col min="6" max="6" width="9.42578125" bestFit="1" customWidth="1"/>
    <col min="7" max="7" width="7.28515625" bestFit="1" customWidth="1"/>
    <col min="14" max="14" width="12" bestFit="1" customWidth="1"/>
    <col min="16" max="16" width="8.85546875" customWidth="1"/>
  </cols>
  <sheetData>
    <row r="1" spans="1:16329" ht="24.75" thickBot="1" x14ac:dyDescent="0.3">
      <c r="A1" s="140" t="s">
        <v>530</v>
      </c>
      <c r="B1" s="141"/>
      <c r="C1" s="141" t="s">
        <v>531</v>
      </c>
      <c r="D1" s="141" t="s">
        <v>2</v>
      </c>
      <c r="E1" s="142" t="s">
        <v>532</v>
      </c>
      <c r="F1" s="142" t="s">
        <v>533</v>
      </c>
      <c r="G1" s="142" t="s">
        <v>4</v>
      </c>
      <c r="H1" s="141" t="s">
        <v>5</v>
      </c>
      <c r="I1" s="141" t="s">
        <v>6</v>
      </c>
      <c r="J1" s="143" t="s">
        <v>534</v>
      </c>
      <c r="K1" s="144" t="s">
        <v>8</v>
      </c>
      <c r="L1" s="144" t="s">
        <v>535</v>
      </c>
      <c r="M1" s="145" t="s">
        <v>536</v>
      </c>
      <c r="N1" s="146" t="s">
        <v>537</v>
      </c>
      <c r="O1" s="147" t="s">
        <v>538</v>
      </c>
      <c r="P1" s="148" t="s">
        <v>539</v>
      </c>
      <c r="Q1" s="362" t="s">
        <v>540</v>
      </c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49"/>
      <c r="BJ1" s="149"/>
      <c r="BK1" s="149"/>
      <c r="BL1" s="149"/>
      <c r="BM1" s="149"/>
      <c r="BN1" s="149"/>
      <c r="BO1" s="149"/>
      <c r="BP1" s="149"/>
      <c r="BQ1" s="149"/>
      <c r="BR1" s="149"/>
      <c r="BS1" s="149"/>
      <c r="BT1" s="149"/>
      <c r="BU1" s="149"/>
      <c r="BV1" s="149"/>
      <c r="BW1" s="149"/>
      <c r="BX1" s="149"/>
      <c r="BY1" s="149"/>
      <c r="BZ1" s="149"/>
      <c r="CA1" s="149"/>
      <c r="CB1" s="149"/>
      <c r="CC1" s="149"/>
      <c r="CD1" s="149"/>
      <c r="CE1" s="149"/>
      <c r="CF1" s="149"/>
      <c r="CG1" s="149"/>
      <c r="CH1" s="149"/>
      <c r="CI1" s="149"/>
      <c r="CJ1" s="149"/>
      <c r="CK1" s="149"/>
      <c r="CL1" s="149"/>
      <c r="CM1" s="149"/>
      <c r="CN1" s="149"/>
      <c r="CO1" s="149"/>
      <c r="CP1" s="149"/>
      <c r="CQ1" s="149"/>
      <c r="CR1" s="149"/>
      <c r="CS1" s="149"/>
      <c r="CT1" s="149"/>
      <c r="CU1" s="149"/>
      <c r="CV1" s="149"/>
      <c r="CW1" s="149"/>
      <c r="CX1" s="149"/>
      <c r="CY1" s="149"/>
      <c r="CZ1" s="149"/>
      <c r="DA1" s="149"/>
      <c r="DB1" s="149"/>
      <c r="DC1" s="149"/>
      <c r="DD1" s="149"/>
      <c r="DE1" s="149"/>
      <c r="DF1" s="149"/>
      <c r="DG1" s="149"/>
      <c r="DH1" s="149"/>
      <c r="DI1" s="149"/>
      <c r="DJ1" s="149"/>
      <c r="DK1" s="149"/>
      <c r="DL1" s="149"/>
      <c r="DM1" s="149"/>
      <c r="DN1" s="149"/>
      <c r="DO1" s="149"/>
      <c r="DP1" s="149"/>
      <c r="DQ1" s="149"/>
      <c r="DR1" s="149"/>
      <c r="DS1" s="149"/>
      <c r="DT1" s="149"/>
      <c r="DU1" s="149"/>
      <c r="DV1" s="149"/>
      <c r="DW1" s="149"/>
      <c r="DX1" s="149"/>
      <c r="DY1" s="149"/>
      <c r="DZ1" s="149"/>
      <c r="EA1" s="149"/>
      <c r="EB1" s="149"/>
      <c r="EC1" s="149"/>
      <c r="ED1" s="149"/>
      <c r="EE1" s="149"/>
      <c r="EF1" s="149"/>
      <c r="EG1" s="149"/>
      <c r="EH1" s="149"/>
      <c r="EI1" s="149"/>
      <c r="EJ1" s="149"/>
      <c r="EK1" s="149"/>
      <c r="EL1" s="149"/>
      <c r="EM1" s="149"/>
      <c r="EN1" s="149"/>
      <c r="EO1" s="149"/>
      <c r="EP1" s="149"/>
      <c r="EQ1" s="149"/>
      <c r="ER1" s="149"/>
      <c r="ES1" s="149"/>
      <c r="ET1" s="149"/>
      <c r="EU1" s="149"/>
      <c r="EV1" s="149"/>
      <c r="EW1" s="149"/>
      <c r="EX1" s="149"/>
      <c r="EY1" s="149"/>
      <c r="EZ1" s="149"/>
      <c r="FA1" s="149"/>
      <c r="FB1" s="149"/>
      <c r="FC1" s="149"/>
      <c r="FD1" s="149"/>
      <c r="FE1" s="149"/>
      <c r="FF1" s="149"/>
      <c r="FG1" s="149"/>
      <c r="FH1" s="149"/>
      <c r="FI1" s="149"/>
      <c r="FJ1" s="149"/>
      <c r="FK1" s="149"/>
      <c r="FL1" s="149"/>
      <c r="FM1" s="149"/>
      <c r="FN1" s="149"/>
      <c r="FO1" s="149"/>
      <c r="FP1" s="149"/>
      <c r="FQ1" s="149"/>
      <c r="FR1" s="149"/>
      <c r="FS1" s="149"/>
      <c r="FT1" s="149"/>
      <c r="FU1" s="149"/>
      <c r="FV1" s="149"/>
      <c r="FW1" s="149"/>
      <c r="FX1" s="149"/>
      <c r="FY1" s="149"/>
      <c r="FZ1" s="149"/>
      <c r="GA1" s="149"/>
      <c r="GB1" s="149"/>
      <c r="GC1" s="149"/>
      <c r="GD1" s="149"/>
      <c r="GE1" s="149"/>
      <c r="GF1" s="149"/>
      <c r="GG1" s="149"/>
      <c r="GH1" s="149"/>
      <c r="GI1" s="149"/>
      <c r="GJ1" s="149"/>
      <c r="GK1" s="149"/>
      <c r="GL1" s="149"/>
      <c r="GM1" s="149"/>
      <c r="GN1" s="149"/>
      <c r="GO1" s="149"/>
      <c r="GP1" s="149"/>
      <c r="GQ1" s="149"/>
      <c r="GR1" s="149"/>
      <c r="GS1" s="149"/>
      <c r="GT1" s="149"/>
      <c r="GU1" s="149"/>
      <c r="GV1" s="149"/>
      <c r="GW1" s="149"/>
      <c r="GX1" s="149"/>
      <c r="GY1" s="149"/>
      <c r="GZ1" s="149"/>
      <c r="HA1" s="149"/>
      <c r="HB1" s="149"/>
      <c r="HC1" s="149"/>
      <c r="HD1" s="149"/>
      <c r="HE1" s="149"/>
      <c r="HF1" s="149"/>
      <c r="HG1" s="149"/>
      <c r="HH1" s="149"/>
      <c r="HI1" s="149"/>
      <c r="HJ1" s="149"/>
      <c r="HK1" s="149"/>
      <c r="HL1" s="149"/>
      <c r="HM1" s="149"/>
      <c r="HN1" s="149"/>
      <c r="HO1" s="149"/>
      <c r="HP1" s="149"/>
      <c r="HQ1" s="149"/>
      <c r="HR1" s="149"/>
      <c r="HS1" s="149"/>
      <c r="HT1" s="149"/>
      <c r="HU1" s="149"/>
      <c r="HV1" s="149"/>
      <c r="HW1" s="149"/>
      <c r="HX1" s="149"/>
      <c r="HY1" s="149"/>
      <c r="HZ1" s="149"/>
      <c r="IA1" s="149"/>
      <c r="IB1" s="149"/>
      <c r="IC1" s="149"/>
      <c r="ID1" s="149"/>
      <c r="IE1" s="149"/>
      <c r="IF1" s="149"/>
      <c r="IG1" s="149"/>
      <c r="IH1" s="149"/>
      <c r="II1" s="149"/>
      <c r="IJ1" s="149"/>
      <c r="IK1" s="149"/>
      <c r="IL1" s="149"/>
      <c r="IM1" s="149"/>
      <c r="IN1" s="149"/>
      <c r="IO1" s="149"/>
      <c r="IP1" s="149"/>
      <c r="IQ1" s="149"/>
      <c r="IR1" s="149"/>
      <c r="IS1" s="149"/>
      <c r="IT1" s="149"/>
      <c r="IU1" s="149"/>
      <c r="IV1" s="149"/>
      <c r="IW1" s="149"/>
      <c r="IX1" s="149"/>
      <c r="IY1" s="149"/>
      <c r="IZ1" s="149"/>
      <c r="JA1" s="149"/>
      <c r="JB1" s="149"/>
      <c r="JC1" s="149"/>
      <c r="JD1" s="149"/>
      <c r="JE1" s="149"/>
      <c r="JF1" s="149"/>
      <c r="JG1" s="149"/>
      <c r="JH1" s="149"/>
      <c r="JI1" s="149"/>
      <c r="JJ1" s="149"/>
      <c r="JK1" s="149"/>
      <c r="JL1" s="149"/>
      <c r="JM1" s="149"/>
      <c r="JN1" s="149"/>
      <c r="JO1" s="149"/>
      <c r="JP1" s="149"/>
      <c r="JQ1" s="149"/>
      <c r="JR1" s="149"/>
      <c r="JS1" s="149"/>
      <c r="JT1" s="149"/>
      <c r="JU1" s="149"/>
      <c r="JV1" s="149"/>
      <c r="JW1" s="149"/>
      <c r="JX1" s="149"/>
      <c r="JY1" s="149"/>
      <c r="JZ1" s="149"/>
      <c r="KA1" s="149"/>
      <c r="KB1" s="149"/>
      <c r="KC1" s="149"/>
      <c r="KD1" s="149"/>
      <c r="KE1" s="149"/>
      <c r="KF1" s="149"/>
      <c r="KG1" s="149"/>
      <c r="KH1" s="149"/>
      <c r="KI1" s="149"/>
      <c r="KJ1" s="149"/>
      <c r="KK1" s="149"/>
      <c r="KL1" s="149"/>
      <c r="KM1" s="149"/>
      <c r="KN1" s="149"/>
      <c r="KO1" s="149"/>
      <c r="KP1" s="149"/>
      <c r="KQ1" s="149"/>
      <c r="KR1" s="149"/>
      <c r="KS1" s="149"/>
      <c r="KT1" s="149"/>
      <c r="KU1" s="149"/>
      <c r="KV1" s="149"/>
      <c r="KW1" s="149"/>
      <c r="KX1" s="149"/>
      <c r="KY1" s="149"/>
      <c r="KZ1" s="149"/>
      <c r="LA1" s="149"/>
      <c r="LB1" s="149"/>
      <c r="LC1" s="149"/>
      <c r="LD1" s="149"/>
      <c r="LE1" s="149"/>
      <c r="LF1" s="149"/>
      <c r="LG1" s="149"/>
      <c r="LH1" s="149"/>
      <c r="LI1" s="149"/>
      <c r="LJ1" s="149"/>
      <c r="LK1" s="149"/>
      <c r="LL1" s="149"/>
      <c r="LM1" s="149"/>
      <c r="LN1" s="149"/>
      <c r="LO1" s="149"/>
      <c r="LP1" s="149"/>
      <c r="LQ1" s="149"/>
      <c r="LR1" s="149"/>
      <c r="LS1" s="149"/>
      <c r="LT1" s="149"/>
      <c r="LU1" s="149"/>
      <c r="LV1" s="149"/>
      <c r="LW1" s="149"/>
      <c r="LX1" s="149"/>
      <c r="LY1" s="149"/>
      <c r="LZ1" s="149"/>
      <c r="MA1" s="149"/>
      <c r="MB1" s="149"/>
      <c r="MC1" s="149"/>
      <c r="MD1" s="149"/>
      <c r="ME1" s="149"/>
      <c r="MF1" s="149"/>
      <c r="MG1" s="149"/>
      <c r="MH1" s="149"/>
      <c r="MI1" s="149"/>
      <c r="MJ1" s="149"/>
      <c r="MK1" s="149"/>
      <c r="ML1" s="149"/>
      <c r="MM1" s="149"/>
      <c r="MN1" s="149"/>
      <c r="MO1" s="149"/>
      <c r="MP1" s="149"/>
      <c r="MQ1" s="149"/>
      <c r="MR1" s="149"/>
      <c r="MS1" s="149"/>
      <c r="MT1" s="149"/>
      <c r="MU1" s="149"/>
      <c r="MV1" s="149"/>
      <c r="MW1" s="149"/>
      <c r="MX1" s="149"/>
      <c r="MY1" s="149"/>
      <c r="MZ1" s="149"/>
      <c r="NA1" s="149"/>
      <c r="NB1" s="149"/>
      <c r="NC1" s="149"/>
      <c r="ND1" s="149"/>
      <c r="NE1" s="149"/>
      <c r="NF1" s="149"/>
      <c r="NG1" s="149"/>
      <c r="NH1" s="149"/>
      <c r="NI1" s="149"/>
      <c r="NJ1" s="149"/>
      <c r="NK1" s="149"/>
      <c r="NL1" s="149"/>
      <c r="NM1" s="149"/>
      <c r="NN1" s="149"/>
      <c r="NO1" s="149"/>
      <c r="NP1" s="149"/>
      <c r="NQ1" s="149"/>
      <c r="NR1" s="149"/>
      <c r="NS1" s="149"/>
      <c r="NT1" s="149"/>
      <c r="NU1" s="149"/>
      <c r="NV1" s="149"/>
      <c r="NW1" s="149"/>
      <c r="NX1" s="149"/>
      <c r="NY1" s="149"/>
      <c r="NZ1" s="149"/>
      <c r="OA1" s="149"/>
      <c r="OB1" s="149"/>
      <c r="OC1" s="149"/>
      <c r="OD1" s="149"/>
      <c r="OE1" s="149"/>
      <c r="OF1" s="149"/>
      <c r="OG1" s="149"/>
      <c r="OH1" s="149"/>
      <c r="OI1" s="149"/>
      <c r="OJ1" s="149"/>
      <c r="OK1" s="149"/>
      <c r="OL1" s="149"/>
      <c r="OM1" s="149"/>
      <c r="ON1" s="149"/>
      <c r="OO1" s="149"/>
      <c r="OP1" s="149"/>
      <c r="OQ1" s="149"/>
      <c r="OR1" s="149"/>
      <c r="OS1" s="149"/>
      <c r="OT1" s="149"/>
      <c r="OU1" s="149"/>
      <c r="OV1" s="149"/>
      <c r="OW1" s="149"/>
      <c r="OX1" s="149"/>
      <c r="OY1" s="149"/>
      <c r="OZ1" s="149"/>
      <c r="PA1" s="149"/>
      <c r="PB1" s="149"/>
      <c r="PC1" s="149"/>
      <c r="PD1" s="149"/>
      <c r="PE1" s="149"/>
      <c r="PF1" s="149"/>
      <c r="PG1" s="149"/>
      <c r="PH1" s="149"/>
      <c r="PI1" s="149"/>
      <c r="PJ1" s="149"/>
      <c r="PK1" s="149"/>
      <c r="PL1" s="149"/>
      <c r="PM1" s="149"/>
      <c r="PN1" s="149"/>
      <c r="PO1" s="149"/>
      <c r="PP1" s="149"/>
      <c r="PQ1" s="149"/>
      <c r="PR1" s="149"/>
      <c r="PS1" s="149"/>
      <c r="PT1" s="149"/>
      <c r="PU1" s="149"/>
      <c r="PV1" s="149"/>
      <c r="PW1" s="149"/>
      <c r="PX1" s="149"/>
      <c r="PY1" s="149"/>
      <c r="PZ1" s="149"/>
      <c r="QA1" s="149"/>
      <c r="QB1" s="149"/>
      <c r="QC1" s="149"/>
      <c r="QD1" s="149"/>
      <c r="QE1" s="149"/>
      <c r="QF1" s="149"/>
      <c r="QG1" s="149"/>
      <c r="QH1" s="149"/>
      <c r="QI1" s="149"/>
      <c r="QJ1" s="149"/>
      <c r="QK1" s="149"/>
      <c r="QL1" s="149"/>
      <c r="QM1" s="149"/>
      <c r="QN1" s="149"/>
      <c r="QO1" s="149"/>
      <c r="QP1" s="149"/>
      <c r="QQ1" s="149"/>
      <c r="QR1" s="149"/>
      <c r="QS1" s="149"/>
      <c r="QT1" s="149"/>
      <c r="QU1" s="149"/>
      <c r="QV1" s="149"/>
      <c r="QW1" s="149"/>
      <c r="QX1" s="149"/>
      <c r="QY1" s="149"/>
      <c r="QZ1" s="149"/>
      <c r="RA1" s="149"/>
      <c r="RB1" s="149"/>
      <c r="RC1" s="149"/>
      <c r="RD1" s="149"/>
      <c r="RE1" s="149"/>
      <c r="RF1" s="149"/>
      <c r="RG1" s="149"/>
      <c r="RH1" s="149"/>
      <c r="RI1" s="149"/>
      <c r="RJ1" s="149"/>
      <c r="RK1" s="149"/>
      <c r="RL1" s="149"/>
      <c r="RM1" s="149"/>
      <c r="RN1" s="149"/>
      <c r="RO1" s="149"/>
      <c r="RP1" s="149"/>
      <c r="RQ1" s="149"/>
      <c r="RR1" s="149"/>
      <c r="RS1" s="149"/>
      <c r="RT1" s="149"/>
      <c r="RU1" s="149"/>
      <c r="RV1" s="149"/>
      <c r="RW1" s="149"/>
      <c r="RX1" s="149"/>
      <c r="RY1" s="149"/>
      <c r="RZ1" s="149"/>
      <c r="SA1" s="149"/>
      <c r="SB1" s="149"/>
      <c r="SC1" s="149"/>
      <c r="SD1" s="149"/>
      <c r="SE1" s="149"/>
      <c r="SF1" s="149"/>
      <c r="SG1" s="149"/>
      <c r="SH1" s="149"/>
      <c r="SI1" s="149"/>
      <c r="SJ1" s="149"/>
      <c r="SK1" s="149"/>
      <c r="SL1" s="149"/>
      <c r="SM1" s="149"/>
      <c r="SN1" s="149"/>
      <c r="SO1" s="149"/>
      <c r="SP1" s="149"/>
      <c r="SQ1" s="149"/>
      <c r="SR1" s="149"/>
      <c r="SS1" s="149"/>
      <c r="ST1" s="149"/>
      <c r="SU1" s="149"/>
      <c r="SV1" s="149"/>
      <c r="SW1" s="149"/>
      <c r="SX1" s="149"/>
      <c r="SY1" s="149"/>
      <c r="SZ1" s="149"/>
      <c r="TA1" s="149"/>
      <c r="TB1" s="149"/>
      <c r="TC1" s="149"/>
      <c r="TD1" s="149"/>
      <c r="TE1" s="149"/>
      <c r="TF1" s="149"/>
      <c r="TG1" s="149"/>
      <c r="TH1" s="149"/>
      <c r="TI1" s="149"/>
      <c r="TJ1" s="149"/>
      <c r="TK1" s="149"/>
      <c r="TL1" s="149"/>
      <c r="TM1" s="149"/>
      <c r="TN1" s="149"/>
      <c r="TO1" s="149"/>
      <c r="TP1" s="149"/>
      <c r="TQ1" s="149"/>
      <c r="TR1" s="149"/>
      <c r="TS1" s="149"/>
      <c r="TT1" s="149"/>
      <c r="TU1" s="149"/>
      <c r="TV1" s="149"/>
      <c r="TW1" s="149"/>
      <c r="TX1" s="149"/>
      <c r="TY1" s="149"/>
      <c r="TZ1" s="149"/>
      <c r="UA1" s="149"/>
      <c r="UB1" s="149"/>
      <c r="UC1" s="149"/>
      <c r="UD1" s="149"/>
      <c r="UE1" s="149"/>
      <c r="UF1" s="149"/>
      <c r="UG1" s="149"/>
      <c r="UH1" s="149"/>
      <c r="UI1" s="149"/>
      <c r="UJ1" s="149"/>
      <c r="UK1" s="149"/>
      <c r="UL1" s="149"/>
      <c r="UM1" s="149"/>
      <c r="UN1" s="149"/>
      <c r="UO1" s="149"/>
      <c r="UP1" s="149"/>
      <c r="UQ1" s="149"/>
      <c r="UR1" s="149"/>
      <c r="US1" s="149"/>
      <c r="UT1" s="149"/>
      <c r="UU1" s="149"/>
      <c r="UV1" s="149"/>
      <c r="UW1" s="149"/>
      <c r="UX1" s="149"/>
      <c r="UY1" s="149"/>
      <c r="UZ1" s="149"/>
      <c r="VA1" s="149"/>
      <c r="VB1" s="149"/>
      <c r="VC1" s="149"/>
      <c r="VD1" s="149"/>
      <c r="VE1" s="149"/>
      <c r="VF1" s="149"/>
      <c r="VG1" s="149"/>
      <c r="VH1" s="149"/>
      <c r="VI1" s="149"/>
      <c r="VJ1" s="149"/>
      <c r="VK1" s="149"/>
      <c r="VL1" s="149"/>
      <c r="VM1" s="149"/>
      <c r="VN1" s="149"/>
      <c r="VO1" s="149"/>
      <c r="VP1" s="149"/>
      <c r="VQ1" s="149"/>
      <c r="VR1" s="149"/>
      <c r="VS1" s="149"/>
      <c r="VT1" s="149"/>
      <c r="VU1" s="149"/>
      <c r="VV1" s="149"/>
      <c r="VW1" s="149"/>
      <c r="VX1" s="149"/>
      <c r="VY1" s="149"/>
      <c r="VZ1" s="149"/>
      <c r="WA1" s="149"/>
      <c r="WB1" s="149"/>
      <c r="WC1" s="149"/>
      <c r="WD1" s="149"/>
      <c r="WE1" s="149"/>
      <c r="WF1" s="149"/>
      <c r="WG1" s="149"/>
      <c r="WH1" s="149"/>
      <c r="WI1" s="149"/>
      <c r="WJ1" s="149"/>
      <c r="WK1" s="149"/>
      <c r="WL1" s="149"/>
      <c r="WM1" s="149"/>
      <c r="WN1" s="149"/>
      <c r="WO1" s="149"/>
      <c r="WP1" s="149"/>
      <c r="WQ1" s="149"/>
      <c r="WR1" s="149"/>
      <c r="WS1" s="149"/>
      <c r="WT1" s="149"/>
      <c r="WU1" s="149"/>
      <c r="WV1" s="149"/>
      <c r="WW1" s="149"/>
      <c r="WX1" s="149"/>
      <c r="WY1" s="149"/>
      <c r="WZ1" s="149"/>
      <c r="XA1" s="149"/>
      <c r="XB1" s="149"/>
      <c r="XC1" s="149"/>
      <c r="XD1" s="149"/>
      <c r="XE1" s="149"/>
      <c r="XF1" s="149"/>
      <c r="XG1" s="149"/>
      <c r="XH1" s="149"/>
      <c r="XI1" s="149"/>
      <c r="XJ1" s="149"/>
      <c r="XK1" s="149"/>
      <c r="XL1" s="149"/>
      <c r="XM1" s="149"/>
      <c r="XN1" s="149"/>
      <c r="XO1" s="149"/>
      <c r="XP1" s="149"/>
      <c r="XQ1" s="149"/>
      <c r="XR1" s="149"/>
      <c r="XS1" s="149"/>
      <c r="XT1" s="149"/>
      <c r="XU1" s="149"/>
      <c r="XV1" s="149"/>
      <c r="XW1" s="149"/>
      <c r="XX1" s="149"/>
      <c r="XY1" s="149"/>
      <c r="XZ1" s="149"/>
      <c r="YA1" s="149"/>
      <c r="YB1" s="149"/>
      <c r="YC1" s="149"/>
      <c r="YD1" s="149"/>
      <c r="YE1" s="149"/>
      <c r="YF1" s="149"/>
      <c r="YG1" s="149"/>
      <c r="YH1" s="149"/>
      <c r="YI1" s="149"/>
      <c r="YJ1" s="149"/>
      <c r="YK1" s="149"/>
      <c r="YL1" s="149"/>
      <c r="YM1" s="149"/>
      <c r="YN1" s="149"/>
      <c r="YO1" s="149"/>
      <c r="YP1" s="149"/>
      <c r="YQ1" s="149"/>
      <c r="YR1" s="149"/>
      <c r="YS1" s="149"/>
      <c r="YT1" s="149"/>
      <c r="YU1" s="149"/>
      <c r="YV1" s="149"/>
      <c r="YW1" s="149"/>
      <c r="YX1" s="149"/>
      <c r="YY1" s="149"/>
      <c r="YZ1" s="149"/>
      <c r="ZA1" s="149"/>
      <c r="ZB1" s="149"/>
      <c r="ZC1" s="149"/>
      <c r="ZD1" s="149"/>
      <c r="ZE1" s="149"/>
      <c r="ZF1" s="149"/>
      <c r="ZG1" s="149"/>
      <c r="ZH1" s="149"/>
      <c r="ZI1" s="149"/>
      <c r="ZJ1" s="149"/>
      <c r="ZK1" s="149"/>
      <c r="ZL1" s="149"/>
      <c r="ZM1" s="149"/>
      <c r="ZN1" s="149"/>
      <c r="ZO1" s="149"/>
      <c r="ZP1" s="149"/>
      <c r="ZQ1" s="149"/>
      <c r="ZR1" s="149"/>
      <c r="ZS1" s="149"/>
      <c r="ZT1" s="149"/>
      <c r="ZU1" s="149"/>
      <c r="ZV1" s="149"/>
      <c r="ZW1" s="149"/>
      <c r="ZX1" s="149"/>
      <c r="ZY1" s="149"/>
      <c r="ZZ1" s="149"/>
      <c r="AAA1" s="149"/>
      <c r="AAB1" s="149"/>
      <c r="AAC1" s="149"/>
      <c r="AAD1" s="149"/>
      <c r="AAE1" s="149"/>
      <c r="AAF1" s="149"/>
      <c r="AAG1" s="149"/>
      <c r="AAH1" s="149"/>
      <c r="AAI1" s="149"/>
      <c r="AAJ1" s="149"/>
      <c r="AAK1" s="149"/>
      <c r="AAL1" s="149"/>
      <c r="AAM1" s="149"/>
      <c r="AAN1" s="149"/>
      <c r="AAO1" s="149"/>
      <c r="AAP1" s="149"/>
      <c r="AAQ1" s="149"/>
      <c r="AAR1" s="149"/>
      <c r="AAS1" s="149"/>
      <c r="AAT1" s="149"/>
      <c r="AAU1" s="149"/>
      <c r="AAV1" s="149"/>
      <c r="AAW1" s="149"/>
      <c r="AAX1" s="149"/>
      <c r="AAY1" s="149"/>
      <c r="AAZ1" s="149"/>
      <c r="ABA1" s="149"/>
      <c r="ABB1" s="149"/>
      <c r="ABC1" s="149"/>
      <c r="ABD1" s="149"/>
      <c r="ABE1" s="149"/>
      <c r="ABF1" s="149"/>
      <c r="ABG1" s="149"/>
      <c r="ABH1" s="149"/>
      <c r="ABI1" s="149"/>
      <c r="ABJ1" s="149"/>
      <c r="ABK1" s="149"/>
      <c r="ABL1" s="149"/>
      <c r="ABM1" s="149"/>
      <c r="ABN1" s="149"/>
      <c r="ABO1" s="149"/>
      <c r="ABP1" s="149"/>
      <c r="ABQ1" s="149"/>
      <c r="ABR1" s="149"/>
      <c r="ABS1" s="149"/>
      <c r="ABT1" s="149"/>
      <c r="ABU1" s="149"/>
      <c r="ABV1" s="149"/>
      <c r="ABW1" s="149"/>
      <c r="ABX1" s="149"/>
      <c r="ABY1" s="149"/>
      <c r="ABZ1" s="149"/>
      <c r="ACA1" s="149"/>
      <c r="ACB1" s="149"/>
      <c r="ACC1" s="149"/>
      <c r="ACD1" s="149"/>
      <c r="ACE1" s="149"/>
      <c r="ACF1" s="149"/>
      <c r="ACG1" s="149"/>
      <c r="ACH1" s="149"/>
      <c r="ACI1" s="149"/>
      <c r="ACJ1" s="149"/>
      <c r="ACK1" s="149"/>
      <c r="ACL1" s="149"/>
      <c r="ACM1" s="149"/>
      <c r="ACN1" s="149"/>
      <c r="ACO1" s="149"/>
      <c r="ACP1" s="149"/>
      <c r="ACQ1" s="149"/>
      <c r="ACR1" s="149"/>
      <c r="ACS1" s="149"/>
      <c r="ACT1" s="149"/>
      <c r="ACU1" s="149"/>
      <c r="ACV1" s="149"/>
      <c r="ACW1" s="149"/>
      <c r="ACX1" s="149"/>
      <c r="ACY1" s="149"/>
      <c r="ACZ1" s="149"/>
      <c r="ADA1" s="149"/>
      <c r="ADB1" s="149"/>
      <c r="ADC1" s="149"/>
      <c r="ADD1" s="149"/>
      <c r="ADE1" s="149"/>
      <c r="ADF1" s="149"/>
      <c r="ADG1" s="149"/>
      <c r="ADH1" s="149"/>
      <c r="ADI1" s="149"/>
      <c r="ADJ1" s="149"/>
      <c r="ADK1" s="149"/>
      <c r="ADL1" s="149"/>
      <c r="ADM1" s="149"/>
      <c r="ADN1" s="149"/>
      <c r="ADO1" s="149"/>
      <c r="ADP1" s="149"/>
      <c r="ADQ1" s="149"/>
      <c r="ADR1" s="149"/>
      <c r="ADS1" s="149"/>
      <c r="ADT1" s="149"/>
      <c r="ADU1" s="149"/>
      <c r="ADV1" s="149"/>
      <c r="ADW1" s="149"/>
      <c r="ADX1" s="149"/>
      <c r="ADY1" s="149"/>
      <c r="ADZ1" s="149"/>
      <c r="AEA1" s="149"/>
      <c r="AEB1" s="149"/>
      <c r="AEC1" s="149"/>
      <c r="AED1" s="149"/>
      <c r="AEE1" s="149"/>
      <c r="AEF1" s="149"/>
      <c r="AEG1" s="149"/>
      <c r="AEH1" s="149"/>
      <c r="AEI1" s="149"/>
      <c r="AEJ1" s="149"/>
      <c r="AEK1" s="149"/>
      <c r="AEL1" s="149"/>
      <c r="AEM1" s="149"/>
      <c r="AEN1" s="149"/>
      <c r="AEO1" s="149"/>
      <c r="AEP1" s="149"/>
      <c r="AEQ1" s="149"/>
      <c r="AER1" s="149"/>
      <c r="AES1" s="149"/>
      <c r="AET1" s="149"/>
      <c r="AEU1" s="149"/>
      <c r="AEV1" s="149"/>
      <c r="AEW1" s="149"/>
      <c r="AEX1" s="149"/>
      <c r="AEY1" s="149"/>
      <c r="AEZ1" s="149"/>
      <c r="AFA1" s="149"/>
      <c r="AFB1" s="149"/>
      <c r="AFC1" s="149"/>
      <c r="AFD1" s="149"/>
      <c r="AFE1" s="149"/>
      <c r="AFF1" s="149"/>
      <c r="AFG1" s="149"/>
      <c r="AFH1" s="149"/>
      <c r="AFI1" s="149"/>
      <c r="AFJ1" s="149"/>
      <c r="AFK1" s="149"/>
      <c r="AFL1" s="149"/>
      <c r="AFM1" s="149"/>
      <c r="AFN1" s="149"/>
      <c r="AFO1" s="149"/>
      <c r="AFP1" s="149"/>
      <c r="AFQ1" s="149"/>
      <c r="AFR1" s="149"/>
      <c r="AFS1" s="149"/>
      <c r="AFT1" s="149"/>
      <c r="AFU1" s="149"/>
      <c r="AFV1" s="149"/>
      <c r="AFW1" s="149"/>
      <c r="AFX1" s="149"/>
      <c r="AFY1" s="149"/>
      <c r="AFZ1" s="149"/>
      <c r="AGA1" s="149"/>
      <c r="AGB1" s="149"/>
      <c r="AGC1" s="149"/>
      <c r="AGD1" s="149"/>
      <c r="AGE1" s="149"/>
      <c r="AGF1" s="149"/>
      <c r="AGG1" s="149"/>
      <c r="AGH1" s="149"/>
      <c r="AGI1" s="149"/>
      <c r="AGJ1" s="149"/>
      <c r="AGK1" s="149"/>
      <c r="AGL1" s="149"/>
      <c r="AGM1" s="149"/>
      <c r="AGN1" s="149"/>
      <c r="AGO1" s="149"/>
      <c r="AGP1" s="149"/>
      <c r="AGQ1" s="149"/>
      <c r="AGR1" s="149"/>
      <c r="AGS1" s="149"/>
      <c r="AGT1" s="149"/>
      <c r="AGU1" s="149"/>
      <c r="AGV1" s="149"/>
      <c r="AGW1" s="149"/>
      <c r="AGX1" s="149"/>
      <c r="AGY1" s="149"/>
      <c r="AGZ1" s="149"/>
      <c r="AHA1" s="149"/>
      <c r="AHB1" s="149"/>
      <c r="AHC1" s="149"/>
      <c r="AHD1" s="149"/>
      <c r="AHE1" s="149"/>
      <c r="AHF1" s="149"/>
      <c r="AHG1" s="149"/>
      <c r="AHH1" s="149"/>
      <c r="AHI1" s="149"/>
      <c r="AHJ1" s="149"/>
      <c r="AHK1" s="149"/>
      <c r="AHL1" s="149"/>
      <c r="AHM1" s="149"/>
      <c r="AHN1" s="149"/>
      <c r="AHO1" s="149"/>
      <c r="AHP1" s="149"/>
      <c r="AHQ1" s="149"/>
      <c r="AHR1" s="149"/>
      <c r="AHS1" s="149"/>
      <c r="AHT1" s="149"/>
      <c r="AHU1" s="149"/>
      <c r="AHV1" s="149"/>
      <c r="AHW1" s="149"/>
      <c r="AHX1" s="149"/>
      <c r="AHY1" s="149"/>
      <c r="AHZ1" s="149"/>
      <c r="AIA1" s="149"/>
      <c r="AIB1" s="149"/>
      <c r="AIC1" s="149"/>
      <c r="AID1" s="149"/>
      <c r="AIE1" s="149"/>
      <c r="AIF1" s="149"/>
      <c r="AIG1" s="149"/>
      <c r="AIH1" s="149"/>
      <c r="AII1" s="149"/>
      <c r="AIJ1" s="149"/>
      <c r="AIK1" s="149"/>
      <c r="AIL1" s="149"/>
      <c r="AIM1" s="149"/>
      <c r="AIN1" s="149"/>
      <c r="AIO1" s="149"/>
      <c r="AIP1" s="149"/>
      <c r="AIQ1" s="149"/>
      <c r="AIR1" s="149"/>
      <c r="AIS1" s="149"/>
      <c r="AIT1" s="149"/>
      <c r="AIU1" s="149"/>
      <c r="AIV1" s="149"/>
      <c r="AIW1" s="149"/>
      <c r="AIX1" s="149"/>
      <c r="AIY1" s="149"/>
      <c r="AIZ1" s="149"/>
      <c r="AJA1" s="149"/>
      <c r="AJB1" s="149"/>
      <c r="AJC1" s="149"/>
      <c r="AJD1" s="149"/>
      <c r="AJE1" s="149"/>
      <c r="AJF1" s="149"/>
      <c r="AJG1" s="149"/>
      <c r="AJH1" s="149"/>
      <c r="AJI1" s="149"/>
      <c r="AJJ1" s="149"/>
      <c r="AJK1" s="149"/>
      <c r="AJL1" s="149"/>
      <c r="AJM1" s="149"/>
      <c r="AJN1" s="149"/>
      <c r="AJO1" s="149"/>
      <c r="AJP1" s="149"/>
      <c r="AJQ1" s="149"/>
      <c r="AJR1" s="149"/>
      <c r="AJS1" s="149"/>
      <c r="AJT1" s="149"/>
      <c r="AJU1" s="149"/>
      <c r="AJV1" s="149"/>
      <c r="AJW1" s="149"/>
      <c r="AJX1" s="149"/>
      <c r="AJY1" s="149"/>
      <c r="AJZ1" s="149"/>
      <c r="AKA1" s="149"/>
      <c r="AKB1" s="149"/>
      <c r="AKC1" s="149"/>
      <c r="AKD1" s="149"/>
      <c r="AKE1" s="149"/>
      <c r="AKF1" s="149"/>
      <c r="AKG1" s="149"/>
      <c r="AKH1" s="149"/>
      <c r="AKI1" s="149"/>
      <c r="AKJ1" s="149"/>
      <c r="AKK1" s="149"/>
      <c r="AKL1" s="149"/>
      <c r="AKM1" s="149"/>
      <c r="AKN1" s="149"/>
      <c r="AKO1" s="149"/>
      <c r="AKP1" s="149"/>
      <c r="AKQ1" s="149"/>
      <c r="AKR1" s="149"/>
      <c r="AKS1" s="149"/>
      <c r="AKT1" s="149"/>
      <c r="AKU1" s="149"/>
      <c r="AKV1" s="149"/>
      <c r="AKW1" s="149"/>
      <c r="AKX1" s="149"/>
      <c r="AKY1" s="149"/>
      <c r="AKZ1" s="149"/>
      <c r="ALA1" s="149"/>
      <c r="ALB1" s="149"/>
      <c r="ALC1" s="149"/>
      <c r="ALD1" s="149"/>
      <c r="ALE1" s="149"/>
      <c r="ALF1" s="149"/>
      <c r="ALG1" s="149"/>
      <c r="ALH1" s="149"/>
      <c r="ALI1" s="149"/>
      <c r="ALJ1" s="149"/>
      <c r="ALK1" s="149"/>
      <c r="ALL1" s="149"/>
      <c r="ALM1" s="149"/>
      <c r="ALN1" s="149"/>
      <c r="ALO1" s="149"/>
      <c r="ALP1" s="149"/>
      <c r="ALQ1" s="149"/>
      <c r="ALR1" s="149"/>
      <c r="ALS1" s="149"/>
      <c r="ALT1" s="149"/>
      <c r="ALU1" s="149"/>
      <c r="ALV1" s="149"/>
      <c r="ALW1" s="149"/>
      <c r="ALX1" s="149"/>
      <c r="ALY1" s="149"/>
      <c r="ALZ1" s="149"/>
      <c r="AMA1" s="149"/>
      <c r="AMB1" s="149"/>
      <c r="AMC1" s="149"/>
      <c r="AMD1" s="149"/>
      <c r="AME1" s="149"/>
      <c r="AMF1" s="149"/>
      <c r="AMG1" s="149"/>
      <c r="AMH1" s="149"/>
      <c r="AMI1" s="149"/>
      <c r="AMJ1" s="149"/>
      <c r="AMK1" s="149"/>
      <c r="AML1" s="149"/>
      <c r="AMM1" s="149"/>
      <c r="AMN1" s="149"/>
      <c r="AMO1" s="149"/>
      <c r="AMP1" s="149"/>
      <c r="AMQ1" s="149"/>
      <c r="AMR1" s="149"/>
      <c r="AMS1" s="149"/>
      <c r="AMT1" s="149"/>
      <c r="AMU1" s="149"/>
      <c r="AMV1" s="149"/>
      <c r="AMW1" s="149"/>
      <c r="AMX1" s="149"/>
      <c r="AMY1" s="149"/>
      <c r="AMZ1" s="149"/>
      <c r="ANA1" s="149"/>
      <c r="ANB1" s="149"/>
      <c r="ANC1" s="149"/>
      <c r="AND1" s="149"/>
      <c r="ANE1" s="149"/>
      <c r="ANF1" s="149"/>
      <c r="ANG1" s="149"/>
      <c r="ANH1" s="149"/>
      <c r="ANI1" s="149"/>
      <c r="ANJ1" s="149"/>
      <c r="ANK1" s="149"/>
      <c r="ANL1" s="149"/>
      <c r="ANM1" s="149"/>
      <c r="ANN1" s="149"/>
      <c r="ANO1" s="149"/>
      <c r="ANP1" s="149"/>
      <c r="ANQ1" s="149"/>
      <c r="ANR1" s="149"/>
      <c r="ANS1" s="149"/>
      <c r="ANT1" s="149"/>
      <c r="ANU1" s="149"/>
      <c r="ANV1" s="149"/>
      <c r="ANW1" s="149"/>
      <c r="ANX1" s="149"/>
      <c r="ANY1" s="149"/>
      <c r="ANZ1" s="149"/>
      <c r="AOA1" s="149"/>
      <c r="AOB1" s="149"/>
      <c r="AOC1" s="149"/>
      <c r="AOD1" s="149"/>
      <c r="AOE1" s="149"/>
      <c r="AOF1" s="149"/>
      <c r="AOG1" s="149"/>
      <c r="AOH1" s="149"/>
      <c r="AOI1" s="149"/>
      <c r="AOJ1" s="149"/>
      <c r="AOK1" s="149"/>
      <c r="AOL1" s="149"/>
      <c r="AOM1" s="149"/>
      <c r="AON1" s="149"/>
      <c r="AOO1" s="149"/>
      <c r="AOP1" s="149"/>
      <c r="AOQ1" s="149"/>
      <c r="AOR1" s="149"/>
      <c r="AOS1" s="149"/>
      <c r="AOT1" s="149"/>
      <c r="AOU1" s="149"/>
      <c r="AOV1" s="149"/>
      <c r="AOW1" s="149"/>
      <c r="AOX1" s="149"/>
      <c r="AOY1" s="149"/>
      <c r="AOZ1" s="149"/>
      <c r="APA1" s="149"/>
      <c r="APB1" s="149"/>
      <c r="APC1" s="149"/>
      <c r="APD1" s="149"/>
      <c r="APE1" s="149"/>
      <c r="APF1" s="149"/>
      <c r="APG1" s="149"/>
      <c r="APH1" s="149"/>
      <c r="API1" s="149"/>
      <c r="APJ1" s="149"/>
      <c r="APK1" s="149"/>
      <c r="APL1" s="149"/>
      <c r="APM1" s="149"/>
      <c r="APN1" s="149"/>
      <c r="APO1" s="149"/>
      <c r="APP1" s="149"/>
      <c r="APQ1" s="149"/>
      <c r="APR1" s="149"/>
      <c r="APS1" s="149"/>
      <c r="APT1" s="149"/>
      <c r="APU1" s="149"/>
      <c r="APV1" s="149"/>
      <c r="APW1" s="149"/>
      <c r="APX1" s="149"/>
      <c r="APY1" s="149"/>
      <c r="APZ1" s="149"/>
      <c r="AQA1" s="149"/>
      <c r="AQB1" s="149"/>
      <c r="AQC1" s="149"/>
      <c r="AQD1" s="149"/>
      <c r="AQE1" s="149"/>
      <c r="AQF1" s="149"/>
      <c r="AQG1" s="149"/>
      <c r="AQH1" s="149"/>
      <c r="AQI1" s="149"/>
      <c r="AQJ1" s="149"/>
      <c r="AQK1" s="149"/>
      <c r="AQL1" s="149"/>
      <c r="AQM1" s="149"/>
      <c r="AQN1" s="149"/>
      <c r="AQO1" s="149"/>
      <c r="AQP1" s="149"/>
      <c r="AQQ1" s="149"/>
      <c r="AQR1" s="149"/>
      <c r="AQS1" s="149"/>
      <c r="AQT1" s="149"/>
      <c r="AQU1" s="149"/>
      <c r="AQV1" s="149"/>
      <c r="AQW1" s="149"/>
      <c r="AQX1" s="149"/>
      <c r="AQY1" s="149"/>
      <c r="AQZ1" s="149"/>
      <c r="ARA1" s="149"/>
      <c r="ARB1" s="149"/>
      <c r="ARC1" s="149"/>
      <c r="ARD1" s="149"/>
      <c r="ARE1" s="149"/>
      <c r="ARF1" s="149"/>
      <c r="ARG1" s="149"/>
      <c r="ARH1" s="149"/>
      <c r="ARI1" s="149"/>
      <c r="ARJ1" s="149"/>
      <c r="ARK1" s="149"/>
      <c r="ARL1" s="149"/>
      <c r="ARM1" s="149"/>
      <c r="ARN1" s="149"/>
      <c r="ARO1" s="149"/>
      <c r="ARP1" s="149"/>
      <c r="ARQ1" s="149"/>
      <c r="ARR1" s="149"/>
      <c r="ARS1" s="149"/>
      <c r="ART1" s="149"/>
      <c r="ARU1" s="149"/>
      <c r="ARV1" s="149"/>
      <c r="ARW1" s="149"/>
      <c r="ARX1" s="149"/>
      <c r="ARY1" s="149"/>
      <c r="ARZ1" s="149"/>
      <c r="ASA1" s="149"/>
      <c r="ASB1" s="149"/>
      <c r="ASC1" s="149"/>
      <c r="ASD1" s="149"/>
      <c r="ASE1" s="149"/>
      <c r="ASF1" s="149"/>
      <c r="ASG1" s="149"/>
      <c r="ASH1" s="149"/>
      <c r="ASI1" s="149"/>
      <c r="ASJ1" s="149"/>
      <c r="ASK1" s="149"/>
      <c r="ASL1" s="149"/>
      <c r="ASM1" s="149"/>
      <c r="ASN1" s="149"/>
      <c r="ASO1" s="149"/>
      <c r="ASP1" s="149"/>
      <c r="ASQ1" s="149"/>
      <c r="ASR1" s="149"/>
      <c r="ASS1" s="149"/>
      <c r="AST1" s="149"/>
      <c r="ASU1" s="149"/>
      <c r="ASV1" s="149"/>
      <c r="ASW1" s="149"/>
      <c r="ASX1" s="149"/>
      <c r="ASY1" s="149"/>
      <c r="ASZ1" s="149"/>
      <c r="ATA1" s="149"/>
      <c r="ATB1" s="149"/>
      <c r="ATC1" s="149"/>
      <c r="ATD1" s="149"/>
      <c r="ATE1" s="149"/>
      <c r="ATF1" s="149"/>
      <c r="ATG1" s="149"/>
      <c r="ATH1" s="149"/>
      <c r="ATI1" s="149"/>
      <c r="ATJ1" s="149"/>
      <c r="ATK1" s="149"/>
      <c r="ATL1" s="149"/>
      <c r="ATM1" s="149"/>
      <c r="ATN1" s="149"/>
      <c r="ATO1" s="149"/>
      <c r="ATP1" s="149"/>
      <c r="ATQ1" s="149"/>
      <c r="ATR1" s="149"/>
      <c r="ATS1" s="149"/>
      <c r="ATT1" s="149"/>
      <c r="ATU1" s="149"/>
      <c r="ATV1" s="149"/>
      <c r="ATW1" s="149"/>
      <c r="ATX1" s="149"/>
      <c r="ATY1" s="149"/>
      <c r="ATZ1" s="149"/>
      <c r="AUA1" s="149"/>
      <c r="AUB1" s="149"/>
      <c r="AUC1" s="149"/>
      <c r="AUD1" s="149"/>
      <c r="AUE1" s="149"/>
      <c r="AUF1" s="149"/>
      <c r="AUG1" s="149"/>
      <c r="AUH1" s="149"/>
      <c r="AUI1" s="149"/>
      <c r="AUJ1" s="149"/>
      <c r="AUK1" s="149"/>
      <c r="AUL1" s="149"/>
      <c r="AUM1" s="149"/>
      <c r="AUN1" s="149"/>
      <c r="AUO1" s="149"/>
      <c r="AUP1" s="149"/>
      <c r="AUQ1" s="149"/>
      <c r="AUR1" s="149"/>
      <c r="AUS1" s="149"/>
      <c r="AUT1" s="149"/>
      <c r="AUU1" s="149"/>
      <c r="AUV1" s="149"/>
      <c r="AUW1" s="149"/>
      <c r="AUX1" s="149"/>
      <c r="AUY1" s="149"/>
      <c r="AUZ1" s="149"/>
      <c r="AVA1" s="149"/>
      <c r="AVB1" s="149"/>
      <c r="AVC1" s="149"/>
      <c r="AVD1" s="149"/>
      <c r="AVE1" s="149"/>
      <c r="AVF1" s="149"/>
      <c r="AVG1" s="149"/>
      <c r="AVH1" s="149"/>
      <c r="AVI1" s="149"/>
      <c r="AVJ1" s="149"/>
      <c r="AVK1" s="149"/>
      <c r="AVL1" s="149"/>
      <c r="AVM1" s="149"/>
      <c r="AVN1" s="149"/>
      <c r="AVO1" s="149"/>
      <c r="AVP1" s="149"/>
      <c r="AVQ1" s="149"/>
      <c r="AVR1" s="149"/>
      <c r="AVS1" s="149"/>
      <c r="AVT1" s="149"/>
      <c r="AVU1" s="149"/>
      <c r="AVV1" s="149"/>
      <c r="AVW1" s="149"/>
      <c r="AVX1" s="149"/>
      <c r="AVY1" s="149"/>
      <c r="AVZ1" s="149"/>
      <c r="AWA1" s="149"/>
      <c r="AWB1" s="149"/>
      <c r="AWC1" s="149"/>
      <c r="AWD1" s="149"/>
      <c r="AWE1" s="149"/>
      <c r="AWF1" s="149"/>
      <c r="AWG1" s="149"/>
      <c r="AWH1" s="149"/>
      <c r="AWI1" s="149"/>
      <c r="AWJ1" s="149"/>
      <c r="AWK1" s="149"/>
      <c r="AWL1" s="149"/>
      <c r="AWM1" s="149"/>
      <c r="AWN1" s="149"/>
      <c r="AWO1" s="149"/>
      <c r="AWP1" s="149"/>
      <c r="AWQ1" s="149"/>
      <c r="AWR1" s="149"/>
      <c r="AWS1" s="149"/>
      <c r="AWT1" s="149"/>
      <c r="AWU1" s="149"/>
      <c r="AWV1" s="149"/>
      <c r="AWW1" s="149"/>
      <c r="AWX1" s="149"/>
      <c r="AWY1" s="149"/>
      <c r="AWZ1" s="149"/>
      <c r="AXA1" s="149"/>
      <c r="AXB1" s="149"/>
      <c r="AXC1" s="149"/>
      <c r="AXD1" s="149"/>
      <c r="AXE1" s="149"/>
      <c r="AXF1" s="149"/>
      <c r="AXG1" s="149"/>
      <c r="AXH1" s="149"/>
      <c r="AXI1" s="149"/>
      <c r="AXJ1" s="149"/>
      <c r="AXK1" s="149"/>
      <c r="AXL1" s="149"/>
      <c r="AXM1" s="149"/>
      <c r="AXN1" s="149"/>
      <c r="AXO1" s="149"/>
      <c r="AXP1" s="149"/>
      <c r="AXQ1" s="149"/>
      <c r="AXR1" s="149"/>
      <c r="AXS1" s="149"/>
      <c r="AXT1" s="149"/>
      <c r="AXU1" s="149"/>
      <c r="AXV1" s="149"/>
      <c r="AXW1" s="149"/>
      <c r="AXX1" s="149"/>
      <c r="AXY1" s="149"/>
      <c r="AXZ1" s="149"/>
      <c r="AYA1" s="149"/>
      <c r="AYB1" s="149"/>
      <c r="AYC1" s="149"/>
      <c r="AYD1" s="149"/>
      <c r="AYE1" s="149"/>
      <c r="AYF1" s="149"/>
      <c r="AYG1" s="149"/>
      <c r="AYH1" s="149"/>
      <c r="AYI1" s="149"/>
      <c r="AYJ1" s="149"/>
      <c r="AYK1" s="149"/>
      <c r="AYL1" s="149"/>
      <c r="AYM1" s="149"/>
      <c r="AYN1" s="149"/>
      <c r="AYO1" s="149"/>
      <c r="AYP1" s="149"/>
      <c r="AYQ1" s="149"/>
      <c r="AYR1" s="149"/>
      <c r="AYS1" s="149"/>
      <c r="AYT1" s="149"/>
      <c r="AYU1" s="149"/>
      <c r="AYV1" s="149"/>
      <c r="AYW1" s="149"/>
      <c r="AYX1" s="149"/>
      <c r="AYY1" s="149"/>
      <c r="AYZ1" s="149"/>
      <c r="AZA1" s="149"/>
      <c r="AZB1" s="149"/>
      <c r="AZC1" s="149"/>
      <c r="AZD1" s="149"/>
      <c r="AZE1" s="149"/>
      <c r="AZF1" s="149"/>
      <c r="AZG1" s="149"/>
      <c r="AZH1" s="149"/>
      <c r="AZI1" s="149"/>
      <c r="AZJ1" s="149"/>
      <c r="AZK1" s="149"/>
      <c r="AZL1" s="149"/>
      <c r="AZM1" s="149"/>
      <c r="AZN1" s="149"/>
      <c r="AZO1" s="149"/>
      <c r="AZP1" s="149"/>
      <c r="AZQ1" s="149"/>
      <c r="AZR1" s="149"/>
      <c r="AZS1" s="149"/>
      <c r="AZT1" s="149"/>
      <c r="AZU1" s="149"/>
      <c r="AZV1" s="149"/>
      <c r="AZW1" s="149"/>
      <c r="AZX1" s="149"/>
      <c r="AZY1" s="149"/>
      <c r="AZZ1" s="149"/>
      <c r="BAA1" s="149"/>
      <c r="BAB1" s="149"/>
      <c r="BAC1" s="149"/>
      <c r="BAD1" s="149"/>
      <c r="BAE1" s="149"/>
      <c r="BAF1" s="149"/>
      <c r="BAG1" s="149"/>
      <c r="BAH1" s="149"/>
      <c r="BAI1" s="149"/>
      <c r="BAJ1" s="149"/>
      <c r="BAK1" s="149"/>
      <c r="BAL1" s="149"/>
      <c r="BAM1" s="149"/>
      <c r="BAN1" s="149"/>
      <c r="BAO1" s="149"/>
      <c r="BAP1" s="149"/>
      <c r="BAQ1" s="149"/>
      <c r="BAR1" s="149"/>
      <c r="BAS1" s="149"/>
      <c r="BAT1" s="149"/>
      <c r="BAU1" s="149"/>
      <c r="BAV1" s="149"/>
      <c r="BAW1" s="149"/>
      <c r="BAX1" s="149"/>
      <c r="BAY1" s="149"/>
      <c r="BAZ1" s="149"/>
      <c r="BBA1" s="149"/>
      <c r="BBB1" s="149"/>
      <c r="BBC1" s="149"/>
      <c r="BBD1" s="149"/>
      <c r="BBE1" s="149"/>
      <c r="BBF1" s="149"/>
      <c r="BBG1" s="149"/>
      <c r="BBH1" s="149"/>
      <c r="BBI1" s="149"/>
      <c r="BBJ1" s="149"/>
      <c r="BBK1" s="149"/>
      <c r="BBL1" s="149"/>
      <c r="BBM1" s="149"/>
      <c r="BBN1" s="149"/>
      <c r="BBO1" s="149"/>
      <c r="BBP1" s="149"/>
      <c r="BBQ1" s="149"/>
      <c r="BBR1" s="149"/>
      <c r="BBS1" s="149"/>
      <c r="BBT1" s="149"/>
      <c r="BBU1" s="149"/>
      <c r="BBV1" s="149"/>
      <c r="BBW1" s="149"/>
      <c r="BBX1" s="149"/>
      <c r="BBY1" s="149"/>
      <c r="BBZ1" s="149"/>
      <c r="BCA1" s="149"/>
      <c r="BCB1" s="149"/>
      <c r="BCC1" s="149"/>
      <c r="BCD1" s="149"/>
      <c r="BCE1" s="149"/>
      <c r="BCF1" s="149"/>
      <c r="BCG1" s="149"/>
      <c r="BCH1" s="149"/>
      <c r="BCI1" s="149"/>
      <c r="BCJ1" s="149"/>
      <c r="BCK1" s="149"/>
      <c r="BCL1" s="149"/>
      <c r="BCM1" s="149"/>
      <c r="BCN1" s="149"/>
      <c r="BCO1" s="149"/>
      <c r="BCP1" s="149"/>
      <c r="BCQ1" s="149"/>
      <c r="BCR1" s="149"/>
      <c r="BCS1" s="149"/>
      <c r="BCT1" s="149"/>
      <c r="BCU1" s="149"/>
      <c r="BCV1" s="149"/>
      <c r="BCW1" s="149"/>
      <c r="BCX1" s="149"/>
      <c r="BCY1" s="149"/>
      <c r="BCZ1" s="149"/>
      <c r="BDA1" s="149"/>
      <c r="BDB1" s="149"/>
      <c r="BDC1" s="149"/>
      <c r="BDD1" s="149"/>
      <c r="BDE1" s="149"/>
      <c r="BDF1" s="149"/>
      <c r="BDG1" s="149"/>
      <c r="BDH1" s="149"/>
      <c r="BDI1" s="149"/>
      <c r="BDJ1" s="149"/>
      <c r="BDK1" s="149"/>
      <c r="BDL1" s="149"/>
      <c r="BDM1" s="149"/>
      <c r="BDN1" s="149"/>
      <c r="BDO1" s="149"/>
      <c r="BDP1" s="149"/>
      <c r="BDQ1" s="149"/>
      <c r="BDR1" s="149"/>
      <c r="BDS1" s="149"/>
      <c r="BDT1" s="149"/>
      <c r="BDU1" s="149"/>
      <c r="BDV1" s="149"/>
      <c r="BDW1" s="149"/>
      <c r="BDX1" s="149"/>
      <c r="BDY1" s="149"/>
      <c r="BDZ1" s="149"/>
      <c r="BEA1" s="149"/>
      <c r="BEB1" s="149"/>
      <c r="BEC1" s="149"/>
      <c r="BED1" s="149"/>
      <c r="BEE1" s="149"/>
      <c r="BEF1" s="149"/>
      <c r="BEG1" s="149"/>
      <c r="BEH1" s="149"/>
      <c r="BEI1" s="149"/>
      <c r="BEJ1" s="149"/>
      <c r="BEK1" s="149"/>
      <c r="BEL1" s="149"/>
      <c r="BEM1" s="149"/>
      <c r="BEN1" s="149"/>
      <c r="BEO1" s="149"/>
      <c r="BEP1" s="149"/>
      <c r="BEQ1" s="149"/>
      <c r="BER1" s="149"/>
      <c r="BES1" s="149"/>
      <c r="BET1" s="149"/>
      <c r="BEU1" s="149"/>
      <c r="BEV1" s="149"/>
      <c r="BEW1" s="149"/>
      <c r="BEX1" s="149"/>
      <c r="BEY1" s="149"/>
      <c r="BEZ1" s="149"/>
      <c r="BFA1" s="149"/>
      <c r="BFB1" s="149"/>
      <c r="BFC1" s="149"/>
      <c r="BFD1" s="149"/>
      <c r="BFE1" s="149"/>
      <c r="BFF1" s="149"/>
      <c r="BFG1" s="149"/>
      <c r="BFH1" s="149"/>
      <c r="BFI1" s="149"/>
      <c r="BFJ1" s="149"/>
      <c r="BFK1" s="149"/>
      <c r="BFL1" s="149"/>
      <c r="BFM1" s="149"/>
      <c r="BFN1" s="149"/>
      <c r="BFO1" s="149"/>
      <c r="BFP1" s="149"/>
      <c r="BFQ1" s="149"/>
      <c r="BFR1" s="149"/>
      <c r="BFS1" s="149"/>
      <c r="BFT1" s="149"/>
      <c r="BFU1" s="149"/>
      <c r="BFV1" s="149"/>
      <c r="BFW1" s="149"/>
      <c r="BFX1" s="149"/>
      <c r="BFY1" s="149"/>
      <c r="BFZ1" s="149"/>
      <c r="BGA1" s="149"/>
      <c r="BGB1" s="149"/>
      <c r="BGC1" s="149"/>
      <c r="BGD1" s="149"/>
      <c r="BGE1" s="149"/>
      <c r="BGF1" s="149"/>
      <c r="BGG1" s="149"/>
      <c r="BGH1" s="149"/>
      <c r="BGI1" s="149"/>
      <c r="BGJ1" s="149"/>
      <c r="BGK1" s="149"/>
      <c r="BGL1" s="149"/>
      <c r="BGM1" s="149"/>
      <c r="BGN1" s="149"/>
      <c r="BGO1" s="149"/>
      <c r="BGP1" s="149"/>
      <c r="BGQ1" s="149"/>
      <c r="BGR1" s="149"/>
      <c r="BGS1" s="149"/>
      <c r="BGT1" s="149"/>
      <c r="BGU1" s="149"/>
      <c r="BGV1" s="149"/>
      <c r="BGW1" s="149"/>
      <c r="BGX1" s="149"/>
      <c r="BGY1" s="149"/>
      <c r="BGZ1" s="149"/>
      <c r="BHA1" s="149"/>
      <c r="BHB1" s="149"/>
      <c r="BHC1" s="149"/>
      <c r="BHD1" s="149"/>
      <c r="BHE1" s="149"/>
      <c r="BHF1" s="149"/>
      <c r="BHG1" s="149"/>
      <c r="BHH1" s="149"/>
      <c r="BHI1" s="149"/>
      <c r="BHJ1" s="149"/>
      <c r="BHK1" s="149"/>
      <c r="BHL1" s="149"/>
      <c r="BHM1" s="149"/>
      <c r="BHN1" s="149"/>
      <c r="BHO1" s="149"/>
      <c r="BHP1" s="149"/>
      <c r="BHQ1" s="149"/>
      <c r="BHR1" s="149"/>
      <c r="BHS1" s="149"/>
      <c r="BHT1" s="149"/>
      <c r="BHU1" s="149"/>
      <c r="BHV1" s="149"/>
      <c r="BHW1" s="149"/>
      <c r="BHX1" s="149"/>
      <c r="BHY1" s="149"/>
      <c r="BHZ1" s="149"/>
      <c r="BIA1" s="149"/>
      <c r="BIB1" s="149"/>
      <c r="BIC1" s="149"/>
      <c r="BID1" s="149"/>
      <c r="BIE1" s="149"/>
      <c r="BIF1" s="149"/>
      <c r="BIG1" s="149"/>
      <c r="BIH1" s="149"/>
      <c r="BII1" s="149"/>
      <c r="BIJ1" s="149"/>
      <c r="BIK1" s="149"/>
      <c r="BIL1" s="149"/>
      <c r="BIM1" s="149"/>
      <c r="BIN1" s="149"/>
      <c r="BIO1" s="149"/>
      <c r="BIP1" s="149"/>
      <c r="BIQ1" s="149"/>
      <c r="BIR1" s="149"/>
      <c r="BIS1" s="149"/>
      <c r="BIT1" s="149"/>
      <c r="BIU1" s="149"/>
      <c r="BIV1" s="149"/>
      <c r="BIW1" s="149"/>
      <c r="BIX1" s="149"/>
      <c r="BIY1" s="149"/>
      <c r="BIZ1" s="149"/>
      <c r="BJA1" s="149"/>
      <c r="BJB1" s="149"/>
      <c r="BJC1" s="149"/>
      <c r="BJD1" s="149"/>
      <c r="BJE1" s="149"/>
      <c r="BJF1" s="149"/>
      <c r="BJG1" s="149"/>
      <c r="BJH1" s="149"/>
      <c r="BJI1" s="149"/>
      <c r="BJJ1" s="149"/>
      <c r="BJK1" s="149"/>
      <c r="BJL1" s="149"/>
      <c r="BJM1" s="149"/>
      <c r="BJN1" s="149"/>
      <c r="BJO1" s="149"/>
      <c r="BJP1" s="149"/>
      <c r="BJQ1" s="149"/>
      <c r="BJR1" s="149"/>
      <c r="BJS1" s="149"/>
      <c r="BJT1" s="149"/>
      <c r="BJU1" s="149"/>
      <c r="BJV1" s="149"/>
      <c r="BJW1" s="149"/>
      <c r="BJX1" s="149"/>
      <c r="BJY1" s="149"/>
      <c r="BJZ1" s="149"/>
      <c r="BKA1" s="149"/>
      <c r="BKB1" s="149"/>
      <c r="BKC1" s="149"/>
      <c r="BKD1" s="149"/>
      <c r="BKE1" s="149"/>
      <c r="BKF1" s="149"/>
      <c r="BKG1" s="149"/>
      <c r="BKH1" s="149"/>
      <c r="BKI1" s="149"/>
      <c r="BKJ1" s="149"/>
      <c r="BKK1" s="149"/>
      <c r="BKL1" s="149"/>
      <c r="BKM1" s="149"/>
      <c r="BKN1" s="149"/>
      <c r="BKO1" s="149"/>
      <c r="BKP1" s="149"/>
      <c r="BKQ1" s="149"/>
      <c r="BKR1" s="149"/>
      <c r="BKS1" s="149"/>
      <c r="BKT1" s="149"/>
      <c r="BKU1" s="149"/>
      <c r="BKV1" s="149"/>
      <c r="BKW1" s="149"/>
      <c r="BKX1" s="149"/>
      <c r="BKY1" s="149"/>
      <c r="BKZ1" s="149"/>
      <c r="BLA1" s="149"/>
      <c r="BLB1" s="149"/>
      <c r="BLC1" s="149"/>
      <c r="BLD1" s="149"/>
      <c r="BLE1" s="149"/>
      <c r="BLF1" s="149"/>
      <c r="BLG1" s="149"/>
      <c r="BLH1" s="149"/>
      <c r="BLI1" s="149"/>
      <c r="BLJ1" s="149"/>
      <c r="BLK1" s="149"/>
      <c r="BLL1" s="149"/>
      <c r="BLM1" s="149"/>
      <c r="BLN1" s="149"/>
      <c r="BLO1" s="149"/>
      <c r="BLP1" s="149"/>
      <c r="BLQ1" s="149"/>
      <c r="BLR1" s="149"/>
      <c r="BLS1" s="149"/>
      <c r="BLT1" s="149"/>
      <c r="BLU1" s="149"/>
      <c r="BLV1" s="149"/>
      <c r="BLW1" s="149"/>
      <c r="BLX1" s="149"/>
      <c r="BLY1" s="149"/>
      <c r="BLZ1" s="149"/>
      <c r="BMA1" s="149"/>
      <c r="BMB1" s="149"/>
      <c r="BMC1" s="149"/>
      <c r="BMD1" s="149"/>
      <c r="BME1" s="149"/>
      <c r="BMF1" s="149"/>
      <c r="BMG1" s="149"/>
      <c r="BMH1" s="149"/>
      <c r="BMI1" s="149"/>
      <c r="BMJ1" s="149"/>
      <c r="BMK1" s="149"/>
      <c r="BML1" s="149"/>
      <c r="BMM1" s="149"/>
      <c r="BMN1" s="149"/>
      <c r="BMO1" s="149"/>
      <c r="BMP1" s="149"/>
      <c r="BMQ1" s="149"/>
      <c r="BMR1" s="149"/>
      <c r="BMS1" s="149"/>
      <c r="BMT1" s="149"/>
      <c r="BMU1" s="149"/>
      <c r="BMV1" s="149"/>
      <c r="BMW1" s="149"/>
      <c r="BMX1" s="149"/>
      <c r="BMY1" s="149"/>
      <c r="BMZ1" s="149"/>
      <c r="BNA1" s="149"/>
      <c r="BNB1" s="149"/>
      <c r="BNC1" s="149"/>
      <c r="BND1" s="149"/>
      <c r="BNE1" s="149"/>
      <c r="BNF1" s="149"/>
      <c r="BNG1" s="149"/>
      <c r="BNH1" s="149"/>
      <c r="BNI1" s="149"/>
      <c r="BNJ1" s="149"/>
      <c r="BNK1" s="149"/>
      <c r="BNL1" s="149"/>
      <c r="BNM1" s="149"/>
      <c r="BNN1" s="149"/>
      <c r="BNO1" s="149"/>
      <c r="BNP1" s="149"/>
      <c r="BNQ1" s="149"/>
      <c r="BNR1" s="149"/>
      <c r="BNS1" s="149"/>
      <c r="BNT1" s="149"/>
      <c r="BNU1" s="149"/>
      <c r="BNV1" s="149"/>
      <c r="BNW1" s="149"/>
      <c r="BNX1" s="149"/>
      <c r="BNY1" s="149"/>
      <c r="BNZ1" s="149"/>
      <c r="BOA1" s="149"/>
      <c r="BOB1" s="149"/>
      <c r="BOC1" s="149"/>
      <c r="BOD1" s="149"/>
      <c r="BOE1" s="149"/>
      <c r="BOF1" s="149"/>
      <c r="BOG1" s="149"/>
      <c r="BOH1" s="149"/>
      <c r="BOI1" s="149"/>
      <c r="BOJ1" s="149"/>
      <c r="BOK1" s="149"/>
      <c r="BOL1" s="149"/>
      <c r="BOM1" s="149"/>
      <c r="BON1" s="149"/>
      <c r="BOO1" s="149"/>
      <c r="BOP1" s="149"/>
      <c r="BOQ1" s="149"/>
      <c r="BOR1" s="149"/>
      <c r="BOS1" s="149"/>
      <c r="BOT1" s="149"/>
      <c r="BOU1" s="149"/>
      <c r="BOV1" s="149"/>
      <c r="BOW1" s="149"/>
      <c r="BOX1" s="149"/>
      <c r="BOY1" s="149"/>
      <c r="BOZ1" s="149"/>
      <c r="BPA1" s="149"/>
      <c r="BPB1" s="149"/>
      <c r="BPC1" s="149"/>
      <c r="BPD1" s="149"/>
      <c r="BPE1" s="149"/>
      <c r="BPF1" s="149"/>
      <c r="BPG1" s="149"/>
      <c r="BPH1" s="149"/>
      <c r="BPI1" s="149"/>
      <c r="BPJ1" s="149"/>
      <c r="BPK1" s="149"/>
      <c r="BPL1" s="149"/>
      <c r="BPM1" s="149"/>
      <c r="BPN1" s="149"/>
      <c r="BPO1" s="149"/>
      <c r="BPP1" s="149"/>
      <c r="BPQ1" s="149"/>
      <c r="BPR1" s="149"/>
      <c r="BPS1" s="149"/>
      <c r="BPT1" s="149"/>
      <c r="BPU1" s="149"/>
      <c r="BPV1" s="149"/>
      <c r="BPW1" s="149"/>
      <c r="BPX1" s="149"/>
      <c r="BPY1" s="149"/>
      <c r="BPZ1" s="149"/>
      <c r="BQA1" s="149"/>
      <c r="BQB1" s="149"/>
      <c r="BQC1" s="149"/>
      <c r="BQD1" s="149"/>
      <c r="BQE1" s="149"/>
      <c r="BQF1" s="149"/>
      <c r="BQG1" s="149"/>
      <c r="BQH1" s="149"/>
      <c r="BQI1" s="149"/>
      <c r="BQJ1" s="149"/>
      <c r="BQK1" s="149"/>
      <c r="BQL1" s="149"/>
      <c r="BQM1" s="149"/>
      <c r="BQN1" s="149"/>
      <c r="BQO1" s="149"/>
      <c r="BQP1" s="149"/>
      <c r="BQQ1" s="149"/>
      <c r="BQR1" s="149"/>
      <c r="BQS1" s="149"/>
      <c r="BQT1" s="149"/>
      <c r="BQU1" s="149"/>
      <c r="BQV1" s="149"/>
      <c r="BQW1" s="149"/>
      <c r="BQX1" s="149"/>
      <c r="BQY1" s="149"/>
      <c r="BQZ1" s="149"/>
      <c r="BRA1" s="149"/>
      <c r="BRB1" s="149"/>
      <c r="BRC1" s="149"/>
      <c r="BRD1" s="149"/>
      <c r="BRE1" s="149"/>
      <c r="BRF1" s="149"/>
      <c r="BRG1" s="149"/>
      <c r="BRH1" s="149"/>
      <c r="BRI1" s="149"/>
      <c r="BRJ1" s="149"/>
      <c r="BRK1" s="149"/>
      <c r="BRL1" s="149"/>
      <c r="BRM1" s="149"/>
      <c r="BRN1" s="149"/>
      <c r="BRO1" s="149"/>
      <c r="BRP1" s="149"/>
      <c r="BRQ1" s="149"/>
      <c r="BRR1" s="149"/>
      <c r="BRS1" s="149"/>
      <c r="BRT1" s="149"/>
      <c r="BRU1" s="149"/>
      <c r="BRV1" s="149"/>
      <c r="BRW1" s="149"/>
      <c r="BRX1" s="149"/>
      <c r="BRY1" s="149"/>
      <c r="BRZ1" s="149"/>
      <c r="BSA1" s="149"/>
      <c r="BSB1" s="149"/>
      <c r="BSC1" s="149"/>
      <c r="BSD1" s="149"/>
      <c r="BSE1" s="149"/>
      <c r="BSF1" s="149"/>
      <c r="BSG1" s="149"/>
      <c r="BSH1" s="149"/>
      <c r="BSI1" s="149"/>
      <c r="BSJ1" s="149"/>
      <c r="BSK1" s="149"/>
      <c r="BSL1" s="149"/>
      <c r="BSM1" s="149"/>
      <c r="BSN1" s="149"/>
      <c r="BSO1" s="149"/>
      <c r="BSP1" s="149"/>
      <c r="BSQ1" s="149"/>
      <c r="BSR1" s="149"/>
      <c r="BSS1" s="149"/>
      <c r="BST1" s="149"/>
      <c r="BSU1" s="149"/>
      <c r="BSV1" s="149"/>
      <c r="BSW1" s="149"/>
      <c r="BSX1" s="149"/>
      <c r="BSY1" s="149"/>
      <c r="BSZ1" s="149"/>
      <c r="BTA1" s="149"/>
      <c r="BTB1" s="149"/>
      <c r="BTC1" s="149"/>
      <c r="BTD1" s="149"/>
      <c r="BTE1" s="149"/>
      <c r="BTF1" s="149"/>
      <c r="BTG1" s="149"/>
      <c r="BTH1" s="149"/>
      <c r="BTI1" s="149"/>
      <c r="BTJ1" s="149"/>
      <c r="BTK1" s="149"/>
      <c r="BTL1" s="149"/>
      <c r="BTM1" s="149"/>
      <c r="BTN1" s="149"/>
      <c r="BTO1" s="149"/>
      <c r="BTP1" s="149"/>
      <c r="BTQ1" s="149"/>
      <c r="BTR1" s="149"/>
      <c r="BTS1" s="149"/>
      <c r="BTT1" s="149"/>
      <c r="BTU1" s="149"/>
      <c r="BTV1" s="149"/>
      <c r="BTW1" s="149"/>
      <c r="BTX1" s="149"/>
      <c r="BTY1" s="149"/>
      <c r="BTZ1" s="149"/>
      <c r="BUA1" s="149"/>
      <c r="BUB1" s="149"/>
      <c r="BUC1" s="149"/>
      <c r="BUD1" s="149"/>
      <c r="BUE1" s="149"/>
      <c r="BUF1" s="149"/>
      <c r="BUG1" s="149"/>
      <c r="BUH1" s="149"/>
      <c r="BUI1" s="149"/>
      <c r="BUJ1" s="149"/>
      <c r="BUK1" s="149"/>
      <c r="BUL1" s="149"/>
      <c r="BUM1" s="149"/>
      <c r="BUN1" s="149"/>
      <c r="BUO1" s="149"/>
      <c r="BUP1" s="149"/>
      <c r="BUQ1" s="149"/>
      <c r="BUR1" s="149"/>
      <c r="BUS1" s="149"/>
      <c r="BUT1" s="149"/>
      <c r="BUU1" s="149"/>
      <c r="BUV1" s="149"/>
      <c r="BUW1" s="149"/>
      <c r="BUX1" s="149"/>
      <c r="BUY1" s="149"/>
      <c r="BUZ1" s="149"/>
      <c r="BVA1" s="149"/>
      <c r="BVB1" s="149"/>
      <c r="BVC1" s="149"/>
      <c r="BVD1" s="149"/>
      <c r="BVE1" s="149"/>
      <c r="BVF1" s="149"/>
      <c r="BVG1" s="149"/>
      <c r="BVH1" s="149"/>
      <c r="BVI1" s="149"/>
      <c r="BVJ1" s="149"/>
      <c r="BVK1" s="149"/>
      <c r="BVL1" s="149"/>
      <c r="BVM1" s="149"/>
      <c r="BVN1" s="149"/>
      <c r="BVO1" s="149"/>
      <c r="BVP1" s="149"/>
      <c r="BVQ1" s="149"/>
      <c r="BVR1" s="149"/>
      <c r="BVS1" s="149"/>
      <c r="BVT1" s="149"/>
      <c r="BVU1" s="149"/>
      <c r="BVV1" s="149"/>
      <c r="BVW1" s="149"/>
      <c r="BVX1" s="149"/>
      <c r="BVY1" s="149"/>
      <c r="BVZ1" s="149"/>
      <c r="BWA1" s="149"/>
      <c r="BWB1" s="149"/>
      <c r="BWC1" s="149"/>
      <c r="BWD1" s="149"/>
      <c r="BWE1" s="149"/>
      <c r="BWF1" s="149"/>
      <c r="BWG1" s="149"/>
      <c r="BWH1" s="149"/>
      <c r="BWI1" s="149"/>
      <c r="BWJ1" s="149"/>
      <c r="BWK1" s="149"/>
      <c r="BWL1" s="149"/>
      <c r="BWM1" s="149"/>
      <c r="BWN1" s="149"/>
      <c r="BWO1" s="149"/>
      <c r="BWP1" s="149"/>
      <c r="BWQ1" s="149"/>
      <c r="BWR1" s="149"/>
      <c r="BWS1" s="149"/>
      <c r="BWT1" s="149"/>
      <c r="BWU1" s="149"/>
      <c r="BWV1" s="149"/>
      <c r="BWW1" s="149"/>
      <c r="BWX1" s="149"/>
      <c r="BWY1" s="149"/>
      <c r="BWZ1" s="149"/>
      <c r="BXA1" s="149"/>
      <c r="BXB1" s="149"/>
      <c r="BXC1" s="149"/>
      <c r="BXD1" s="149"/>
      <c r="BXE1" s="149"/>
      <c r="BXF1" s="149"/>
      <c r="BXG1" s="149"/>
      <c r="BXH1" s="149"/>
      <c r="BXI1" s="149"/>
      <c r="BXJ1" s="149"/>
      <c r="BXK1" s="149"/>
      <c r="BXL1" s="149"/>
      <c r="BXM1" s="149"/>
      <c r="BXN1" s="149"/>
      <c r="BXO1" s="149"/>
      <c r="BXP1" s="149"/>
      <c r="BXQ1" s="149"/>
      <c r="BXR1" s="149"/>
      <c r="BXS1" s="149"/>
      <c r="BXT1" s="149"/>
      <c r="BXU1" s="149"/>
      <c r="BXV1" s="149"/>
      <c r="BXW1" s="149"/>
      <c r="BXX1" s="149"/>
      <c r="BXY1" s="149"/>
      <c r="BXZ1" s="149"/>
      <c r="BYA1" s="149"/>
      <c r="BYB1" s="149"/>
      <c r="BYC1" s="149"/>
      <c r="BYD1" s="149"/>
      <c r="BYE1" s="149"/>
      <c r="BYF1" s="149"/>
      <c r="BYG1" s="149"/>
      <c r="BYH1" s="149"/>
      <c r="BYI1" s="149"/>
      <c r="BYJ1" s="149"/>
      <c r="BYK1" s="149"/>
      <c r="BYL1" s="149"/>
      <c r="BYM1" s="149"/>
      <c r="BYN1" s="149"/>
      <c r="BYO1" s="149"/>
      <c r="BYP1" s="149"/>
      <c r="BYQ1" s="149"/>
      <c r="BYR1" s="149"/>
      <c r="BYS1" s="149"/>
      <c r="BYT1" s="149"/>
      <c r="BYU1" s="149"/>
      <c r="BYV1" s="149"/>
      <c r="BYW1" s="149"/>
      <c r="BYX1" s="149"/>
      <c r="BYY1" s="149"/>
      <c r="BYZ1" s="149"/>
      <c r="BZA1" s="149"/>
      <c r="BZB1" s="149"/>
      <c r="BZC1" s="149"/>
      <c r="BZD1" s="149"/>
      <c r="BZE1" s="149"/>
      <c r="BZF1" s="149"/>
      <c r="BZG1" s="149"/>
      <c r="BZH1" s="149"/>
      <c r="BZI1" s="149"/>
      <c r="BZJ1" s="149"/>
      <c r="BZK1" s="149"/>
      <c r="BZL1" s="149"/>
      <c r="BZM1" s="149"/>
      <c r="BZN1" s="149"/>
      <c r="BZO1" s="149"/>
      <c r="BZP1" s="149"/>
      <c r="BZQ1" s="149"/>
      <c r="BZR1" s="149"/>
      <c r="BZS1" s="149"/>
      <c r="BZT1" s="149"/>
      <c r="BZU1" s="149"/>
      <c r="BZV1" s="149"/>
      <c r="BZW1" s="149"/>
      <c r="BZX1" s="149"/>
      <c r="BZY1" s="149"/>
      <c r="BZZ1" s="149"/>
      <c r="CAA1" s="149"/>
      <c r="CAB1" s="149"/>
      <c r="CAC1" s="149"/>
      <c r="CAD1" s="149"/>
      <c r="CAE1" s="149"/>
      <c r="CAF1" s="149"/>
      <c r="CAG1" s="149"/>
      <c r="CAH1" s="149"/>
      <c r="CAI1" s="149"/>
      <c r="CAJ1" s="149"/>
      <c r="CAK1" s="149"/>
      <c r="CAL1" s="149"/>
      <c r="CAM1" s="149"/>
      <c r="CAN1" s="149"/>
      <c r="CAO1" s="149"/>
      <c r="CAP1" s="149"/>
      <c r="CAQ1" s="149"/>
      <c r="CAR1" s="149"/>
      <c r="CAS1" s="149"/>
      <c r="CAT1" s="149"/>
      <c r="CAU1" s="149"/>
      <c r="CAV1" s="149"/>
      <c r="CAW1" s="149"/>
      <c r="CAX1" s="149"/>
      <c r="CAY1" s="149"/>
      <c r="CAZ1" s="149"/>
      <c r="CBA1" s="149"/>
      <c r="CBB1" s="149"/>
      <c r="CBC1" s="149"/>
      <c r="CBD1" s="149"/>
      <c r="CBE1" s="149"/>
      <c r="CBF1" s="149"/>
      <c r="CBG1" s="149"/>
      <c r="CBH1" s="149"/>
      <c r="CBI1" s="149"/>
      <c r="CBJ1" s="149"/>
      <c r="CBK1" s="149"/>
      <c r="CBL1" s="149"/>
      <c r="CBM1" s="149"/>
      <c r="CBN1" s="149"/>
      <c r="CBO1" s="149"/>
      <c r="CBP1" s="149"/>
      <c r="CBQ1" s="149"/>
      <c r="CBR1" s="149"/>
      <c r="CBS1" s="149"/>
      <c r="CBT1" s="149"/>
      <c r="CBU1" s="149"/>
      <c r="CBV1" s="149"/>
      <c r="CBW1" s="149"/>
      <c r="CBX1" s="149"/>
      <c r="CBY1" s="149"/>
      <c r="CBZ1" s="149"/>
      <c r="CCA1" s="149"/>
      <c r="CCB1" s="149"/>
      <c r="CCC1" s="149"/>
      <c r="CCD1" s="149"/>
      <c r="CCE1" s="149"/>
      <c r="CCF1" s="149"/>
      <c r="CCG1" s="149"/>
      <c r="CCH1" s="149"/>
      <c r="CCI1" s="149"/>
      <c r="CCJ1" s="149"/>
      <c r="CCK1" s="149"/>
      <c r="CCL1" s="149"/>
      <c r="CCM1" s="149"/>
      <c r="CCN1" s="149"/>
      <c r="CCO1" s="149"/>
      <c r="CCP1" s="149"/>
      <c r="CCQ1" s="149"/>
      <c r="CCR1" s="149"/>
      <c r="CCS1" s="149"/>
      <c r="CCT1" s="149"/>
      <c r="CCU1" s="149"/>
      <c r="CCV1" s="149"/>
      <c r="CCW1" s="149"/>
      <c r="CCX1" s="149"/>
      <c r="CCY1" s="149"/>
      <c r="CCZ1" s="149"/>
      <c r="CDA1" s="149"/>
      <c r="CDB1" s="149"/>
      <c r="CDC1" s="149"/>
      <c r="CDD1" s="149"/>
      <c r="CDE1" s="149"/>
      <c r="CDF1" s="149"/>
      <c r="CDG1" s="149"/>
      <c r="CDH1" s="149"/>
      <c r="CDI1" s="149"/>
      <c r="CDJ1" s="149"/>
      <c r="CDK1" s="149"/>
      <c r="CDL1" s="149"/>
      <c r="CDM1" s="149"/>
      <c r="CDN1" s="149"/>
      <c r="CDO1" s="149"/>
      <c r="CDP1" s="149"/>
      <c r="CDQ1" s="149"/>
      <c r="CDR1" s="149"/>
      <c r="CDS1" s="149"/>
      <c r="CDT1" s="149"/>
      <c r="CDU1" s="149"/>
      <c r="CDV1" s="149"/>
      <c r="CDW1" s="149"/>
      <c r="CDX1" s="149"/>
      <c r="CDY1" s="149"/>
      <c r="CDZ1" s="149"/>
      <c r="CEA1" s="149"/>
      <c r="CEB1" s="149"/>
      <c r="CEC1" s="149"/>
      <c r="CED1" s="149"/>
      <c r="CEE1" s="149"/>
      <c r="CEF1" s="149"/>
      <c r="CEG1" s="149"/>
      <c r="CEH1" s="149"/>
      <c r="CEI1" s="149"/>
      <c r="CEJ1" s="149"/>
      <c r="CEK1" s="149"/>
      <c r="CEL1" s="149"/>
      <c r="CEM1" s="149"/>
      <c r="CEN1" s="149"/>
      <c r="CEO1" s="149"/>
      <c r="CEP1" s="149"/>
      <c r="CEQ1" s="149"/>
      <c r="CER1" s="149"/>
      <c r="CES1" s="149"/>
      <c r="CET1" s="149"/>
      <c r="CEU1" s="149"/>
      <c r="CEV1" s="149"/>
      <c r="CEW1" s="149"/>
      <c r="CEX1" s="149"/>
      <c r="CEY1" s="149"/>
      <c r="CEZ1" s="149"/>
      <c r="CFA1" s="149"/>
      <c r="CFB1" s="149"/>
      <c r="CFC1" s="149"/>
      <c r="CFD1" s="149"/>
      <c r="CFE1" s="149"/>
      <c r="CFF1" s="149"/>
      <c r="CFG1" s="149"/>
      <c r="CFH1" s="149"/>
      <c r="CFI1" s="149"/>
      <c r="CFJ1" s="149"/>
      <c r="CFK1" s="149"/>
      <c r="CFL1" s="149"/>
      <c r="CFM1" s="149"/>
      <c r="CFN1" s="149"/>
      <c r="CFO1" s="149"/>
      <c r="CFP1" s="149"/>
      <c r="CFQ1" s="149"/>
      <c r="CFR1" s="149"/>
      <c r="CFS1" s="149"/>
      <c r="CFT1" s="149"/>
      <c r="CFU1" s="149"/>
      <c r="CFV1" s="149"/>
      <c r="CFW1" s="149"/>
      <c r="CFX1" s="149"/>
      <c r="CFY1" s="149"/>
      <c r="CFZ1" s="149"/>
      <c r="CGA1" s="149"/>
      <c r="CGB1" s="149"/>
      <c r="CGC1" s="149"/>
      <c r="CGD1" s="149"/>
      <c r="CGE1" s="149"/>
      <c r="CGF1" s="149"/>
      <c r="CGG1" s="149"/>
      <c r="CGH1" s="149"/>
      <c r="CGI1" s="149"/>
      <c r="CGJ1" s="149"/>
      <c r="CGK1" s="149"/>
      <c r="CGL1" s="149"/>
      <c r="CGM1" s="149"/>
      <c r="CGN1" s="149"/>
      <c r="CGO1" s="149"/>
      <c r="CGP1" s="149"/>
      <c r="CGQ1" s="149"/>
      <c r="CGR1" s="149"/>
      <c r="CGS1" s="149"/>
      <c r="CGT1" s="149"/>
      <c r="CGU1" s="149"/>
      <c r="CGV1" s="149"/>
      <c r="CGW1" s="149"/>
      <c r="CGX1" s="149"/>
      <c r="CGY1" s="149"/>
      <c r="CGZ1" s="149"/>
      <c r="CHA1" s="149"/>
      <c r="CHB1" s="149"/>
      <c r="CHC1" s="149"/>
      <c r="CHD1" s="149"/>
      <c r="CHE1" s="149"/>
      <c r="CHF1" s="149"/>
      <c r="CHG1" s="149"/>
      <c r="CHH1" s="149"/>
      <c r="CHI1" s="149"/>
      <c r="CHJ1" s="149"/>
      <c r="CHK1" s="149"/>
      <c r="CHL1" s="149"/>
      <c r="CHM1" s="149"/>
      <c r="CHN1" s="149"/>
      <c r="CHO1" s="149"/>
      <c r="CHP1" s="149"/>
      <c r="CHQ1" s="149"/>
      <c r="CHR1" s="149"/>
      <c r="CHS1" s="149"/>
      <c r="CHT1" s="149"/>
      <c r="CHU1" s="149"/>
      <c r="CHV1" s="149"/>
      <c r="CHW1" s="149"/>
      <c r="CHX1" s="149"/>
      <c r="CHY1" s="149"/>
      <c r="CHZ1" s="149"/>
      <c r="CIA1" s="149"/>
      <c r="CIB1" s="149"/>
      <c r="CIC1" s="149"/>
      <c r="CID1" s="149"/>
      <c r="CIE1" s="149"/>
      <c r="CIF1" s="149"/>
      <c r="CIG1" s="149"/>
      <c r="CIH1" s="149"/>
      <c r="CII1" s="149"/>
      <c r="CIJ1" s="149"/>
      <c r="CIK1" s="149"/>
      <c r="CIL1" s="149"/>
      <c r="CIM1" s="149"/>
      <c r="CIN1" s="149"/>
      <c r="CIO1" s="149"/>
      <c r="CIP1" s="149"/>
      <c r="CIQ1" s="149"/>
      <c r="CIR1" s="149"/>
      <c r="CIS1" s="149"/>
      <c r="CIT1" s="149"/>
      <c r="CIU1" s="149"/>
      <c r="CIV1" s="149"/>
      <c r="CIW1" s="149"/>
      <c r="CIX1" s="149"/>
      <c r="CIY1" s="149"/>
      <c r="CIZ1" s="149"/>
      <c r="CJA1" s="149"/>
      <c r="CJB1" s="149"/>
      <c r="CJC1" s="149"/>
      <c r="CJD1" s="149"/>
      <c r="CJE1" s="149"/>
      <c r="CJF1" s="149"/>
      <c r="CJG1" s="149"/>
      <c r="CJH1" s="149"/>
      <c r="CJI1" s="149"/>
      <c r="CJJ1" s="149"/>
      <c r="CJK1" s="149"/>
      <c r="CJL1" s="149"/>
      <c r="CJM1" s="149"/>
      <c r="CJN1" s="149"/>
      <c r="CJO1" s="149"/>
      <c r="CJP1" s="149"/>
      <c r="CJQ1" s="149"/>
      <c r="CJR1" s="149"/>
      <c r="CJS1" s="149"/>
      <c r="CJT1" s="149"/>
      <c r="CJU1" s="149"/>
      <c r="CJV1" s="149"/>
      <c r="CJW1" s="149"/>
      <c r="CJX1" s="149"/>
      <c r="CJY1" s="149"/>
      <c r="CJZ1" s="149"/>
      <c r="CKA1" s="149"/>
      <c r="CKB1" s="149"/>
      <c r="CKC1" s="149"/>
      <c r="CKD1" s="149"/>
      <c r="CKE1" s="149"/>
      <c r="CKF1" s="149"/>
      <c r="CKG1" s="149"/>
      <c r="CKH1" s="149"/>
      <c r="CKI1" s="149"/>
      <c r="CKJ1" s="149"/>
      <c r="CKK1" s="149"/>
      <c r="CKL1" s="149"/>
      <c r="CKM1" s="149"/>
      <c r="CKN1" s="149"/>
      <c r="CKO1" s="149"/>
      <c r="CKP1" s="149"/>
      <c r="CKQ1" s="149"/>
      <c r="CKR1" s="149"/>
      <c r="CKS1" s="149"/>
      <c r="CKT1" s="149"/>
      <c r="CKU1" s="149"/>
      <c r="CKV1" s="149"/>
      <c r="CKW1" s="149"/>
      <c r="CKX1" s="149"/>
      <c r="CKY1" s="149"/>
      <c r="CKZ1" s="149"/>
      <c r="CLA1" s="149"/>
      <c r="CLB1" s="149"/>
      <c r="CLC1" s="149"/>
      <c r="CLD1" s="149"/>
      <c r="CLE1" s="149"/>
      <c r="CLF1" s="149"/>
      <c r="CLG1" s="149"/>
      <c r="CLH1" s="149"/>
      <c r="CLI1" s="149"/>
      <c r="CLJ1" s="149"/>
      <c r="CLK1" s="149"/>
      <c r="CLL1" s="149"/>
      <c r="CLM1" s="149"/>
      <c r="CLN1" s="149"/>
      <c r="CLO1" s="149"/>
      <c r="CLP1" s="149"/>
      <c r="CLQ1" s="149"/>
      <c r="CLR1" s="149"/>
      <c r="CLS1" s="149"/>
      <c r="CLT1" s="149"/>
      <c r="CLU1" s="149"/>
      <c r="CLV1" s="149"/>
      <c r="CLW1" s="149"/>
      <c r="CLX1" s="149"/>
      <c r="CLY1" s="149"/>
      <c r="CLZ1" s="149"/>
      <c r="CMA1" s="149"/>
      <c r="CMB1" s="149"/>
      <c r="CMC1" s="149"/>
      <c r="CMD1" s="149"/>
      <c r="CME1" s="149"/>
      <c r="CMF1" s="149"/>
      <c r="CMG1" s="149"/>
      <c r="CMH1" s="149"/>
      <c r="CMI1" s="149"/>
      <c r="CMJ1" s="149"/>
      <c r="CMK1" s="149"/>
      <c r="CML1" s="149"/>
      <c r="CMM1" s="149"/>
      <c r="CMN1" s="149"/>
      <c r="CMO1" s="149"/>
      <c r="CMP1" s="149"/>
      <c r="CMQ1" s="149"/>
      <c r="CMR1" s="149"/>
      <c r="CMS1" s="149"/>
      <c r="CMT1" s="149"/>
      <c r="CMU1" s="149"/>
      <c r="CMV1" s="149"/>
      <c r="CMW1" s="149"/>
      <c r="CMX1" s="149"/>
      <c r="CMY1" s="149"/>
      <c r="CMZ1" s="149"/>
      <c r="CNA1" s="149"/>
      <c r="CNB1" s="149"/>
      <c r="CNC1" s="149"/>
      <c r="CND1" s="149"/>
      <c r="CNE1" s="149"/>
      <c r="CNF1" s="149"/>
      <c r="CNG1" s="149"/>
      <c r="CNH1" s="149"/>
      <c r="CNI1" s="149"/>
      <c r="CNJ1" s="149"/>
      <c r="CNK1" s="149"/>
      <c r="CNL1" s="149"/>
      <c r="CNM1" s="149"/>
      <c r="CNN1" s="149"/>
      <c r="CNO1" s="149"/>
      <c r="CNP1" s="149"/>
      <c r="CNQ1" s="149"/>
      <c r="CNR1" s="149"/>
      <c r="CNS1" s="149"/>
      <c r="CNT1" s="149"/>
      <c r="CNU1" s="149"/>
      <c r="CNV1" s="149"/>
      <c r="CNW1" s="149"/>
      <c r="CNX1" s="149"/>
      <c r="CNY1" s="149"/>
      <c r="CNZ1" s="149"/>
      <c r="COA1" s="149"/>
      <c r="COB1" s="149"/>
      <c r="COC1" s="149"/>
      <c r="COD1" s="149"/>
      <c r="COE1" s="149"/>
      <c r="COF1" s="149"/>
      <c r="COG1" s="149"/>
      <c r="COH1" s="149"/>
      <c r="COI1" s="149"/>
      <c r="COJ1" s="149"/>
      <c r="COK1" s="149"/>
      <c r="COL1" s="149"/>
      <c r="COM1" s="149"/>
      <c r="CON1" s="149"/>
      <c r="COO1" s="149"/>
      <c r="COP1" s="149"/>
      <c r="COQ1" s="149"/>
      <c r="COR1" s="149"/>
      <c r="COS1" s="149"/>
      <c r="COT1" s="149"/>
      <c r="COU1" s="149"/>
      <c r="COV1" s="149"/>
      <c r="COW1" s="149"/>
      <c r="COX1" s="149"/>
      <c r="COY1" s="149"/>
      <c r="COZ1" s="149"/>
      <c r="CPA1" s="149"/>
      <c r="CPB1" s="149"/>
      <c r="CPC1" s="149"/>
      <c r="CPD1" s="149"/>
      <c r="CPE1" s="149"/>
      <c r="CPF1" s="149"/>
      <c r="CPG1" s="149"/>
      <c r="CPH1" s="149"/>
      <c r="CPI1" s="149"/>
      <c r="CPJ1" s="149"/>
      <c r="CPK1" s="149"/>
      <c r="CPL1" s="149"/>
      <c r="CPM1" s="149"/>
      <c r="CPN1" s="149"/>
      <c r="CPO1" s="149"/>
      <c r="CPP1" s="149"/>
      <c r="CPQ1" s="149"/>
      <c r="CPR1" s="149"/>
      <c r="CPS1" s="149"/>
      <c r="CPT1" s="149"/>
      <c r="CPU1" s="149"/>
      <c r="CPV1" s="149"/>
      <c r="CPW1" s="149"/>
      <c r="CPX1" s="149"/>
      <c r="CPY1" s="149"/>
      <c r="CPZ1" s="149"/>
      <c r="CQA1" s="149"/>
      <c r="CQB1" s="149"/>
      <c r="CQC1" s="149"/>
      <c r="CQD1" s="149"/>
      <c r="CQE1" s="149"/>
      <c r="CQF1" s="149"/>
      <c r="CQG1" s="149"/>
      <c r="CQH1" s="149"/>
      <c r="CQI1" s="149"/>
      <c r="CQJ1" s="149"/>
      <c r="CQK1" s="149"/>
      <c r="CQL1" s="149"/>
      <c r="CQM1" s="149"/>
      <c r="CQN1" s="149"/>
      <c r="CQO1" s="149"/>
      <c r="CQP1" s="149"/>
      <c r="CQQ1" s="149"/>
      <c r="CQR1" s="149"/>
      <c r="CQS1" s="149"/>
      <c r="CQT1" s="149"/>
      <c r="CQU1" s="149"/>
      <c r="CQV1" s="149"/>
      <c r="CQW1" s="149"/>
      <c r="CQX1" s="149"/>
      <c r="CQY1" s="149"/>
      <c r="CQZ1" s="149"/>
      <c r="CRA1" s="149"/>
      <c r="CRB1" s="149"/>
      <c r="CRC1" s="149"/>
      <c r="CRD1" s="149"/>
      <c r="CRE1" s="149"/>
      <c r="CRF1" s="149"/>
      <c r="CRG1" s="149"/>
      <c r="CRH1" s="149"/>
      <c r="CRI1" s="149"/>
      <c r="CRJ1" s="149"/>
      <c r="CRK1" s="149"/>
      <c r="CRL1" s="149"/>
      <c r="CRM1" s="149"/>
      <c r="CRN1" s="149"/>
      <c r="CRO1" s="149"/>
      <c r="CRP1" s="149"/>
      <c r="CRQ1" s="149"/>
      <c r="CRR1" s="149"/>
      <c r="CRS1" s="149"/>
      <c r="CRT1" s="149"/>
      <c r="CRU1" s="149"/>
      <c r="CRV1" s="149"/>
      <c r="CRW1" s="149"/>
      <c r="CRX1" s="149"/>
      <c r="CRY1" s="149"/>
      <c r="CRZ1" s="149"/>
      <c r="CSA1" s="149"/>
      <c r="CSB1" s="149"/>
      <c r="CSC1" s="149"/>
      <c r="CSD1" s="149"/>
      <c r="CSE1" s="149"/>
      <c r="CSF1" s="149"/>
      <c r="CSG1" s="149"/>
      <c r="CSH1" s="149"/>
      <c r="CSI1" s="149"/>
      <c r="CSJ1" s="149"/>
      <c r="CSK1" s="149"/>
      <c r="CSL1" s="149"/>
      <c r="CSM1" s="149"/>
      <c r="CSN1" s="149"/>
      <c r="CSO1" s="149"/>
      <c r="CSP1" s="149"/>
      <c r="CSQ1" s="149"/>
      <c r="CSR1" s="149"/>
      <c r="CSS1" s="149"/>
      <c r="CST1" s="149"/>
      <c r="CSU1" s="149"/>
      <c r="CSV1" s="149"/>
      <c r="CSW1" s="149"/>
      <c r="CSX1" s="149"/>
      <c r="CSY1" s="149"/>
      <c r="CSZ1" s="149"/>
      <c r="CTA1" s="149"/>
      <c r="CTB1" s="149"/>
      <c r="CTC1" s="149"/>
      <c r="CTD1" s="149"/>
      <c r="CTE1" s="149"/>
      <c r="CTF1" s="149"/>
      <c r="CTG1" s="149"/>
      <c r="CTH1" s="149"/>
      <c r="CTI1" s="149"/>
      <c r="CTJ1" s="149"/>
      <c r="CTK1" s="149"/>
      <c r="CTL1" s="149"/>
      <c r="CTM1" s="149"/>
      <c r="CTN1" s="149"/>
      <c r="CTO1" s="149"/>
      <c r="CTP1" s="149"/>
      <c r="CTQ1" s="149"/>
      <c r="CTR1" s="149"/>
      <c r="CTS1" s="149"/>
      <c r="CTT1" s="149"/>
      <c r="CTU1" s="149"/>
      <c r="CTV1" s="149"/>
      <c r="CTW1" s="149"/>
      <c r="CTX1" s="149"/>
      <c r="CTY1" s="149"/>
      <c r="CTZ1" s="149"/>
      <c r="CUA1" s="149"/>
      <c r="CUB1" s="149"/>
      <c r="CUC1" s="149"/>
      <c r="CUD1" s="149"/>
      <c r="CUE1" s="149"/>
      <c r="CUF1" s="149"/>
      <c r="CUG1" s="149"/>
      <c r="CUH1" s="149"/>
      <c r="CUI1" s="149"/>
      <c r="CUJ1" s="149"/>
      <c r="CUK1" s="149"/>
      <c r="CUL1" s="149"/>
      <c r="CUM1" s="149"/>
      <c r="CUN1" s="149"/>
      <c r="CUO1" s="149"/>
      <c r="CUP1" s="149"/>
      <c r="CUQ1" s="149"/>
      <c r="CUR1" s="149"/>
      <c r="CUS1" s="149"/>
      <c r="CUT1" s="149"/>
      <c r="CUU1" s="149"/>
      <c r="CUV1" s="149"/>
      <c r="CUW1" s="149"/>
      <c r="CUX1" s="149"/>
      <c r="CUY1" s="149"/>
      <c r="CUZ1" s="149"/>
      <c r="CVA1" s="149"/>
      <c r="CVB1" s="149"/>
      <c r="CVC1" s="149"/>
      <c r="CVD1" s="149"/>
      <c r="CVE1" s="149"/>
      <c r="CVF1" s="149"/>
      <c r="CVG1" s="149"/>
      <c r="CVH1" s="149"/>
      <c r="CVI1" s="149"/>
      <c r="CVJ1" s="149"/>
      <c r="CVK1" s="149"/>
      <c r="CVL1" s="149"/>
      <c r="CVM1" s="149"/>
      <c r="CVN1" s="149"/>
      <c r="CVO1" s="149"/>
      <c r="CVP1" s="149"/>
      <c r="CVQ1" s="149"/>
      <c r="CVR1" s="149"/>
      <c r="CVS1" s="149"/>
      <c r="CVT1" s="149"/>
      <c r="CVU1" s="149"/>
      <c r="CVV1" s="149"/>
      <c r="CVW1" s="149"/>
      <c r="CVX1" s="149"/>
      <c r="CVY1" s="149"/>
      <c r="CVZ1" s="149"/>
      <c r="CWA1" s="149"/>
      <c r="CWB1" s="149"/>
      <c r="CWC1" s="149"/>
      <c r="CWD1" s="149"/>
      <c r="CWE1" s="149"/>
      <c r="CWF1" s="149"/>
      <c r="CWG1" s="149"/>
      <c r="CWH1" s="149"/>
      <c r="CWI1" s="149"/>
      <c r="CWJ1" s="149"/>
      <c r="CWK1" s="149"/>
      <c r="CWL1" s="149"/>
      <c r="CWM1" s="149"/>
      <c r="CWN1" s="149"/>
      <c r="CWO1" s="149"/>
      <c r="CWP1" s="149"/>
      <c r="CWQ1" s="149"/>
      <c r="CWR1" s="149"/>
      <c r="CWS1" s="149"/>
      <c r="CWT1" s="149"/>
      <c r="CWU1" s="149"/>
      <c r="CWV1" s="149"/>
      <c r="CWW1" s="149"/>
      <c r="CWX1" s="149"/>
      <c r="CWY1" s="149"/>
      <c r="CWZ1" s="149"/>
      <c r="CXA1" s="149"/>
      <c r="CXB1" s="149"/>
      <c r="CXC1" s="149"/>
      <c r="CXD1" s="149"/>
      <c r="CXE1" s="149"/>
      <c r="CXF1" s="149"/>
      <c r="CXG1" s="149"/>
      <c r="CXH1" s="149"/>
      <c r="CXI1" s="149"/>
      <c r="CXJ1" s="149"/>
      <c r="CXK1" s="149"/>
      <c r="CXL1" s="149"/>
      <c r="CXM1" s="149"/>
      <c r="CXN1" s="149"/>
      <c r="CXO1" s="149"/>
      <c r="CXP1" s="149"/>
      <c r="CXQ1" s="149"/>
      <c r="CXR1" s="149"/>
      <c r="CXS1" s="149"/>
      <c r="CXT1" s="149"/>
      <c r="CXU1" s="149"/>
      <c r="CXV1" s="149"/>
      <c r="CXW1" s="149"/>
      <c r="CXX1" s="149"/>
      <c r="CXY1" s="149"/>
      <c r="CXZ1" s="149"/>
      <c r="CYA1" s="149"/>
      <c r="CYB1" s="149"/>
      <c r="CYC1" s="149"/>
      <c r="CYD1" s="149"/>
      <c r="CYE1" s="149"/>
      <c r="CYF1" s="149"/>
      <c r="CYG1" s="149"/>
      <c r="CYH1" s="149"/>
      <c r="CYI1" s="149"/>
      <c r="CYJ1" s="149"/>
      <c r="CYK1" s="149"/>
      <c r="CYL1" s="149"/>
      <c r="CYM1" s="149"/>
      <c r="CYN1" s="149"/>
      <c r="CYO1" s="149"/>
      <c r="CYP1" s="149"/>
      <c r="CYQ1" s="149"/>
      <c r="CYR1" s="149"/>
      <c r="CYS1" s="149"/>
      <c r="CYT1" s="149"/>
      <c r="CYU1" s="149"/>
      <c r="CYV1" s="149"/>
      <c r="CYW1" s="149"/>
      <c r="CYX1" s="149"/>
      <c r="CYY1" s="149"/>
      <c r="CYZ1" s="149"/>
      <c r="CZA1" s="149"/>
      <c r="CZB1" s="149"/>
      <c r="CZC1" s="149"/>
      <c r="CZD1" s="149"/>
      <c r="CZE1" s="149"/>
      <c r="CZF1" s="149"/>
      <c r="CZG1" s="149"/>
      <c r="CZH1" s="149"/>
      <c r="CZI1" s="149"/>
      <c r="CZJ1" s="149"/>
      <c r="CZK1" s="149"/>
      <c r="CZL1" s="149"/>
      <c r="CZM1" s="149"/>
      <c r="CZN1" s="149"/>
      <c r="CZO1" s="149"/>
      <c r="CZP1" s="149"/>
      <c r="CZQ1" s="149"/>
      <c r="CZR1" s="149"/>
      <c r="CZS1" s="149"/>
      <c r="CZT1" s="149"/>
      <c r="CZU1" s="149"/>
      <c r="CZV1" s="149"/>
      <c r="CZW1" s="149"/>
      <c r="CZX1" s="149"/>
      <c r="CZY1" s="149"/>
      <c r="CZZ1" s="149"/>
      <c r="DAA1" s="149"/>
      <c r="DAB1" s="149"/>
      <c r="DAC1" s="149"/>
      <c r="DAD1" s="149"/>
      <c r="DAE1" s="149"/>
      <c r="DAF1" s="149"/>
      <c r="DAG1" s="149"/>
      <c r="DAH1" s="149"/>
      <c r="DAI1" s="149"/>
      <c r="DAJ1" s="149"/>
      <c r="DAK1" s="149"/>
      <c r="DAL1" s="149"/>
      <c r="DAM1" s="149"/>
      <c r="DAN1" s="149"/>
      <c r="DAO1" s="149"/>
      <c r="DAP1" s="149"/>
      <c r="DAQ1" s="149"/>
      <c r="DAR1" s="149"/>
      <c r="DAS1" s="149"/>
      <c r="DAT1" s="149"/>
      <c r="DAU1" s="149"/>
      <c r="DAV1" s="149"/>
      <c r="DAW1" s="149"/>
      <c r="DAX1" s="149"/>
      <c r="DAY1" s="149"/>
      <c r="DAZ1" s="149"/>
      <c r="DBA1" s="149"/>
      <c r="DBB1" s="149"/>
      <c r="DBC1" s="149"/>
      <c r="DBD1" s="149"/>
      <c r="DBE1" s="149"/>
      <c r="DBF1" s="149"/>
      <c r="DBG1" s="149"/>
      <c r="DBH1" s="149"/>
      <c r="DBI1" s="149"/>
      <c r="DBJ1" s="149"/>
      <c r="DBK1" s="149"/>
      <c r="DBL1" s="149"/>
      <c r="DBM1" s="149"/>
      <c r="DBN1" s="149"/>
      <c r="DBO1" s="149"/>
      <c r="DBP1" s="149"/>
      <c r="DBQ1" s="149"/>
      <c r="DBR1" s="149"/>
      <c r="DBS1" s="149"/>
      <c r="DBT1" s="149"/>
      <c r="DBU1" s="149"/>
      <c r="DBV1" s="149"/>
      <c r="DBW1" s="149"/>
      <c r="DBX1" s="149"/>
      <c r="DBY1" s="149"/>
      <c r="DBZ1" s="149"/>
      <c r="DCA1" s="149"/>
      <c r="DCB1" s="149"/>
      <c r="DCC1" s="149"/>
      <c r="DCD1" s="149"/>
      <c r="DCE1" s="149"/>
      <c r="DCF1" s="149"/>
      <c r="DCG1" s="149"/>
      <c r="DCH1" s="149"/>
      <c r="DCI1" s="149"/>
      <c r="DCJ1" s="149"/>
      <c r="DCK1" s="149"/>
      <c r="DCL1" s="149"/>
      <c r="DCM1" s="149"/>
      <c r="DCN1" s="149"/>
      <c r="DCO1" s="149"/>
      <c r="DCP1" s="149"/>
      <c r="DCQ1" s="149"/>
      <c r="DCR1" s="149"/>
      <c r="DCS1" s="149"/>
      <c r="DCT1" s="149"/>
      <c r="DCU1" s="149"/>
      <c r="DCV1" s="149"/>
      <c r="DCW1" s="149"/>
      <c r="DCX1" s="149"/>
      <c r="DCY1" s="149"/>
      <c r="DCZ1" s="149"/>
      <c r="DDA1" s="149"/>
      <c r="DDB1" s="149"/>
      <c r="DDC1" s="149"/>
      <c r="DDD1" s="149"/>
      <c r="DDE1" s="149"/>
      <c r="DDF1" s="149"/>
      <c r="DDG1" s="149"/>
      <c r="DDH1" s="149"/>
      <c r="DDI1" s="149"/>
      <c r="DDJ1" s="149"/>
      <c r="DDK1" s="149"/>
      <c r="DDL1" s="149"/>
      <c r="DDM1" s="149"/>
      <c r="DDN1" s="149"/>
      <c r="DDO1" s="149"/>
      <c r="DDP1" s="149"/>
      <c r="DDQ1" s="149"/>
      <c r="DDR1" s="149"/>
      <c r="DDS1" s="149"/>
      <c r="DDT1" s="149"/>
      <c r="DDU1" s="149"/>
      <c r="DDV1" s="149"/>
      <c r="DDW1" s="149"/>
      <c r="DDX1" s="149"/>
      <c r="DDY1" s="149"/>
      <c r="DDZ1" s="149"/>
      <c r="DEA1" s="149"/>
      <c r="DEB1" s="149"/>
      <c r="DEC1" s="149"/>
      <c r="DED1" s="149"/>
      <c r="DEE1" s="149"/>
      <c r="DEF1" s="149"/>
      <c r="DEG1" s="149"/>
      <c r="DEH1" s="149"/>
      <c r="DEI1" s="149"/>
      <c r="DEJ1" s="149"/>
      <c r="DEK1" s="149"/>
      <c r="DEL1" s="149"/>
      <c r="DEM1" s="149"/>
      <c r="DEN1" s="149"/>
      <c r="DEO1" s="149"/>
      <c r="DEP1" s="149"/>
      <c r="DEQ1" s="149"/>
      <c r="DER1" s="149"/>
      <c r="DES1" s="149"/>
      <c r="DET1" s="149"/>
      <c r="DEU1" s="149"/>
      <c r="DEV1" s="149"/>
      <c r="DEW1" s="149"/>
      <c r="DEX1" s="149"/>
      <c r="DEY1" s="149"/>
      <c r="DEZ1" s="149"/>
      <c r="DFA1" s="149"/>
      <c r="DFB1" s="149"/>
      <c r="DFC1" s="149"/>
      <c r="DFD1" s="149"/>
      <c r="DFE1" s="149"/>
      <c r="DFF1" s="149"/>
      <c r="DFG1" s="149"/>
      <c r="DFH1" s="149"/>
      <c r="DFI1" s="149"/>
      <c r="DFJ1" s="149"/>
      <c r="DFK1" s="149"/>
      <c r="DFL1" s="149"/>
      <c r="DFM1" s="149"/>
      <c r="DFN1" s="149"/>
      <c r="DFO1" s="149"/>
      <c r="DFP1" s="149"/>
      <c r="DFQ1" s="149"/>
      <c r="DFR1" s="149"/>
      <c r="DFS1" s="149"/>
      <c r="DFT1" s="149"/>
      <c r="DFU1" s="149"/>
      <c r="DFV1" s="149"/>
      <c r="DFW1" s="149"/>
      <c r="DFX1" s="149"/>
      <c r="DFY1" s="149"/>
      <c r="DFZ1" s="149"/>
      <c r="DGA1" s="149"/>
      <c r="DGB1" s="149"/>
      <c r="DGC1" s="149"/>
      <c r="DGD1" s="149"/>
      <c r="DGE1" s="149"/>
      <c r="DGF1" s="149"/>
      <c r="DGG1" s="149"/>
      <c r="DGH1" s="149"/>
      <c r="DGI1" s="149"/>
      <c r="DGJ1" s="149"/>
      <c r="DGK1" s="149"/>
      <c r="DGL1" s="149"/>
      <c r="DGM1" s="149"/>
      <c r="DGN1" s="149"/>
      <c r="DGO1" s="149"/>
      <c r="DGP1" s="149"/>
      <c r="DGQ1" s="149"/>
      <c r="DGR1" s="149"/>
      <c r="DGS1" s="149"/>
      <c r="DGT1" s="149"/>
      <c r="DGU1" s="149"/>
      <c r="DGV1" s="149"/>
      <c r="DGW1" s="149"/>
      <c r="DGX1" s="149"/>
      <c r="DGY1" s="149"/>
      <c r="DGZ1" s="149"/>
      <c r="DHA1" s="149"/>
      <c r="DHB1" s="149"/>
      <c r="DHC1" s="149"/>
      <c r="DHD1" s="149"/>
      <c r="DHE1" s="149"/>
      <c r="DHF1" s="149"/>
      <c r="DHG1" s="149"/>
      <c r="DHH1" s="149"/>
      <c r="DHI1" s="149"/>
      <c r="DHJ1" s="149"/>
      <c r="DHK1" s="149"/>
      <c r="DHL1" s="149"/>
      <c r="DHM1" s="149"/>
      <c r="DHN1" s="149"/>
      <c r="DHO1" s="149"/>
      <c r="DHP1" s="149"/>
      <c r="DHQ1" s="149"/>
      <c r="DHR1" s="149"/>
      <c r="DHS1" s="149"/>
      <c r="DHT1" s="149"/>
      <c r="DHU1" s="149"/>
      <c r="DHV1" s="149"/>
      <c r="DHW1" s="149"/>
      <c r="DHX1" s="149"/>
      <c r="DHY1" s="149"/>
      <c r="DHZ1" s="149"/>
      <c r="DIA1" s="149"/>
      <c r="DIB1" s="149"/>
      <c r="DIC1" s="149"/>
      <c r="DID1" s="149"/>
      <c r="DIE1" s="149"/>
      <c r="DIF1" s="149"/>
      <c r="DIG1" s="149"/>
      <c r="DIH1" s="149"/>
      <c r="DII1" s="149"/>
      <c r="DIJ1" s="149"/>
      <c r="DIK1" s="149"/>
      <c r="DIL1" s="149"/>
      <c r="DIM1" s="149"/>
      <c r="DIN1" s="149"/>
      <c r="DIO1" s="149"/>
      <c r="DIP1" s="149"/>
      <c r="DIQ1" s="149"/>
      <c r="DIR1" s="149"/>
      <c r="DIS1" s="149"/>
      <c r="DIT1" s="149"/>
      <c r="DIU1" s="149"/>
      <c r="DIV1" s="149"/>
      <c r="DIW1" s="149"/>
      <c r="DIX1" s="149"/>
      <c r="DIY1" s="149"/>
      <c r="DIZ1" s="149"/>
      <c r="DJA1" s="149"/>
      <c r="DJB1" s="149"/>
      <c r="DJC1" s="149"/>
      <c r="DJD1" s="149"/>
      <c r="DJE1" s="149"/>
      <c r="DJF1" s="149"/>
      <c r="DJG1" s="149"/>
      <c r="DJH1" s="149"/>
      <c r="DJI1" s="149"/>
      <c r="DJJ1" s="149"/>
      <c r="DJK1" s="149"/>
      <c r="DJL1" s="149"/>
      <c r="DJM1" s="149"/>
      <c r="DJN1" s="149"/>
      <c r="DJO1" s="149"/>
      <c r="DJP1" s="149"/>
      <c r="DJQ1" s="149"/>
      <c r="DJR1" s="149"/>
      <c r="DJS1" s="149"/>
      <c r="DJT1" s="149"/>
      <c r="DJU1" s="149"/>
      <c r="DJV1" s="149"/>
      <c r="DJW1" s="149"/>
      <c r="DJX1" s="149"/>
      <c r="DJY1" s="149"/>
      <c r="DJZ1" s="149"/>
      <c r="DKA1" s="149"/>
      <c r="DKB1" s="149"/>
      <c r="DKC1" s="149"/>
      <c r="DKD1" s="149"/>
      <c r="DKE1" s="149"/>
      <c r="DKF1" s="149"/>
      <c r="DKG1" s="149"/>
      <c r="DKH1" s="149"/>
      <c r="DKI1" s="149"/>
      <c r="DKJ1" s="149"/>
      <c r="DKK1" s="149"/>
      <c r="DKL1" s="149"/>
      <c r="DKM1" s="149"/>
      <c r="DKN1" s="149"/>
      <c r="DKO1" s="149"/>
      <c r="DKP1" s="149"/>
      <c r="DKQ1" s="149"/>
      <c r="DKR1" s="149"/>
      <c r="DKS1" s="149"/>
      <c r="DKT1" s="149"/>
      <c r="DKU1" s="149"/>
      <c r="DKV1" s="149"/>
      <c r="DKW1" s="149"/>
      <c r="DKX1" s="149"/>
      <c r="DKY1" s="149"/>
      <c r="DKZ1" s="149"/>
      <c r="DLA1" s="149"/>
      <c r="DLB1" s="149"/>
      <c r="DLC1" s="149"/>
      <c r="DLD1" s="149"/>
      <c r="DLE1" s="149"/>
      <c r="DLF1" s="149"/>
      <c r="DLG1" s="149"/>
      <c r="DLH1" s="149"/>
      <c r="DLI1" s="149"/>
      <c r="DLJ1" s="149"/>
      <c r="DLK1" s="149"/>
      <c r="DLL1" s="149"/>
      <c r="DLM1" s="149"/>
      <c r="DLN1" s="149"/>
      <c r="DLO1" s="149"/>
      <c r="DLP1" s="149"/>
      <c r="DLQ1" s="149"/>
      <c r="DLR1" s="149"/>
      <c r="DLS1" s="149"/>
      <c r="DLT1" s="149"/>
      <c r="DLU1" s="149"/>
      <c r="DLV1" s="149"/>
      <c r="DLW1" s="149"/>
      <c r="DLX1" s="149"/>
      <c r="DLY1" s="149"/>
      <c r="DLZ1" s="149"/>
      <c r="DMA1" s="149"/>
      <c r="DMB1" s="149"/>
      <c r="DMC1" s="149"/>
      <c r="DMD1" s="149"/>
      <c r="DME1" s="149"/>
      <c r="DMF1" s="149"/>
      <c r="DMG1" s="149"/>
      <c r="DMH1" s="149"/>
      <c r="DMI1" s="149"/>
      <c r="DMJ1" s="149"/>
      <c r="DMK1" s="149"/>
      <c r="DML1" s="149"/>
      <c r="DMM1" s="149"/>
      <c r="DMN1" s="149"/>
      <c r="DMO1" s="149"/>
      <c r="DMP1" s="149"/>
      <c r="DMQ1" s="149"/>
      <c r="DMR1" s="149"/>
      <c r="DMS1" s="149"/>
      <c r="DMT1" s="149"/>
      <c r="DMU1" s="149"/>
      <c r="DMV1" s="149"/>
      <c r="DMW1" s="149"/>
      <c r="DMX1" s="149"/>
      <c r="DMY1" s="149"/>
      <c r="DMZ1" s="149"/>
      <c r="DNA1" s="149"/>
      <c r="DNB1" s="149"/>
      <c r="DNC1" s="149"/>
      <c r="DND1" s="149"/>
      <c r="DNE1" s="149"/>
      <c r="DNF1" s="149"/>
      <c r="DNG1" s="149"/>
      <c r="DNH1" s="149"/>
      <c r="DNI1" s="149"/>
      <c r="DNJ1" s="149"/>
      <c r="DNK1" s="149"/>
      <c r="DNL1" s="149"/>
      <c r="DNM1" s="149"/>
      <c r="DNN1" s="149"/>
      <c r="DNO1" s="149"/>
      <c r="DNP1" s="149"/>
      <c r="DNQ1" s="149"/>
      <c r="DNR1" s="149"/>
      <c r="DNS1" s="149"/>
      <c r="DNT1" s="149"/>
      <c r="DNU1" s="149"/>
      <c r="DNV1" s="149"/>
      <c r="DNW1" s="149"/>
      <c r="DNX1" s="149"/>
      <c r="DNY1" s="149"/>
      <c r="DNZ1" s="149"/>
      <c r="DOA1" s="149"/>
      <c r="DOB1" s="149"/>
      <c r="DOC1" s="149"/>
      <c r="DOD1" s="149"/>
      <c r="DOE1" s="149"/>
      <c r="DOF1" s="149"/>
      <c r="DOG1" s="149"/>
      <c r="DOH1" s="149"/>
      <c r="DOI1" s="149"/>
      <c r="DOJ1" s="149"/>
      <c r="DOK1" s="149"/>
      <c r="DOL1" s="149"/>
      <c r="DOM1" s="149"/>
      <c r="DON1" s="149"/>
      <c r="DOO1" s="149"/>
      <c r="DOP1" s="149"/>
      <c r="DOQ1" s="149"/>
      <c r="DOR1" s="149"/>
      <c r="DOS1" s="149"/>
      <c r="DOT1" s="149"/>
      <c r="DOU1" s="149"/>
      <c r="DOV1" s="149"/>
      <c r="DOW1" s="149"/>
      <c r="DOX1" s="149"/>
      <c r="DOY1" s="149"/>
      <c r="DOZ1" s="149"/>
      <c r="DPA1" s="149"/>
      <c r="DPB1" s="149"/>
      <c r="DPC1" s="149"/>
      <c r="DPD1" s="149"/>
      <c r="DPE1" s="149"/>
      <c r="DPF1" s="149"/>
      <c r="DPG1" s="149"/>
      <c r="DPH1" s="149"/>
      <c r="DPI1" s="149"/>
      <c r="DPJ1" s="149"/>
      <c r="DPK1" s="149"/>
      <c r="DPL1" s="149"/>
      <c r="DPM1" s="149"/>
      <c r="DPN1" s="149"/>
      <c r="DPO1" s="149"/>
      <c r="DPP1" s="149"/>
      <c r="DPQ1" s="149"/>
      <c r="DPR1" s="149"/>
      <c r="DPS1" s="149"/>
      <c r="DPT1" s="149"/>
      <c r="DPU1" s="149"/>
      <c r="DPV1" s="149"/>
      <c r="DPW1" s="149"/>
      <c r="DPX1" s="149"/>
      <c r="DPY1" s="149"/>
      <c r="DPZ1" s="149"/>
      <c r="DQA1" s="149"/>
      <c r="DQB1" s="149"/>
      <c r="DQC1" s="149"/>
      <c r="DQD1" s="149"/>
      <c r="DQE1" s="149"/>
      <c r="DQF1" s="149"/>
      <c r="DQG1" s="149"/>
      <c r="DQH1" s="149"/>
      <c r="DQI1" s="149"/>
      <c r="DQJ1" s="149"/>
      <c r="DQK1" s="149"/>
      <c r="DQL1" s="149"/>
      <c r="DQM1" s="149"/>
      <c r="DQN1" s="149"/>
      <c r="DQO1" s="149"/>
      <c r="DQP1" s="149"/>
      <c r="DQQ1" s="149"/>
      <c r="DQR1" s="149"/>
      <c r="DQS1" s="149"/>
      <c r="DQT1" s="149"/>
      <c r="DQU1" s="149"/>
      <c r="DQV1" s="149"/>
      <c r="DQW1" s="149"/>
      <c r="DQX1" s="149"/>
      <c r="DQY1" s="149"/>
      <c r="DQZ1" s="149"/>
      <c r="DRA1" s="149"/>
      <c r="DRB1" s="149"/>
      <c r="DRC1" s="149"/>
      <c r="DRD1" s="149"/>
      <c r="DRE1" s="149"/>
      <c r="DRF1" s="149"/>
      <c r="DRG1" s="149"/>
      <c r="DRH1" s="149"/>
      <c r="DRI1" s="149"/>
      <c r="DRJ1" s="149"/>
      <c r="DRK1" s="149"/>
      <c r="DRL1" s="149"/>
      <c r="DRM1" s="149"/>
      <c r="DRN1" s="149"/>
      <c r="DRO1" s="149"/>
      <c r="DRP1" s="149"/>
      <c r="DRQ1" s="149"/>
      <c r="DRR1" s="149"/>
      <c r="DRS1" s="149"/>
      <c r="DRT1" s="149"/>
      <c r="DRU1" s="149"/>
      <c r="DRV1" s="149"/>
      <c r="DRW1" s="149"/>
      <c r="DRX1" s="149"/>
      <c r="DRY1" s="149"/>
      <c r="DRZ1" s="149"/>
      <c r="DSA1" s="149"/>
      <c r="DSB1" s="149"/>
      <c r="DSC1" s="149"/>
      <c r="DSD1" s="149"/>
      <c r="DSE1" s="149"/>
      <c r="DSF1" s="149"/>
      <c r="DSG1" s="149"/>
      <c r="DSH1" s="149"/>
      <c r="DSI1" s="149"/>
      <c r="DSJ1" s="149"/>
      <c r="DSK1" s="149"/>
      <c r="DSL1" s="149"/>
      <c r="DSM1" s="149"/>
      <c r="DSN1" s="149"/>
      <c r="DSO1" s="149"/>
      <c r="DSP1" s="149"/>
      <c r="DSQ1" s="149"/>
      <c r="DSR1" s="149"/>
      <c r="DSS1" s="149"/>
      <c r="DST1" s="149"/>
      <c r="DSU1" s="149"/>
      <c r="DSV1" s="149"/>
      <c r="DSW1" s="149"/>
      <c r="DSX1" s="149"/>
      <c r="DSY1" s="149"/>
      <c r="DSZ1" s="149"/>
      <c r="DTA1" s="149"/>
      <c r="DTB1" s="149"/>
      <c r="DTC1" s="149"/>
      <c r="DTD1" s="149"/>
      <c r="DTE1" s="149"/>
      <c r="DTF1" s="149"/>
      <c r="DTG1" s="149"/>
      <c r="DTH1" s="149"/>
      <c r="DTI1" s="149"/>
      <c r="DTJ1" s="149"/>
      <c r="DTK1" s="149"/>
      <c r="DTL1" s="149"/>
      <c r="DTM1" s="149"/>
      <c r="DTN1" s="149"/>
      <c r="DTO1" s="149"/>
      <c r="DTP1" s="149"/>
      <c r="DTQ1" s="149"/>
      <c r="DTR1" s="149"/>
      <c r="DTS1" s="149"/>
      <c r="DTT1" s="149"/>
      <c r="DTU1" s="149"/>
      <c r="DTV1" s="149"/>
      <c r="DTW1" s="149"/>
      <c r="DTX1" s="149"/>
      <c r="DTY1" s="149"/>
      <c r="DTZ1" s="149"/>
      <c r="DUA1" s="149"/>
      <c r="DUB1" s="149"/>
      <c r="DUC1" s="149"/>
      <c r="DUD1" s="149"/>
      <c r="DUE1" s="149"/>
      <c r="DUF1" s="149"/>
      <c r="DUG1" s="149"/>
      <c r="DUH1" s="149"/>
      <c r="DUI1" s="149"/>
      <c r="DUJ1" s="149"/>
      <c r="DUK1" s="149"/>
      <c r="DUL1" s="149"/>
      <c r="DUM1" s="149"/>
      <c r="DUN1" s="149"/>
      <c r="DUO1" s="149"/>
      <c r="DUP1" s="149"/>
      <c r="DUQ1" s="149"/>
      <c r="DUR1" s="149"/>
      <c r="DUS1" s="149"/>
      <c r="DUT1" s="149"/>
      <c r="DUU1" s="149"/>
      <c r="DUV1" s="149"/>
      <c r="DUW1" s="149"/>
      <c r="DUX1" s="149"/>
      <c r="DUY1" s="149"/>
      <c r="DUZ1" s="149"/>
      <c r="DVA1" s="149"/>
      <c r="DVB1" s="149"/>
      <c r="DVC1" s="149"/>
      <c r="DVD1" s="149"/>
      <c r="DVE1" s="149"/>
      <c r="DVF1" s="149"/>
      <c r="DVG1" s="149"/>
      <c r="DVH1" s="149"/>
      <c r="DVI1" s="149"/>
      <c r="DVJ1" s="149"/>
      <c r="DVK1" s="149"/>
      <c r="DVL1" s="149"/>
      <c r="DVM1" s="149"/>
      <c r="DVN1" s="149"/>
      <c r="DVO1" s="149"/>
      <c r="DVP1" s="149"/>
      <c r="DVQ1" s="149"/>
      <c r="DVR1" s="149"/>
      <c r="DVS1" s="149"/>
      <c r="DVT1" s="149"/>
      <c r="DVU1" s="149"/>
      <c r="DVV1" s="149"/>
      <c r="DVW1" s="149"/>
      <c r="DVX1" s="149"/>
      <c r="DVY1" s="149"/>
      <c r="DVZ1" s="149"/>
      <c r="DWA1" s="149"/>
      <c r="DWB1" s="149"/>
      <c r="DWC1" s="149"/>
      <c r="DWD1" s="149"/>
      <c r="DWE1" s="149"/>
      <c r="DWF1" s="149"/>
      <c r="DWG1" s="149"/>
      <c r="DWH1" s="149"/>
      <c r="DWI1" s="149"/>
      <c r="DWJ1" s="149"/>
      <c r="DWK1" s="149"/>
      <c r="DWL1" s="149"/>
      <c r="DWM1" s="149"/>
      <c r="DWN1" s="149"/>
      <c r="DWO1" s="149"/>
      <c r="DWP1" s="149"/>
      <c r="DWQ1" s="149"/>
      <c r="DWR1" s="149"/>
      <c r="DWS1" s="149"/>
      <c r="DWT1" s="149"/>
      <c r="DWU1" s="149"/>
      <c r="DWV1" s="149"/>
      <c r="DWW1" s="149"/>
      <c r="DWX1" s="149"/>
      <c r="DWY1" s="149"/>
      <c r="DWZ1" s="149"/>
      <c r="DXA1" s="149"/>
      <c r="DXB1" s="149"/>
      <c r="DXC1" s="149"/>
      <c r="DXD1" s="149"/>
      <c r="DXE1" s="149"/>
      <c r="DXF1" s="149"/>
      <c r="DXG1" s="149"/>
      <c r="DXH1" s="149"/>
      <c r="DXI1" s="149"/>
      <c r="DXJ1" s="149"/>
      <c r="DXK1" s="149"/>
      <c r="DXL1" s="149"/>
      <c r="DXM1" s="149"/>
      <c r="DXN1" s="149"/>
      <c r="DXO1" s="149"/>
      <c r="DXP1" s="149"/>
      <c r="DXQ1" s="149"/>
      <c r="DXR1" s="149"/>
      <c r="DXS1" s="149"/>
      <c r="DXT1" s="149"/>
      <c r="DXU1" s="149"/>
      <c r="DXV1" s="149"/>
      <c r="DXW1" s="149"/>
      <c r="DXX1" s="149"/>
      <c r="DXY1" s="149"/>
      <c r="DXZ1" s="149"/>
      <c r="DYA1" s="149"/>
      <c r="DYB1" s="149"/>
      <c r="DYC1" s="149"/>
      <c r="DYD1" s="149"/>
      <c r="DYE1" s="149"/>
      <c r="DYF1" s="149"/>
      <c r="DYG1" s="149"/>
      <c r="DYH1" s="149"/>
      <c r="DYI1" s="149"/>
      <c r="DYJ1" s="149"/>
      <c r="DYK1" s="149"/>
      <c r="DYL1" s="149"/>
      <c r="DYM1" s="149"/>
      <c r="DYN1" s="149"/>
      <c r="DYO1" s="149"/>
      <c r="DYP1" s="149"/>
      <c r="DYQ1" s="149"/>
      <c r="DYR1" s="149"/>
      <c r="DYS1" s="149"/>
      <c r="DYT1" s="149"/>
      <c r="DYU1" s="149"/>
      <c r="DYV1" s="149"/>
      <c r="DYW1" s="149"/>
      <c r="DYX1" s="149"/>
      <c r="DYY1" s="149"/>
      <c r="DYZ1" s="149"/>
      <c r="DZA1" s="149"/>
      <c r="DZB1" s="149"/>
      <c r="DZC1" s="149"/>
      <c r="DZD1" s="149"/>
      <c r="DZE1" s="149"/>
      <c r="DZF1" s="149"/>
      <c r="DZG1" s="149"/>
      <c r="DZH1" s="149"/>
      <c r="DZI1" s="149"/>
      <c r="DZJ1" s="149"/>
      <c r="DZK1" s="149"/>
      <c r="DZL1" s="149"/>
      <c r="DZM1" s="149"/>
      <c r="DZN1" s="149"/>
      <c r="DZO1" s="149"/>
      <c r="DZP1" s="149"/>
      <c r="DZQ1" s="149"/>
      <c r="DZR1" s="149"/>
      <c r="DZS1" s="149"/>
      <c r="DZT1" s="149"/>
      <c r="DZU1" s="149"/>
      <c r="DZV1" s="149"/>
      <c r="DZW1" s="149"/>
      <c r="DZX1" s="149"/>
      <c r="DZY1" s="149"/>
      <c r="DZZ1" s="149"/>
      <c r="EAA1" s="149"/>
      <c r="EAB1" s="149"/>
      <c r="EAC1" s="149"/>
      <c r="EAD1" s="149"/>
      <c r="EAE1" s="149"/>
      <c r="EAF1" s="149"/>
      <c r="EAG1" s="149"/>
      <c r="EAH1" s="149"/>
      <c r="EAI1" s="149"/>
      <c r="EAJ1" s="149"/>
      <c r="EAK1" s="149"/>
      <c r="EAL1" s="149"/>
      <c r="EAM1" s="149"/>
      <c r="EAN1" s="149"/>
      <c r="EAO1" s="149"/>
      <c r="EAP1" s="149"/>
      <c r="EAQ1" s="149"/>
      <c r="EAR1" s="149"/>
      <c r="EAS1" s="149"/>
      <c r="EAT1" s="149"/>
      <c r="EAU1" s="149"/>
      <c r="EAV1" s="149"/>
      <c r="EAW1" s="149"/>
      <c r="EAX1" s="149"/>
      <c r="EAY1" s="149"/>
      <c r="EAZ1" s="149"/>
      <c r="EBA1" s="149"/>
      <c r="EBB1" s="149"/>
      <c r="EBC1" s="149"/>
      <c r="EBD1" s="149"/>
      <c r="EBE1" s="149"/>
      <c r="EBF1" s="149"/>
      <c r="EBG1" s="149"/>
      <c r="EBH1" s="149"/>
      <c r="EBI1" s="149"/>
      <c r="EBJ1" s="149"/>
      <c r="EBK1" s="149"/>
      <c r="EBL1" s="149"/>
      <c r="EBM1" s="149"/>
      <c r="EBN1" s="149"/>
      <c r="EBO1" s="149"/>
      <c r="EBP1" s="149"/>
      <c r="EBQ1" s="149"/>
      <c r="EBR1" s="149"/>
      <c r="EBS1" s="149"/>
      <c r="EBT1" s="149"/>
      <c r="EBU1" s="149"/>
      <c r="EBV1" s="149"/>
      <c r="EBW1" s="149"/>
      <c r="EBX1" s="149"/>
      <c r="EBY1" s="149"/>
      <c r="EBZ1" s="149"/>
      <c r="ECA1" s="149"/>
      <c r="ECB1" s="149"/>
      <c r="ECC1" s="149"/>
      <c r="ECD1" s="149"/>
      <c r="ECE1" s="149"/>
      <c r="ECF1" s="149"/>
      <c r="ECG1" s="149"/>
      <c r="ECH1" s="149"/>
      <c r="ECI1" s="149"/>
      <c r="ECJ1" s="149"/>
      <c r="ECK1" s="149"/>
      <c r="ECL1" s="149"/>
      <c r="ECM1" s="149"/>
      <c r="ECN1" s="149"/>
      <c r="ECO1" s="149"/>
      <c r="ECP1" s="149"/>
      <c r="ECQ1" s="149"/>
      <c r="ECR1" s="149"/>
      <c r="ECS1" s="149"/>
      <c r="ECT1" s="149"/>
      <c r="ECU1" s="149"/>
      <c r="ECV1" s="149"/>
      <c r="ECW1" s="149"/>
      <c r="ECX1" s="149"/>
      <c r="ECY1" s="149"/>
      <c r="ECZ1" s="149"/>
      <c r="EDA1" s="149"/>
      <c r="EDB1" s="149"/>
      <c r="EDC1" s="149"/>
      <c r="EDD1" s="149"/>
      <c r="EDE1" s="149"/>
      <c r="EDF1" s="149"/>
      <c r="EDG1" s="149"/>
      <c r="EDH1" s="149"/>
      <c r="EDI1" s="149"/>
      <c r="EDJ1" s="149"/>
      <c r="EDK1" s="149"/>
      <c r="EDL1" s="149"/>
      <c r="EDM1" s="149"/>
      <c r="EDN1" s="149"/>
      <c r="EDO1" s="149"/>
      <c r="EDP1" s="149"/>
      <c r="EDQ1" s="149"/>
      <c r="EDR1" s="149"/>
      <c r="EDS1" s="149"/>
      <c r="EDT1" s="149"/>
      <c r="EDU1" s="149"/>
      <c r="EDV1" s="149"/>
      <c r="EDW1" s="149"/>
      <c r="EDX1" s="149"/>
      <c r="EDY1" s="149"/>
      <c r="EDZ1" s="149"/>
      <c r="EEA1" s="149"/>
      <c r="EEB1" s="149"/>
      <c r="EEC1" s="149"/>
      <c r="EED1" s="149"/>
      <c r="EEE1" s="149"/>
      <c r="EEF1" s="149"/>
      <c r="EEG1" s="149"/>
      <c r="EEH1" s="149"/>
      <c r="EEI1" s="149"/>
      <c r="EEJ1" s="149"/>
      <c r="EEK1" s="149"/>
      <c r="EEL1" s="149"/>
      <c r="EEM1" s="149"/>
      <c r="EEN1" s="149"/>
      <c r="EEO1" s="149"/>
      <c r="EEP1" s="149"/>
      <c r="EEQ1" s="149"/>
      <c r="EER1" s="149"/>
      <c r="EES1" s="149"/>
      <c r="EET1" s="149"/>
      <c r="EEU1" s="149"/>
      <c r="EEV1" s="149"/>
      <c r="EEW1" s="149"/>
      <c r="EEX1" s="149"/>
      <c r="EEY1" s="149"/>
      <c r="EEZ1" s="149"/>
      <c r="EFA1" s="149"/>
      <c r="EFB1" s="149"/>
      <c r="EFC1" s="149"/>
      <c r="EFD1" s="149"/>
      <c r="EFE1" s="149"/>
      <c r="EFF1" s="149"/>
      <c r="EFG1" s="149"/>
      <c r="EFH1" s="149"/>
      <c r="EFI1" s="149"/>
      <c r="EFJ1" s="149"/>
      <c r="EFK1" s="149"/>
      <c r="EFL1" s="149"/>
      <c r="EFM1" s="149"/>
      <c r="EFN1" s="149"/>
      <c r="EFO1" s="149"/>
      <c r="EFP1" s="149"/>
      <c r="EFQ1" s="149"/>
      <c r="EFR1" s="149"/>
      <c r="EFS1" s="149"/>
      <c r="EFT1" s="149"/>
      <c r="EFU1" s="149"/>
      <c r="EFV1" s="149"/>
      <c r="EFW1" s="149"/>
      <c r="EFX1" s="149"/>
      <c r="EFY1" s="149"/>
      <c r="EFZ1" s="149"/>
      <c r="EGA1" s="149"/>
      <c r="EGB1" s="149"/>
      <c r="EGC1" s="149"/>
      <c r="EGD1" s="149"/>
      <c r="EGE1" s="149"/>
      <c r="EGF1" s="149"/>
      <c r="EGG1" s="149"/>
      <c r="EGH1" s="149"/>
      <c r="EGI1" s="149"/>
      <c r="EGJ1" s="149"/>
      <c r="EGK1" s="149"/>
      <c r="EGL1" s="149"/>
      <c r="EGM1" s="149"/>
      <c r="EGN1" s="149"/>
      <c r="EGO1" s="149"/>
      <c r="EGP1" s="149"/>
      <c r="EGQ1" s="149"/>
      <c r="EGR1" s="149"/>
      <c r="EGS1" s="149"/>
      <c r="EGT1" s="149"/>
      <c r="EGU1" s="149"/>
      <c r="EGV1" s="149"/>
      <c r="EGW1" s="149"/>
      <c r="EGX1" s="149"/>
      <c r="EGY1" s="149"/>
      <c r="EGZ1" s="149"/>
      <c r="EHA1" s="149"/>
      <c r="EHB1" s="149"/>
      <c r="EHC1" s="149"/>
      <c r="EHD1" s="149"/>
      <c r="EHE1" s="149"/>
      <c r="EHF1" s="149"/>
      <c r="EHG1" s="149"/>
      <c r="EHH1" s="149"/>
      <c r="EHI1" s="149"/>
      <c r="EHJ1" s="149"/>
      <c r="EHK1" s="149"/>
      <c r="EHL1" s="149"/>
      <c r="EHM1" s="149"/>
      <c r="EHN1" s="149"/>
      <c r="EHO1" s="149"/>
      <c r="EHP1" s="149"/>
      <c r="EHQ1" s="149"/>
      <c r="EHR1" s="149"/>
      <c r="EHS1" s="149"/>
      <c r="EHT1" s="149"/>
      <c r="EHU1" s="149"/>
      <c r="EHV1" s="149"/>
      <c r="EHW1" s="149"/>
      <c r="EHX1" s="149"/>
      <c r="EHY1" s="149"/>
      <c r="EHZ1" s="149"/>
      <c r="EIA1" s="149"/>
      <c r="EIB1" s="149"/>
      <c r="EIC1" s="149"/>
      <c r="EID1" s="149"/>
      <c r="EIE1" s="149"/>
      <c r="EIF1" s="149"/>
      <c r="EIG1" s="149"/>
      <c r="EIH1" s="149"/>
      <c r="EII1" s="149"/>
      <c r="EIJ1" s="149"/>
      <c r="EIK1" s="149"/>
      <c r="EIL1" s="149"/>
      <c r="EIM1" s="149"/>
      <c r="EIN1" s="149"/>
      <c r="EIO1" s="149"/>
      <c r="EIP1" s="149"/>
      <c r="EIQ1" s="149"/>
      <c r="EIR1" s="149"/>
      <c r="EIS1" s="149"/>
      <c r="EIT1" s="149"/>
      <c r="EIU1" s="149"/>
      <c r="EIV1" s="149"/>
      <c r="EIW1" s="149"/>
      <c r="EIX1" s="149"/>
      <c r="EIY1" s="149"/>
      <c r="EIZ1" s="149"/>
      <c r="EJA1" s="149"/>
      <c r="EJB1" s="149"/>
      <c r="EJC1" s="149"/>
      <c r="EJD1" s="149"/>
      <c r="EJE1" s="149"/>
      <c r="EJF1" s="149"/>
      <c r="EJG1" s="149"/>
      <c r="EJH1" s="149"/>
      <c r="EJI1" s="149"/>
      <c r="EJJ1" s="149"/>
      <c r="EJK1" s="149"/>
      <c r="EJL1" s="149"/>
      <c r="EJM1" s="149"/>
      <c r="EJN1" s="149"/>
      <c r="EJO1" s="149"/>
      <c r="EJP1" s="149"/>
      <c r="EJQ1" s="149"/>
      <c r="EJR1" s="149"/>
      <c r="EJS1" s="149"/>
      <c r="EJT1" s="149"/>
      <c r="EJU1" s="149"/>
      <c r="EJV1" s="149"/>
      <c r="EJW1" s="149"/>
      <c r="EJX1" s="149"/>
      <c r="EJY1" s="149"/>
      <c r="EJZ1" s="149"/>
      <c r="EKA1" s="149"/>
      <c r="EKB1" s="149"/>
      <c r="EKC1" s="149"/>
      <c r="EKD1" s="149"/>
      <c r="EKE1" s="149"/>
      <c r="EKF1" s="149"/>
      <c r="EKG1" s="149"/>
      <c r="EKH1" s="149"/>
      <c r="EKI1" s="149"/>
      <c r="EKJ1" s="149"/>
      <c r="EKK1" s="149"/>
      <c r="EKL1" s="149"/>
      <c r="EKM1" s="149"/>
      <c r="EKN1" s="149"/>
      <c r="EKO1" s="149"/>
      <c r="EKP1" s="149"/>
      <c r="EKQ1" s="149"/>
      <c r="EKR1" s="149"/>
      <c r="EKS1" s="149"/>
      <c r="EKT1" s="149"/>
      <c r="EKU1" s="149"/>
      <c r="EKV1" s="149"/>
      <c r="EKW1" s="149"/>
      <c r="EKX1" s="149"/>
      <c r="EKY1" s="149"/>
      <c r="EKZ1" s="149"/>
      <c r="ELA1" s="149"/>
      <c r="ELB1" s="149"/>
      <c r="ELC1" s="149"/>
      <c r="ELD1" s="149"/>
      <c r="ELE1" s="149"/>
      <c r="ELF1" s="149"/>
      <c r="ELG1" s="149"/>
      <c r="ELH1" s="149"/>
      <c r="ELI1" s="149"/>
      <c r="ELJ1" s="149"/>
      <c r="ELK1" s="149"/>
      <c r="ELL1" s="149"/>
      <c r="ELM1" s="149"/>
      <c r="ELN1" s="149"/>
      <c r="ELO1" s="149"/>
      <c r="ELP1" s="149"/>
      <c r="ELQ1" s="149"/>
      <c r="ELR1" s="149"/>
      <c r="ELS1" s="149"/>
      <c r="ELT1" s="149"/>
      <c r="ELU1" s="149"/>
      <c r="ELV1" s="149"/>
      <c r="ELW1" s="149"/>
      <c r="ELX1" s="149"/>
      <c r="ELY1" s="149"/>
      <c r="ELZ1" s="149"/>
      <c r="EMA1" s="149"/>
      <c r="EMB1" s="149"/>
      <c r="EMC1" s="149"/>
      <c r="EMD1" s="149"/>
      <c r="EME1" s="149"/>
      <c r="EMF1" s="149"/>
      <c r="EMG1" s="149"/>
      <c r="EMH1" s="149"/>
      <c r="EMI1" s="149"/>
      <c r="EMJ1" s="149"/>
      <c r="EMK1" s="149"/>
      <c r="EML1" s="149"/>
      <c r="EMM1" s="149"/>
      <c r="EMN1" s="149"/>
      <c r="EMO1" s="149"/>
      <c r="EMP1" s="149"/>
      <c r="EMQ1" s="149"/>
      <c r="EMR1" s="149"/>
      <c r="EMS1" s="149"/>
      <c r="EMT1" s="149"/>
      <c r="EMU1" s="149"/>
      <c r="EMV1" s="149"/>
      <c r="EMW1" s="149"/>
      <c r="EMX1" s="149"/>
      <c r="EMY1" s="149"/>
      <c r="EMZ1" s="149"/>
      <c r="ENA1" s="149"/>
      <c r="ENB1" s="149"/>
      <c r="ENC1" s="149"/>
      <c r="END1" s="149"/>
      <c r="ENE1" s="149"/>
      <c r="ENF1" s="149"/>
      <c r="ENG1" s="149"/>
      <c r="ENH1" s="149"/>
      <c r="ENI1" s="149"/>
      <c r="ENJ1" s="149"/>
      <c r="ENK1" s="149"/>
      <c r="ENL1" s="149"/>
      <c r="ENM1" s="149"/>
      <c r="ENN1" s="149"/>
      <c r="ENO1" s="149"/>
      <c r="ENP1" s="149"/>
      <c r="ENQ1" s="149"/>
      <c r="ENR1" s="149"/>
      <c r="ENS1" s="149"/>
      <c r="ENT1" s="149"/>
      <c r="ENU1" s="149"/>
      <c r="ENV1" s="149"/>
      <c r="ENW1" s="149"/>
      <c r="ENX1" s="149"/>
      <c r="ENY1" s="149"/>
      <c r="ENZ1" s="149"/>
      <c r="EOA1" s="149"/>
      <c r="EOB1" s="149"/>
      <c r="EOC1" s="149"/>
      <c r="EOD1" s="149"/>
      <c r="EOE1" s="149"/>
      <c r="EOF1" s="149"/>
      <c r="EOG1" s="149"/>
      <c r="EOH1" s="149"/>
      <c r="EOI1" s="149"/>
      <c r="EOJ1" s="149"/>
      <c r="EOK1" s="149"/>
      <c r="EOL1" s="149"/>
      <c r="EOM1" s="149"/>
      <c r="EON1" s="149"/>
      <c r="EOO1" s="149"/>
      <c r="EOP1" s="149"/>
      <c r="EOQ1" s="149"/>
      <c r="EOR1" s="149"/>
      <c r="EOS1" s="149"/>
      <c r="EOT1" s="149"/>
      <c r="EOU1" s="149"/>
      <c r="EOV1" s="149"/>
      <c r="EOW1" s="149"/>
      <c r="EOX1" s="149"/>
      <c r="EOY1" s="149"/>
      <c r="EOZ1" s="149"/>
      <c r="EPA1" s="149"/>
      <c r="EPB1" s="149"/>
      <c r="EPC1" s="149"/>
      <c r="EPD1" s="149"/>
      <c r="EPE1" s="149"/>
      <c r="EPF1" s="149"/>
      <c r="EPG1" s="149"/>
      <c r="EPH1" s="149"/>
      <c r="EPI1" s="149"/>
      <c r="EPJ1" s="149"/>
      <c r="EPK1" s="149"/>
      <c r="EPL1" s="149"/>
      <c r="EPM1" s="149"/>
      <c r="EPN1" s="149"/>
      <c r="EPO1" s="149"/>
      <c r="EPP1" s="149"/>
      <c r="EPQ1" s="149"/>
      <c r="EPR1" s="149"/>
      <c r="EPS1" s="149"/>
      <c r="EPT1" s="149"/>
      <c r="EPU1" s="149"/>
      <c r="EPV1" s="149"/>
      <c r="EPW1" s="149"/>
      <c r="EPX1" s="149"/>
      <c r="EPY1" s="149"/>
      <c r="EPZ1" s="149"/>
      <c r="EQA1" s="149"/>
      <c r="EQB1" s="149"/>
      <c r="EQC1" s="149"/>
      <c r="EQD1" s="149"/>
      <c r="EQE1" s="149"/>
      <c r="EQF1" s="149"/>
      <c r="EQG1" s="149"/>
      <c r="EQH1" s="149"/>
      <c r="EQI1" s="149"/>
      <c r="EQJ1" s="149"/>
      <c r="EQK1" s="149"/>
      <c r="EQL1" s="149"/>
      <c r="EQM1" s="149"/>
      <c r="EQN1" s="149"/>
      <c r="EQO1" s="149"/>
      <c r="EQP1" s="149"/>
      <c r="EQQ1" s="149"/>
      <c r="EQR1" s="149"/>
      <c r="EQS1" s="149"/>
      <c r="EQT1" s="149"/>
      <c r="EQU1" s="149"/>
      <c r="EQV1" s="149"/>
      <c r="EQW1" s="149"/>
      <c r="EQX1" s="149"/>
      <c r="EQY1" s="149"/>
      <c r="EQZ1" s="149"/>
      <c r="ERA1" s="149"/>
      <c r="ERB1" s="149"/>
      <c r="ERC1" s="149"/>
      <c r="ERD1" s="149"/>
      <c r="ERE1" s="149"/>
      <c r="ERF1" s="149"/>
      <c r="ERG1" s="149"/>
      <c r="ERH1" s="149"/>
      <c r="ERI1" s="149"/>
      <c r="ERJ1" s="149"/>
      <c r="ERK1" s="149"/>
      <c r="ERL1" s="149"/>
      <c r="ERM1" s="149"/>
      <c r="ERN1" s="149"/>
      <c r="ERO1" s="149"/>
      <c r="ERP1" s="149"/>
      <c r="ERQ1" s="149"/>
      <c r="ERR1" s="149"/>
      <c r="ERS1" s="149"/>
      <c r="ERT1" s="149"/>
      <c r="ERU1" s="149"/>
      <c r="ERV1" s="149"/>
      <c r="ERW1" s="149"/>
      <c r="ERX1" s="149"/>
      <c r="ERY1" s="149"/>
      <c r="ERZ1" s="149"/>
      <c r="ESA1" s="149"/>
      <c r="ESB1" s="149"/>
      <c r="ESC1" s="149"/>
      <c r="ESD1" s="149"/>
      <c r="ESE1" s="149"/>
      <c r="ESF1" s="149"/>
      <c r="ESG1" s="149"/>
      <c r="ESH1" s="149"/>
      <c r="ESI1" s="149"/>
      <c r="ESJ1" s="149"/>
      <c r="ESK1" s="149"/>
      <c r="ESL1" s="149"/>
      <c r="ESM1" s="149"/>
      <c r="ESN1" s="149"/>
      <c r="ESO1" s="149"/>
      <c r="ESP1" s="149"/>
      <c r="ESQ1" s="149"/>
      <c r="ESR1" s="149"/>
      <c r="ESS1" s="149"/>
      <c r="EST1" s="149"/>
      <c r="ESU1" s="149"/>
      <c r="ESV1" s="149"/>
      <c r="ESW1" s="149"/>
      <c r="ESX1" s="149"/>
      <c r="ESY1" s="149"/>
      <c r="ESZ1" s="149"/>
      <c r="ETA1" s="149"/>
      <c r="ETB1" s="149"/>
      <c r="ETC1" s="149"/>
      <c r="ETD1" s="149"/>
      <c r="ETE1" s="149"/>
      <c r="ETF1" s="149"/>
      <c r="ETG1" s="149"/>
      <c r="ETH1" s="149"/>
      <c r="ETI1" s="149"/>
      <c r="ETJ1" s="149"/>
      <c r="ETK1" s="149"/>
      <c r="ETL1" s="149"/>
      <c r="ETM1" s="149"/>
      <c r="ETN1" s="149"/>
      <c r="ETO1" s="149"/>
      <c r="ETP1" s="149"/>
      <c r="ETQ1" s="149"/>
      <c r="ETR1" s="149"/>
      <c r="ETS1" s="149"/>
      <c r="ETT1" s="149"/>
      <c r="ETU1" s="149"/>
      <c r="ETV1" s="149"/>
      <c r="ETW1" s="149"/>
      <c r="ETX1" s="149"/>
      <c r="ETY1" s="149"/>
      <c r="ETZ1" s="149"/>
      <c r="EUA1" s="149"/>
      <c r="EUB1" s="149"/>
      <c r="EUC1" s="149"/>
      <c r="EUD1" s="149"/>
      <c r="EUE1" s="149"/>
      <c r="EUF1" s="149"/>
      <c r="EUG1" s="149"/>
      <c r="EUH1" s="149"/>
      <c r="EUI1" s="149"/>
      <c r="EUJ1" s="149"/>
      <c r="EUK1" s="149"/>
      <c r="EUL1" s="149"/>
      <c r="EUM1" s="149"/>
      <c r="EUN1" s="149"/>
      <c r="EUO1" s="149"/>
      <c r="EUP1" s="149"/>
      <c r="EUQ1" s="149"/>
      <c r="EUR1" s="149"/>
      <c r="EUS1" s="149"/>
      <c r="EUT1" s="149"/>
      <c r="EUU1" s="149"/>
      <c r="EUV1" s="149"/>
      <c r="EUW1" s="149"/>
      <c r="EUX1" s="149"/>
      <c r="EUY1" s="149"/>
      <c r="EUZ1" s="149"/>
      <c r="EVA1" s="149"/>
      <c r="EVB1" s="149"/>
      <c r="EVC1" s="149"/>
      <c r="EVD1" s="149"/>
      <c r="EVE1" s="149"/>
      <c r="EVF1" s="149"/>
      <c r="EVG1" s="149"/>
      <c r="EVH1" s="149"/>
      <c r="EVI1" s="149"/>
      <c r="EVJ1" s="149"/>
      <c r="EVK1" s="149"/>
      <c r="EVL1" s="149"/>
      <c r="EVM1" s="149"/>
      <c r="EVN1" s="149"/>
      <c r="EVO1" s="149"/>
      <c r="EVP1" s="149"/>
      <c r="EVQ1" s="149"/>
      <c r="EVR1" s="149"/>
      <c r="EVS1" s="149"/>
      <c r="EVT1" s="149"/>
      <c r="EVU1" s="149"/>
      <c r="EVV1" s="149"/>
      <c r="EVW1" s="149"/>
      <c r="EVX1" s="149"/>
      <c r="EVY1" s="149"/>
      <c r="EVZ1" s="149"/>
      <c r="EWA1" s="149"/>
      <c r="EWB1" s="149"/>
      <c r="EWC1" s="149"/>
      <c r="EWD1" s="149"/>
      <c r="EWE1" s="149"/>
      <c r="EWF1" s="149"/>
      <c r="EWG1" s="149"/>
      <c r="EWH1" s="149"/>
      <c r="EWI1" s="149"/>
      <c r="EWJ1" s="149"/>
      <c r="EWK1" s="149"/>
      <c r="EWL1" s="149"/>
      <c r="EWM1" s="149"/>
      <c r="EWN1" s="149"/>
      <c r="EWO1" s="149"/>
      <c r="EWP1" s="149"/>
      <c r="EWQ1" s="149"/>
      <c r="EWR1" s="149"/>
      <c r="EWS1" s="149"/>
      <c r="EWT1" s="149"/>
      <c r="EWU1" s="149"/>
      <c r="EWV1" s="149"/>
      <c r="EWW1" s="149"/>
      <c r="EWX1" s="149"/>
      <c r="EWY1" s="149"/>
      <c r="EWZ1" s="149"/>
      <c r="EXA1" s="149"/>
      <c r="EXB1" s="149"/>
      <c r="EXC1" s="149"/>
      <c r="EXD1" s="149"/>
      <c r="EXE1" s="149"/>
      <c r="EXF1" s="149"/>
      <c r="EXG1" s="149"/>
      <c r="EXH1" s="149"/>
      <c r="EXI1" s="149"/>
      <c r="EXJ1" s="149"/>
      <c r="EXK1" s="149"/>
      <c r="EXL1" s="149"/>
      <c r="EXM1" s="149"/>
      <c r="EXN1" s="149"/>
      <c r="EXO1" s="149"/>
      <c r="EXP1" s="149"/>
      <c r="EXQ1" s="149"/>
      <c r="EXR1" s="149"/>
      <c r="EXS1" s="149"/>
      <c r="EXT1" s="149"/>
      <c r="EXU1" s="149"/>
      <c r="EXV1" s="149"/>
      <c r="EXW1" s="149"/>
      <c r="EXX1" s="149"/>
      <c r="EXY1" s="149"/>
      <c r="EXZ1" s="149"/>
      <c r="EYA1" s="149"/>
      <c r="EYB1" s="149"/>
      <c r="EYC1" s="149"/>
      <c r="EYD1" s="149"/>
      <c r="EYE1" s="149"/>
      <c r="EYF1" s="149"/>
      <c r="EYG1" s="149"/>
      <c r="EYH1" s="149"/>
      <c r="EYI1" s="149"/>
      <c r="EYJ1" s="149"/>
      <c r="EYK1" s="149"/>
      <c r="EYL1" s="149"/>
      <c r="EYM1" s="149"/>
      <c r="EYN1" s="149"/>
      <c r="EYO1" s="149"/>
      <c r="EYP1" s="149"/>
      <c r="EYQ1" s="149"/>
      <c r="EYR1" s="149"/>
      <c r="EYS1" s="149"/>
      <c r="EYT1" s="149"/>
      <c r="EYU1" s="149"/>
      <c r="EYV1" s="149"/>
      <c r="EYW1" s="149"/>
      <c r="EYX1" s="149"/>
      <c r="EYY1" s="149"/>
      <c r="EYZ1" s="149"/>
      <c r="EZA1" s="149"/>
      <c r="EZB1" s="149"/>
      <c r="EZC1" s="149"/>
      <c r="EZD1" s="149"/>
      <c r="EZE1" s="149"/>
      <c r="EZF1" s="149"/>
      <c r="EZG1" s="149"/>
      <c r="EZH1" s="149"/>
      <c r="EZI1" s="149"/>
      <c r="EZJ1" s="149"/>
      <c r="EZK1" s="149"/>
      <c r="EZL1" s="149"/>
      <c r="EZM1" s="149"/>
      <c r="EZN1" s="149"/>
      <c r="EZO1" s="149"/>
      <c r="EZP1" s="149"/>
      <c r="EZQ1" s="149"/>
      <c r="EZR1" s="149"/>
      <c r="EZS1" s="149"/>
      <c r="EZT1" s="149"/>
      <c r="EZU1" s="149"/>
      <c r="EZV1" s="149"/>
      <c r="EZW1" s="149"/>
      <c r="EZX1" s="149"/>
      <c r="EZY1" s="149"/>
      <c r="EZZ1" s="149"/>
      <c r="FAA1" s="149"/>
      <c r="FAB1" s="149"/>
      <c r="FAC1" s="149"/>
      <c r="FAD1" s="149"/>
      <c r="FAE1" s="149"/>
      <c r="FAF1" s="149"/>
      <c r="FAG1" s="149"/>
      <c r="FAH1" s="149"/>
      <c r="FAI1" s="149"/>
      <c r="FAJ1" s="149"/>
      <c r="FAK1" s="149"/>
      <c r="FAL1" s="149"/>
      <c r="FAM1" s="149"/>
      <c r="FAN1" s="149"/>
      <c r="FAO1" s="149"/>
      <c r="FAP1" s="149"/>
      <c r="FAQ1" s="149"/>
      <c r="FAR1" s="149"/>
      <c r="FAS1" s="149"/>
      <c r="FAT1" s="149"/>
      <c r="FAU1" s="149"/>
      <c r="FAV1" s="149"/>
      <c r="FAW1" s="149"/>
      <c r="FAX1" s="149"/>
      <c r="FAY1" s="149"/>
      <c r="FAZ1" s="149"/>
      <c r="FBA1" s="149"/>
      <c r="FBB1" s="149"/>
      <c r="FBC1" s="149"/>
      <c r="FBD1" s="149"/>
      <c r="FBE1" s="149"/>
      <c r="FBF1" s="149"/>
      <c r="FBG1" s="149"/>
      <c r="FBH1" s="149"/>
      <c r="FBI1" s="149"/>
      <c r="FBJ1" s="149"/>
      <c r="FBK1" s="149"/>
      <c r="FBL1" s="149"/>
      <c r="FBM1" s="149"/>
      <c r="FBN1" s="149"/>
      <c r="FBO1" s="149"/>
      <c r="FBP1" s="149"/>
      <c r="FBQ1" s="149"/>
      <c r="FBR1" s="149"/>
      <c r="FBS1" s="149"/>
      <c r="FBT1" s="149"/>
      <c r="FBU1" s="149"/>
      <c r="FBV1" s="149"/>
      <c r="FBW1" s="149"/>
      <c r="FBX1" s="149"/>
      <c r="FBY1" s="149"/>
      <c r="FBZ1" s="149"/>
      <c r="FCA1" s="149"/>
      <c r="FCB1" s="149"/>
      <c r="FCC1" s="149"/>
      <c r="FCD1" s="149"/>
      <c r="FCE1" s="149"/>
      <c r="FCF1" s="149"/>
      <c r="FCG1" s="149"/>
      <c r="FCH1" s="149"/>
      <c r="FCI1" s="149"/>
      <c r="FCJ1" s="149"/>
      <c r="FCK1" s="149"/>
      <c r="FCL1" s="149"/>
      <c r="FCM1" s="149"/>
      <c r="FCN1" s="149"/>
      <c r="FCO1" s="149"/>
      <c r="FCP1" s="149"/>
      <c r="FCQ1" s="149"/>
      <c r="FCR1" s="149"/>
      <c r="FCS1" s="149"/>
      <c r="FCT1" s="149"/>
      <c r="FCU1" s="149"/>
      <c r="FCV1" s="149"/>
      <c r="FCW1" s="149"/>
      <c r="FCX1" s="149"/>
      <c r="FCY1" s="149"/>
      <c r="FCZ1" s="149"/>
      <c r="FDA1" s="149"/>
      <c r="FDB1" s="149"/>
      <c r="FDC1" s="149"/>
      <c r="FDD1" s="149"/>
      <c r="FDE1" s="149"/>
      <c r="FDF1" s="149"/>
      <c r="FDG1" s="149"/>
      <c r="FDH1" s="149"/>
      <c r="FDI1" s="149"/>
      <c r="FDJ1" s="149"/>
      <c r="FDK1" s="149"/>
      <c r="FDL1" s="149"/>
      <c r="FDM1" s="149"/>
      <c r="FDN1" s="149"/>
      <c r="FDO1" s="149"/>
      <c r="FDP1" s="149"/>
      <c r="FDQ1" s="149"/>
      <c r="FDR1" s="149"/>
      <c r="FDS1" s="149"/>
      <c r="FDT1" s="149"/>
      <c r="FDU1" s="149"/>
      <c r="FDV1" s="149"/>
      <c r="FDW1" s="149"/>
      <c r="FDX1" s="149"/>
      <c r="FDY1" s="149"/>
      <c r="FDZ1" s="149"/>
      <c r="FEA1" s="149"/>
      <c r="FEB1" s="149"/>
      <c r="FEC1" s="149"/>
      <c r="FED1" s="149"/>
      <c r="FEE1" s="149"/>
      <c r="FEF1" s="149"/>
      <c r="FEG1" s="149"/>
      <c r="FEH1" s="149"/>
      <c r="FEI1" s="149"/>
      <c r="FEJ1" s="149"/>
      <c r="FEK1" s="149"/>
      <c r="FEL1" s="149"/>
      <c r="FEM1" s="149"/>
      <c r="FEN1" s="149"/>
      <c r="FEO1" s="149"/>
      <c r="FEP1" s="149"/>
      <c r="FEQ1" s="149"/>
      <c r="FER1" s="149"/>
      <c r="FES1" s="149"/>
      <c r="FET1" s="149"/>
      <c r="FEU1" s="149"/>
      <c r="FEV1" s="149"/>
      <c r="FEW1" s="149"/>
      <c r="FEX1" s="149"/>
      <c r="FEY1" s="149"/>
      <c r="FEZ1" s="149"/>
      <c r="FFA1" s="149"/>
      <c r="FFB1" s="149"/>
      <c r="FFC1" s="149"/>
      <c r="FFD1" s="149"/>
      <c r="FFE1" s="149"/>
      <c r="FFF1" s="149"/>
      <c r="FFG1" s="149"/>
      <c r="FFH1" s="149"/>
      <c r="FFI1" s="149"/>
      <c r="FFJ1" s="149"/>
      <c r="FFK1" s="149"/>
      <c r="FFL1" s="149"/>
      <c r="FFM1" s="149"/>
      <c r="FFN1" s="149"/>
      <c r="FFO1" s="149"/>
      <c r="FFP1" s="149"/>
      <c r="FFQ1" s="149"/>
      <c r="FFR1" s="149"/>
      <c r="FFS1" s="149"/>
      <c r="FFT1" s="149"/>
      <c r="FFU1" s="149"/>
      <c r="FFV1" s="149"/>
      <c r="FFW1" s="149"/>
      <c r="FFX1" s="149"/>
      <c r="FFY1" s="149"/>
      <c r="FFZ1" s="149"/>
      <c r="FGA1" s="149"/>
      <c r="FGB1" s="149"/>
      <c r="FGC1" s="149"/>
      <c r="FGD1" s="149"/>
      <c r="FGE1" s="149"/>
      <c r="FGF1" s="149"/>
      <c r="FGG1" s="149"/>
      <c r="FGH1" s="149"/>
      <c r="FGI1" s="149"/>
      <c r="FGJ1" s="149"/>
      <c r="FGK1" s="149"/>
      <c r="FGL1" s="149"/>
      <c r="FGM1" s="149"/>
      <c r="FGN1" s="149"/>
      <c r="FGO1" s="149"/>
      <c r="FGP1" s="149"/>
      <c r="FGQ1" s="149"/>
      <c r="FGR1" s="149"/>
      <c r="FGS1" s="149"/>
      <c r="FGT1" s="149"/>
      <c r="FGU1" s="149"/>
      <c r="FGV1" s="149"/>
      <c r="FGW1" s="149"/>
      <c r="FGX1" s="149"/>
      <c r="FGY1" s="149"/>
      <c r="FGZ1" s="149"/>
      <c r="FHA1" s="149"/>
      <c r="FHB1" s="149"/>
      <c r="FHC1" s="149"/>
      <c r="FHD1" s="149"/>
      <c r="FHE1" s="149"/>
      <c r="FHF1" s="149"/>
      <c r="FHG1" s="149"/>
      <c r="FHH1" s="149"/>
      <c r="FHI1" s="149"/>
      <c r="FHJ1" s="149"/>
      <c r="FHK1" s="149"/>
      <c r="FHL1" s="149"/>
      <c r="FHM1" s="149"/>
      <c r="FHN1" s="149"/>
      <c r="FHO1" s="149"/>
      <c r="FHP1" s="149"/>
      <c r="FHQ1" s="149"/>
      <c r="FHR1" s="149"/>
      <c r="FHS1" s="149"/>
      <c r="FHT1" s="149"/>
      <c r="FHU1" s="149"/>
      <c r="FHV1" s="149"/>
      <c r="FHW1" s="149"/>
      <c r="FHX1" s="149"/>
      <c r="FHY1" s="149"/>
      <c r="FHZ1" s="149"/>
      <c r="FIA1" s="149"/>
      <c r="FIB1" s="149"/>
      <c r="FIC1" s="149"/>
      <c r="FID1" s="149"/>
      <c r="FIE1" s="149"/>
      <c r="FIF1" s="149"/>
      <c r="FIG1" s="149"/>
      <c r="FIH1" s="149"/>
      <c r="FII1" s="149"/>
      <c r="FIJ1" s="149"/>
      <c r="FIK1" s="149"/>
      <c r="FIL1" s="149"/>
      <c r="FIM1" s="149"/>
      <c r="FIN1" s="149"/>
      <c r="FIO1" s="149"/>
      <c r="FIP1" s="149"/>
      <c r="FIQ1" s="149"/>
      <c r="FIR1" s="149"/>
      <c r="FIS1" s="149"/>
      <c r="FIT1" s="149"/>
      <c r="FIU1" s="149"/>
      <c r="FIV1" s="149"/>
      <c r="FIW1" s="149"/>
      <c r="FIX1" s="149"/>
      <c r="FIY1" s="149"/>
      <c r="FIZ1" s="149"/>
      <c r="FJA1" s="149"/>
      <c r="FJB1" s="149"/>
      <c r="FJC1" s="149"/>
      <c r="FJD1" s="149"/>
      <c r="FJE1" s="149"/>
      <c r="FJF1" s="149"/>
      <c r="FJG1" s="149"/>
      <c r="FJH1" s="149"/>
      <c r="FJI1" s="149"/>
      <c r="FJJ1" s="149"/>
      <c r="FJK1" s="149"/>
      <c r="FJL1" s="149"/>
      <c r="FJM1" s="149"/>
      <c r="FJN1" s="149"/>
      <c r="FJO1" s="149"/>
      <c r="FJP1" s="149"/>
      <c r="FJQ1" s="149"/>
      <c r="FJR1" s="149"/>
      <c r="FJS1" s="149"/>
      <c r="FJT1" s="149"/>
      <c r="FJU1" s="149"/>
      <c r="FJV1" s="149"/>
      <c r="FJW1" s="149"/>
      <c r="FJX1" s="149"/>
      <c r="FJY1" s="149"/>
      <c r="FJZ1" s="149"/>
      <c r="FKA1" s="149"/>
      <c r="FKB1" s="149"/>
      <c r="FKC1" s="149"/>
      <c r="FKD1" s="149"/>
      <c r="FKE1" s="149"/>
      <c r="FKF1" s="149"/>
      <c r="FKG1" s="149"/>
      <c r="FKH1" s="149"/>
      <c r="FKI1" s="149"/>
      <c r="FKJ1" s="149"/>
      <c r="FKK1" s="149"/>
      <c r="FKL1" s="149"/>
      <c r="FKM1" s="149"/>
      <c r="FKN1" s="149"/>
      <c r="FKO1" s="149"/>
      <c r="FKP1" s="149"/>
      <c r="FKQ1" s="149"/>
      <c r="FKR1" s="149"/>
      <c r="FKS1" s="149"/>
      <c r="FKT1" s="149"/>
      <c r="FKU1" s="149"/>
      <c r="FKV1" s="149"/>
      <c r="FKW1" s="149"/>
      <c r="FKX1" s="149"/>
      <c r="FKY1" s="149"/>
      <c r="FKZ1" s="149"/>
      <c r="FLA1" s="149"/>
      <c r="FLB1" s="149"/>
      <c r="FLC1" s="149"/>
      <c r="FLD1" s="149"/>
      <c r="FLE1" s="149"/>
      <c r="FLF1" s="149"/>
      <c r="FLG1" s="149"/>
      <c r="FLH1" s="149"/>
      <c r="FLI1" s="149"/>
      <c r="FLJ1" s="149"/>
      <c r="FLK1" s="149"/>
      <c r="FLL1" s="149"/>
      <c r="FLM1" s="149"/>
      <c r="FLN1" s="149"/>
      <c r="FLO1" s="149"/>
      <c r="FLP1" s="149"/>
      <c r="FLQ1" s="149"/>
      <c r="FLR1" s="149"/>
      <c r="FLS1" s="149"/>
      <c r="FLT1" s="149"/>
      <c r="FLU1" s="149"/>
      <c r="FLV1" s="149"/>
      <c r="FLW1" s="149"/>
      <c r="FLX1" s="149"/>
      <c r="FLY1" s="149"/>
      <c r="FLZ1" s="149"/>
      <c r="FMA1" s="149"/>
      <c r="FMB1" s="149"/>
      <c r="FMC1" s="149"/>
      <c r="FMD1" s="149"/>
      <c r="FME1" s="149"/>
      <c r="FMF1" s="149"/>
      <c r="FMG1" s="149"/>
      <c r="FMH1" s="149"/>
      <c r="FMI1" s="149"/>
      <c r="FMJ1" s="149"/>
      <c r="FMK1" s="149"/>
      <c r="FML1" s="149"/>
      <c r="FMM1" s="149"/>
      <c r="FMN1" s="149"/>
      <c r="FMO1" s="149"/>
      <c r="FMP1" s="149"/>
      <c r="FMQ1" s="149"/>
      <c r="FMR1" s="149"/>
      <c r="FMS1" s="149"/>
      <c r="FMT1" s="149"/>
      <c r="FMU1" s="149"/>
      <c r="FMV1" s="149"/>
      <c r="FMW1" s="149"/>
      <c r="FMX1" s="149"/>
      <c r="FMY1" s="149"/>
      <c r="FMZ1" s="149"/>
      <c r="FNA1" s="149"/>
      <c r="FNB1" s="149"/>
      <c r="FNC1" s="149"/>
      <c r="FND1" s="149"/>
      <c r="FNE1" s="149"/>
      <c r="FNF1" s="149"/>
      <c r="FNG1" s="149"/>
      <c r="FNH1" s="149"/>
      <c r="FNI1" s="149"/>
      <c r="FNJ1" s="149"/>
      <c r="FNK1" s="149"/>
      <c r="FNL1" s="149"/>
      <c r="FNM1" s="149"/>
      <c r="FNN1" s="149"/>
      <c r="FNO1" s="149"/>
      <c r="FNP1" s="149"/>
      <c r="FNQ1" s="149"/>
      <c r="FNR1" s="149"/>
      <c r="FNS1" s="149"/>
      <c r="FNT1" s="149"/>
      <c r="FNU1" s="149"/>
      <c r="FNV1" s="149"/>
      <c r="FNW1" s="149"/>
      <c r="FNX1" s="149"/>
      <c r="FNY1" s="149"/>
      <c r="FNZ1" s="149"/>
      <c r="FOA1" s="149"/>
      <c r="FOB1" s="149"/>
      <c r="FOC1" s="149"/>
      <c r="FOD1" s="149"/>
      <c r="FOE1" s="149"/>
      <c r="FOF1" s="149"/>
      <c r="FOG1" s="149"/>
      <c r="FOH1" s="149"/>
      <c r="FOI1" s="149"/>
      <c r="FOJ1" s="149"/>
      <c r="FOK1" s="149"/>
      <c r="FOL1" s="149"/>
      <c r="FOM1" s="149"/>
      <c r="FON1" s="149"/>
      <c r="FOO1" s="149"/>
      <c r="FOP1" s="149"/>
      <c r="FOQ1" s="149"/>
      <c r="FOR1" s="149"/>
      <c r="FOS1" s="149"/>
      <c r="FOT1" s="149"/>
      <c r="FOU1" s="149"/>
      <c r="FOV1" s="149"/>
      <c r="FOW1" s="149"/>
      <c r="FOX1" s="149"/>
      <c r="FOY1" s="149"/>
      <c r="FOZ1" s="149"/>
      <c r="FPA1" s="149"/>
      <c r="FPB1" s="149"/>
      <c r="FPC1" s="149"/>
      <c r="FPD1" s="149"/>
      <c r="FPE1" s="149"/>
      <c r="FPF1" s="149"/>
      <c r="FPG1" s="149"/>
      <c r="FPH1" s="149"/>
      <c r="FPI1" s="149"/>
      <c r="FPJ1" s="149"/>
      <c r="FPK1" s="149"/>
      <c r="FPL1" s="149"/>
      <c r="FPM1" s="149"/>
      <c r="FPN1" s="149"/>
      <c r="FPO1" s="149"/>
      <c r="FPP1" s="149"/>
      <c r="FPQ1" s="149"/>
      <c r="FPR1" s="149"/>
      <c r="FPS1" s="149"/>
      <c r="FPT1" s="149"/>
      <c r="FPU1" s="149"/>
      <c r="FPV1" s="149"/>
      <c r="FPW1" s="149"/>
      <c r="FPX1" s="149"/>
      <c r="FPY1" s="149"/>
      <c r="FPZ1" s="149"/>
      <c r="FQA1" s="149"/>
      <c r="FQB1" s="149"/>
      <c r="FQC1" s="149"/>
      <c r="FQD1" s="149"/>
      <c r="FQE1" s="149"/>
      <c r="FQF1" s="149"/>
      <c r="FQG1" s="149"/>
      <c r="FQH1" s="149"/>
      <c r="FQI1" s="149"/>
      <c r="FQJ1" s="149"/>
      <c r="FQK1" s="149"/>
      <c r="FQL1" s="149"/>
      <c r="FQM1" s="149"/>
      <c r="FQN1" s="149"/>
      <c r="FQO1" s="149"/>
      <c r="FQP1" s="149"/>
      <c r="FQQ1" s="149"/>
      <c r="FQR1" s="149"/>
      <c r="FQS1" s="149"/>
      <c r="FQT1" s="149"/>
      <c r="FQU1" s="149"/>
      <c r="FQV1" s="149"/>
      <c r="FQW1" s="149"/>
      <c r="FQX1" s="149"/>
      <c r="FQY1" s="149"/>
      <c r="FQZ1" s="149"/>
      <c r="FRA1" s="149"/>
      <c r="FRB1" s="149"/>
      <c r="FRC1" s="149"/>
      <c r="FRD1" s="149"/>
      <c r="FRE1" s="149"/>
      <c r="FRF1" s="149"/>
      <c r="FRG1" s="149"/>
      <c r="FRH1" s="149"/>
      <c r="FRI1" s="149"/>
      <c r="FRJ1" s="149"/>
      <c r="FRK1" s="149"/>
      <c r="FRL1" s="149"/>
      <c r="FRM1" s="149"/>
      <c r="FRN1" s="149"/>
      <c r="FRO1" s="149"/>
      <c r="FRP1" s="149"/>
      <c r="FRQ1" s="149"/>
      <c r="FRR1" s="149"/>
      <c r="FRS1" s="149"/>
      <c r="FRT1" s="149"/>
      <c r="FRU1" s="149"/>
      <c r="FRV1" s="149"/>
      <c r="FRW1" s="149"/>
      <c r="FRX1" s="149"/>
      <c r="FRY1" s="149"/>
      <c r="FRZ1" s="149"/>
      <c r="FSA1" s="149"/>
      <c r="FSB1" s="149"/>
      <c r="FSC1" s="149"/>
      <c r="FSD1" s="149"/>
      <c r="FSE1" s="149"/>
      <c r="FSF1" s="149"/>
      <c r="FSG1" s="149"/>
      <c r="FSH1" s="149"/>
      <c r="FSI1" s="149"/>
      <c r="FSJ1" s="149"/>
      <c r="FSK1" s="149"/>
      <c r="FSL1" s="149"/>
      <c r="FSM1" s="149"/>
      <c r="FSN1" s="149"/>
      <c r="FSO1" s="149"/>
      <c r="FSP1" s="149"/>
      <c r="FSQ1" s="149"/>
      <c r="FSR1" s="149"/>
      <c r="FSS1" s="149"/>
      <c r="FST1" s="149"/>
      <c r="FSU1" s="149"/>
      <c r="FSV1" s="149"/>
      <c r="FSW1" s="149"/>
      <c r="FSX1" s="149"/>
      <c r="FSY1" s="149"/>
      <c r="FSZ1" s="149"/>
      <c r="FTA1" s="149"/>
      <c r="FTB1" s="149"/>
      <c r="FTC1" s="149"/>
      <c r="FTD1" s="149"/>
      <c r="FTE1" s="149"/>
      <c r="FTF1" s="149"/>
      <c r="FTG1" s="149"/>
      <c r="FTH1" s="149"/>
      <c r="FTI1" s="149"/>
      <c r="FTJ1" s="149"/>
      <c r="FTK1" s="149"/>
      <c r="FTL1" s="149"/>
      <c r="FTM1" s="149"/>
      <c r="FTN1" s="149"/>
      <c r="FTO1" s="149"/>
      <c r="FTP1" s="149"/>
      <c r="FTQ1" s="149"/>
      <c r="FTR1" s="149"/>
      <c r="FTS1" s="149"/>
      <c r="FTT1" s="149"/>
      <c r="FTU1" s="149"/>
      <c r="FTV1" s="149"/>
      <c r="FTW1" s="149"/>
      <c r="FTX1" s="149"/>
      <c r="FTY1" s="149"/>
      <c r="FTZ1" s="149"/>
      <c r="FUA1" s="149"/>
      <c r="FUB1" s="149"/>
      <c r="FUC1" s="149"/>
      <c r="FUD1" s="149"/>
      <c r="FUE1" s="149"/>
      <c r="FUF1" s="149"/>
      <c r="FUG1" s="149"/>
      <c r="FUH1" s="149"/>
      <c r="FUI1" s="149"/>
      <c r="FUJ1" s="149"/>
      <c r="FUK1" s="149"/>
      <c r="FUL1" s="149"/>
      <c r="FUM1" s="149"/>
      <c r="FUN1" s="149"/>
      <c r="FUO1" s="149"/>
      <c r="FUP1" s="149"/>
      <c r="FUQ1" s="149"/>
      <c r="FUR1" s="149"/>
      <c r="FUS1" s="149"/>
      <c r="FUT1" s="149"/>
      <c r="FUU1" s="149"/>
      <c r="FUV1" s="149"/>
      <c r="FUW1" s="149"/>
      <c r="FUX1" s="149"/>
      <c r="FUY1" s="149"/>
      <c r="FUZ1" s="149"/>
      <c r="FVA1" s="149"/>
      <c r="FVB1" s="149"/>
      <c r="FVC1" s="149"/>
      <c r="FVD1" s="149"/>
      <c r="FVE1" s="149"/>
      <c r="FVF1" s="149"/>
      <c r="FVG1" s="149"/>
      <c r="FVH1" s="149"/>
      <c r="FVI1" s="149"/>
      <c r="FVJ1" s="149"/>
      <c r="FVK1" s="149"/>
      <c r="FVL1" s="149"/>
      <c r="FVM1" s="149"/>
      <c r="FVN1" s="149"/>
      <c r="FVO1" s="149"/>
      <c r="FVP1" s="149"/>
      <c r="FVQ1" s="149"/>
      <c r="FVR1" s="149"/>
      <c r="FVS1" s="149"/>
      <c r="FVT1" s="149"/>
      <c r="FVU1" s="149"/>
      <c r="FVV1" s="149"/>
      <c r="FVW1" s="149"/>
      <c r="FVX1" s="149"/>
      <c r="FVY1" s="149"/>
      <c r="FVZ1" s="149"/>
      <c r="FWA1" s="149"/>
      <c r="FWB1" s="149"/>
      <c r="FWC1" s="149"/>
      <c r="FWD1" s="149"/>
      <c r="FWE1" s="149"/>
      <c r="FWF1" s="149"/>
      <c r="FWG1" s="149"/>
      <c r="FWH1" s="149"/>
      <c r="FWI1" s="149"/>
      <c r="FWJ1" s="149"/>
      <c r="FWK1" s="149"/>
      <c r="FWL1" s="149"/>
      <c r="FWM1" s="149"/>
      <c r="FWN1" s="149"/>
      <c r="FWO1" s="149"/>
      <c r="FWP1" s="149"/>
      <c r="FWQ1" s="149"/>
      <c r="FWR1" s="149"/>
      <c r="FWS1" s="149"/>
      <c r="FWT1" s="149"/>
      <c r="FWU1" s="149"/>
      <c r="FWV1" s="149"/>
      <c r="FWW1" s="149"/>
      <c r="FWX1" s="149"/>
      <c r="FWY1" s="149"/>
      <c r="FWZ1" s="149"/>
      <c r="FXA1" s="149"/>
      <c r="FXB1" s="149"/>
      <c r="FXC1" s="149"/>
      <c r="FXD1" s="149"/>
      <c r="FXE1" s="149"/>
      <c r="FXF1" s="149"/>
      <c r="FXG1" s="149"/>
      <c r="FXH1" s="149"/>
      <c r="FXI1" s="149"/>
      <c r="FXJ1" s="149"/>
      <c r="FXK1" s="149"/>
      <c r="FXL1" s="149"/>
      <c r="FXM1" s="149"/>
      <c r="FXN1" s="149"/>
      <c r="FXO1" s="149"/>
      <c r="FXP1" s="149"/>
      <c r="FXQ1" s="149"/>
      <c r="FXR1" s="149"/>
      <c r="FXS1" s="149"/>
      <c r="FXT1" s="149"/>
      <c r="FXU1" s="149"/>
      <c r="FXV1" s="149"/>
      <c r="FXW1" s="149"/>
      <c r="FXX1" s="149"/>
      <c r="FXY1" s="149"/>
      <c r="FXZ1" s="149"/>
      <c r="FYA1" s="149"/>
      <c r="FYB1" s="149"/>
      <c r="FYC1" s="149"/>
      <c r="FYD1" s="149"/>
      <c r="FYE1" s="149"/>
      <c r="FYF1" s="149"/>
      <c r="FYG1" s="149"/>
      <c r="FYH1" s="149"/>
      <c r="FYI1" s="149"/>
      <c r="FYJ1" s="149"/>
      <c r="FYK1" s="149"/>
      <c r="FYL1" s="149"/>
      <c r="FYM1" s="149"/>
      <c r="FYN1" s="149"/>
      <c r="FYO1" s="149"/>
      <c r="FYP1" s="149"/>
      <c r="FYQ1" s="149"/>
      <c r="FYR1" s="149"/>
      <c r="FYS1" s="149"/>
      <c r="FYT1" s="149"/>
      <c r="FYU1" s="149"/>
      <c r="FYV1" s="149"/>
      <c r="FYW1" s="149"/>
      <c r="FYX1" s="149"/>
      <c r="FYY1" s="149"/>
      <c r="FYZ1" s="149"/>
      <c r="FZA1" s="149"/>
      <c r="FZB1" s="149"/>
      <c r="FZC1" s="149"/>
      <c r="FZD1" s="149"/>
      <c r="FZE1" s="149"/>
      <c r="FZF1" s="149"/>
      <c r="FZG1" s="149"/>
      <c r="FZH1" s="149"/>
      <c r="FZI1" s="149"/>
      <c r="FZJ1" s="149"/>
      <c r="FZK1" s="149"/>
      <c r="FZL1" s="149"/>
      <c r="FZM1" s="149"/>
      <c r="FZN1" s="149"/>
      <c r="FZO1" s="149"/>
      <c r="FZP1" s="149"/>
      <c r="FZQ1" s="149"/>
      <c r="FZR1" s="149"/>
      <c r="FZS1" s="149"/>
      <c r="FZT1" s="149"/>
      <c r="FZU1" s="149"/>
      <c r="FZV1" s="149"/>
      <c r="FZW1" s="149"/>
      <c r="FZX1" s="149"/>
      <c r="FZY1" s="149"/>
      <c r="FZZ1" s="149"/>
      <c r="GAA1" s="149"/>
      <c r="GAB1" s="149"/>
      <c r="GAC1" s="149"/>
      <c r="GAD1" s="149"/>
      <c r="GAE1" s="149"/>
      <c r="GAF1" s="149"/>
      <c r="GAG1" s="149"/>
      <c r="GAH1" s="149"/>
      <c r="GAI1" s="149"/>
      <c r="GAJ1" s="149"/>
      <c r="GAK1" s="149"/>
      <c r="GAL1" s="149"/>
      <c r="GAM1" s="149"/>
      <c r="GAN1" s="149"/>
      <c r="GAO1" s="149"/>
      <c r="GAP1" s="149"/>
      <c r="GAQ1" s="149"/>
      <c r="GAR1" s="149"/>
      <c r="GAS1" s="149"/>
      <c r="GAT1" s="149"/>
      <c r="GAU1" s="149"/>
      <c r="GAV1" s="149"/>
      <c r="GAW1" s="149"/>
      <c r="GAX1" s="149"/>
      <c r="GAY1" s="149"/>
      <c r="GAZ1" s="149"/>
      <c r="GBA1" s="149"/>
      <c r="GBB1" s="149"/>
      <c r="GBC1" s="149"/>
      <c r="GBD1" s="149"/>
      <c r="GBE1" s="149"/>
      <c r="GBF1" s="149"/>
      <c r="GBG1" s="149"/>
      <c r="GBH1" s="149"/>
      <c r="GBI1" s="149"/>
      <c r="GBJ1" s="149"/>
      <c r="GBK1" s="149"/>
      <c r="GBL1" s="149"/>
      <c r="GBM1" s="149"/>
      <c r="GBN1" s="149"/>
      <c r="GBO1" s="149"/>
      <c r="GBP1" s="149"/>
      <c r="GBQ1" s="149"/>
      <c r="GBR1" s="149"/>
      <c r="GBS1" s="149"/>
      <c r="GBT1" s="149"/>
      <c r="GBU1" s="149"/>
      <c r="GBV1" s="149"/>
      <c r="GBW1" s="149"/>
      <c r="GBX1" s="149"/>
      <c r="GBY1" s="149"/>
      <c r="GBZ1" s="149"/>
      <c r="GCA1" s="149"/>
      <c r="GCB1" s="149"/>
      <c r="GCC1" s="149"/>
      <c r="GCD1" s="149"/>
      <c r="GCE1" s="149"/>
      <c r="GCF1" s="149"/>
      <c r="GCG1" s="149"/>
      <c r="GCH1" s="149"/>
      <c r="GCI1" s="149"/>
      <c r="GCJ1" s="149"/>
      <c r="GCK1" s="149"/>
      <c r="GCL1" s="149"/>
      <c r="GCM1" s="149"/>
      <c r="GCN1" s="149"/>
      <c r="GCO1" s="149"/>
      <c r="GCP1" s="149"/>
      <c r="GCQ1" s="149"/>
      <c r="GCR1" s="149"/>
      <c r="GCS1" s="149"/>
      <c r="GCT1" s="149"/>
      <c r="GCU1" s="149"/>
      <c r="GCV1" s="149"/>
      <c r="GCW1" s="149"/>
      <c r="GCX1" s="149"/>
      <c r="GCY1" s="149"/>
      <c r="GCZ1" s="149"/>
      <c r="GDA1" s="149"/>
      <c r="GDB1" s="149"/>
      <c r="GDC1" s="149"/>
      <c r="GDD1" s="149"/>
      <c r="GDE1" s="149"/>
      <c r="GDF1" s="149"/>
      <c r="GDG1" s="149"/>
      <c r="GDH1" s="149"/>
      <c r="GDI1" s="149"/>
      <c r="GDJ1" s="149"/>
      <c r="GDK1" s="149"/>
      <c r="GDL1" s="149"/>
      <c r="GDM1" s="149"/>
      <c r="GDN1" s="149"/>
      <c r="GDO1" s="149"/>
      <c r="GDP1" s="149"/>
      <c r="GDQ1" s="149"/>
      <c r="GDR1" s="149"/>
      <c r="GDS1" s="149"/>
      <c r="GDT1" s="149"/>
      <c r="GDU1" s="149"/>
      <c r="GDV1" s="149"/>
      <c r="GDW1" s="149"/>
      <c r="GDX1" s="149"/>
      <c r="GDY1" s="149"/>
      <c r="GDZ1" s="149"/>
      <c r="GEA1" s="149"/>
      <c r="GEB1" s="149"/>
      <c r="GEC1" s="149"/>
      <c r="GED1" s="149"/>
      <c r="GEE1" s="149"/>
      <c r="GEF1" s="149"/>
      <c r="GEG1" s="149"/>
      <c r="GEH1" s="149"/>
      <c r="GEI1" s="149"/>
      <c r="GEJ1" s="149"/>
      <c r="GEK1" s="149"/>
      <c r="GEL1" s="149"/>
      <c r="GEM1" s="149"/>
      <c r="GEN1" s="149"/>
      <c r="GEO1" s="149"/>
      <c r="GEP1" s="149"/>
      <c r="GEQ1" s="149"/>
      <c r="GER1" s="149"/>
      <c r="GES1" s="149"/>
      <c r="GET1" s="149"/>
      <c r="GEU1" s="149"/>
      <c r="GEV1" s="149"/>
      <c r="GEW1" s="149"/>
      <c r="GEX1" s="149"/>
      <c r="GEY1" s="149"/>
      <c r="GEZ1" s="149"/>
      <c r="GFA1" s="149"/>
      <c r="GFB1" s="149"/>
      <c r="GFC1" s="149"/>
      <c r="GFD1" s="149"/>
      <c r="GFE1" s="149"/>
      <c r="GFF1" s="149"/>
      <c r="GFG1" s="149"/>
      <c r="GFH1" s="149"/>
      <c r="GFI1" s="149"/>
      <c r="GFJ1" s="149"/>
      <c r="GFK1" s="149"/>
      <c r="GFL1" s="149"/>
      <c r="GFM1" s="149"/>
      <c r="GFN1" s="149"/>
      <c r="GFO1" s="149"/>
      <c r="GFP1" s="149"/>
      <c r="GFQ1" s="149"/>
      <c r="GFR1" s="149"/>
      <c r="GFS1" s="149"/>
      <c r="GFT1" s="149"/>
      <c r="GFU1" s="149"/>
      <c r="GFV1" s="149"/>
      <c r="GFW1" s="149"/>
      <c r="GFX1" s="149"/>
      <c r="GFY1" s="149"/>
      <c r="GFZ1" s="149"/>
      <c r="GGA1" s="149"/>
      <c r="GGB1" s="149"/>
      <c r="GGC1" s="149"/>
      <c r="GGD1" s="149"/>
      <c r="GGE1" s="149"/>
      <c r="GGF1" s="149"/>
      <c r="GGG1" s="149"/>
      <c r="GGH1" s="149"/>
      <c r="GGI1" s="149"/>
      <c r="GGJ1" s="149"/>
      <c r="GGK1" s="149"/>
      <c r="GGL1" s="149"/>
      <c r="GGM1" s="149"/>
      <c r="GGN1" s="149"/>
      <c r="GGO1" s="149"/>
      <c r="GGP1" s="149"/>
      <c r="GGQ1" s="149"/>
      <c r="GGR1" s="149"/>
      <c r="GGS1" s="149"/>
      <c r="GGT1" s="149"/>
      <c r="GGU1" s="149"/>
      <c r="GGV1" s="149"/>
      <c r="GGW1" s="149"/>
      <c r="GGX1" s="149"/>
      <c r="GGY1" s="149"/>
      <c r="GGZ1" s="149"/>
      <c r="GHA1" s="149"/>
      <c r="GHB1" s="149"/>
      <c r="GHC1" s="149"/>
      <c r="GHD1" s="149"/>
      <c r="GHE1" s="149"/>
      <c r="GHF1" s="149"/>
      <c r="GHG1" s="149"/>
      <c r="GHH1" s="149"/>
      <c r="GHI1" s="149"/>
      <c r="GHJ1" s="149"/>
      <c r="GHK1" s="149"/>
      <c r="GHL1" s="149"/>
      <c r="GHM1" s="149"/>
      <c r="GHN1" s="149"/>
      <c r="GHO1" s="149"/>
      <c r="GHP1" s="149"/>
      <c r="GHQ1" s="149"/>
      <c r="GHR1" s="149"/>
      <c r="GHS1" s="149"/>
      <c r="GHT1" s="149"/>
      <c r="GHU1" s="149"/>
      <c r="GHV1" s="149"/>
      <c r="GHW1" s="149"/>
      <c r="GHX1" s="149"/>
      <c r="GHY1" s="149"/>
      <c r="GHZ1" s="149"/>
      <c r="GIA1" s="149"/>
      <c r="GIB1" s="149"/>
      <c r="GIC1" s="149"/>
      <c r="GID1" s="149"/>
      <c r="GIE1" s="149"/>
      <c r="GIF1" s="149"/>
      <c r="GIG1" s="149"/>
      <c r="GIH1" s="149"/>
      <c r="GII1" s="149"/>
      <c r="GIJ1" s="149"/>
      <c r="GIK1" s="149"/>
      <c r="GIL1" s="149"/>
      <c r="GIM1" s="149"/>
      <c r="GIN1" s="149"/>
      <c r="GIO1" s="149"/>
      <c r="GIP1" s="149"/>
      <c r="GIQ1" s="149"/>
      <c r="GIR1" s="149"/>
      <c r="GIS1" s="149"/>
      <c r="GIT1" s="149"/>
      <c r="GIU1" s="149"/>
      <c r="GIV1" s="149"/>
      <c r="GIW1" s="149"/>
      <c r="GIX1" s="149"/>
      <c r="GIY1" s="149"/>
      <c r="GIZ1" s="149"/>
      <c r="GJA1" s="149"/>
      <c r="GJB1" s="149"/>
      <c r="GJC1" s="149"/>
      <c r="GJD1" s="149"/>
      <c r="GJE1" s="149"/>
      <c r="GJF1" s="149"/>
      <c r="GJG1" s="149"/>
      <c r="GJH1" s="149"/>
      <c r="GJI1" s="149"/>
      <c r="GJJ1" s="149"/>
      <c r="GJK1" s="149"/>
      <c r="GJL1" s="149"/>
      <c r="GJM1" s="149"/>
      <c r="GJN1" s="149"/>
      <c r="GJO1" s="149"/>
      <c r="GJP1" s="149"/>
      <c r="GJQ1" s="149"/>
      <c r="GJR1" s="149"/>
      <c r="GJS1" s="149"/>
      <c r="GJT1" s="149"/>
      <c r="GJU1" s="149"/>
      <c r="GJV1" s="149"/>
      <c r="GJW1" s="149"/>
      <c r="GJX1" s="149"/>
      <c r="GJY1" s="149"/>
      <c r="GJZ1" s="149"/>
      <c r="GKA1" s="149"/>
      <c r="GKB1" s="149"/>
      <c r="GKC1" s="149"/>
      <c r="GKD1" s="149"/>
      <c r="GKE1" s="149"/>
      <c r="GKF1" s="149"/>
      <c r="GKG1" s="149"/>
      <c r="GKH1" s="149"/>
      <c r="GKI1" s="149"/>
      <c r="GKJ1" s="149"/>
      <c r="GKK1" s="149"/>
      <c r="GKL1" s="149"/>
      <c r="GKM1" s="149"/>
      <c r="GKN1" s="149"/>
      <c r="GKO1" s="149"/>
      <c r="GKP1" s="149"/>
      <c r="GKQ1" s="149"/>
      <c r="GKR1" s="149"/>
      <c r="GKS1" s="149"/>
      <c r="GKT1" s="149"/>
      <c r="GKU1" s="149"/>
      <c r="GKV1" s="149"/>
      <c r="GKW1" s="149"/>
      <c r="GKX1" s="149"/>
      <c r="GKY1" s="149"/>
      <c r="GKZ1" s="149"/>
      <c r="GLA1" s="149"/>
      <c r="GLB1" s="149"/>
      <c r="GLC1" s="149"/>
      <c r="GLD1" s="149"/>
      <c r="GLE1" s="149"/>
      <c r="GLF1" s="149"/>
      <c r="GLG1" s="149"/>
      <c r="GLH1" s="149"/>
      <c r="GLI1" s="149"/>
      <c r="GLJ1" s="149"/>
      <c r="GLK1" s="149"/>
      <c r="GLL1" s="149"/>
      <c r="GLM1" s="149"/>
      <c r="GLN1" s="149"/>
      <c r="GLO1" s="149"/>
      <c r="GLP1" s="149"/>
      <c r="GLQ1" s="149"/>
      <c r="GLR1" s="149"/>
      <c r="GLS1" s="149"/>
      <c r="GLT1" s="149"/>
      <c r="GLU1" s="149"/>
      <c r="GLV1" s="149"/>
      <c r="GLW1" s="149"/>
      <c r="GLX1" s="149"/>
      <c r="GLY1" s="149"/>
      <c r="GLZ1" s="149"/>
      <c r="GMA1" s="149"/>
      <c r="GMB1" s="149"/>
      <c r="GMC1" s="149"/>
      <c r="GMD1" s="149"/>
      <c r="GME1" s="149"/>
      <c r="GMF1" s="149"/>
      <c r="GMG1" s="149"/>
      <c r="GMH1" s="149"/>
      <c r="GMI1" s="149"/>
      <c r="GMJ1" s="149"/>
      <c r="GMK1" s="149"/>
      <c r="GML1" s="149"/>
      <c r="GMM1" s="149"/>
      <c r="GMN1" s="149"/>
      <c r="GMO1" s="149"/>
      <c r="GMP1" s="149"/>
      <c r="GMQ1" s="149"/>
      <c r="GMR1" s="149"/>
      <c r="GMS1" s="149"/>
      <c r="GMT1" s="149"/>
      <c r="GMU1" s="149"/>
      <c r="GMV1" s="149"/>
      <c r="GMW1" s="149"/>
      <c r="GMX1" s="149"/>
      <c r="GMY1" s="149"/>
      <c r="GMZ1" s="149"/>
      <c r="GNA1" s="149"/>
      <c r="GNB1" s="149"/>
      <c r="GNC1" s="149"/>
      <c r="GND1" s="149"/>
      <c r="GNE1" s="149"/>
      <c r="GNF1" s="149"/>
      <c r="GNG1" s="149"/>
      <c r="GNH1" s="149"/>
      <c r="GNI1" s="149"/>
      <c r="GNJ1" s="149"/>
      <c r="GNK1" s="149"/>
      <c r="GNL1" s="149"/>
      <c r="GNM1" s="149"/>
      <c r="GNN1" s="149"/>
      <c r="GNO1" s="149"/>
      <c r="GNP1" s="149"/>
      <c r="GNQ1" s="149"/>
      <c r="GNR1" s="149"/>
      <c r="GNS1" s="149"/>
      <c r="GNT1" s="149"/>
      <c r="GNU1" s="149"/>
      <c r="GNV1" s="149"/>
      <c r="GNW1" s="149"/>
      <c r="GNX1" s="149"/>
      <c r="GNY1" s="149"/>
      <c r="GNZ1" s="149"/>
      <c r="GOA1" s="149"/>
      <c r="GOB1" s="149"/>
      <c r="GOC1" s="149"/>
      <c r="GOD1" s="149"/>
      <c r="GOE1" s="149"/>
      <c r="GOF1" s="149"/>
      <c r="GOG1" s="149"/>
      <c r="GOH1" s="149"/>
      <c r="GOI1" s="149"/>
      <c r="GOJ1" s="149"/>
      <c r="GOK1" s="149"/>
      <c r="GOL1" s="149"/>
      <c r="GOM1" s="149"/>
      <c r="GON1" s="149"/>
      <c r="GOO1" s="149"/>
      <c r="GOP1" s="149"/>
      <c r="GOQ1" s="149"/>
      <c r="GOR1" s="149"/>
      <c r="GOS1" s="149"/>
      <c r="GOT1" s="149"/>
      <c r="GOU1" s="149"/>
      <c r="GOV1" s="149"/>
      <c r="GOW1" s="149"/>
      <c r="GOX1" s="149"/>
      <c r="GOY1" s="149"/>
      <c r="GOZ1" s="149"/>
      <c r="GPA1" s="149"/>
      <c r="GPB1" s="149"/>
      <c r="GPC1" s="149"/>
      <c r="GPD1" s="149"/>
      <c r="GPE1" s="149"/>
      <c r="GPF1" s="149"/>
      <c r="GPG1" s="149"/>
      <c r="GPH1" s="149"/>
      <c r="GPI1" s="149"/>
      <c r="GPJ1" s="149"/>
      <c r="GPK1" s="149"/>
      <c r="GPL1" s="149"/>
      <c r="GPM1" s="149"/>
      <c r="GPN1" s="149"/>
      <c r="GPO1" s="149"/>
      <c r="GPP1" s="149"/>
      <c r="GPQ1" s="149"/>
      <c r="GPR1" s="149"/>
      <c r="GPS1" s="149"/>
      <c r="GPT1" s="149"/>
      <c r="GPU1" s="149"/>
      <c r="GPV1" s="149"/>
      <c r="GPW1" s="149"/>
      <c r="GPX1" s="149"/>
      <c r="GPY1" s="149"/>
      <c r="GPZ1" s="149"/>
      <c r="GQA1" s="149"/>
      <c r="GQB1" s="149"/>
      <c r="GQC1" s="149"/>
      <c r="GQD1" s="149"/>
      <c r="GQE1" s="149"/>
      <c r="GQF1" s="149"/>
      <c r="GQG1" s="149"/>
      <c r="GQH1" s="149"/>
      <c r="GQI1" s="149"/>
      <c r="GQJ1" s="149"/>
      <c r="GQK1" s="149"/>
      <c r="GQL1" s="149"/>
      <c r="GQM1" s="149"/>
      <c r="GQN1" s="149"/>
      <c r="GQO1" s="149"/>
      <c r="GQP1" s="149"/>
      <c r="GQQ1" s="149"/>
      <c r="GQR1" s="149"/>
      <c r="GQS1" s="149"/>
      <c r="GQT1" s="149"/>
      <c r="GQU1" s="149"/>
      <c r="GQV1" s="149"/>
      <c r="GQW1" s="149"/>
      <c r="GQX1" s="149"/>
      <c r="GQY1" s="149"/>
      <c r="GQZ1" s="149"/>
      <c r="GRA1" s="149"/>
      <c r="GRB1" s="149"/>
      <c r="GRC1" s="149"/>
      <c r="GRD1" s="149"/>
      <c r="GRE1" s="149"/>
      <c r="GRF1" s="149"/>
      <c r="GRG1" s="149"/>
      <c r="GRH1" s="149"/>
      <c r="GRI1" s="149"/>
      <c r="GRJ1" s="149"/>
      <c r="GRK1" s="149"/>
      <c r="GRL1" s="149"/>
      <c r="GRM1" s="149"/>
      <c r="GRN1" s="149"/>
      <c r="GRO1" s="149"/>
      <c r="GRP1" s="149"/>
      <c r="GRQ1" s="149"/>
      <c r="GRR1" s="149"/>
      <c r="GRS1" s="149"/>
      <c r="GRT1" s="149"/>
      <c r="GRU1" s="149"/>
      <c r="GRV1" s="149"/>
      <c r="GRW1" s="149"/>
      <c r="GRX1" s="149"/>
      <c r="GRY1" s="149"/>
      <c r="GRZ1" s="149"/>
      <c r="GSA1" s="149"/>
      <c r="GSB1" s="149"/>
      <c r="GSC1" s="149"/>
      <c r="GSD1" s="149"/>
      <c r="GSE1" s="149"/>
      <c r="GSF1" s="149"/>
      <c r="GSG1" s="149"/>
      <c r="GSH1" s="149"/>
      <c r="GSI1" s="149"/>
      <c r="GSJ1" s="149"/>
      <c r="GSK1" s="149"/>
      <c r="GSL1" s="149"/>
      <c r="GSM1" s="149"/>
      <c r="GSN1" s="149"/>
      <c r="GSO1" s="149"/>
      <c r="GSP1" s="149"/>
      <c r="GSQ1" s="149"/>
      <c r="GSR1" s="149"/>
      <c r="GSS1" s="149"/>
      <c r="GST1" s="149"/>
      <c r="GSU1" s="149"/>
      <c r="GSV1" s="149"/>
      <c r="GSW1" s="149"/>
      <c r="GSX1" s="149"/>
      <c r="GSY1" s="149"/>
      <c r="GSZ1" s="149"/>
      <c r="GTA1" s="149"/>
      <c r="GTB1" s="149"/>
      <c r="GTC1" s="149"/>
      <c r="GTD1" s="149"/>
      <c r="GTE1" s="149"/>
      <c r="GTF1" s="149"/>
      <c r="GTG1" s="149"/>
      <c r="GTH1" s="149"/>
      <c r="GTI1" s="149"/>
      <c r="GTJ1" s="149"/>
      <c r="GTK1" s="149"/>
      <c r="GTL1" s="149"/>
      <c r="GTM1" s="149"/>
      <c r="GTN1" s="149"/>
      <c r="GTO1" s="149"/>
      <c r="GTP1" s="149"/>
      <c r="GTQ1" s="149"/>
      <c r="GTR1" s="149"/>
      <c r="GTS1" s="149"/>
      <c r="GTT1" s="149"/>
      <c r="GTU1" s="149"/>
      <c r="GTV1" s="149"/>
      <c r="GTW1" s="149"/>
      <c r="GTX1" s="149"/>
      <c r="GTY1" s="149"/>
      <c r="GTZ1" s="149"/>
      <c r="GUA1" s="149"/>
      <c r="GUB1" s="149"/>
      <c r="GUC1" s="149"/>
      <c r="GUD1" s="149"/>
      <c r="GUE1" s="149"/>
      <c r="GUF1" s="149"/>
      <c r="GUG1" s="149"/>
      <c r="GUH1" s="149"/>
      <c r="GUI1" s="149"/>
      <c r="GUJ1" s="149"/>
      <c r="GUK1" s="149"/>
      <c r="GUL1" s="149"/>
      <c r="GUM1" s="149"/>
      <c r="GUN1" s="149"/>
      <c r="GUO1" s="149"/>
      <c r="GUP1" s="149"/>
      <c r="GUQ1" s="149"/>
      <c r="GUR1" s="149"/>
      <c r="GUS1" s="149"/>
      <c r="GUT1" s="149"/>
      <c r="GUU1" s="149"/>
      <c r="GUV1" s="149"/>
      <c r="GUW1" s="149"/>
      <c r="GUX1" s="149"/>
      <c r="GUY1" s="149"/>
      <c r="GUZ1" s="149"/>
      <c r="GVA1" s="149"/>
      <c r="GVB1" s="149"/>
      <c r="GVC1" s="149"/>
      <c r="GVD1" s="149"/>
      <c r="GVE1" s="149"/>
      <c r="GVF1" s="149"/>
      <c r="GVG1" s="149"/>
      <c r="GVH1" s="149"/>
      <c r="GVI1" s="149"/>
      <c r="GVJ1" s="149"/>
      <c r="GVK1" s="149"/>
      <c r="GVL1" s="149"/>
      <c r="GVM1" s="149"/>
      <c r="GVN1" s="149"/>
      <c r="GVO1" s="149"/>
      <c r="GVP1" s="149"/>
      <c r="GVQ1" s="149"/>
      <c r="GVR1" s="149"/>
      <c r="GVS1" s="149"/>
      <c r="GVT1" s="149"/>
      <c r="GVU1" s="149"/>
      <c r="GVV1" s="149"/>
      <c r="GVW1" s="149"/>
      <c r="GVX1" s="149"/>
      <c r="GVY1" s="149"/>
      <c r="GVZ1" s="149"/>
      <c r="GWA1" s="149"/>
      <c r="GWB1" s="149"/>
      <c r="GWC1" s="149"/>
      <c r="GWD1" s="149"/>
      <c r="GWE1" s="149"/>
      <c r="GWF1" s="149"/>
      <c r="GWG1" s="149"/>
      <c r="GWH1" s="149"/>
      <c r="GWI1" s="149"/>
      <c r="GWJ1" s="149"/>
      <c r="GWK1" s="149"/>
      <c r="GWL1" s="149"/>
      <c r="GWM1" s="149"/>
      <c r="GWN1" s="149"/>
      <c r="GWO1" s="149"/>
      <c r="GWP1" s="149"/>
      <c r="GWQ1" s="149"/>
      <c r="GWR1" s="149"/>
      <c r="GWS1" s="149"/>
      <c r="GWT1" s="149"/>
      <c r="GWU1" s="149"/>
      <c r="GWV1" s="149"/>
      <c r="GWW1" s="149"/>
      <c r="GWX1" s="149"/>
      <c r="GWY1" s="149"/>
      <c r="GWZ1" s="149"/>
      <c r="GXA1" s="149"/>
      <c r="GXB1" s="149"/>
      <c r="GXC1" s="149"/>
      <c r="GXD1" s="149"/>
      <c r="GXE1" s="149"/>
      <c r="GXF1" s="149"/>
      <c r="GXG1" s="149"/>
      <c r="GXH1" s="149"/>
      <c r="GXI1" s="149"/>
      <c r="GXJ1" s="149"/>
      <c r="GXK1" s="149"/>
      <c r="GXL1" s="149"/>
      <c r="GXM1" s="149"/>
      <c r="GXN1" s="149"/>
      <c r="GXO1" s="149"/>
      <c r="GXP1" s="149"/>
      <c r="GXQ1" s="149"/>
      <c r="GXR1" s="149"/>
      <c r="GXS1" s="149"/>
      <c r="GXT1" s="149"/>
      <c r="GXU1" s="149"/>
      <c r="GXV1" s="149"/>
      <c r="GXW1" s="149"/>
      <c r="GXX1" s="149"/>
      <c r="GXY1" s="149"/>
      <c r="GXZ1" s="149"/>
      <c r="GYA1" s="149"/>
      <c r="GYB1" s="149"/>
      <c r="GYC1" s="149"/>
      <c r="GYD1" s="149"/>
      <c r="GYE1" s="149"/>
      <c r="GYF1" s="149"/>
      <c r="GYG1" s="149"/>
      <c r="GYH1" s="149"/>
      <c r="GYI1" s="149"/>
      <c r="GYJ1" s="149"/>
      <c r="GYK1" s="149"/>
      <c r="GYL1" s="149"/>
      <c r="GYM1" s="149"/>
      <c r="GYN1" s="149"/>
      <c r="GYO1" s="149"/>
      <c r="GYP1" s="149"/>
      <c r="GYQ1" s="149"/>
      <c r="GYR1" s="149"/>
      <c r="GYS1" s="149"/>
      <c r="GYT1" s="149"/>
      <c r="GYU1" s="149"/>
      <c r="GYV1" s="149"/>
      <c r="GYW1" s="149"/>
      <c r="GYX1" s="149"/>
      <c r="GYY1" s="149"/>
      <c r="GYZ1" s="149"/>
      <c r="GZA1" s="149"/>
      <c r="GZB1" s="149"/>
      <c r="GZC1" s="149"/>
      <c r="GZD1" s="149"/>
      <c r="GZE1" s="149"/>
      <c r="GZF1" s="149"/>
      <c r="GZG1" s="149"/>
      <c r="GZH1" s="149"/>
      <c r="GZI1" s="149"/>
      <c r="GZJ1" s="149"/>
      <c r="GZK1" s="149"/>
      <c r="GZL1" s="149"/>
      <c r="GZM1" s="149"/>
      <c r="GZN1" s="149"/>
      <c r="GZO1" s="149"/>
      <c r="GZP1" s="149"/>
      <c r="GZQ1" s="149"/>
      <c r="GZR1" s="149"/>
      <c r="GZS1" s="149"/>
      <c r="GZT1" s="149"/>
      <c r="GZU1" s="149"/>
      <c r="GZV1" s="149"/>
      <c r="GZW1" s="149"/>
      <c r="GZX1" s="149"/>
      <c r="GZY1" s="149"/>
      <c r="GZZ1" s="149"/>
      <c r="HAA1" s="149"/>
      <c r="HAB1" s="149"/>
      <c r="HAC1" s="149"/>
      <c r="HAD1" s="149"/>
      <c r="HAE1" s="149"/>
      <c r="HAF1" s="149"/>
      <c r="HAG1" s="149"/>
      <c r="HAH1" s="149"/>
      <c r="HAI1" s="149"/>
      <c r="HAJ1" s="149"/>
      <c r="HAK1" s="149"/>
      <c r="HAL1" s="149"/>
      <c r="HAM1" s="149"/>
      <c r="HAN1" s="149"/>
      <c r="HAO1" s="149"/>
      <c r="HAP1" s="149"/>
      <c r="HAQ1" s="149"/>
      <c r="HAR1" s="149"/>
      <c r="HAS1" s="149"/>
      <c r="HAT1" s="149"/>
      <c r="HAU1" s="149"/>
      <c r="HAV1" s="149"/>
      <c r="HAW1" s="149"/>
      <c r="HAX1" s="149"/>
      <c r="HAY1" s="149"/>
      <c r="HAZ1" s="149"/>
      <c r="HBA1" s="149"/>
      <c r="HBB1" s="149"/>
      <c r="HBC1" s="149"/>
      <c r="HBD1" s="149"/>
      <c r="HBE1" s="149"/>
      <c r="HBF1" s="149"/>
      <c r="HBG1" s="149"/>
      <c r="HBH1" s="149"/>
      <c r="HBI1" s="149"/>
      <c r="HBJ1" s="149"/>
      <c r="HBK1" s="149"/>
      <c r="HBL1" s="149"/>
      <c r="HBM1" s="149"/>
      <c r="HBN1" s="149"/>
      <c r="HBO1" s="149"/>
      <c r="HBP1" s="149"/>
      <c r="HBQ1" s="149"/>
      <c r="HBR1" s="149"/>
      <c r="HBS1" s="149"/>
      <c r="HBT1" s="149"/>
      <c r="HBU1" s="149"/>
      <c r="HBV1" s="149"/>
      <c r="HBW1" s="149"/>
      <c r="HBX1" s="149"/>
      <c r="HBY1" s="149"/>
      <c r="HBZ1" s="149"/>
      <c r="HCA1" s="149"/>
      <c r="HCB1" s="149"/>
      <c r="HCC1" s="149"/>
      <c r="HCD1" s="149"/>
      <c r="HCE1" s="149"/>
      <c r="HCF1" s="149"/>
      <c r="HCG1" s="149"/>
      <c r="HCH1" s="149"/>
      <c r="HCI1" s="149"/>
      <c r="HCJ1" s="149"/>
      <c r="HCK1" s="149"/>
      <c r="HCL1" s="149"/>
      <c r="HCM1" s="149"/>
      <c r="HCN1" s="149"/>
      <c r="HCO1" s="149"/>
      <c r="HCP1" s="149"/>
      <c r="HCQ1" s="149"/>
      <c r="HCR1" s="149"/>
      <c r="HCS1" s="149"/>
      <c r="HCT1" s="149"/>
      <c r="HCU1" s="149"/>
      <c r="HCV1" s="149"/>
      <c r="HCW1" s="149"/>
      <c r="HCX1" s="149"/>
      <c r="HCY1" s="149"/>
      <c r="HCZ1" s="149"/>
      <c r="HDA1" s="149"/>
      <c r="HDB1" s="149"/>
      <c r="HDC1" s="149"/>
      <c r="HDD1" s="149"/>
      <c r="HDE1" s="149"/>
      <c r="HDF1" s="149"/>
      <c r="HDG1" s="149"/>
      <c r="HDH1" s="149"/>
      <c r="HDI1" s="149"/>
      <c r="HDJ1" s="149"/>
      <c r="HDK1" s="149"/>
      <c r="HDL1" s="149"/>
      <c r="HDM1" s="149"/>
      <c r="HDN1" s="149"/>
      <c r="HDO1" s="149"/>
      <c r="HDP1" s="149"/>
      <c r="HDQ1" s="149"/>
      <c r="HDR1" s="149"/>
      <c r="HDS1" s="149"/>
      <c r="HDT1" s="149"/>
      <c r="HDU1" s="149"/>
      <c r="HDV1" s="149"/>
      <c r="HDW1" s="149"/>
      <c r="HDX1" s="149"/>
      <c r="HDY1" s="149"/>
      <c r="HDZ1" s="149"/>
      <c r="HEA1" s="149"/>
      <c r="HEB1" s="149"/>
      <c r="HEC1" s="149"/>
      <c r="HED1" s="149"/>
      <c r="HEE1" s="149"/>
      <c r="HEF1" s="149"/>
      <c r="HEG1" s="149"/>
      <c r="HEH1" s="149"/>
      <c r="HEI1" s="149"/>
      <c r="HEJ1" s="149"/>
      <c r="HEK1" s="149"/>
      <c r="HEL1" s="149"/>
      <c r="HEM1" s="149"/>
      <c r="HEN1" s="149"/>
      <c r="HEO1" s="149"/>
      <c r="HEP1" s="149"/>
      <c r="HEQ1" s="149"/>
      <c r="HER1" s="149"/>
      <c r="HES1" s="149"/>
      <c r="HET1" s="149"/>
      <c r="HEU1" s="149"/>
      <c r="HEV1" s="149"/>
      <c r="HEW1" s="149"/>
      <c r="HEX1" s="149"/>
      <c r="HEY1" s="149"/>
      <c r="HEZ1" s="149"/>
      <c r="HFA1" s="149"/>
      <c r="HFB1" s="149"/>
      <c r="HFC1" s="149"/>
      <c r="HFD1" s="149"/>
      <c r="HFE1" s="149"/>
      <c r="HFF1" s="149"/>
      <c r="HFG1" s="149"/>
      <c r="HFH1" s="149"/>
      <c r="HFI1" s="149"/>
      <c r="HFJ1" s="149"/>
      <c r="HFK1" s="149"/>
      <c r="HFL1" s="149"/>
      <c r="HFM1" s="149"/>
      <c r="HFN1" s="149"/>
      <c r="HFO1" s="149"/>
      <c r="HFP1" s="149"/>
      <c r="HFQ1" s="149"/>
      <c r="HFR1" s="149"/>
      <c r="HFS1" s="149"/>
      <c r="HFT1" s="149"/>
      <c r="HFU1" s="149"/>
      <c r="HFV1" s="149"/>
      <c r="HFW1" s="149"/>
      <c r="HFX1" s="149"/>
      <c r="HFY1" s="149"/>
      <c r="HFZ1" s="149"/>
      <c r="HGA1" s="149"/>
      <c r="HGB1" s="149"/>
      <c r="HGC1" s="149"/>
      <c r="HGD1" s="149"/>
      <c r="HGE1" s="149"/>
      <c r="HGF1" s="149"/>
      <c r="HGG1" s="149"/>
      <c r="HGH1" s="149"/>
      <c r="HGI1" s="149"/>
      <c r="HGJ1" s="149"/>
      <c r="HGK1" s="149"/>
      <c r="HGL1" s="149"/>
      <c r="HGM1" s="149"/>
      <c r="HGN1" s="149"/>
      <c r="HGO1" s="149"/>
      <c r="HGP1" s="149"/>
      <c r="HGQ1" s="149"/>
      <c r="HGR1" s="149"/>
      <c r="HGS1" s="149"/>
      <c r="HGT1" s="149"/>
      <c r="HGU1" s="149"/>
      <c r="HGV1" s="149"/>
      <c r="HGW1" s="149"/>
      <c r="HGX1" s="149"/>
      <c r="HGY1" s="149"/>
      <c r="HGZ1" s="149"/>
      <c r="HHA1" s="149"/>
      <c r="HHB1" s="149"/>
      <c r="HHC1" s="149"/>
      <c r="HHD1" s="149"/>
      <c r="HHE1" s="149"/>
      <c r="HHF1" s="149"/>
      <c r="HHG1" s="149"/>
      <c r="HHH1" s="149"/>
      <c r="HHI1" s="149"/>
      <c r="HHJ1" s="149"/>
      <c r="HHK1" s="149"/>
      <c r="HHL1" s="149"/>
      <c r="HHM1" s="149"/>
      <c r="HHN1" s="149"/>
      <c r="HHO1" s="149"/>
      <c r="HHP1" s="149"/>
      <c r="HHQ1" s="149"/>
      <c r="HHR1" s="149"/>
      <c r="HHS1" s="149"/>
      <c r="HHT1" s="149"/>
      <c r="HHU1" s="149"/>
      <c r="HHV1" s="149"/>
      <c r="HHW1" s="149"/>
      <c r="HHX1" s="149"/>
      <c r="HHY1" s="149"/>
      <c r="HHZ1" s="149"/>
      <c r="HIA1" s="149"/>
      <c r="HIB1" s="149"/>
      <c r="HIC1" s="149"/>
      <c r="HID1" s="149"/>
      <c r="HIE1" s="149"/>
      <c r="HIF1" s="149"/>
      <c r="HIG1" s="149"/>
      <c r="HIH1" s="149"/>
      <c r="HII1" s="149"/>
      <c r="HIJ1" s="149"/>
      <c r="HIK1" s="149"/>
      <c r="HIL1" s="149"/>
      <c r="HIM1" s="149"/>
      <c r="HIN1" s="149"/>
      <c r="HIO1" s="149"/>
      <c r="HIP1" s="149"/>
      <c r="HIQ1" s="149"/>
      <c r="HIR1" s="149"/>
      <c r="HIS1" s="149"/>
      <c r="HIT1" s="149"/>
      <c r="HIU1" s="149"/>
      <c r="HIV1" s="149"/>
      <c r="HIW1" s="149"/>
      <c r="HIX1" s="149"/>
      <c r="HIY1" s="149"/>
      <c r="HIZ1" s="149"/>
      <c r="HJA1" s="149"/>
      <c r="HJB1" s="149"/>
      <c r="HJC1" s="149"/>
      <c r="HJD1" s="149"/>
      <c r="HJE1" s="149"/>
      <c r="HJF1" s="149"/>
      <c r="HJG1" s="149"/>
      <c r="HJH1" s="149"/>
      <c r="HJI1" s="149"/>
      <c r="HJJ1" s="149"/>
      <c r="HJK1" s="149"/>
      <c r="HJL1" s="149"/>
      <c r="HJM1" s="149"/>
      <c r="HJN1" s="149"/>
      <c r="HJO1" s="149"/>
      <c r="HJP1" s="149"/>
      <c r="HJQ1" s="149"/>
      <c r="HJR1" s="149"/>
      <c r="HJS1" s="149"/>
      <c r="HJT1" s="149"/>
      <c r="HJU1" s="149"/>
      <c r="HJV1" s="149"/>
      <c r="HJW1" s="149"/>
      <c r="HJX1" s="149"/>
      <c r="HJY1" s="149"/>
      <c r="HJZ1" s="149"/>
      <c r="HKA1" s="149"/>
      <c r="HKB1" s="149"/>
      <c r="HKC1" s="149"/>
      <c r="HKD1" s="149"/>
      <c r="HKE1" s="149"/>
      <c r="HKF1" s="149"/>
      <c r="HKG1" s="149"/>
      <c r="HKH1" s="149"/>
      <c r="HKI1" s="149"/>
      <c r="HKJ1" s="149"/>
      <c r="HKK1" s="149"/>
      <c r="HKL1" s="149"/>
      <c r="HKM1" s="149"/>
      <c r="HKN1" s="149"/>
      <c r="HKO1" s="149"/>
      <c r="HKP1" s="149"/>
      <c r="HKQ1" s="149"/>
      <c r="HKR1" s="149"/>
      <c r="HKS1" s="149"/>
      <c r="HKT1" s="149"/>
      <c r="HKU1" s="149"/>
      <c r="HKV1" s="149"/>
      <c r="HKW1" s="149"/>
      <c r="HKX1" s="149"/>
      <c r="HKY1" s="149"/>
      <c r="HKZ1" s="149"/>
      <c r="HLA1" s="149"/>
      <c r="HLB1" s="149"/>
      <c r="HLC1" s="149"/>
      <c r="HLD1" s="149"/>
      <c r="HLE1" s="149"/>
      <c r="HLF1" s="149"/>
      <c r="HLG1" s="149"/>
      <c r="HLH1" s="149"/>
      <c r="HLI1" s="149"/>
      <c r="HLJ1" s="149"/>
      <c r="HLK1" s="149"/>
      <c r="HLL1" s="149"/>
      <c r="HLM1" s="149"/>
      <c r="HLN1" s="149"/>
      <c r="HLO1" s="149"/>
      <c r="HLP1" s="149"/>
      <c r="HLQ1" s="149"/>
      <c r="HLR1" s="149"/>
      <c r="HLS1" s="149"/>
      <c r="HLT1" s="149"/>
      <c r="HLU1" s="149"/>
      <c r="HLV1" s="149"/>
      <c r="HLW1" s="149"/>
      <c r="HLX1" s="149"/>
      <c r="HLY1" s="149"/>
      <c r="HLZ1" s="149"/>
      <c r="HMA1" s="149"/>
      <c r="HMB1" s="149"/>
      <c r="HMC1" s="149"/>
      <c r="HMD1" s="149"/>
      <c r="HME1" s="149"/>
      <c r="HMF1" s="149"/>
      <c r="HMG1" s="149"/>
      <c r="HMH1" s="149"/>
      <c r="HMI1" s="149"/>
      <c r="HMJ1" s="149"/>
      <c r="HMK1" s="149"/>
      <c r="HML1" s="149"/>
      <c r="HMM1" s="149"/>
      <c r="HMN1" s="149"/>
      <c r="HMO1" s="149"/>
      <c r="HMP1" s="149"/>
      <c r="HMQ1" s="149"/>
      <c r="HMR1" s="149"/>
      <c r="HMS1" s="149"/>
      <c r="HMT1" s="149"/>
      <c r="HMU1" s="149"/>
      <c r="HMV1" s="149"/>
      <c r="HMW1" s="149"/>
      <c r="HMX1" s="149"/>
      <c r="HMY1" s="149"/>
      <c r="HMZ1" s="149"/>
      <c r="HNA1" s="149"/>
      <c r="HNB1" s="149"/>
      <c r="HNC1" s="149"/>
      <c r="HND1" s="149"/>
      <c r="HNE1" s="149"/>
      <c r="HNF1" s="149"/>
      <c r="HNG1" s="149"/>
      <c r="HNH1" s="149"/>
      <c r="HNI1" s="149"/>
      <c r="HNJ1" s="149"/>
      <c r="HNK1" s="149"/>
      <c r="HNL1" s="149"/>
      <c r="HNM1" s="149"/>
      <c r="HNN1" s="149"/>
      <c r="HNO1" s="149"/>
      <c r="HNP1" s="149"/>
      <c r="HNQ1" s="149"/>
      <c r="HNR1" s="149"/>
      <c r="HNS1" s="149"/>
      <c r="HNT1" s="149"/>
      <c r="HNU1" s="149"/>
      <c r="HNV1" s="149"/>
      <c r="HNW1" s="149"/>
      <c r="HNX1" s="149"/>
      <c r="HNY1" s="149"/>
      <c r="HNZ1" s="149"/>
      <c r="HOA1" s="149"/>
      <c r="HOB1" s="149"/>
      <c r="HOC1" s="149"/>
      <c r="HOD1" s="149"/>
      <c r="HOE1" s="149"/>
      <c r="HOF1" s="149"/>
      <c r="HOG1" s="149"/>
      <c r="HOH1" s="149"/>
      <c r="HOI1" s="149"/>
      <c r="HOJ1" s="149"/>
      <c r="HOK1" s="149"/>
      <c r="HOL1" s="149"/>
      <c r="HOM1" s="149"/>
      <c r="HON1" s="149"/>
      <c r="HOO1" s="149"/>
      <c r="HOP1" s="149"/>
      <c r="HOQ1" s="149"/>
      <c r="HOR1" s="149"/>
      <c r="HOS1" s="149"/>
      <c r="HOT1" s="149"/>
      <c r="HOU1" s="149"/>
      <c r="HOV1" s="149"/>
      <c r="HOW1" s="149"/>
      <c r="HOX1" s="149"/>
      <c r="HOY1" s="149"/>
      <c r="HOZ1" s="149"/>
      <c r="HPA1" s="149"/>
      <c r="HPB1" s="149"/>
      <c r="HPC1" s="149"/>
      <c r="HPD1" s="149"/>
      <c r="HPE1" s="149"/>
      <c r="HPF1" s="149"/>
      <c r="HPG1" s="149"/>
      <c r="HPH1" s="149"/>
      <c r="HPI1" s="149"/>
      <c r="HPJ1" s="149"/>
      <c r="HPK1" s="149"/>
      <c r="HPL1" s="149"/>
      <c r="HPM1" s="149"/>
      <c r="HPN1" s="149"/>
      <c r="HPO1" s="149"/>
      <c r="HPP1" s="149"/>
      <c r="HPQ1" s="149"/>
      <c r="HPR1" s="149"/>
      <c r="HPS1" s="149"/>
      <c r="HPT1" s="149"/>
      <c r="HPU1" s="149"/>
      <c r="HPV1" s="149"/>
      <c r="HPW1" s="149"/>
      <c r="HPX1" s="149"/>
      <c r="HPY1" s="149"/>
      <c r="HPZ1" s="149"/>
      <c r="HQA1" s="149"/>
      <c r="HQB1" s="149"/>
      <c r="HQC1" s="149"/>
      <c r="HQD1" s="149"/>
      <c r="HQE1" s="149"/>
      <c r="HQF1" s="149"/>
      <c r="HQG1" s="149"/>
      <c r="HQH1" s="149"/>
      <c r="HQI1" s="149"/>
      <c r="HQJ1" s="149"/>
      <c r="HQK1" s="149"/>
      <c r="HQL1" s="149"/>
      <c r="HQM1" s="149"/>
      <c r="HQN1" s="149"/>
      <c r="HQO1" s="149"/>
      <c r="HQP1" s="149"/>
      <c r="HQQ1" s="149"/>
      <c r="HQR1" s="149"/>
      <c r="HQS1" s="149"/>
      <c r="HQT1" s="149"/>
      <c r="HQU1" s="149"/>
      <c r="HQV1" s="149"/>
      <c r="HQW1" s="149"/>
      <c r="HQX1" s="149"/>
      <c r="HQY1" s="149"/>
      <c r="HQZ1" s="149"/>
      <c r="HRA1" s="149"/>
      <c r="HRB1" s="149"/>
      <c r="HRC1" s="149"/>
      <c r="HRD1" s="149"/>
      <c r="HRE1" s="149"/>
      <c r="HRF1" s="149"/>
      <c r="HRG1" s="149"/>
      <c r="HRH1" s="149"/>
      <c r="HRI1" s="149"/>
      <c r="HRJ1" s="149"/>
      <c r="HRK1" s="149"/>
      <c r="HRL1" s="149"/>
      <c r="HRM1" s="149"/>
      <c r="HRN1" s="149"/>
      <c r="HRO1" s="149"/>
      <c r="HRP1" s="149"/>
      <c r="HRQ1" s="149"/>
      <c r="HRR1" s="149"/>
      <c r="HRS1" s="149"/>
      <c r="HRT1" s="149"/>
      <c r="HRU1" s="149"/>
      <c r="HRV1" s="149"/>
      <c r="HRW1" s="149"/>
      <c r="HRX1" s="149"/>
      <c r="HRY1" s="149"/>
      <c r="HRZ1" s="149"/>
      <c r="HSA1" s="149"/>
      <c r="HSB1" s="149"/>
      <c r="HSC1" s="149"/>
      <c r="HSD1" s="149"/>
      <c r="HSE1" s="149"/>
      <c r="HSF1" s="149"/>
      <c r="HSG1" s="149"/>
      <c r="HSH1" s="149"/>
      <c r="HSI1" s="149"/>
      <c r="HSJ1" s="149"/>
      <c r="HSK1" s="149"/>
      <c r="HSL1" s="149"/>
      <c r="HSM1" s="149"/>
      <c r="HSN1" s="149"/>
      <c r="HSO1" s="149"/>
      <c r="HSP1" s="149"/>
      <c r="HSQ1" s="149"/>
      <c r="HSR1" s="149"/>
      <c r="HSS1" s="149"/>
      <c r="HST1" s="149"/>
      <c r="HSU1" s="149"/>
      <c r="HSV1" s="149"/>
      <c r="HSW1" s="149"/>
      <c r="HSX1" s="149"/>
      <c r="HSY1" s="149"/>
      <c r="HSZ1" s="149"/>
      <c r="HTA1" s="149"/>
      <c r="HTB1" s="149"/>
      <c r="HTC1" s="149"/>
      <c r="HTD1" s="149"/>
      <c r="HTE1" s="149"/>
      <c r="HTF1" s="149"/>
      <c r="HTG1" s="149"/>
      <c r="HTH1" s="149"/>
      <c r="HTI1" s="149"/>
      <c r="HTJ1" s="149"/>
      <c r="HTK1" s="149"/>
      <c r="HTL1" s="149"/>
      <c r="HTM1" s="149"/>
      <c r="HTN1" s="149"/>
      <c r="HTO1" s="149"/>
      <c r="HTP1" s="149"/>
      <c r="HTQ1" s="149"/>
      <c r="HTR1" s="149"/>
      <c r="HTS1" s="149"/>
      <c r="HTT1" s="149"/>
      <c r="HTU1" s="149"/>
      <c r="HTV1" s="149"/>
      <c r="HTW1" s="149"/>
      <c r="HTX1" s="149"/>
      <c r="HTY1" s="149"/>
      <c r="HTZ1" s="149"/>
      <c r="HUA1" s="149"/>
      <c r="HUB1" s="149"/>
      <c r="HUC1" s="149"/>
      <c r="HUD1" s="149"/>
      <c r="HUE1" s="149"/>
      <c r="HUF1" s="149"/>
      <c r="HUG1" s="149"/>
      <c r="HUH1" s="149"/>
      <c r="HUI1" s="149"/>
      <c r="HUJ1" s="149"/>
      <c r="HUK1" s="149"/>
      <c r="HUL1" s="149"/>
      <c r="HUM1" s="149"/>
      <c r="HUN1" s="149"/>
      <c r="HUO1" s="149"/>
      <c r="HUP1" s="149"/>
      <c r="HUQ1" s="149"/>
      <c r="HUR1" s="149"/>
      <c r="HUS1" s="149"/>
      <c r="HUT1" s="149"/>
      <c r="HUU1" s="149"/>
      <c r="HUV1" s="149"/>
      <c r="HUW1" s="149"/>
      <c r="HUX1" s="149"/>
      <c r="HUY1" s="149"/>
      <c r="HUZ1" s="149"/>
      <c r="HVA1" s="149"/>
      <c r="HVB1" s="149"/>
      <c r="HVC1" s="149"/>
      <c r="HVD1" s="149"/>
      <c r="HVE1" s="149"/>
      <c r="HVF1" s="149"/>
      <c r="HVG1" s="149"/>
      <c r="HVH1" s="149"/>
      <c r="HVI1" s="149"/>
      <c r="HVJ1" s="149"/>
      <c r="HVK1" s="149"/>
      <c r="HVL1" s="149"/>
      <c r="HVM1" s="149"/>
      <c r="HVN1" s="149"/>
      <c r="HVO1" s="149"/>
      <c r="HVP1" s="149"/>
      <c r="HVQ1" s="149"/>
      <c r="HVR1" s="149"/>
      <c r="HVS1" s="149"/>
      <c r="HVT1" s="149"/>
      <c r="HVU1" s="149"/>
      <c r="HVV1" s="149"/>
      <c r="HVW1" s="149"/>
      <c r="HVX1" s="149"/>
      <c r="HVY1" s="149"/>
      <c r="HVZ1" s="149"/>
      <c r="HWA1" s="149"/>
      <c r="HWB1" s="149"/>
      <c r="HWC1" s="149"/>
      <c r="HWD1" s="149"/>
      <c r="HWE1" s="149"/>
      <c r="HWF1" s="149"/>
      <c r="HWG1" s="149"/>
      <c r="HWH1" s="149"/>
      <c r="HWI1" s="149"/>
      <c r="HWJ1" s="149"/>
      <c r="HWK1" s="149"/>
      <c r="HWL1" s="149"/>
      <c r="HWM1" s="149"/>
      <c r="HWN1" s="149"/>
      <c r="HWO1" s="149"/>
      <c r="HWP1" s="149"/>
      <c r="HWQ1" s="149"/>
      <c r="HWR1" s="149"/>
      <c r="HWS1" s="149"/>
      <c r="HWT1" s="149"/>
      <c r="HWU1" s="149"/>
      <c r="HWV1" s="149"/>
      <c r="HWW1" s="149"/>
      <c r="HWX1" s="149"/>
      <c r="HWY1" s="149"/>
      <c r="HWZ1" s="149"/>
      <c r="HXA1" s="149"/>
      <c r="HXB1" s="149"/>
      <c r="HXC1" s="149"/>
      <c r="HXD1" s="149"/>
      <c r="HXE1" s="149"/>
      <c r="HXF1" s="149"/>
      <c r="HXG1" s="149"/>
      <c r="HXH1" s="149"/>
      <c r="HXI1" s="149"/>
      <c r="HXJ1" s="149"/>
      <c r="HXK1" s="149"/>
      <c r="HXL1" s="149"/>
      <c r="HXM1" s="149"/>
      <c r="HXN1" s="149"/>
      <c r="HXO1" s="149"/>
      <c r="HXP1" s="149"/>
      <c r="HXQ1" s="149"/>
      <c r="HXR1" s="149"/>
      <c r="HXS1" s="149"/>
      <c r="HXT1" s="149"/>
      <c r="HXU1" s="149"/>
      <c r="HXV1" s="149"/>
      <c r="HXW1" s="149"/>
      <c r="HXX1" s="149"/>
      <c r="HXY1" s="149"/>
      <c r="HXZ1" s="149"/>
      <c r="HYA1" s="149"/>
      <c r="HYB1" s="149"/>
      <c r="HYC1" s="149"/>
      <c r="HYD1" s="149"/>
      <c r="HYE1" s="149"/>
      <c r="HYF1" s="149"/>
      <c r="HYG1" s="149"/>
      <c r="HYH1" s="149"/>
      <c r="HYI1" s="149"/>
      <c r="HYJ1" s="149"/>
      <c r="HYK1" s="149"/>
      <c r="HYL1" s="149"/>
      <c r="HYM1" s="149"/>
      <c r="HYN1" s="149"/>
      <c r="HYO1" s="149"/>
      <c r="HYP1" s="149"/>
      <c r="HYQ1" s="149"/>
      <c r="HYR1" s="149"/>
      <c r="HYS1" s="149"/>
      <c r="HYT1" s="149"/>
      <c r="HYU1" s="149"/>
      <c r="HYV1" s="149"/>
      <c r="HYW1" s="149"/>
      <c r="HYX1" s="149"/>
      <c r="HYY1" s="149"/>
      <c r="HYZ1" s="149"/>
      <c r="HZA1" s="149"/>
      <c r="HZB1" s="149"/>
      <c r="HZC1" s="149"/>
      <c r="HZD1" s="149"/>
      <c r="HZE1" s="149"/>
      <c r="HZF1" s="149"/>
      <c r="HZG1" s="149"/>
      <c r="HZH1" s="149"/>
      <c r="HZI1" s="149"/>
      <c r="HZJ1" s="149"/>
      <c r="HZK1" s="149"/>
      <c r="HZL1" s="149"/>
      <c r="HZM1" s="149"/>
      <c r="HZN1" s="149"/>
      <c r="HZO1" s="149"/>
      <c r="HZP1" s="149"/>
      <c r="HZQ1" s="149"/>
      <c r="HZR1" s="149"/>
      <c r="HZS1" s="149"/>
      <c r="HZT1" s="149"/>
      <c r="HZU1" s="149"/>
      <c r="HZV1" s="149"/>
      <c r="HZW1" s="149"/>
      <c r="HZX1" s="149"/>
      <c r="HZY1" s="149"/>
      <c r="HZZ1" s="149"/>
      <c r="IAA1" s="149"/>
      <c r="IAB1" s="149"/>
      <c r="IAC1" s="149"/>
      <c r="IAD1" s="149"/>
      <c r="IAE1" s="149"/>
      <c r="IAF1" s="149"/>
      <c r="IAG1" s="149"/>
      <c r="IAH1" s="149"/>
      <c r="IAI1" s="149"/>
      <c r="IAJ1" s="149"/>
      <c r="IAK1" s="149"/>
      <c r="IAL1" s="149"/>
      <c r="IAM1" s="149"/>
      <c r="IAN1" s="149"/>
      <c r="IAO1" s="149"/>
      <c r="IAP1" s="149"/>
      <c r="IAQ1" s="149"/>
      <c r="IAR1" s="149"/>
      <c r="IAS1" s="149"/>
      <c r="IAT1" s="149"/>
      <c r="IAU1" s="149"/>
      <c r="IAV1" s="149"/>
      <c r="IAW1" s="149"/>
      <c r="IAX1" s="149"/>
      <c r="IAY1" s="149"/>
      <c r="IAZ1" s="149"/>
      <c r="IBA1" s="149"/>
      <c r="IBB1" s="149"/>
      <c r="IBC1" s="149"/>
      <c r="IBD1" s="149"/>
      <c r="IBE1" s="149"/>
      <c r="IBF1" s="149"/>
      <c r="IBG1" s="149"/>
      <c r="IBH1" s="149"/>
      <c r="IBI1" s="149"/>
      <c r="IBJ1" s="149"/>
      <c r="IBK1" s="149"/>
      <c r="IBL1" s="149"/>
      <c r="IBM1" s="149"/>
      <c r="IBN1" s="149"/>
      <c r="IBO1" s="149"/>
      <c r="IBP1" s="149"/>
      <c r="IBQ1" s="149"/>
      <c r="IBR1" s="149"/>
      <c r="IBS1" s="149"/>
      <c r="IBT1" s="149"/>
      <c r="IBU1" s="149"/>
      <c r="IBV1" s="149"/>
      <c r="IBW1" s="149"/>
      <c r="IBX1" s="149"/>
      <c r="IBY1" s="149"/>
      <c r="IBZ1" s="149"/>
      <c r="ICA1" s="149"/>
      <c r="ICB1" s="149"/>
      <c r="ICC1" s="149"/>
      <c r="ICD1" s="149"/>
      <c r="ICE1" s="149"/>
      <c r="ICF1" s="149"/>
      <c r="ICG1" s="149"/>
      <c r="ICH1" s="149"/>
      <c r="ICI1" s="149"/>
      <c r="ICJ1" s="149"/>
      <c r="ICK1" s="149"/>
      <c r="ICL1" s="149"/>
      <c r="ICM1" s="149"/>
      <c r="ICN1" s="149"/>
      <c r="ICO1" s="149"/>
      <c r="ICP1" s="149"/>
      <c r="ICQ1" s="149"/>
      <c r="ICR1" s="149"/>
      <c r="ICS1" s="149"/>
      <c r="ICT1" s="149"/>
      <c r="ICU1" s="149"/>
      <c r="ICV1" s="149"/>
      <c r="ICW1" s="149"/>
      <c r="ICX1" s="149"/>
      <c r="ICY1" s="149"/>
      <c r="ICZ1" s="149"/>
      <c r="IDA1" s="149"/>
      <c r="IDB1" s="149"/>
      <c r="IDC1" s="149"/>
      <c r="IDD1" s="149"/>
      <c r="IDE1" s="149"/>
      <c r="IDF1" s="149"/>
      <c r="IDG1" s="149"/>
      <c r="IDH1" s="149"/>
      <c r="IDI1" s="149"/>
      <c r="IDJ1" s="149"/>
      <c r="IDK1" s="149"/>
      <c r="IDL1" s="149"/>
      <c r="IDM1" s="149"/>
      <c r="IDN1" s="149"/>
      <c r="IDO1" s="149"/>
      <c r="IDP1" s="149"/>
      <c r="IDQ1" s="149"/>
      <c r="IDR1" s="149"/>
      <c r="IDS1" s="149"/>
      <c r="IDT1" s="149"/>
      <c r="IDU1" s="149"/>
      <c r="IDV1" s="149"/>
      <c r="IDW1" s="149"/>
      <c r="IDX1" s="149"/>
      <c r="IDY1" s="149"/>
      <c r="IDZ1" s="149"/>
      <c r="IEA1" s="149"/>
      <c r="IEB1" s="149"/>
      <c r="IEC1" s="149"/>
      <c r="IED1" s="149"/>
      <c r="IEE1" s="149"/>
      <c r="IEF1" s="149"/>
      <c r="IEG1" s="149"/>
      <c r="IEH1" s="149"/>
      <c r="IEI1" s="149"/>
      <c r="IEJ1" s="149"/>
      <c r="IEK1" s="149"/>
      <c r="IEL1" s="149"/>
      <c r="IEM1" s="149"/>
      <c r="IEN1" s="149"/>
      <c r="IEO1" s="149"/>
      <c r="IEP1" s="149"/>
      <c r="IEQ1" s="149"/>
      <c r="IER1" s="149"/>
      <c r="IES1" s="149"/>
      <c r="IET1" s="149"/>
      <c r="IEU1" s="149"/>
      <c r="IEV1" s="149"/>
      <c r="IEW1" s="149"/>
      <c r="IEX1" s="149"/>
      <c r="IEY1" s="149"/>
      <c r="IEZ1" s="149"/>
      <c r="IFA1" s="149"/>
      <c r="IFB1" s="149"/>
      <c r="IFC1" s="149"/>
      <c r="IFD1" s="149"/>
      <c r="IFE1" s="149"/>
      <c r="IFF1" s="149"/>
      <c r="IFG1" s="149"/>
      <c r="IFH1" s="149"/>
      <c r="IFI1" s="149"/>
      <c r="IFJ1" s="149"/>
      <c r="IFK1" s="149"/>
      <c r="IFL1" s="149"/>
      <c r="IFM1" s="149"/>
      <c r="IFN1" s="149"/>
      <c r="IFO1" s="149"/>
      <c r="IFP1" s="149"/>
      <c r="IFQ1" s="149"/>
      <c r="IFR1" s="149"/>
      <c r="IFS1" s="149"/>
      <c r="IFT1" s="149"/>
      <c r="IFU1" s="149"/>
      <c r="IFV1" s="149"/>
      <c r="IFW1" s="149"/>
      <c r="IFX1" s="149"/>
      <c r="IFY1" s="149"/>
      <c r="IFZ1" s="149"/>
      <c r="IGA1" s="149"/>
      <c r="IGB1" s="149"/>
      <c r="IGC1" s="149"/>
      <c r="IGD1" s="149"/>
      <c r="IGE1" s="149"/>
      <c r="IGF1" s="149"/>
      <c r="IGG1" s="149"/>
      <c r="IGH1" s="149"/>
      <c r="IGI1" s="149"/>
      <c r="IGJ1" s="149"/>
      <c r="IGK1" s="149"/>
      <c r="IGL1" s="149"/>
      <c r="IGM1" s="149"/>
      <c r="IGN1" s="149"/>
      <c r="IGO1" s="149"/>
      <c r="IGP1" s="149"/>
      <c r="IGQ1" s="149"/>
      <c r="IGR1" s="149"/>
      <c r="IGS1" s="149"/>
      <c r="IGT1" s="149"/>
      <c r="IGU1" s="149"/>
      <c r="IGV1" s="149"/>
      <c r="IGW1" s="149"/>
      <c r="IGX1" s="149"/>
      <c r="IGY1" s="149"/>
      <c r="IGZ1" s="149"/>
      <c r="IHA1" s="149"/>
      <c r="IHB1" s="149"/>
      <c r="IHC1" s="149"/>
      <c r="IHD1" s="149"/>
      <c r="IHE1" s="149"/>
      <c r="IHF1" s="149"/>
      <c r="IHG1" s="149"/>
      <c r="IHH1" s="149"/>
      <c r="IHI1" s="149"/>
      <c r="IHJ1" s="149"/>
      <c r="IHK1" s="149"/>
      <c r="IHL1" s="149"/>
      <c r="IHM1" s="149"/>
      <c r="IHN1" s="149"/>
      <c r="IHO1" s="149"/>
      <c r="IHP1" s="149"/>
      <c r="IHQ1" s="149"/>
      <c r="IHR1" s="149"/>
      <c r="IHS1" s="149"/>
      <c r="IHT1" s="149"/>
      <c r="IHU1" s="149"/>
      <c r="IHV1" s="149"/>
      <c r="IHW1" s="149"/>
      <c r="IHX1" s="149"/>
      <c r="IHY1" s="149"/>
      <c r="IHZ1" s="149"/>
      <c r="IIA1" s="149"/>
      <c r="IIB1" s="149"/>
      <c r="IIC1" s="149"/>
      <c r="IID1" s="149"/>
      <c r="IIE1" s="149"/>
      <c r="IIF1" s="149"/>
      <c r="IIG1" s="149"/>
      <c r="IIH1" s="149"/>
      <c r="III1" s="149"/>
      <c r="IIJ1" s="149"/>
      <c r="IIK1" s="149"/>
      <c r="IIL1" s="149"/>
      <c r="IIM1" s="149"/>
      <c r="IIN1" s="149"/>
      <c r="IIO1" s="149"/>
      <c r="IIP1" s="149"/>
      <c r="IIQ1" s="149"/>
      <c r="IIR1" s="149"/>
      <c r="IIS1" s="149"/>
      <c r="IIT1" s="149"/>
      <c r="IIU1" s="149"/>
      <c r="IIV1" s="149"/>
      <c r="IIW1" s="149"/>
      <c r="IIX1" s="149"/>
      <c r="IIY1" s="149"/>
      <c r="IIZ1" s="149"/>
      <c r="IJA1" s="149"/>
      <c r="IJB1" s="149"/>
      <c r="IJC1" s="149"/>
      <c r="IJD1" s="149"/>
      <c r="IJE1" s="149"/>
      <c r="IJF1" s="149"/>
      <c r="IJG1" s="149"/>
      <c r="IJH1" s="149"/>
      <c r="IJI1" s="149"/>
      <c r="IJJ1" s="149"/>
      <c r="IJK1" s="149"/>
      <c r="IJL1" s="149"/>
      <c r="IJM1" s="149"/>
      <c r="IJN1" s="149"/>
      <c r="IJO1" s="149"/>
      <c r="IJP1" s="149"/>
      <c r="IJQ1" s="149"/>
      <c r="IJR1" s="149"/>
      <c r="IJS1" s="149"/>
      <c r="IJT1" s="149"/>
      <c r="IJU1" s="149"/>
      <c r="IJV1" s="149"/>
      <c r="IJW1" s="149"/>
      <c r="IJX1" s="149"/>
      <c r="IJY1" s="149"/>
      <c r="IJZ1" s="149"/>
      <c r="IKA1" s="149"/>
      <c r="IKB1" s="149"/>
      <c r="IKC1" s="149"/>
      <c r="IKD1" s="149"/>
      <c r="IKE1" s="149"/>
      <c r="IKF1" s="149"/>
      <c r="IKG1" s="149"/>
      <c r="IKH1" s="149"/>
      <c r="IKI1" s="149"/>
      <c r="IKJ1" s="149"/>
      <c r="IKK1" s="149"/>
      <c r="IKL1" s="149"/>
      <c r="IKM1" s="149"/>
      <c r="IKN1" s="149"/>
      <c r="IKO1" s="149"/>
      <c r="IKP1" s="149"/>
      <c r="IKQ1" s="149"/>
      <c r="IKR1" s="149"/>
      <c r="IKS1" s="149"/>
      <c r="IKT1" s="149"/>
      <c r="IKU1" s="149"/>
      <c r="IKV1" s="149"/>
      <c r="IKW1" s="149"/>
      <c r="IKX1" s="149"/>
      <c r="IKY1" s="149"/>
      <c r="IKZ1" s="149"/>
      <c r="ILA1" s="149"/>
      <c r="ILB1" s="149"/>
      <c r="ILC1" s="149"/>
      <c r="ILD1" s="149"/>
      <c r="ILE1" s="149"/>
      <c r="ILF1" s="149"/>
      <c r="ILG1" s="149"/>
      <c r="ILH1" s="149"/>
      <c r="ILI1" s="149"/>
      <c r="ILJ1" s="149"/>
      <c r="ILK1" s="149"/>
      <c r="ILL1" s="149"/>
      <c r="ILM1" s="149"/>
      <c r="ILN1" s="149"/>
      <c r="ILO1" s="149"/>
      <c r="ILP1" s="149"/>
      <c r="ILQ1" s="149"/>
      <c r="ILR1" s="149"/>
      <c r="ILS1" s="149"/>
      <c r="ILT1" s="149"/>
      <c r="ILU1" s="149"/>
      <c r="ILV1" s="149"/>
      <c r="ILW1" s="149"/>
      <c r="ILX1" s="149"/>
      <c r="ILY1" s="149"/>
      <c r="ILZ1" s="149"/>
      <c r="IMA1" s="149"/>
      <c r="IMB1" s="149"/>
      <c r="IMC1" s="149"/>
      <c r="IMD1" s="149"/>
      <c r="IME1" s="149"/>
      <c r="IMF1" s="149"/>
      <c r="IMG1" s="149"/>
      <c r="IMH1" s="149"/>
      <c r="IMI1" s="149"/>
      <c r="IMJ1" s="149"/>
      <c r="IMK1" s="149"/>
      <c r="IML1" s="149"/>
      <c r="IMM1" s="149"/>
      <c r="IMN1" s="149"/>
      <c r="IMO1" s="149"/>
      <c r="IMP1" s="149"/>
      <c r="IMQ1" s="149"/>
      <c r="IMR1" s="149"/>
      <c r="IMS1" s="149"/>
      <c r="IMT1" s="149"/>
      <c r="IMU1" s="149"/>
      <c r="IMV1" s="149"/>
      <c r="IMW1" s="149"/>
      <c r="IMX1" s="149"/>
      <c r="IMY1" s="149"/>
      <c r="IMZ1" s="149"/>
      <c r="INA1" s="149"/>
      <c r="INB1" s="149"/>
      <c r="INC1" s="149"/>
      <c r="IND1" s="149"/>
      <c r="INE1" s="149"/>
      <c r="INF1" s="149"/>
      <c r="ING1" s="149"/>
      <c r="INH1" s="149"/>
      <c r="INI1" s="149"/>
      <c r="INJ1" s="149"/>
      <c r="INK1" s="149"/>
      <c r="INL1" s="149"/>
      <c r="INM1" s="149"/>
      <c r="INN1" s="149"/>
      <c r="INO1" s="149"/>
      <c r="INP1" s="149"/>
      <c r="INQ1" s="149"/>
      <c r="INR1" s="149"/>
      <c r="INS1" s="149"/>
      <c r="INT1" s="149"/>
      <c r="INU1" s="149"/>
      <c r="INV1" s="149"/>
      <c r="INW1" s="149"/>
      <c r="INX1" s="149"/>
      <c r="INY1" s="149"/>
      <c r="INZ1" s="149"/>
      <c r="IOA1" s="149"/>
      <c r="IOB1" s="149"/>
      <c r="IOC1" s="149"/>
      <c r="IOD1" s="149"/>
      <c r="IOE1" s="149"/>
      <c r="IOF1" s="149"/>
      <c r="IOG1" s="149"/>
      <c r="IOH1" s="149"/>
      <c r="IOI1" s="149"/>
      <c r="IOJ1" s="149"/>
      <c r="IOK1" s="149"/>
      <c r="IOL1" s="149"/>
      <c r="IOM1" s="149"/>
      <c r="ION1" s="149"/>
      <c r="IOO1" s="149"/>
      <c r="IOP1" s="149"/>
      <c r="IOQ1" s="149"/>
      <c r="IOR1" s="149"/>
      <c r="IOS1" s="149"/>
      <c r="IOT1" s="149"/>
      <c r="IOU1" s="149"/>
      <c r="IOV1" s="149"/>
      <c r="IOW1" s="149"/>
      <c r="IOX1" s="149"/>
      <c r="IOY1" s="149"/>
      <c r="IOZ1" s="149"/>
      <c r="IPA1" s="149"/>
      <c r="IPB1" s="149"/>
      <c r="IPC1" s="149"/>
      <c r="IPD1" s="149"/>
      <c r="IPE1" s="149"/>
      <c r="IPF1" s="149"/>
      <c r="IPG1" s="149"/>
      <c r="IPH1" s="149"/>
      <c r="IPI1" s="149"/>
      <c r="IPJ1" s="149"/>
      <c r="IPK1" s="149"/>
      <c r="IPL1" s="149"/>
      <c r="IPM1" s="149"/>
      <c r="IPN1" s="149"/>
      <c r="IPO1" s="149"/>
      <c r="IPP1" s="149"/>
      <c r="IPQ1" s="149"/>
      <c r="IPR1" s="149"/>
      <c r="IPS1" s="149"/>
      <c r="IPT1" s="149"/>
      <c r="IPU1" s="149"/>
      <c r="IPV1" s="149"/>
      <c r="IPW1" s="149"/>
      <c r="IPX1" s="149"/>
      <c r="IPY1" s="149"/>
      <c r="IPZ1" s="149"/>
      <c r="IQA1" s="149"/>
      <c r="IQB1" s="149"/>
      <c r="IQC1" s="149"/>
      <c r="IQD1" s="149"/>
      <c r="IQE1" s="149"/>
      <c r="IQF1" s="149"/>
      <c r="IQG1" s="149"/>
      <c r="IQH1" s="149"/>
      <c r="IQI1" s="149"/>
      <c r="IQJ1" s="149"/>
      <c r="IQK1" s="149"/>
      <c r="IQL1" s="149"/>
      <c r="IQM1" s="149"/>
      <c r="IQN1" s="149"/>
      <c r="IQO1" s="149"/>
      <c r="IQP1" s="149"/>
      <c r="IQQ1" s="149"/>
      <c r="IQR1" s="149"/>
      <c r="IQS1" s="149"/>
      <c r="IQT1" s="149"/>
      <c r="IQU1" s="149"/>
      <c r="IQV1" s="149"/>
      <c r="IQW1" s="149"/>
      <c r="IQX1" s="149"/>
      <c r="IQY1" s="149"/>
      <c r="IQZ1" s="149"/>
      <c r="IRA1" s="149"/>
      <c r="IRB1" s="149"/>
      <c r="IRC1" s="149"/>
      <c r="IRD1" s="149"/>
      <c r="IRE1" s="149"/>
      <c r="IRF1" s="149"/>
      <c r="IRG1" s="149"/>
      <c r="IRH1" s="149"/>
      <c r="IRI1" s="149"/>
      <c r="IRJ1" s="149"/>
      <c r="IRK1" s="149"/>
      <c r="IRL1" s="149"/>
      <c r="IRM1" s="149"/>
      <c r="IRN1" s="149"/>
      <c r="IRO1" s="149"/>
      <c r="IRP1" s="149"/>
      <c r="IRQ1" s="149"/>
      <c r="IRR1" s="149"/>
      <c r="IRS1" s="149"/>
      <c r="IRT1" s="149"/>
      <c r="IRU1" s="149"/>
      <c r="IRV1" s="149"/>
      <c r="IRW1" s="149"/>
      <c r="IRX1" s="149"/>
      <c r="IRY1" s="149"/>
      <c r="IRZ1" s="149"/>
      <c r="ISA1" s="149"/>
      <c r="ISB1" s="149"/>
      <c r="ISC1" s="149"/>
      <c r="ISD1" s="149"/>
      <c r="ISE1" s="149"/>
      <c r="ISF1" s="149"/>
      <c r="ISG1" s="149"/>
      <c r="ISH1" s="149"/>
      <c r="ISI1" s="149"/>
      <c r="ISJ1" s="149"/>
      <c r="ISK1" s="149"/>
      <c r="ISL1" s="149"/>
      <c r="ISM1" s="149"/>
      <c r="ISN1" s="149"/>
      <c r="ISO1" s="149"/>
      <c r="ISP1" s="149"/>
      <c r="ISQ1" s="149"/>
      <c r="ISR1" s="149"/>
      <c r="ISS1" s="149"/>
      <c r="IST1" s="149"/>
      <c r="ISU1" s="149"/>
      <c r="ISV1" s="149"/>
      <c r="ISW1" s="149"/>
      <c r="ISX1" s="149"/>
      <c r="ISY1" s="149"/>
      <c r="ISZ1" s="149"/>
      <c r="ITA1" s="149"/>
      <c r="ITB1" s="149"/>
      <c r="ITC1" s="149"/>
      <c r="ITD1" s="149"/>
      <c r="ITE1" s="149"/>
      <c r="ITF1" s="149"/>
      <c r="ITG1" s="149"/>
      <c r="ITH1" s="149"/>
      <c r="ITI1" s="149"/>
      <c r="ITJ1" s="149"/>
      <c r="ITK1" s="149"/>
      <c r="ITL1" s="149"/>
      <c r="ITM1" s="149"/>
      <c r="ITN1" s="149"/>
      <c r="ITO1" s="149"/>
      <c r="ITP1" s="149"/>
      <c r="ITQ1" s="149"/>
      <c r="ITR1" s="149"/>
      <c r="ITS1" s="149"/>
      <c r="ITT1" s="149"/>
      <c r="ITU1" s="149"/>
      <c r="ITV1" s="149"/>
      <c r="ITW1" s="149"/>
      <c r="ITX1" s="149"/>
      <c r="ITY1" s="149"/>
      <c r="ITZ1" s="149"/>
      <c r="IUA1" s="149"/>
      <c r="IUB1" s="149"/>
      <c r="IUC1" s="149"/>
      <c r="IUD1" s="149"/>
      <c r="IUE1" s="149"/>
      <c r="IUF1" s="149"/>
      <c r="IUG1" s="149"/>
      <c r="IUH1" s="149"/>
      <c r="IUI1" s="149"/>
      <c r="IUJ1" s="149"/>
      <c r="IUK1" s="149"/>
      <c r="IUL1" s="149"/>
      <c r="IUM1" s="149"/>
      <c r="IUN1" s="149"/>
      <c r="IUO1" s="149"/>
      <c r="IUP1" s="149"/>
      <c r="IUQ1" s="149"/>
      <c r="IUR1" s="149"/>
      <c r="IUS1" s="149"/>
      <c r="IUT1" s="149"/>
      <c r="IUU1" s="149"/>
      <c r="IUV1" s="149"/>
      <c r="IUW1" s="149"/>
      <c r="IUX1" s="149"/>
      <c r="IUY1" s="149"/>
      <c r="IUZ1" s="149"/>
      <c r="IVA1" s="149"/>
      <c r="IVB1" s="149"/>
      <c r="IVC1" s="149"/>
      <c r="IVD1" s="149"/>
      <c r="IVE1" s="149"/>
      <c r="IVF1" s="149"/>
      <c r="IVG1" s="149"/>
      <c r="IVH1" s="149"/>
      <c r="IVI1" s="149"/>
      <c r="IVJ1" s="149"/>
      <c r="IVK1" s="149"/>
      <c r="IVL1" s="149"/>
      <c r="IVM1" s="149"/>
      <c r="IVN1" s="149"/>
      <c r="IVO1" s="149"/>
      <c r="IVP1" s="149"/>
      <c r="IVQ1" s="149"/>
      <c r="IVR1" s="149"/>
      <c r="IVS1" s="149"/>
      <c r="IVT1" s="149"/>
      <c r="IVU1" s="149"/>
      <c r="IVV1" s="149"/>
      <c r="IVW1" s="149"/>
      <c r="IVX1" s="149"/>
      <c r="IVY1" s="149"/>
      <c r="IVZ1" s="149"/>
      <c r="IWA1" s="149"/>
      <c r="IWB1" s="149"/>
      <c r="IWC1" s="149"/>
      <c r="IWD1" s="149"/>
      <c r="IWE1" s="149"/>
      <c r="IWF1" s="149"/>
      <c r="IWG1" s="149"/>
      <c r="IWH1" s="149"/>
      <c r="IWI1" s="149"/>
      <c r="IWJ1" s="149"/>
      <c r="IWK1" s="149"/>
      <c r="IWL1" s="149"/>
      <c r="IWM1" s="149"/>
      <c r="IWN1" s="149"/>
      <c r="IWO1" s="149"/>
      <c r="IWP1" s="149"/>
      <c r="IWQ1" s="149"/>
      <c r="IWR1" s="149"/>
      <c r="IWS1" s="149"/>
      <c r="IWT1" s="149"/>
      <c r="IWU1" s="149"/>
      <c r="IWV1" s="149"/>
      <c r="IWW1" s="149"/>
      <c r="IWX1" s="149"/>
      <c r="IWY1" s="149"/>
      <c r="IWZ1" s="149"/>
      <c r="IXA1" s="149"/>
      <c r="IXB1" s="149"/>
      <c r="IXC1" s="149"/>
      <c r="IXD1" s="149"/>
      <c r="IXE1" s="149"/>
      <c r="IXF1" s="149"/>
      <c r="IXG1" s="149"/>
      <c r="IXH1" s="149"/>
      <c r="IXI1" s="149"/>
      <c r="IXJ1" s="149"/>
      <c r="IXK1" s="149"/>
      <c r="IXL1" s="149"/>
      <c r="IXM1" s="149"/>
      <c r="IXN1" s="149"/>
      <c r="IXO1" s="149"/>
      <c r="IXP1" s="149"/>
      <c r="IXQ1" s="149"/>
      <c r="IXR1" s="149"/>
      <c r="IXS1" s="149"/>
      <c r="IXT1" s="149"/>
      <c r="IXU1" s="149"/>
      <c r="IXV1" s="149"/>
      <c r="IXW1" s="149"/>
      <c r="IXX1" s="149"/>
      <c r="IXY1" s="149"/>
      <c r="IXZ1" s="149"/>
      <c r="IYA1" s="149"/>
      <c r="IYB1" s="149"/>
      <c r="IYC1" s="149"/>
      <c r="IYD1" s="149"/>
      <c r="IYE1" s="149"/>
      <c r="IYF1" s="149"/>
      <c r="IYG1" s="149"/>
      <c r="IYH1" s="149"/>
      <c r="IYI1" s="149"/>
      <c r="IYJ1" s="149"/>
      <c r="IYK1" s="149"/>
      <c r="IYL1" s="149"/>
      <c r="IYM1" s="149"/>
      <c r="IYN1" s="149"/>
      <c r="IYO1" s="149"/>
      <c r="IYP1" s="149"/>
      <c r="IYQ1" s="149"/>
      <c r="IYR1" s="149"/>
      <c r="IYS1" s="149"/>
      <c r="IYT1" s="149"/>
      <c r="IYU1" s="149"/>
      <c r="IYV1" s="149"/>
      <c r="IYW1" s="149"/>
      <c r="IYX1" s="149"/>
      <c r="IYY1" s="149"/>
      <c r="IYZ1" s="149"/>
      <c r="IZA1" s="149"/>
      <c r="IZB1" s="149"/>
      <c r="IZC1" s="149"/>
      <c r="IZD1" s="149"/>
      <c r="IZE1" s="149"/>
      <c r="IZF1" s="149"/>
      <c r="IZG1" s="149"/>
      <c r="IZH1" s="149"/>
      <c r="IZI1" s="149"/>
      <c r="IZJ1" s="149"/>
      <c r="IZK1" s="149"/>
      <c r="IZL1" s="149"/>
      <c r="IZM1" s="149"/>
      <c r="IZN1" s="149"/>
      <c r="IZO1" s="149"/>
      <c r="IZP1" s="149"/>
      <c r="IZQ1" s="149"/>
      <c r="IZR1" s="149"/>
      <c r="IZS1" s="149"/>
      <c r="IZT1" s="149"/>
      <c r="IZU1" s="149"/>
      <c r="IZV1" s="149"/>
      <c r="IZW1" s="149"/>
      <c r="IZX1" s="149"/>
      <c r="IZY1" s="149"/>
      <c r="IZZ1" s="149"/>
      <c r="JAA1" s="149"/>
      <c r="JAB1" s="149"/>
      <c r="JAC1" s="149"/>
      <c r="JAD1" s="149"/>
      <c r="JAE1" s="149"/>
      <c r="JAF1" s="149"/>
      <c r="JAG1" s="149"/>
      <c r="JAH1" s="149"/>
      <c r="JAI1" s="149"/>
      <c r="JAJ1" s="149"/>
      <c r="JAK1" s="149"/>
      <c r="JAL1" s="149"/>
      <c r="JAM1" s="149"/>
      <c r="JAN1" s="149"/>
      <c r="JAO1" s="149"/>
      <c r="JAP1" s="149"/>
      <c r="JAQ1" s="149"/>
      <c r="JAR1" s="149"/>
      <c r="JAS1" s="149"/>
      <c r="JAT1" s="149"/>
      <c r="JAU1" s="149"/>
      <c r="JAV1" s="149"/>
      <c r="JAW1" s="149"/>
      <c r="JAX1" s="149"/>
      <c r="JAY1" s="149"/>
      <c r="JAZ1" s="149"/>
      <c r="JBA1" s="149"/>
      <c r="JBB1" s="149"/>
      <c r="JBC1" s="149"/>
      <c r="JBD1" s="149"/>
      <c r="JBE1" s="149"/>
      <c r="JBF1" s="149"/>
      <c r="JBG1" s="149"/>
      <c r="JBH1" s="149"/>
      <c r="JBI1" s="149"/>
      <c r="JBJ1" s="149"/>
      <c r="JBK1" s="149"/>
      <c r="JBL1" s="149"/>
      <c r="JBM1" s="149"/>
      <c r="JBN1" s="149"/>
      <c r="JBO1" s="149"/>
      <c r="JBP1" s="149"/>
      <c r="JBQ1" s="149"/>
      <c r="JBR1" s="149"/>
      <c r="JBS1" s="149"/>
      <c r="JBT1" s="149"/>
      <c r="JBU1" s="149"/>
      <c r="JBV1" s="149"/>
      <c r="JBW1" s="149"/>
      <c r="JBX1" s="149"/>
      <c r="JBY1" s="149"/>
      <c r="JBZ1" s="149"/>
      <c r="JCA1" s="149"/>
      <c r="JCB1" s="149"/>
      <c r="JCC1" s="149"/>
      <c r="JCD1" s="149"/>
      <c r="JCE1" s="149"/>
      <c r="JCF1" s="149"/>
      <c r="JCG1" s="149"/>
      <c r="JCH1" s="149"/>
      <c r="JCI1" s="149"/>
      <c r="JCJ1" s="149"/>
      <c r="JCK1" s="149"/>
      <c r="JCL1" s="149"/>
      <c r="JCM1" s="149"/>
      <c r="JCN1" s="149"/>
      <c r="JCO1" s="149"/>
      <c r="JCP1" s="149"/>
      <c r="JCQ1" s="149"/>
      <c r="JCR1" s="149"/>
      <c r="JCS1" s="149"/>
      <c r="JCT1" s="149"/>
      <c r="JCU1" s="149"/>
      <c r="JCV1" s="149"/>
      <c r="JCW1" s="149"/>
      <c r="JCX1" s="149"/>
      <c r="JCY1" s="149"/>
      <c r="JCZ1" s="149"/>
      <c r="JDA1" s="149"/>
      <c r="JDB1" s="149"/>
      <c r="JDC1" s="149"/>
      <c r="JDD1" s="149"/>
      <c r="JDE1" s="149"/>
      <c r="JDF1" s="149"/>
      <c r="JDG1" s="149"/>
      <c r="JDH1" s="149"/>
      <c r="JDI1" s="149"/>
      <c r="JDJ1" s="149"/>
      <c r="JDK1" s="149"/>
      <c r="JDL1" s="149"/>
      <c r="JDM1" s="149"/>
      <c r="JDN1" s="149"/>
      <c r="JDO1" s="149"/>
      <c r="JDP1" s="149"/>
      <c r="JDQ1" s="149"/>
      <c r="JDR1" s="149"/>
      <c r="JDS1" s="149"/>
      <c r="JDT1" s="149"/>
      <c r="JDU1" s="149"/>
      <c r="JDV1" s="149"/>
      <c r="JDW1" s="149"/>
      <c r="JDX1" s="149"/>
      <c r="JDY1" s="149"/>
      <c r="JDZ1" s="149"/>
      <c r="JEA1" s="149"/>
      <c r="JEB1" s="149"/>
      <c r="JEC1" s="149"/>
      <c r="JED1" s="149"/>
      <c r="JEE1" s="149"/>
      <c r="JEF1" s="149"/>
      <c r="JEG1" s="149"/>
      <c r="JEH1" s="149"/>
      <c r="JEI1" s="149"/>
      <c r="JEJ1" s="149"/>
      <c r="JEK1" s="149"/>
      <c r="JEL1" s="149"/>
      <c r="JEM1" s="149"/>
      <c r="JEN1" s="149"/>
      <c r="JEO1" s="149"/>
      <c r="JEP1" s="149"/>
      <c r="JEQ1" s="149"/>
      <c r="JER1" s="149"/>
      <c r="JES1" s="149"/>
      <c r="JET1" s="149"/>
      <c r="JEU1" s="149"/>
      <c r="JEV1" s="149"/>
      <c r="JEW1" s="149"/>
      <c r="JEX1" s="149"/>
      <c r="JEY1" s="149"/>
      <c r="JEZ1" s="149"/>
      <c r="JFA1" s="149"/>
      <c r="JFB1" s="149"/>
      <c r="JFC1" s="149"/>
      <c r="JFD1" s="149"/>
      <c r="JFE1" s="149"/>
      <c r="JFF1" s="149"/>
      <c r="JFG1" s="149"/>
      <c r="JFH1" s="149"/>
      <c r="JFI1" s="149"/>
      <c r="JFJ1" s="149"/>
      <c r="JFK1" s="149"/>
      <c r="JFL1" s="149"/>
      <c r="JFM1" s="149"/>
      <c r="JFN1" s="149"/>
      <c r="JFO1" s="149"/>
      <c r="JFP1" s="149"/>
      <c r="JFQ1" s="149"/>
      <c r="JFR1" s="149"/>
      <c r="JFS1" s="149"/>
      <c r="JFT1" s="149"/>
      <c r="JFU1" s="149"/>
      <c r="JFV1" s="149"/>
      <c r="JFW1" s="149"/>
      <c r="JFX1" s="149"/>
      <c r="JFY1" s="149"/>
      <c r="JFZ1" s="149"/>
      <c r="JGA1" s="149"/>
      <c r="JGB1" s="149"/>
      <c r="JGC1" s="149"/>
      <c r="JGD1" s="149"/>
      <c r="JGE1" s="149"/>
      <c r="JGF1" s="149"/>
      <c r="JGG1" s="149"/>
      <c r="JGH1" s="149"/>
      <c r="JGI1" s="149"/>
      <c r="JGJ1" s="149"/>
      <c r="JGK1" s="149"/>
      <c r="JGL1" s="149"/>
      <c r="JGM1" s="149"/>
      <c r="JGN1" s="149"/>
      <c r="JGO1" s="149"/>
      <c r="JGP1" s="149"/>
      <c r="JGQ1" s="149"/>
      <c r="JGR1" s="149"/>
      <c r="JGS1" s="149"/>
      <c r="JGT1" s="149"/>
      <c r="JGU1" s="149"/>
      <c r="JGV1" s="149"/>
      <c r="JGW1" s="149"/>
      <c r="JGX1" s="149"/>
      <c r="JGY1" s="149"/>
      <c r="JGZ1" s="149"/>
      <c r="JHA1" s="149"/>
      <c r="JHB1" s="149"/>
      <c r="JHC1" s="149"/>
      <c r="JHD1" s="149"/>
      <c r="JHE1" s="149"/>
      <c r="JHF1" s="149"/>
      <c r="JHG1" s="149"/>
      <c r="JHH1" s="149"/>
      <c r="JHI1" s="149"/>
      <c r="JHJ1" s="149"/>
      <c r="JHK1" s="149"/>
      <c r="JHL1" s="149"/>
      <c r="JHM1" s="149"/>
      <c r="JHN1" s="149"/>
      <c r="JHO1" s="149"/>
      <c r="JHP1" s="149"/>
      <c r="JHQ1" s="149"/>
      <c r="JHR1" s="149"/>
      <c r="JHS1" s="149"/>
      <c r="JHT1" s="149"/>
      <c r="JHU1" s="149"/>
      <c r="JHV1" s="149"/>
      <c r="JHW1" s="149"/>
      <c r="JHX1" s="149"/>
      <c r="JHY1" s="149"/>
      <c r="JHZ1" s="149"/>
      <c r="JIA1" s="149"/>
      <c r="JIB1" s="149"/>
      <c r="JIC1" s="149"/>
      <c r="JID1" s="149"/>
      <c r="JIE1" s="149"/>
      <c r="JIF1" s="149"/>
      <c r="JIG1" s="149"/>
      <c r="JIH1" s="149"/>
      <c r="JII1" s="149"/>
      <c r="JIJ1" s="149"/>
      <c r="JIK1" s="149"/>
      <c r="JIL1" s="149"/>
      <c r="JIM1" s="149"/>
      <c r="JIN1" s="149"/>
      <c r="JIO1" s="149"/>
      <c r="JIP1" s="149"/>
      <c r="JIQ1" s="149"/>
      <c r="JIR1" s="149"/>
      <c r="JIS1" s="149"/>
      <c r="JIT1" s="149"/>
      <c r="JIU1" s="149"/>
      <c r="JIV1" s="149"/>
      <c r="JIW1" s="149"/>
      <c r="JIX1" s="149"/>
      <c r="JIY1" s="149"/>
      <c r="JIZ1" s="149"/>
      <c r="JJA1" s="149"/>
      <c r="JJB1" s="149"/>
      <c r="JJC1" s="149"/>
      <c r="JJD1" s="149"/>
      <c r="JJE1" s="149"/>
      <c r="JJF1" s="149"/>
      <c r="JJG1" s="149"/>
      <c r="JJH1" s="149"/>
      <c r="JJI1" s="149"/>
      <c r="JJJ1" s="149"/>
      <c r="JJK1" s="149"/>
      <c r="JJL1" s="149"/>
      <c r="JJM1" s="149"/>
      <c r="JJN1" s="149"/>
      <c r="JJO1" s="149"/>
      <c r="JJP1" s="149"/>
      <c r="JJQ1" s="149"/>
      <c r="JJR1" s="149"/>
      <c r="JJS1" s="149"/>
      <c r="JJT1" s="149"/>
      <c r="JJU1" s="149"/>
      <c r="JJV1" s="149"/>
      <c r="JJW1" s="149"/>
      <c r="JJX1" s="149"/>
      <c r="JJY1" s="149"/>
      <c r="JJZ1" s="149"/>
      <c r="JKA1" s="149"/>
      <c r="JKB1" s="149"/>
      <c r="JKC1" s="149"/>
      <c r="JKD1" s="149"/>
      <c r="JKE1" s="149"/>
      <c r="JKF1" s="149"/>
      <c r="JKG1" s="149"/>
      <c r="JKH1" s="149"/>
      <c r="JKI1" s="149"/>
      <c r="JKJ1" s="149"/>
      <c r="JKK1" s="149"/>
      <c r="JKL1" s="149"/>
      <c r="JKM1" s="149"/>
      <c r="JKN1" s="149"/>
      <c r="JKO1" s="149"/>
      <c r="JKP1" s="149"/>
      <c r="JKQ1" s="149"/>
      <c r="JKR1" s="149"/>
      <c r="JKS1" s="149"/>
      <c r="JKT1" s="149"/>
      <c r="JKU1" s="149"/>
      <c r="JKV1" s="149"/>
      <c r="JKW1" s="149"/>
      <c r="JKX1" s="149"/>
      <c r="JKY1" s="149"/>
      <c r="JKZ1" s="149"/>
      <c r="JLA1" s="149"/>
      <c r="JLB1" s="149"/>
      <c r="JLC1" s="149"/>
      <c r="JLD1" s="149"/>
      <c r="JLE1" s="149"/>
      <c r="JLF1" s="149"/>
      <c r="JLG1" s="149"/>
      <c r="JLH1" s="149"/>
      <c r="JLI1" s="149"/>
      <c r="JLJ1" s="149"/>
      <c r="JLK1" s="149"/>
      <c r="JLL1" s="149"/>
      <c r="JLM1" s="149"/>
      <c r="JLN1" s="149"/>
      <c r="JLO1" s="149"/>
      <c r="JLP1" s="149"/>
      <c r="JLQ1" s="149"/>
      <c r="JLR1" s="149"/>
      <c r="JLS1" s="149"/>
      <c r="JLT1" s="149"/>
      <c r="JLU1" s="149"/>
      <c r="JLV1" s="149"/>
      <c r="JLW1" s="149"/>
      <c r="JLX1" s="149"/>
      <c r="JLY1" s="149"/>
      <c r="JLZ1" s="149"/>
      <c r="JMA1" s="149"/>
      <c r="JMB1" s="149"/>
      <c r="JMC1" s="149"/>
      <c r="JMD1" s="149"/>
      <c r="JME1" s="149"/>
      <c r="JMF1" s="149"/>
      <c r="JMG1" s="149"/>
      <c r="JMH1" s="149"/>
      <c r="JMI1" s="149"/>
      <c r="JMJ1" s="149"/>
      <c r="JMK1" s="149"/>
      <c r="JML1" s="149"/>
      <c r="JMM1" s="149"/>
      <c r="JMN1" s="149"/>
      <c r="JMO1" s="149"/>
      <c r="JMP1" s="149"/>
      <c r="JMQ1" s="149"/>
      <c r="JMR1" s="149"/>
      <c r="JMS1" s="149"/>
      <c r="JMT1" s="149"/>
      <c r="JMU1" s="149"/>
      <c r="JMV1" s="149"/>
      <c r="JMW1" s="149"/>
      <c r="JMX1" s="149"/>
      <c r="JMY1" s="149"/>
      <c r="JMZ1" s="149"/>
      <c r="JNA1" s="149"/>
      <c r="JNB1" s="149"/>
      <c r="JNC1" s="149"/>
      <c r="JND1" s="149"/>
      <c r="JNE1" s="149"/>
      <c r="JNF1" s="149"/>
      <c r="JNG1" s="149"/>
      <c r="JNH1" s="149"/>
      <c r="JNI1" s="149"/>
      <c r="JNJ1" s="149"/>
      <c r="JNK1" s="149"/>
      <c r="JNL1" s="149"/>
      <c r="JNM1" s="149"/>
      <c r="JNN1" s="149"/>
      <c r="JNO1" s="149"/>
      <c r="JNP1" s="149"/>
      <c r="JNQ1" s="149"/>
      <c r="JNR1" s="149"/>
      <c r="JNS1" s="149"/>
      <c r="JNT1" s="149"/>
      <c r="JNU1" s="149"/>
      <c r="JNV1" s="149"/>
      <c r="JNW1" s="149"/>
      <c r="JNX1" s="149"/>
      <c r="JNY1" s="149"/>
      <c r="JNZ1" s="149"/>
      <c r="JOA1" s="149"/>
      <c r="JOB1" s="149"/>
      <c r="JOC1" s="149"/>
      <c r="JOD1" s="149"/>
      <c r="JOE1" s="149"/>
      <c r="JOF1" s="149"/>
      <c r="JOG1" s="149"/>
      <c r="JOH1" s="149"/>
      <c r="JOI1" s="149"/>
      <c r="JOJ1" s="149"/>
      <c r="JOK1" s="149"/>
      <c r="JOL1" s="149"/>
      <c r="JOM1" s="149"/>
      <c r="JON1" s="149"/>
      <c r="JOO1" s="149"/>
      <c r="JOP1" s="149"/>
      <c r="JOQ1" s="149"/>
      <c r="JOR1" s="149"/>
      <c r="JOS1" s="149"/>
      <c r="JOT1" s="149"/>
      <c r="JOU1" s="149"/>
      <c r="JOV1" s="149"/>
      <c r="JOW1" s="149"/>
      <c r="JOX1" s="149"/>
      <c r="JOY1" s="149"/>
      <c r="JOZ1" s="149"/>
      <c r="JPA1" s="149"/>
      <c r="JPB1" s="149"/>
      <c r="JPC1" s="149"/>
      <c r="JPD1" s="149"/>
      <c r="JPE1" s="149"/>
      <c r="JPF1" s="149"/>
      <c r="JPG1" s="149"/>
      <c r="JPH1" s="149"/>
      <c r="JPI1" s="149"/>
      <c r="JPJ1" s="149"/>
      <c r="JPK1" s="149"/>
      <c r="JPL1" s="149"/>
      <c r="JPM1" s="149"/>
      <c r="JPN1" s="149"/>
      <c r="JPO1" s="149"/>
      <c r="JPP1" s="149"/>
      <c r="JPQ1" s="149"/>
      <c r="JPR1" s="149"/>
      <c r="JPS1" s="149"/>
      <c r="JPT1" s="149"/>
      <c r="JPU1" s="149"/>
      <c r="JPV1" s="149"/>
      <c r="JPW1" s="149"/>
      <c r="JPX1" s="149"/>
      <c r="JPY1" s="149"/>
      <c r="JPZ1" s="149"/>
      <c r="JQA1" s="149"/>
      <c r="JQB1" s="149"/>
      <c r="JQC1" s="149"/>
      <c r="JQD1" s="149"/>
      <c r="JQE1" s="149"/>
      <c r="JQF1" s="149"/>
      <c r="JQG1" s="149"/>
      <c r="JQH1" s="149"/>
      <c r="JQI1" s="149"/>
      <c r="JQJ1" s="149"/>
      <c r="JQK1" s="149"/>
      <c r="JQL1" s="149"/>
      <c r="JQM1" s="149"/>
      <c r="JQN1" s="149"/>
      <c r="JQO1" s="149"/>
      <c r="JQP1" s="149"/>
      <c r="JQQ1" s="149"/>
      <c r="JQR1" s="149"/>
      <c r="JQS1" s="149"/>
      <c r="JQT1" s="149"/>
      <c r="JQU1" s="149"/>
      <c r="JQV1" s="149"/>
      <c r="JQW1" s="149"/>
      <c r="JQX1" s="149"/>
      <c r="JQY1" s="149"/>
      <c r="JQZ1" s="149"/>
      <c r="JRA1" s="149"/>
      <c r="JRB1" s="149"/>
      <c r="JRC1" s="149"/>
      <c r="JRD1" s="149"/>
      <c r="JRE1" s="149"/>
      <c r="JRF1" s="149"/>
      <c r="JRG1" s="149"/>
      <c r="JRH1" s="149"/>
      <c r="JRI1" s="149"/>
      <c r="JRJ1" s="149"/>
      <c r="JRK1" s="149"/>
      <c r="JRL1" s="149"/>
      <c r="JRM1" s="149"/>
      <c r="JRN1" s="149"/>
      <c r="JRO1" s="149"/>
      <c r="JRP1" s="149"/>
      <c r="JRQ1" s="149"/>
      <c r="JRR1" s="149"/>
      <c r="JRS1" s="149"/>
      <c r="JRT1" s="149"/>
      <c r="JRU1" s="149"/>
      <c r="JRV1" s="149"/>
      <c r="JRW1" s="149"/>
      <c r="JRX1" s="149"/>
      <c r="JRY1" s="149"/>
      <c r="JRZ1" s="149"/>
      <c r="JSA1" s="149"/>
      <c r="JSB1" s="149"/>
      <c r="JSC1" s="149"/>
      <c r="JSD1" s="149"/>
      <c r="JSE1" s="149"/>
      <c r="JSF1" s="149"/>
      <c r="JSG1" s="149"/>
      <c r="JSH1" s="149"/>
      <c r="JSI1" s="149"/>
      <c r="JSJ1" s="149"/>
      <c r="JSK1" s="149"/>
      <c r="JSL1" s="149"/>
      <c r="JSM1" s="149"/>
      <c r="JSN1" s="149"/>
      <c r="JSO1" s="149"/>
      <c r="JSP1" s="149"/>
      <c r="JSQ1" s="149"/>
      <c r="JSR1" s="149"/>
      <c r="JSS1" s="149"/>
      <c r="JST1" s="149"/>
      <c r="JSU1" s="149"/>
      <c r="JSV1" s="149"/>
      <c r="JSW1" s="149"/>
      <c r="JSX1" s="149"/>
      <c r="JSY1" s="149"/>
      <c r="JSZ1" s="149"/>
      <c r="JTA1" s="149"/>
      <c r="JTB1" s="149"/>
      <c r="JTC1" s="149"/>
      <c r="JTD1" s="149"/>
      <c r="JTE1" s="149"/>
      <c r="JTF1" s="149"/>
      <c r="JTG1" s="149"/>
      <c r="JTH1" s="149"/>
      <c r="JTI1" s="149"/>
      <c r="JTJ1" s="149"/>
      <c r="JTK1" s="149"/>
      <c r="JTL1" s="149"/>
      <c r="JTM1" s="149"/>
      <c r="JTN1" s="149"/>
      <c r="JTO1" s="149"/>
      <c r="JTP1" s="149"/>
      <c r="JTQ1" s="149"/>
      <c r="JTR1" s="149"/>
      <c r="JTS1" s="149"/>
      <c r="JTT1" s="149"/>
      <c r="JTU1" s="149"/>
      <c r="JTV1" s="149"/>
      <c r="JTW1" s="149"/>
      <c r="JTX1" s="149"/>
      <c r="JTY1" s="149"/>
      <c r="JTZ1" s="149"/>
      <c r="JUA1" s="149"/>
      <c r="JUB1" s="149"/>
      <c r="JUC1" s="149"/>
      <c r="JUD1" s="149"/>
      <c r="JUE1" s="149"/>
      <c r="JUF1" s="149"/>
      <c r="JUG1" s="149"/>
      <c r="JUH1" s="149"/>
      <c r="JUI1" s="149"/>
      <c r="JUJ1" s="149"/>
      <c r="JUK1" s="149"/>
      <c r="JUL1" s="149"/>
      <c r="JUM1" s="149"/>
      <c r="JUN1" s="149"/>
      <c r="JUO1" s="149"/>
      <c r="JUP1" s="149"/>
      <c r="JUQ1" s="149"/>
      <c r="JUR1" s="149"/>
      <c r="JUS1" s="149"/>
      <c r="JUT1" s="149"/>
      <c r="JUU1" s="149"/>
      <c r="JUV1" s="149"/>
      <c r="JUW1" s="149"/>
      <c r="JUX1" s="149"/>
      <c r="JUY1" s="149"/>
      <c r="JUZ1" s="149"/>
      <c r="JVA1" s="149"/>
      <c r="JVB1" s="149"/>
      <c r="JVC1" s="149"/>
      <c r="JVD1" s="149"/>
      <c r="JVE1" s="149"/>
      <c r="JVF1" s="149"/>
      <c r="JVG1" s="149"/>
      <c r="JVH1" s="149"/>
      <c r="JVI1" s="149"/>
      <c r="JVJ1" s="149"/>
      <c r="JVK1" s="149"/>
      <c r="JVL1" s="149"/>
      <c r="JVM1" s="149"/>
      <c r="JVN1" s="149"/>
      <c r="JVO1" s="149"/>
      <c r="JVP1" s="149"/>
      <c r="JVQ1" s="149"/>
      <c r="JVR1" s="149"/>
      <c r="JVS1" s="149"/>
      <c r="JVT1" s="149"/>
      <c r="JVU1" s="149"/>
      <c r="JVV1" s="149"/>
      <c r="JVW1" s="149"/>
      <c r="JVX1" s="149"/>
      <c r="JVY1" s="149"/>
      <c r="JVZ1" s="149"/>
      <c r="JWA1" s="149"/>
      <c r="JWB1" s="149"/>
      <c r="JWC1" s="149"/>
      <c r="JWD1" s="149"/>
      <c r="JWE1" s="149"/>
      <c r="JWF1" s="149"/>
      <c r="JWG1" s="149"/>
      <c r="JWH1" s="149"/>
      <c r="JWI1" s="149"/>
      <c r="JWJ1" s="149"/>
      <c r="JWK1" s="149"/>
      <c r="JWL1" s="149"/>
      <c r="JWM1" s="149"/>
      <c r="JWN1" s="149"/>
      <c r="JWO1" s="149"/>
      <c r="JWP1" s="149"/>
      <c r="JWQ1" s="149"/>
      <c r="JWR1" s="149"/>
      <c r="JWS1" s="149"/>
      <c r="JWT1" s="149"/>
      <c r="JWU1" s="149"/>
      <c r="JWV1" s="149"/>
      <c r="JWW1" s="149"/>
      <c r="JWX1" s="149"/>
      <c r="JWY1" s="149"/>
      <c r="JWZ1" s="149"/>
      <c r="JXA1" s="149"/>
      <c r="JXB1" s="149"/>
      <c r="JXC1" s="149"/>
      <c r="JXD1" s="149"/>
      <c r="JXE1" s="149"/>
      <c r="JXF1" s="149"/>
      <c r="JXG1" s="149"/>
      <c r="JXH1" s="149"/>
      <c r="JXI1" s="149"/>
      <c r="JXJ1" s="149"/>
      <c r="JXK1" s="149"/>
      <c r="JXL1" s="149"/>
      <c r="JXM1" s="149"/>
      <c r="JXN1" s="149"/>
      <c r="JXO1" s="149"/>
      <c r="JXP1" s="149"/>
      <c r="JXQ1" s="149"/>
      <c r="JXR1" s="149"/>
      <c r="JXS1" s="149"/>
      <c r="JXT1" s="149"/>
      <c r="JXU1" s="149"/>
      <c r="JXV1" s="149"/>
      <c r="JXW1" s="149"/>
      <c r="JXX1" s="149"/>
      <c r="JXY1" s="149"/>
      <c r="JXZ1" s="149"/>
      <c r="JYA1" s="149"/>
      <c r="JYB1" s="149"/>
      <c r="JYC1" s="149"/>
      <c r="JYD1" s="149"/>
      <c r="JYE1" s="149"/>
      <c r="JYF1" s="149"/>
      <c r="JYG1" s="149"/>
      <c r="JYH1" s="149"/>
      <c r="JYI1" s="149"/>
      <c r="JYJ1" s="149"/>
      <c r="JYK1" s="149"/>
      <c r="JYL1" s="149"/>
      <c r="JYM1" s="149"/>
      <c r="JYN1" s="149"/>
      <c r="JYO1" s="149"/>
      <c r="JYP1" s="149"/>
      <c r="JYQ1" s="149"/>
      <c r="JYR1" s="149"/>
      <c r="JYS1" s="149"/>
      <c r="JYT1" s="149"/>
      <c r="JYU1" s="149"/>
      <c r="JYV1" s="149"/>
      <c r="JYW1" s="149"/>
      <c r="JYX1" s="149"/>
      <c r="JYY1" s="149"/>
      <c r="JYZ1" s="149"/>
      <c r="JZA1" s="149"/>
      <c r="JZB1" s="149"/>
      <c r="JZC1" s="149"/>
      <c r="JZD1" s="149"/>
      <c r="JZE1" s="149"/>
      <c r="JZF1" s="149"/>
      <c r="JZG1" s="149"/>
      <c r="JZH1" s="149"/>
      <c r="JZI1" s="149"/>
      <c r="JZJ1" s="149"/>
      <c r="JZK1" s="149"/>
      <c r="JZL1" s="149"/>
      <c r="JZM1" s="149"/>
      <c r="JZN1" s="149"/>
      <c r="JZO1" s="149"/>
      <c r="JZP1" s="149"/>
      <c r="JZQ1" s="149"/>
      <c r="JZR1" s="149"/>
      <c r="JZS1" s="149"/>
      <c r="JZT1" s="149"/>
      <c r="JZU1" s="149"/>
      <c r="JZV1" s="149"/>
      <c r="JZW1" s="149"/>
      <c r="JZX1" s="149"/>
      <c r="JZY1" s="149"/>
      <c r="JZZ1" s="149"/>
      <c r="KAA1" s="149"/>
      <c r="KAB1" s="149"/>
      <c r="KAC1" s="149"/>
      <c r="KAD1" s="149"/>
      <c r="KAE1" s="149"/>
      <c r="KAF1" s="149"/>
      <c r="KAG1" s="149"/>
      <c r="KAH1" s="149"/>
      <c r="KAI1" s="149"/>
      <c r="KAJ1" s="149"/>
      <c r="KAK1" s="149"/>
      <c r="KAL1" s="149"/>
      <c r="KAM1" s="149"/>
      <c r="KAN1" s="149"/>
      <c r="KAO1" s="149"/>
      <c r="KAP1" s="149"/>
      <c r="KAQ1" s="149"/>
      <c r="KAR1" s="149"/>
      <c r="KAS1" s="149"/>
      <c r="KAT1" s="149"/>
      <c r="KAU1" s="149"/>
      <c r="KAV1" s="149"/>
      <c r="KAW1" s="149"/>
      <c r="KAX1" s="149"/>
      <c r="KAY1" s="149"/>
      <c r="KAZ1" s="149"/>
      <c r="KBA1" s="149"/>
      <c r="KBB1" s="149"/>
      <c r="KBC1" s="149"/>
      <c r="KBD1" s="149"/>
      <c r="KBE1" s="149"/>
      <c r="KBF1" s="149"/>
      <c r="KBG1" s="149"/>
      <c r="KBH1" s="149"/>
      <c r="KBI1" s="149"/>
      <c r="KBJ1" s="149"/>
      <c r="KBK1" s="149"/>
      <c r="KBL1" s="149"/>
      <c r="KBM1" s="149"/>
      <c r="KBN1" s="149"/>
      <c r="KBO1" s="149"/>
      <c r="KBP1" s="149"/>
      <c r="KBQ1" s="149"/>
      <c r="KBR1" s="149"/>
      <c r="KBS1" s="149"/>
      <c r="KBT1" s="149"/>
      <c r="KBU1" s="149"/>
      <c r="KBV1" s="149"/>
      <c r="KBW1" s="149"/>
      <c r="KBX1" s="149"/>
      <c r="KBY1" s="149"/>
      <c r="KBZ1" s="149"/>
      <c r="KCA1" s="149"/>
      <c r="KCB1" s="149"/>
      <c r="KCC1" s="149"/>
      <c r="KCD1" s="149"/>
      <c r="KCE1" s="149"/>
      <c r="KCF1" s="149"/>
      <c r="KCG1" s="149"/>
      <c r="KCH1" s="149"/>
      <c r="KCI1" s="149"/>
      <c r="KCJ1" s="149"/>
      <c r="KCK1" s="149"/>
      <c r="KCL1" s="149"/>
      <c r="KCM1" s="149"/>
      <c r="KCN1" s="149"/>
      <c r="KCO1" s="149"/>
      <c r="KCP1" s="149"/>
      <c r="KCQ1" s="149"/>
      <c r="KCR1" s="149"/>
      <c r="KCS1" s="149"/>
      <c r="KCT1" s="149"/>
      <c r="KCU1" s="149"/>
      <c r="KCV1" s="149"/>
      <c r="KCW1" s="149"/>
      <c r="KCX1" s="149"/>
      <c r="KCY1" s="149"/>
      <c r="KCZ1" s="149"/>
      <c r="KDA1" s="149"/>
      <c r="KDB1" s="149"/>
      <c r="KDC1" s="149"/>
      <c r="KDD1" s="149"/>
      <c r="KDE1" s="149"/>
      <c r="KDF1" s="149"/>
      <c r="KDG1" s="149"/>
      <c r="KDH1" s="149"/>
      <c r="KDI1" s="149"/>
      <c r="KDJ1" s="149"/>
      <c r="KDK1" s="149"/>
      <c r="KDL1" s="149"/>
      <c r="KDM1" s="149"/>
      <c r="KDN1" s="149"/>
      <c r="KDO1" s="149"/>
      <c r="KDP1" s="149"/>
      <c r="KDQ1" s="149"/>
      <c r="KDR1" s="149"/>
      <c r="KDS1" s="149"/>
      <c r="KDT1" s="149"/>
      <c r="KDU1" s="149"/>
      <c r="KDV1" s="149"/>
      <c r="KDW1" s="149"/>
      <c r="KDX1" s="149"/>
      <c r="KDY1" s="149"/>
      <c r="KDZ1" s="149"/>
      <c r="KEA1" s="149"/>
      <c r="KEB1" s="149"/>
      <c r="KEC1" s="149"/>
      <c r="KED1" s="149"/>
      <c r="KEE1" s="149"/>
      <c r="KEF1" s="149"/>
      <c r="KEG1" s="149"/>
      <c r="KEH1" s="149"/>
      <c r="KEI1" s="149"/>
      <c r="KEJ1" s="149"/>
      <c r="KEK1" s="149"/>
      <c r="KEL1" s="149"/>
      <c r="KEM1" s="149"/>
      <c r="KEN1" s="149"/>
      <c r="KEO1" s="149"/>
      <c r="KEP1" s="149"/>
      <c r="KEQ1" s="149"/>
      <c r="KER1" s="149"/>
      <c r="KES1" s="149"/>
      <c r="KET1" s="149"/>
      <c r="KEU1" s="149"/>
      <c r="KEV1" s="149"/>
      <c r="KEW1" s="149"/>
      <c r="KEX1" s="149"/>
      <c r="KEY1" s="149"/>
      <c r="KEZ1" s="149"/>
      <c r="KFA1" s="149"/>
      <c r="KFB1" s="149"/>
      <c r="KFC1" s="149"/>
      <c r="KFD1" s="149"/>
      <c r="KFE1" s="149"/>
      <c r="KFF1" s="149"/>
      <c r="KFG1" s="149"/>
      <c r="KFH1" s="149"/>
      <c r="KFI1" s="149"/>
      <c r="KFJ1" s="149"/>
      <c r="KFK1" s="149"/>
      <c r="KFL1" s="149"/>
      <c r="KFM1" s="149"/>
      <c r="KFN1" s="149"/>
      <c r="KFO1" s="149"/>
      <c r="KFP1" s="149"/>
      <c r="KFQ1" s="149"/>
      <c r="KFR1" s="149"/>
      <c r="KFS1" s="149"/>
      <c r="KFT1" s="149"/>
      <c r="KFU1" s="149"/>
      <c r="KFV1" s="149"/>
      <c r="KFW1" s="149"/>
      <c r="KFX1" s="149"/>
      <c r="KFY1" s="149"/>
      <c r="KFZ1" s="149"/>
      <c r="KGA1" s="149"/>
      <c r="KGB1" s="149"/>
      <c r="KGC1" s="149"/>
      <c r="KGD1" s="149"/>
      <c r="KGE1" s="149"/>
      <c r="KGF1" s="149"/>
      <c r="KGG1" s="149"/>
      <c r="KGH1" s="149"/>
      <c r="KGI1" s="149"/>
      <c r="KGJ1" s="149"/>
      <c r="KGK1" s="149"/>
      <c r="KGL1" s="149"/>
      <c r="KGM1" s="149"/>
      <c r="KGN1" s="149"/>
      <c r="KGO1" s="149"/>
      <c r="KGP1" s="149"/>
      <c r="KGQ1" s="149"/>
      <c r="KGR1" s="149"/>
      <c r="KGS1" s="149"/>
      <c r="KGT1" s="149"/>
      <c r="KGU1" s="149"/>
      <c r="KGV1" s="149"/>
      <c r="KGW1" s="149"/>
      <c r="KGX1" s="149"/>
      <c r="KGY1" s="149"/>
      <c r="KGZ1" s="149"/>
      <c r="KHA1" s="149"/>
      <c r="KHB1" s="149"/>
      <c r="KHC1" s="149"/>
      <c r="KHD1" s="149"/>
      <c r="KHE1" s="149"/>
      <c r="KHF1" s="149"/>
      <c r="KHG1" s="149"/>
      <c r="KHH1" s="149"/>
      <c r="KHI1" s="149"/>
      <c r="KHJ1" s="149"/>
      <c r="KHK1" s="149"/>
      <c r="KHL1" s="149"/>
      <c r="KHM1" s="149"/>
      <c r="KHN1" s="149"/>
      <c r="KHO1" s="149"/>
      <c r="KHP1" s="149"/>
      <c r="KHQ1" s="149"/>
      <c r="KHR1" s="149"/>
      <c r="KHS1" s="149"/>
      <c r="KHT1" s="149"/>
      <c r="KHU1" s="149"/>
      <c r="KHV1" s="149"/>
      <c r="KHW1" s="149"/>
      <c r="KHX1" s="149"/>
      <c r="KHY1" s="149"/>
      <c r="KHZ1" s="149"/>
      <c r="KIA1" s="149"/>
      <c r="KIB1" s="149"/>
      <c r="KIC1" s="149"/>
      <c r="KID1" s="149"/>
      <c r="KIE1" s="149"/>
      <c r="KIF1" s="149"/>
      <c r="KIG1" s="149"/>
      <c r="KIH1" s="149"/>
      <c r="KII1" s="149"/>
      <c r="KIJ1" s="149"/>
      <c r="KIK1" s="149"/>
      <c r="KIL1" s="149"/>
      <c r="KIM1" s="149"/>
      <c r="KIN1" s="149"/>
      <c r="KIO1" s="149"/>
      <c r="KIP1" s="149"/>
      <c r="KIQ1" s="149"/>
      <c r="KIR1" s="149"/>
      <c r="KIS1" s="149"/>
      <c r="KIT1" s="149"/>
      <c r="KIU1" s="149"/>
      <c r="KIV1" s="149"/>
      <c r="KIW1" s="149"/>
      <c r="KIX1" s="149"/>
      <c r="KIY1" s="149"/>
      <c r="KIZ1" s="149"/>
      <c r="KJA1" s="149"/>
      <c r="KJB1" s="149"/>
      <c r="KJC1" s="149"/>
      <c r="KJD1" s="149"/>
      <c r="KJE1" s="149"/>
      <c r="KJF1" s="149"/>
      <c r="KJG1" s="149"/>
      <c r="KJH1" s="149"/>
      <c r="KJI1" s="149"/>
      <c r="KJJ1" s="149"/>
      <c r="KJK1" s="149"/>
      <c r="KJL1" s="149"/>
      <c r="KJM1" s="149"/>
      <c r="KJN1" s="149"/>
      <c r="KJO1" s="149"/>
      <c r="KJP1" s="149"/>
      <c r="KJQ1" s="149"/>
      <c r="KJR1" s="149"/>
      <c r="KJS1" s="149"/>
      <c r="KJT1" s="149"/>
      <c r="KJU1" s="149"/>
      <c r="KJV1" s="149"/>
      <c r="KJW1" s="149"/>
      <c r="KJX1" s="149"/>
      <c r="KJY1" s="149"/>
      <c r="KJZ1" s="149"/>
      <c r="KKA1" s="149"/>
      <c r="KKB1" s="149"/>
      <c r="KKC1" s="149"/>
      <c r="KKD1" s="149"/>
      <c r="KKE1" s="149"/>
      <c r="KKF1" s="149"/>
      <c r="KKG1" s="149"/>
      <c r="KKH1" s="149"/>
      <c r="KKI1" s="149"/>
      <c r="KKJ1" s="149"/>
      <c r="KKK1" s="149"/>
      <c r="KKL1" s="149"/>
      <c r="KKM1" s="149"/>
      <c r="KKN1" s="149"/>
      <c r="KKO1" s="149"/>
      <c r="KKP1" s="149"/>
      <c r="KKQ1" s="149"/>
      <c r="KKR1" s="149"/>
      <c r="KKS1" s="149"/>
      <c r="KKT1" s="149"/>
      <c r="KKU1" s="149"/>
      <c r="KKV1" s="149"/>
      <c r="KKW1" s="149"/>
      <c r="KKX1" s="149"/>
      <c r="KKY1" s="149"/>
      <c r="KKZ1" s="149"/>
      <c r="KLA1" s="149"/>
      <c r="KLB1" s="149"/>
      <c r="KLC1" s="149"/>
      <c r="KLD1" s="149"/>
      <c r="KLE1" s="149"/>
      <c r="KLF1" s="149"/>
      <c r="KLG1" s="149"/>
      <c r="KLH1" s="149"/>
      <c r="KLI1" s="149"/>
      <c r="KLJ1" s="149"/>
      <c r="KLK1" s="149"/>
      <c r="KLL1" s="149"/>
      <c r="KLM1" s="149"/>
      <c r="KLN1" s="149"/>
      <c r="KLO1" s="149"/>
      <c r="KLP1" s="149"/>
      <c r="KLQ1" s="149"/>
      <c r="KLR1" s="149"/>
      <c r="KLS1" s="149"/>
      <c r="KLT1" s="149"/>
      <c r="KLU1" s="149"/>
      <c r="KLV1" s="149"/>
      <c r="KLW1" s="149"/>
      <c r="KLX1" s="149"/>
      <c r="KLY1" s="149"/>
      <c r="KLZ1" s="149"/>
      <c r="KMA1" s="149"/>
      <c r="KMB1" s="149"/>
      <c r="KMC1" s="149"/>
      <c r="KMD1" s="149"/>
      <c r="KME1" s="149"/>
      <c r="KMF1" s="149"/>
      <c r="KMG1" s="149"/>
      <c r="KMH1" s="149"/>
      <c r="KMI1" s="149"/>
      <c r="KMJ1" s="149"/>
      <c r="KMK1" s="149"/>
      <c r="KML1" s="149"/>
      <c r="KMM1" s="149"/>
      <c r="KMN1" s="149"/>
      <c r="KMO1" s="149"/>
      <c r="KMP1" s="149"/>
      <c r="KMQ1" s="149"/>
      <c r="KMR1" s="149"/>
      <c r="KMS1" s="149"/>
      <c r="KMT1" s="149"/>
      <c r="KMU1" s="149"/>
      <c r="KMV1" s="149"/>
      <c r="KMW1" s="149"/>
      <c r="KMX1" s="149"/>
      <c r="KMY1" s="149"/>
      <c r="KMZ1" s="149"/>
      <c r="KNA1" s="149"/>
      <c r="KNB1" s="149"/>
      <c r="KNC1" s="149"/>
      <c r="KND1" s="149"/>
      <c r="KNE1" s="149"/>
      <c r="KNF1" s="149"/>
      <c r="KNG1" s="149"/>
      <c r="KNH1" s="149"/>
      <c r="KNI1" s="149"/>
      <c r="KNJ1" s="149"/>
      <c r="KNK1" s="149"/>
      <c r="KNL1" s="149"/>
      <c r="KNM1" s="149"/>
      <c r="KNN1" s="149"/>
      <c r="KNO1" s="149"/>
      <c r="KNP1" s="149"/>
      <c r="KNQ1" s="149"/>
      <c r="KNR1" s="149"/>
      <c r="KNS1" s="149"/>
      <c r="KNT1" s="149"/>
      <c r="KNU1" s="149"/>
      <c r="KNV1" s="149"/>
      <c r="KNW1" s="149"/>
      <c r="KNX1" s="149"/>
      <c r="KNY1" s="149"/>
      <c r="KNZ1" s="149"/>
      <c r="KOA1" s="149"/>
      <c r="KOB1" s="149"/>
      <c r="KOC1" s="149"/>
      <c r="KOD1" s="149"/>
      <c r="KOE1" s="149"/>
      <c r="KOF1" s="149"/>
      <c r="KOG1" s="149"/>
      <c r="KOH1" s="149"/>
      <c r="KOI1" s="149"/>
      <c r="KOJ1" s="149"/>
      <c r="KOK1" s="149"/>
      <c r="KOL1" s="149"/>
      <c r="KOM1" s="149"/>
      <c r="KON1" s="149"/>
      <c r="KOO1" s="149"/>
      <c r="KOP1" s="149"/>
      <c r="KOQ1" s="149"/>
      <c r="KOR1" s="149"/>
      <c r="KOS1" s="149"/>
      <c r="KOT1" s="149"/>
      <c r="KOU1" s="149"/>
      <c r="KOV1" s="149"/>
      <c r="KOW1" s="149"/>
      <c r="KOX1" s="149"/>
      <c r="KOY1" s="149"/>
      <c r="KOZ1" s="149"/>
      <c r="KPA1" s="149"/>
      <c r="KPB1" s="149"/>
      <c r="KPC1" s="149"/>
      <c r="KPD1" s="149"/>
      <c r="KPE1" s="149"/>
      <c r="KPF1" s="149"/>
      <c r="KPG1" s="149"/>
      <c r="KPH1" s="149"/>
      <c r="KPI1" s="149"/>
      <c r="KPJ1" s="149"/>
      <c r="KPK1" s="149"/>
      <c r="KPL1" s="149"/>
      <c r="KPM1" s="149"/>
      <c r="KPN1" s="149"/>
      <c r="KPO1" s="149"/>
      <c r="KPP1" s="149"/>
      <c r="KPQ1" s="149"/>
      <c r="KPR1" s="149"/>
      <c r="KPS1" s="149"/>
      <c r="KPT1" s="149"/>
      <c r="KPU1" s="149"/>
      <c r="KPV1" s="149"/>
      <c r="KPW1" s="149"/>
      <c r="KPX1" s="149"/>
      <c r="KPY1" s="149"/>
      <c r="KPZ1" s="149"/>
      <c r="KQA1" s="149"/>
      <c r="KQB1" s="149"/>
      <c r="KQC1" s="149"/>
      <c r="KQD1" s="149"/>
      <c r="KQE1" s="149"/>
      <c r="KQF1" s="149"/>
      <c r="KQG1" s="149"/>
      <c r="KQH1" s="149"/>
      <c r="KQI1" s="149"/>
      <c r="KQJ1" s="149"/>
      <c r="KQK1" s="149"/>
      <c r="KQL1" s="149"/>
      <c r="KQM1" s="149"/>
      <c r="KQN1" s="149"/>
      <c r="KQO1" s="149"/>
      <c r="KQP1" s="149"/>
      <c r="KQQ1" s="149"/>
      <c r="KQR1" s="149"/>
      <c r="KQS1" s="149"/>
      <c r="KQT1" s="149"/>
      <c r="KQU1" s="149"/>
      <c r="KQV1" s="149"/>
      <c r="KQW1" s="149"/>
      <c r="KQX1" s="149"/>
      <c r="KQY1" s="149"/>
      <c r="KQZ1" s="149"/>
      <c r="KRA1" s="149"/>
      <c r="KRB1" s="149"/>
      <c r="KRC1" s="149"/>
      <c r="KRD1" s="149"/>
      <c r="KRE1" s="149"/>
      <c r="KRF1" s="149"/>
      <c r="KRG1" s="149"/>
      <c r="KRH1" s="149"/>
      <c r="KRI1" s="149"/>
      <c r="KRJ1" s="149"/>
      <c r="KRK1" s="149"/>
      <c r="KRL1" s="149"/>
      <c r="KRM1" s="149"/>
      <c r="KRN1" s="149"/>
      <c r="KRO1" s="149"/>
      <c r="KRP1" s="149"/>
      <c r="KRQ1" s="149"/>
      <c r="KRR1" s="149"/>
      <c r="KRS1" s="149"/>
      <c r="KRT1" s="149"/>
      <c r="KRU1" s="149"/>
      <c r="KRV1" s="149"/>
      <c r="KRW1" s="149"/>
      <c r="KRX1" s="149"/>
      <c r="KRY1" s="149"/>
      <c r="KRZ1" s="149"/>
      <c r="KSA1" s="149"/>
      <c r="KSB1" s="149"/>
      <c r="KSC1" s="149"/>
      <c r="KSD1" s="149"/>
      <c r="KSE1" s="149"/>
      <c r="KSF1" s="149"/>
      <c r="KSG1" s="149"/>
      <c r="KSH1" s="149"/>
      <c r="KSI1" s="149"/>
      <c r="KSJ1" s="149"/>
      <c r="KSK1" s="149"/>
      <c r="KSL1" s="149"/>
      <c r="KSM1" s="149"/>
      <c r="KSN1" s="149"/>
      <c r="KSO1" s="149"/>
      <c r="KSP1" s="149"/>
      <c r="KSQ1" s="149"/>
      <c r="KSR1" s="149"/>
      <c r="KSS1" s="149"/>
      <c r="KST1" s="149"/>
      <c r="KSU1" s="149"/>
      <c r="KSV1" s="149"/>
      <c r="KSW1" s="149"/>
      <c r="KSX1" s="149"/>
      <c r="KSY1" s="149"/>
      <c r="KSZ1" s="149"/>
      <c r="KTA1" s="149"/>
      <c r="KTB1" s="149"/>
      <c r="KTC1" s="149"/>
      <c r="KTD1" s="149"/>
      <c r="KTE1" s="149"/>
      <c r="KTF1" s="149"/>
      <c r="KTG1" s="149"/>
      <c r="KTH1" s="149"/>
      <c r="KTI1" s="149"/>
      <c r="KTJ1" s="149"/>
      <c r="KTK1" s="149"/>
      <c r="KTL1" s="149"/>
      <c r="KTM1" s="149"/>
      <c r="KTN1" s="149"/>
      <c r="KTO1" s="149"/>
      <c r="KTP1" s="149"/>
      <c r="KTQ1" s="149"/>
      <c r="KTR1" s="149"/>
      <c r="KTS1" s="149"/>
      <c r="KTT1" s="149"/>
      <c r="KTU1" s="149"/>
      <c r="KTV1" s="149"/>
      <c r="KTW1" s="149"/>
      <c r="KTX1" s="149"/>
      <c r="KTY1" s="149"/>
      <c r="KTZ1" s="149"/>
      <c r="KUA1" s="149"/>
      <c r="KUB1" s="149"/>
      <c r="KUC1" s="149"/>
      <c r="KUD1" s="149"/>
      <c r="KUE1" s="149"/>
      <c r="KUF1" s="149"/>
      <c r="KUG1" s="149"/>
      <c r="KUH1" s="149"/>
      <c r="KUI1" s="149"/>
      <c r="KUJ1" s="149"/>
      <c r="KUK1" s="149"/>
      <c r="KUL1" s="149"/>
      <c r="KUM1" s="149"/>
      <c r="KUN1" s="149"/>
      <c r="KUO1" s="149"/>
      <c r="KUP1" s="149"/>
      <c r="KUQ1" s="149"/>
      <c r="KUR1" s="149"/>
      <c r="KUS1" s="149"/>
      <c r="KUT1" s="149"/>
      <c r="KUU1" s="149"/>
      <c r="KUV1" s="149"/>
      <c r="KUW1" s="149"/>
      <c r="KUX1" s="149"/>
      <c r="KUY1" s="149"/>
      <c r="KUZ1" s="149"/>
      <c r="KVA1" s="149"/>
      <c r="KVB1" s="149"/>
      <c r="KVC1" s="149"/>
      <c r="KVD1" s="149"/>
      <c r="KVE1" s="149"/>
      <c r="KVF1" s="149"/>
      <c r="KVG1" s="149"/>
      <c r="KVH1" s="149"/>
      <c r="KVI1" s="149"/>
      <c r="KVJ1" s="149"/>
      <c r="KVK1" s="149"/>
      <c r="KVL1" s="149"/>
      <c r="KVM1" s="149"/>
      <c r="KVN1" s="149"/>
      <c r="KVO1" s="149"/>
      <c r="KVP1" s="149"/>
      <c r="KVQ1" s="149"/>
      <c r="KVR1" s="149"/>
      <c r="KVS1" s="149"/>
      <c r="KVT1" s="149"/>
      <c r="KVU1" s="149"/>
      <c r="KVV1" s="149"/>
      <c r="KVW1" s="149"/>
      <c r="KVX1" s="149"/>
      <c r="KVY1" s="149"/>
      <c r="KVZ1" s="149"/>
      <c r="KWA1" s="149"/>
      <c r="KWB1" s="149"/>
      <c r="KWC1" s="149"/>
      <c r="KWD1" s="149"/>
      <c r="KWE1" s="149"/>
      <c r="KWF1" s="149"/>
      <c r="KWG1" s="149"/>
      <c r="KWH1" s="149"/>
      <c r="KWI1" s="149"/>
      <c r="KWJ1" s="149"/>
      <c r="KWK1" s="149"/>
      <c r="KWL1" s="149"/>
      <c r="KWM1" s="149"/>
      <c r="KWN1" s="149"/>
      <c r="KWO1" s="149"/>
      <c r="KWP1" s="149"/>
      <c r="KWQ1" s="149"/>
      <c r="KWR1" s="149"/>
      <c r="KWS1" s="149"/>
      <c r="KWT1" s="149"/>
      <c r="KWU1" s="149"/>
      <c r="KWV1" s="149"/>
      <c r="KWW1" s="149"/>
      <c r="KWX1" s="149"/>
      <c r="KWY1" s="149"/>
      <c r="KWZ1" s="149"/>
      <c r="KXA1" s="149"/>
      <c r="KXB1" s="149"/>
      <c r="KXC1" s="149"/>
      <c r="KXD1" s="149"/>
      <c r="KXE1" s="149"/>
      <c r="KXF1" s="149"/>
      <c r="KXG1" s="149"/>
      <c r="KXH1" s="149"/>
      <c r="KXI1" s="149"/>
      <c r="KXJ1" s="149"/>
      <c r="KXK1" s="149"/>
      <c r="KXL1" s="149"/>
      <c r="KXM1" s="149"/>
      <c r="KXN1" s="149"/>
      <c r="KXO1" s="149"/>
      <c r="KXP1" s="149"/>
      <c r="KXQ1" s="149"/>
      <c r="KXR1" s="149"/>
      <c r="KXS1" s="149"/>
      <c r="KXT1" s="149"/>
      <c r="KXU1" s="149"/>
      <c r="KXV1" s="149"/>
      <c r="KXW1" s="149"/>
      <c r="KXX1" s="149"/>
      <c r="KXY1" s="149"/>
      <c r="KXZ1" s="149"/>
      <c r="KYA1" s="149"/>
      <c r="KYB1" s="149"/>
      <c r="KYC1" s="149"/>
      <c r="KYD1" s="149"/>
      <c r="KYE1" s="149"/>
      <c r="KYF1" s="149"/>
      <c r="KYG1" s="149"/>
      <c r="KYH1" s="149"/>
      <c r="KYI1" s="149"/>
      <c r="KYJ1" s="149"/>
      <c r="KYK1" s="149"/>
      <c r="KYL1" s="149"/>
      <c r="KYM1" s="149"/>
      <c r="KYN1" s="149"/>
      <c r="KYO1" s="149"/>
      <c r="KYP1" s="149"/>
      <c r="KYQ1" s="149"/>
      <c r="KYR1" s="149"/>
      <c r="KYS1" s="149"/>
      <c r="KYT1" s="149"/>
      <c r="KYU1" s="149"/>
      <c r="KYV1" s="149"/>
      <c r="KYW1" s="149"/>
      <c r="KYX1" s="149"/>
      <c r="KYY1" s="149"/>
      <c r="KYZ1" s="149"/>
      <c r="KZA1" s="149"/>
      <c r="KZB1" s="149"/>
      <c r="KZC1" s="149"/>
      <c r="KZD1" s="149"/>
      <c r="KZE1" s="149"/>
      <c r="KZF1" s="149"/>
      <c r="KZG1" s="149"/>
      <c r="KZH1" s="149"/>
      <c r="KZI1" s="149"/>
      <c r="KZJ1" s="149"/>
      <c r="KZK1" s="149"/>
      <c r="KZL1" s="149"/>
      <c r="KZM1" s="149"/>
      <c r="KZN1" s="149"/>
      <c r="KZO1" s="149"/>
      <c r="KZP1" s="149"/>
      <c r="KZQ1" s="149"/>
      <c r="KZR1" s="149"/>
      <c r="KZS1" s="149"/>
      <c r="KZT1" s="149"/>
      <c r="KZU1" s="149"/>
      <c r="KZV1" s="149"/>
      <c r="KZW1" s="149"/>
      <c r="KZX1" s="149"/>
      <c r="KZY1" s="149"/>
      <c r="KZZ1" s="149"/>
      <c r="LAA1" s="149"/>
      <c r="LAB1" s="149"/>
      <c r="LAC1" s="149"/>
      <c r="LAD1" s="149"/>
      <c r="LAE1" s="149"/>
      <c r="LAF1" s="149"/>
      <c r="LAG1" s="149"/>
      <c r="LAH1" s="149"/>
      <c r="LAI1" s="149"/>
      <c r="LAJ1" s="149"/>
      <c r="LAK1" s="149"/>
      <c r="LAL1" s="149"/>
      <c r="LAM1" s="149"/>
      <c r="LAN1" s="149"/>
      <c r="LAO1" s="149"/>
      <c r="LAP1" s="149"/>
      <c r="LAQ1" s="149"/>
      <c r="LAR1" s="149"/>
      <c r="LAS1" s="149"/>
      <c r="LAT1" s="149"/>
      <c r="LAU1" s="149"/>
      <c r="LAV1" s="149"/>
      <c r="LAW1" s="149"/>
      <c r="LAX1" s="149"/>
      <c r="LAY1" s="149"/>
      <c r="LAZ1" s="149"/>
      <c r="LBA1" s="149"/>
      <c r="LBB1" s="149"/>
      <c r="LBC1" s="149"/>
      <c r="LBD1" s="149"/>
      <c r="LBE1" s="149"/>
      <c r="LBF1" s="149"/>
      <c r="LBG1" s="149"/>
      <c r="LBH1" s="149"/>
      <c r="LBI1" s="149"/>
      <c r="LBJ1" s="149"/>
      <c r="LBK1" s="149"/>
      <c r="LBL1" s="149"/>
      <c r="LBM1" s="149"/>
      <c r="LBN1" s="149"/>
      <c r="LBO1" s="149"/>
      <c r="LBP1" s="149"/>
      <c r="LBQ1" s="149"/>
      <c r="LBR1" s="149"/>
      <c r="LBS1" s="149"/>
      <c r="LBT1" s="149"/>
      <c r="LBU1" s="149"/>
      <c r="LBV1" s="149"/>
      <c r="LBW1" s="149"/>
      <c r="LBX1" s="149"/>
      <c r="LBY1" s="149"/>
      <c r="LBZ1" s="149"/>
      <c r="LCA1" s="149"/>
      <c r="LCB1" s="149"/>
      <c r="LCC1" s="149"/>
      <c r="LCD1" s="149"/>
      <c r="LCE1" s="149"/>
      <c r="LCF1" s="149"/>
      <c r="LCG1" s="149"/>
      <c r="LCH1" s="149"/>
      <c r="LCI1" s="149"/>
      <c r="LCJ1" s="149"/>
      <c r="LCK1" s="149"/>
      <c r="LCL1" s="149"/>
      <c r="LCM1" s="149"/>
      <c r="LCN1" s="149"/>
      <c r="LCO1" s="149"/>
      <c r="LCP1" s="149"/>
      <c r="LCQ1" s="149"/>
      <c r="LCR1" s="149"/>
      <c r="LCS1" s="149"/>
      <c r="LCT1" s="149"/>
      <c r="LCU1" s="149"/>
      <c r="LCV1" s="149"/>
      <c r="LCW1" s="149"/>
      <c r="LCX1" s="149"/>
      <c r="LCY1" s="149"/>
      <c r="LCZ1" s="149"/>
      <c r="LDA1" s="149"/>
      <c r="LDB1" s="149"/>
      <c r="LDC1" s="149"/>
      <c r="LDD1" s="149"/>
      <c r="LDE1" s="149"/>
      <c r="LDF1" s="149"/>
      <c r="LDG1" s="149"/>
      <c r="LDH1" s="149"/>
      <c r="LDI1" s="149"/>
      <c r="LDJ1" s="149"/>
      <c r="LDK1" s="149"/>
      <c r="LDL1" s="149"/>
      <c r="LDM1" s="149"/>
      <c r="LDN1" s="149"/>
      <c r="LDO1" s="149"/>
      <c r="LDP1" s="149"/>
      <c r="LDQ1" s="149"/>
      <c r="LDR1" s="149"/>
      <c r="LDS1" s="149"/>
      <c r="LDT1" s="149"/>
      <c r="LDU1" s="149"/>
      <c r="LDV1" s="149"/>
      <c r="LDW1" s="149"/>
      <c r="LDX1" s="149"/>
      <c r="LDY1" s="149"/>
      <c r="LDZ1" s="149"/>
      <c r="LEA1" s="149"/>
      <c r="LEB1" s="149"/>
      <c r="LEC1" s="149"/>
      <c r="LED1" s="149"/>
      <c r="LEE1" s="149"/>
      <c r="LEF1" s="149"/>
      <c r="LEG1" s="149"/>
      <c r="LEH1" s="149"/>
      <c r="LEI1" s="149"/>
      <c r="LEJ1" s="149"/>
      <c r="LEK1" s="149"/>
      <c r="LEL1" s="149"/>
      <c r="LEM1" s="149"/>
      <c r="LEN1" s="149"/>
      <c r="LEO1" s="149"/>
      <c r="LEP1" s="149"/>
      <c r="LEQ1" s="149"/>
      <c r="LER1" s="149"/>
      <c r="LES1" s="149"/>
      <c r="LET1" s="149"/>
      <c r="LEU1" s="149"/>
      <c r="LEV1" s="149"/>
      <c r="LEW1" s="149"/>
      <c r="LEX1" s="149"/>
      <c r="LEY1" s="149"/>
      <c r="LEZ1" s="149"/>
      <c r="LFA1" s="149"/>
      <c r="LFB1" s="149"/>
      <c r="LFC1" s="149"/>
      <c r="LFD1" s="149"/>
      <c r="LFE1" s="149"/>
      <c r="LFF1" s="149"/>
      <c r="LFG1" s="149"/>
      <c r="LFH1" s="149"/>
      <c r="LFI1" s="149"/>
      <c r="LFJ1" s="149"/>
      <c r="LFK1" s="149"/>
      <c r="LFL1" s="149"/>
      <c r="LFM1" s="149"/>
      <c r="LFN1" s="149"/>
      <c r="LFO1" s="149"/>
      <c r="LFP1" s="149"/>
      <c r="LFQ1" s="149"/>
      <c r="LFR1" s="149"/>
      <c r="LFS1" s="149"/>
      <c r="LFT1" s="149"/>
      <c r="LFU1" s="149"/>
      <c r="LFV1" s="149"/>
      <c r="LFW1" s="149"/>
      <c r="LFX1" s="149"/>
      <c r="LFY1" s="149"/>
      <c r="LFZ1" s="149"/>
      <c r="LGA1" s="149"/>
      <c r="LGB1" s="149"/>
      <c r="LGC1" s="149"/>
      <c r="LGD1" s="149"/>
      <c r="LGE1" s="149"/>
      <c r="LGF1" s="149"/>
      <c r="LGG1" s="149"/>
      <c r="LGH1" s="149"/>
      <c r="LGI1" s="149"/>
      <c r="LGJ1" s="149"/>
      <c r="LGK1" s="149"/>
      <c r="LGL1" s="149"/>
      <c r="LGM1" s="149"/>
      <c r="LGN1" s="149"/>
      <c r="LGO1" s="149"/>
      <c r="LGP1" s="149"/>
      <c r="LGQ1" s="149"/>
      <c r="LGR1" s="149"/>
      <c r="LGS1" s="149"/>
      <c r="LGT1" s="149"/>
      <c r="LGU1" s="149"/>
      <c r="LGV1" s="149"/>
      <c r="LGW1" s="149"/>
      <c r="LGX1" s="149"/>
      <c r="LGY1" s="149"/>
      <c r="LGZ1" s="149"/>
      <c r="LHA1" s="149"/>
      <c r="LHB1" s="149"/>
      <c r="LHC1" s="149"/>
      <c r="LHD1" s="149"/>
      <c r="LHE1" s="149"/>
      <c r="LHF1" s="149"/>
      <c r="LHG1" s="149"/>
      <c r="LHH1" s="149"/>
      <c r="LHI1" s="149"/>
      <c r="LHJ1" s="149"/>
      <c r="LHK1" s="149"/>
      <c r="LHL1" s="149"/>
      <c r="LHM1" s="149"/>
      <c r="LHN1" s="149"/>
      <c r="LHO1" s="149"/>
      <c r="LHP1" s="149"/>
      <c r="LHQ1" s="149"/>
      <c r="LHR1" s="149"/>
      <c r="LHS1" s="149"/>
      <c r="LHT1" s="149"/>
      <c r="LHU1" s="149"/>
      <c r="LHV1" s="149"/>
      <c r="LHW1" s="149"/>
      <c r="LHX1" s="149"/>
      <c r="LHY1" s="149"/>
      <c r="LHZ1" s="149"/>
      <c r="LIA1" s="149"/>
      <c r="LIB1" s="149"/>
      <c r="LIC1" s="149"/>
      <c r="LID1" s="149"/>
      <c r="LIE1" s="149"/>
      <c r="LIF1" s="149"/>
      <c r="LIG1" s="149"/>
      <c r="LIH1" s="149"/>
      <c r="LII1" s="149"/>
      <c r="LIJ1" s="149"/>
      <c r="LIK1" s="149"/>
      <c r="LIL1" s="149"/>
      <c r="LIM1" s="149"/>
      <c r="LIN1" s="149"/>
      <c r="LIO1" s="149"/>
      <c r="LIP1" s="149"/>
      <c r="LIQ1" s="149"/>
      <c r="LIR1" s="149"/>
      <c r="LIS1" s="149"/>
      <c r="LIT1" s="149"/>
      <c r="LIU1" s="149"/>
      <c r="LIV1" s="149"/>
      <c r="LIW1" s="149"/>
      <c r="LIX1" s="149"/>
      <c r="LIY1" s="149"/>
      <c r="LIZ1" s="149"/>
      <c r="LJA1" s="149"/>
      <c r="LJB1" s="149"/>
      <c r="LJC1" s="149"/>
      <c r="LJD1" s="149"/>
      <c r="LJE1" s="149"/>
      <c r="LJF1" s="149"/>
      <c r="LJG1" s="149"/>
      <c r="LJH1" s="149"/>
      <c r="LJI1" s="149"/>
      <c r="LJJ1" s="149"/>
      <c r="LJK1" s="149"/>
      <c r="LJL1" s="149"/>
      <c r="LJM1" s="149"/>
      <c r="LJN1" s="149"/>
      <c r="LJO1" s="149"/>
      <c r="LJP1" s="149"/>
      <c r="LJQ1" s="149"/>
      <c r="LJR1" s="149"/>
      <c r="LJS1" s="149"/>
      <c r="LJT1" s="149"/>
      <c r="LJU1" s="149"/>
      <c r="LJV1" s="149"/>
      <c r="LJW1" s="149"/>
      <c r="LJX1" s="149"/>
      <c r="LJY1" s="149"/>
      <c r="LJZ1" s="149"/>
      <c r="LKA1" s="149"/>
      <c r="LKB1" s="149"/>
      <c r="LKC1" s="149"/>
      <c r="LKD1" s="149"/>
      <c r="LKE1" s="149"/>
      <c r="LKF1" s="149"/>
      <c r="LKG1" s="149"/>
      <c r="LKH1" s="149"/>
      <c r="LKI1" s="149"/>
      <c r="LKJ1" s="149"/>
      <c r="LKK1" s="149"/>
      <c r="LKL1" s="149"/>
      <c r="LKM1" s="149"/>
      <c r="LKN1" s="149"/>
      <c r="LKO1" s="149"/>
      <c r="LKP1" s="149"/>
      <c r="LKQ1" s="149"/>
      <c r="LKR1" s="149"/>
      <c r="LKS1" s="149"/>
      <c r="LKT1" s="149"/>
      <c r="LKU1" s="149"/>
      <c r="LKV1" s="149"/>
      <c r="LKW1" s="149"/>
      <c r="LKX1" s="149"/>
      <c r="LKY1" s="149"/>
      <c r="LKZ1" s="149"/>
      <c r="LLA1" s="149"/>
      <c r="LLB1" s="149"/>
      <c r="LLC1" s="149"/>
      <c r="LLD1" s="149"/>
      <c r="LLE1" s="149"/>
      <c r="LLF1" s="149"/>
      <c r="LLG1" s="149"/>
      <c r="LLH1" s="149"/>
      <c r="LLI1" s="149"/>
      <c r="LLJ1" s="149"/>
      <c r="LLK1" s="149"/>
      <c r="LLL1" s="149"/>
      <c r="LLM1" s="149"/>
      <c r="LLN1" s="149"/>
      <c r="LLO1" s="149"/>
      <c r="LLP1" s="149"/>
      <c r="LLQ1" s="149"/>
      <c r="LLR1" s="149"/>
      <c r="LLS1" s="149"/>
      <c r="LLT1" s="149"/>
      <c r="LLU1" s="149"/>
      <c r="LLV1" s="149"/>
      <c r="LLW1" s="149"/>
      <c r="LLX1" s="149"/>
      <c r="LLY1" s="149"/>
      <c r="LLZ1" s="149"/>
      <c r="LMA1" s="149"/>
      <c r="LMB1" s="149"/>
      <c r="LMC1" s="149"/>
      <c r="LMD1" s="149"/>
      <c r="LME1" s="149"/>
      <c r="LMF1" s="149"/>
      <c r="LMG1" s="149"/>
      <c r="LMH1" s="149"/>
      <c r="LMI1" s="149"/>
      <c r="LMJ1" s="149"/>
      <c r="LMK1" s="149"/>
      <c r="LML1" s="149"/>
      <c r="LMM1" s="149"/>
      <c r="LMN1" s="149"/>
      <c r="LMO1" s="149"/>
      <c r="LMP1" s="149"/>
      <c r="LMQ1" s="149"/>
      <c r="LMR1" s="149"/>
      <c r="LMS1" s="149"/>
      <c r="LMT1" s="149"/>
      <c r="LMU1" s="149"/>
      <c r="LMV1" s="149"/>
      <c r="LMW1" s="149"/>
      <c r="LMX1" s="149"/>
      <c r="LMY1" s="149"/>
      <c r="LMZ1" s="149"/>
      <c r="LNA1" s="149"/>
      <c r="LNB1" s="149"/>
      <c r="LNC1" s="149"/>
      <c r="LND1" s="149"/>
      <c r="LNE1" s="149"/>
      <c r="LNF1" s="149"/>
      <c r="LNG1" s="149"/>
      <c r="LNH1" s="149"/>
      <c r="LNI1" s="149"/>
      <c r="LNJ1" s="149"/>
      <c r="LNK1" s="149"/>
      <c r="LNL1" s="149"/>
      <c r="LNM1" s="149"/>
      <c r="LNN1" s="149"/>
      <c r="LNO1" s="149"/>
      <c r="LNP1" s="149"/>
      <c r="LNQ1" s="149"/>
      <c r="LNR1" s="149"/>
      <c r="LNS1" s="149"/>
      <c r="LNT1" s="149"/>
      <c r="LNU1" s="149"/>
      <c r="LNV1" s="149"/>
      <c r="LNW1" s="149"/>
      <c r="LNX1" s="149"/>
      <c r="LNY1" s="149"/>
      <c r="LNZ1" s="149"/>
      <c r="LOA1" s="149"/>
      <c r="LOB1" s="149"/>
      <c r="LOC1" s="149"/>
      <c r="LOD1" s="149"/>
      <c r="LOE1" s="149"/>
      <c r="LOF1" s="149"/>
      <c r="LOG1" s="149"/>
      <c r="LOH1" s="149"/>
      <c r="LOI1" s="149"/>
      <c r="LOJ1" s="149"/>
      <c r="LOK1" s="149"/>
      <c r="LOL1" s="149"/>
      <c r="LOM1" s="149"/>
      <c r="LON1" s="149"/>
      <c r="LOO1" s="149"/>
      <c r="LOP1" s="149"/>
      <c r="LOQ1" s="149"/>
      <c r="LOR1" s="149"/>
      <c r="LOS1" s="149"/>
      <c r="LOT1" s="149"/>
      <c r="LOU1" s="149"/>
      <c r="LOV1" s="149"/>
      <c r="LOW1" s="149"/>
      <c r="LOX1" s="149"/>
      <c r="LOY1" s="149"/>
      <c r="LOZ1" s="149"/>
      <c r="LPA1" s="149"/>
      <c r="LPB1" s="149"/>
      <c r="LPC1" s="149"/>
      <c r="LPD1" s="149"/>
      <c r="LPE1" s="149"/>
      <c r="LPF1" s="149"/>
      <c r="LPG1" s="149"/>
      <c r="LPH1" s="149"/>
      <c r="LPI1" s="149"/>
      <c r="LPJ1" s="149"/>
      <c r="LPK1" s="149"/>
      <c r="LPL1" s="149"/>
      <c r="LPM1" s="149"/>
      <c r="LPN1" s="149"/>
      <c r="LPO1" s="149"/>
      <c r="LPP1" s="149"/>
      <c r="LPQ1" s="149"/>
      <c r="LPR1" s="149"/>
      <c r="LPS1" s="149"/>
      <c r="LPT1" s="149"/>
      <c r="LPU1" s="149"/>
      <c r="LPV1" s="149"/>
      <c r="LPW1" s="149"/>
      <c r="LPX1" s="149"/>
      <c r="LPY1" s="149"/>
      <c r="LPZ1" s="149"/>
      <c r="LQA1" s="149"/>
      <c r="LQB1" s="149"/>
      <c r="LQC1" s="149"/>
      <c r="LQD1" s="149"/>
      <c r="LQE1" s="149"/>
      <c r="LQF1" s="149"/>
      <c r="LQG1" s="149"/>
      <c r="LQH1" s="149"/>
      <c r="LQI1" s="149"/>
      <c r="LQJ1" s="149"/>
      <c r="LQK1" s="149"/>
      <c r="LQL1" s="149"/>
      <c r="LQM1" s="149"/>
      <c r="LQN1" s="149"/>
      <c r="LQO1" s="149"/>
      <c r="LQP1" s="149"/>
      <c r="LQQ1" s="149"/>
      <c r="LQR1" s="149"/>
      <c r="LQS1" s="149"/>
      <c r="LQT1" s="149"/>
      <c r="LQU1" s="149"/>
      <c r="LQV1" s="149"/>
      <c r="LQW1" s="149"/>
      <c r="LQX1" s="149"/>
      <c r="LQY1" s="149"/>
      <c r="LQZ1" s="149"/>
      <c r="LRA1" s="149"/>
      <c r="LRB1" s="149"/>
      <c r="LRC1" s="149"/>
      <c r="LRD1" s="149"/>
      <c r="LRE1" s="149"/>
      <c r="LRF1" s="149"/>
      <c r="LRG1" s="149"/>
      <c r="LRH1" s="149"/>
      <c r="LRI1" s="149"/>
      <c r="LRJ1" s="149"/>
      <c r="LRK1" s="149"/>
      <c r="LRL1" s="149"/>
      <c r="LRM1" s="149"/>
      <c r="LRN1" s="149"/>
      <c r="LRO1" s="149"/>
      <c r="LRP1" s="149"/>
      <c r="LRQ1" s="149"/>
      <c r="LRR1" s="149"/>
      <c r="LRS1" s="149"/>
      <c r="LRT1" s="149"/>
      <c r="LRU1" s="149"/>
      <c r="LRV1" s="149"/>
      <c r="LRW1" s="149"/>
      <c r="LRX1" s="149"/>
      <c r="LRY1" s="149"/>
      <c r="LRZ1" s="149"/>
      <c r="LSA1" s="149"/>
      <c r="LSB1" s="149"/>
      <c r="LSC1" s="149"/>
      <c r="LSD1" s="149"/>
      <c r="LSE1" s="149"/>
      <c r="LSF1" s="149"/>
      <c r="LSG1" s="149"/>
      <c r="LSH1" s="149"/>
      <c r="LSI1" s="149"/>
      <c r="LSJ1" s="149"/>
      <c r="LSK1" s="149"/>
      <c r="LSL1" s="149"/>
      <c r="LSM1" s="149"/>
      <c r="LSN1" s="149"/>
      <c r="LSO1" s="149"/>
      <c r="LSP1" s="149"/>
      <c r="LSQ1" s="149"/>
      <c r="LSR1" s="149"/>
      <c r="LSS1" s="149"/>
      <c r="LST1" s="149"/>
      <c r="LSU1" s="149"/>
      <c r="LSV1" s="149"/>
      <c r="LSW1" s="149"/>
      <c r="LSX1" s="149"/>
      <c r="LSY1" s="149"/>
      <c r="LSZ1" s="149"/>
      <c r="LTA1" s="149"/>
      <c r="LTB1" s="149"/>
      <c r="LTC1" s="149"/>
      <c r="LTD1" s="149"/>
      <c r="LTE1" s="149"/>
      <c r="LTF1" s="149"/>
      <c r="LTG1" s="149"/>
      <c r="LTH1" s="149"/>
      <c r="LTI1" s="149"/>
      <c r="LTJ1" s="149"/>
      <c r="LTK1" s="149"/>
      <c r="LTL1" s="149"/>
      <c r="LTM1" s="149"/>
      <c r="LTN1" s="149"/>
      <c r="LTO1" s="149"/>
      <c r="LTP1" s="149"/>
      <c r="LTQ1" s="149"/>
      <c r="LTR1" s="149"/>
      <c r="LTS1" s="149"/>
      <c r="LTT1" s="149"/>
      <c r="LTU1" s="149"/>
      <c r="LTV1" s="149"/>
      <c r="LTW1" s="149"/>
      <c r="LTX1" s="149"/>
      <c r="LTY1" s="149"/>
      <c r="LTZ1" s="149"/>
      <c r="LUA1" s="149"/>
      <c r="LUB1" s="149"/>
      <c r="LUC1" s="149"/>
      <c r="LUD1" s="149"/>
      <c r="LUE1" s="149"/>
      <c r="LUF1" s="149"/>
      <c r="LUG1" s="149"/>
      <c r="LUH1" s="149"/>
      <c r="LUI1" s="149"/>
      <c r="LUJ1" s="149"/>
      <c r="LUK1" s="149"/>
      <c r="LUL1" s="149"/>
      <c r="LUM1" s="149"/>
      <c r="LUN1" s="149"/>
      <c r="LUO1" s="149"/>
      <c r="LUP1" s="149"/>
      <c r="LUQ1" s="149"/>
      <c r="LUR1" s="149"/>
      <c r="LUS1" s="149"/>
      <c r="LUT1" s="149"/>
      <c r="LUU1" s="149"/>
      <c r="LUV1" s="149"/>
      <c r="LUW1" s="149"/>
      <c r="LUX1" s="149"/>
      <c r="LUY1" s="149"/>
      <c r="LUZ1" s="149"/>
      <c r="LVA1" s="149"/>
      <c r="LVB1" s="149"/>
      <c r="LVC1" s="149"/>
      <c r="LVD1" s="149"/>
      <c r="LVE1" s="149"/>
      <c r="LVF1" s="149"/>
      <c r="LVG1" s="149"/>
      <c r="LVH1" s="149"/>
      <c r="LVI1" s="149"/>
      <c r="LVJ1" s="149"/>
      <c r="LVK1" s="149"/>
      <c r="LVL1" s="149"/>
      <c r="LVM1" s="149"/>
      <c r="LVN1" s="149"/>
      <c r="LVO1" s="149"/>
      <c r="LVP1" s="149"/>
      <c r="LVQ1" s="149"/>
      <c r="LVR1" s="149"/>
      <c r="LVS1" s="149"/>
      <c r="LVT1" s="149"/>
      <c r="LVU1" s="149"/>
      <c r="LVV1" s="149"/>
      <c r="LVW1" s="149"/>
      <c r="LVX1" s="149"/>
      <c r="LVY1" s="149"/>
      <c r="LVZ1" s="149"/>
      <c r="LWA1" s="149"/>
      <c r="LWB1" s="149"/>
      <c r="LWC1" s="149"/>
      <c r="LWD1" s="149"/>
      <c r="LWE1" s="149"/>
      <c r="LWF1" s="149"/>
      <c r="LWG1" s="149"/>
      <c r="LWH1" s="149"/>
      <c r="LWI1" s="149"/>
      <c r="LWJ1" s="149"/>
      <c r="LWK1" s="149"/>
      <c r="LWL1" s="149"/>
      <c r="LWM1" s="149"/>
      <c r="LWN1" s="149"/>
      <c r="LWO1" s="149"/>
      <c r="LWP1" s="149"/>
      <c r="LWQ1" s="149"/>
      <c r="LWR1" s="149"/>
      <c r="LWS1" s="149"/>
      <c r="LWT1" s="149"/>
      <c r="LWU1" s="149"/>
      <c r="LWV1" s="149"/>
      <c r="LWW1" s="149"/>
      <c r="LWX1" s="149"/>
      <c r="LWY1" s="149"/>
      <c r="LWZ1" s="149"/>
      <c r="LXA1" s="149"/>
      <c r="LXB1" s="149"/>
      <c r="LXC1" s="149"/>
      <c r="LXD1" s="149"/>
      <c r="LXE1" s="149"/>
      <c r="LXF1" s="149"/>
      <c r="LXG1" s="149"/>
      <c r="LXH1" s="149"/>
      <c r="LXI1" s="149"/>
      <c r="LXJ1" s="149"/>
      <c r="LXK1" s="149"/>
      <c r="LXL1" s="149"/>
      <c r="LXM1" s="149"/>
      <c r="LXN1" s="149"/>
      <c r="LXO1" s="149"/>
      <c r="LXP1" s="149"/>
      <c r="LXQ1" s="149"/>
      <c r="LXR1" s="149"/>
      <c r="LXS1" s="149"/>
      <c r="LXT1" s="149"/>
      <c r="LXU1" s="149"/>
      <c r="LXV1" s="149"/>
      <c r="LXW1" s="149"/>
      <c r="LXX1" s="149"/>
      <c r="LXY1" s="149"/>
      <c r="LXZ1" s="149"/>
      <c r="LYA1" s="149"/>
      <c r="LYB1" s="149"/>
      <c r="LYC1" s="149"/>
      <c r="LYD1" s="149"/>
      <c r="LYE1" s="149"/>
      <c r="LYF1" s="149"/>
      <c r="LYG1" s="149"/>
      <c r="LYH1" s="149"/>
      <c r="LYI1" s="149"/>
      <c r="LYJ1" s="149"/>
      <c r="LYK1" s="149"/>
      <c r="LYL1" s="149"/>
      <c r="LYM1" s="149"/>
      <c r="LYN1" s="149"/>
      <c r="LYO1" s="149"/>
      <c r="LYP1" s="149"/>
      <c r="LYQ1" s="149"/>
      <c r="LYR1" s="149"/>
      <c r="LYS1" s="149"/>
      <c r="LYT1" s="149"/>
      <c r="LYU1" s="149"/>
      <c r="LYV1" s="149"/>
      <c r="LYW1" s="149"/>
      <c r="LYX1" s="149"/>
      <c r="LYY1" s="149"/>
      <c r="LYZ1" s="149"/>
      <c r="LZA1" s="149"/>
      <c r="LZB1" s="149"/>
      <c r="LZC1" s="149"/>
      <c r="LZD1" s="149"/>
      <c r="LZE1" s="149"/>
      <c r="LZF1" s="149"/>
      <c r="LZG1" s="149"/>
      <c r="LZH1" s="149"/>
      <c r="LZI1" s="149"/>
      <c r="LZJ1" s="149"/>
      <c r="LZK1" s="149"/>
      <c r="LZL1" s="149"/>
      <c r="LZM1" s="149"/>
      <c r="LZN1" s="149"/>
      <c r="LZO1" s="149"/>
      <c r="LZP1" s="149"/>
      <c r="LZQ1" s="149"/>
      <c r="LZR1" s="149"/>
      <c r="LZS1" s="149"/>
      <c r="LZT1" s="149"/>
      <c r="LZU1" s="149"/>
      <c r="LZV1" s="149"/>
      <c r="LZW1" s="149"/>
      <c r="LZX1" s="149"/>
      <c r="LZY1" s="149"/>
      <c r="LZZ1" s="149"/>
      <c r="MAA1" s="149"/>
      <c r="MAB1" s="149"/>
      <c r="MAC1" s="149"/>
      <c r="MAD1" s="149"/>
      <c r="MAE1" s="149"/>
      <c r="MAF1" s="149"/>
      <c r="MAG1" s="149"/>
      <c r="MAH1" s="149"/>
      <c r="MAI1" s="149"/>
      <c r="MAJ1" s="149"/>
      <c r="MAK1" s="149"/>
      <c r="MAL1" s="149"/>
      <c r="MAM1" s="149"/>
      <c r="MAN1" s="149"/>
      <c r="MAO1" s="149"/>
      <c r="MAP1" s="149"/>
      <c r="MAQ1" s="149"/>
      <c r="MAR1" s="149"/>
      <c r="MAS1" s="149"/>
      <c r="MAT1" s="149"/>
      <c r="MAU1" s="149"/>
      <c r="MAV1" s="149"/>
      <c r="MAW1" s="149"/>
      <c r="MAX1" s="149"/>
      <c r="MAY1" s="149"/>
      <c r="MAZ1" s="149"/>
      <c r="MBA1" s="149"/>
      <c r="MBB1" s="149"/>
      <c r="MBC1" s="149"/>
      <c r="MBD1" s="149"/>
      <c r="MBE1" s="149"/>
      <c r="MBF1" s="149"/>
      <c r="MBG1" s="149"/>
      <c r="MBH1" s="149"/>
      <c r="MBI1" s="149"/>
      <c r="MBJ1" s="149"/>
      <c r="MBK1" s="149"/>
      <c r="MBL1" s="149"/>
      <c r="MBM1" s="149"/>
      <c r="MBN1" s="149"/>
      <c r="MBO1" s="149"/>
      <c r="MBP1" s="149"/>
      <c r="MBQ1" s="149"/>
      <c r="MBR1" s="149"/>
      <c r="MBS1" s="149"/>
      <c r="MBT1" s="149"/>
      <c r="MBU1" s="149"/>
      <c r="MBV1" s="149"/>
      <c r="MBW1" s="149"/>
      <c r="MBX1" s="149"/>
      <c r="MBY1" s="149"/>
      <c r="MBZ1" s="149"/>
      <c r="MCA1" s="149"/>
      <c r="MCB1" s="149"/>
      <c r="MCC1" s="149"/>
      <c r="MCD1" s="149"/>
      <c r="MCE1" s="149"/>
      <c r="MCF1" s="149"/>
      <c r="MCG1" s="149"/>
      <c r="MCH1" s="149"/>
      <c r="MCI1" s="149"/>
      <c r="MCJ1" s="149"/>
      <c r="MCK1" s="149"/>
      <c r="MCL1" s="149"/>
      <c r="MCM1" s="149"/>
      <c r="MCN1" s="149"/>
      <c r="MCO1" s="149"/>
      <c r="MCP1" s="149"/>
      <c r="MCQ1" s="149"/>
      <c r="MCR1" s="149"/>
      <c r="MCS1" s="149"/>
      <c r="MCT1" s="149"/>
      <c r="MCU1" s="149"/>
      <c r="MCV1" s="149"/>
      <c r="MCW1" s="149"/>
      <c r="MCX1" s="149"/>
      <c r="MCY1" s="149"/>
      <c r="MCZ1" s="149"/>
      <c r="MDA1" s="149"/>
      <c r="MDB1" s="149"/>
      <c r="MDC1" s="149"/>
      <c r="MDD1" s="149"/>
      <c r="MDE1" s="149"/>
      <c r="MDF1" s="149"/>
      <c r="MDG1" s="149"/>
      <c r="MDH1" s="149"/>
      <c r="MDI1" s="149"/>
      <c r="MDJ1" s="149"/>
      <c r="MDK1" s="149"/>
      <c r="MDL1" s="149"/>
      <c r="MDM1" s="149"/>
      <c r="MDN1" s="149"/>
      <c r="MDO1" s="149"/>
      <c r="MDP1" s="149"/>
      <c r="MDQ1" s="149"/>
      <c r="MDR1" s="149"/>
      <c r="MDS1" s="149"/>
      <c r="MDT1" s="149"/>
      <c r="MDU1" s="149"/>
      <c r="MDV1" s="149"/>
      <c r="MDW1" s="149"/>
      <c r="MDX1" s="149"/>
      <c r="MDY1" s="149"/>
      <c r="MDZ1" s="149"/>
      <c r="MEA1" s="149"/>
      <c r="MEB1" s="149"/>
      <c r="MEC1" s="149"/>
      <c r="MED1" s="149"/>
      <c r="MEE1" s="149"/>
      <c r="MEF1" s="149"/>
      <c r="MEG1" s="149"/>
      <c r="MEH1" s="149"/>
      <c r="MEI1" s="149"/>
      <c r="MEJ1" s="149"/>
      <c r="MEK1" s="149"/>
      <c r="MEL1" s="149"/>
      <c r="MEM1" s="149"/>
      <c r="MEN1" s="149"/>
      <c r="MEO1" s="149"/>
      <c r="MEP1" s="149"/>
      <c r="MEQ1" s="149"/>
      <c r="MER1" s="149"/>
      <c r="MES1" s="149"/>
      <c r="MET1" s="149"/>
      <c r="MEU1" s="149"/>
      <c r="MEV1" s="149"/>
      <c r="MEW1" s="149"/>
      <c r="MEX1" s="149"/>
      <c r="MEY1" s="149"/>
      <c r="MEZ1" s="149"/>
      <c r="MFA1" s="149"/>
      <c r="MFB1" s="149"/>
      <c r="MFC1" s="149"/>
      <c r="MFD1" s="149"/>
      <c r="MFE1" s="149"/>
      <c r="MFF1" s="149"/>
      <c r="MFG1" s="149"/>
      <c r="MFH1" s="149"/>
      <c r="MFI1" s="149"/>
      <c r="MFJ1" s="149"/>
      <c r="MFK1" s="149"/>
      <c r="MFL1" s="149"/>
      <c r="MFM1" s="149"/>
      <c r="MFN1" s="149"/>
      <c r="MFO1" s="149"/>
      <c r="MFP1" s="149"/>
      <c r="MFQ1" s="149"/>
      <c r="MFR1" s="149"/>
      <c r="MFS1" s="149"/>
      <c r="MFT1" s="149"/>
      <c r="MFU1" s="149"/>
      <c r="MFV1" s="149"/>
      <c r="MFW1" s="149"/>
      <c r="MFX1" s="149"/>
      <c r="MFY1" s="149"/>
      <c r="MFZ1" s="149"/>
      <c r="MGA1" s="149"/>
      <c r="MGB1" s="149"/>
      <c r="MGC1" s="149"/>
      <c r="MGD1" s="149"/>
      <c r="MGE1" s="149"/>
      <c r="MGF1" s="149"/>
      <c r="MGG1" s="149"/>
      <c r="MGH1" s="149"/>
      <c r="MGI1" s="149"/>
      <c r="MGJ1" s="149"/>
      <c r="MGK1" s="149"/>
      <c r="MGL1" s="149"/>
      <c r="MGM1" s="149"/>
      <c r="MGN1" s="149"/>
      <c r="MGO1" s="149"/>
      <c r="MGP1" s="149"/>
      <c r="MGQ1" s="149"/>
      <c r="MGR1" s="149"/>
      <c r="MGS1" s="149"/>
      <c r="MGT1" s="149"/>
      <c r="MGU1" s="149"/>
      <c r="MGV1" s="149"/>
      <c r="MGW1" s="149"/>
      <c r="MGX1" s="149"/>
      <c r="MGY1" s="149"/>
      <c r="MGZ1" s="149"/>
      <c r="MHA1" s="149"/>
      <c r="MHB1" s="149"/>
      <c r="MHC1" s="149"/>
      <c r="MHD1" s="149"/>
      <c r="MHE1" s="149"/>
      <c r="MHF1" s="149"/>
      <c r="MHG1" s="149"/>
      <c r="MHH1" s="149"/>
      <c r="MHI1" s="149"/>
      <c r="MHJ1" s="149"/>
      <c r="MHK1" s="149"/>
      <c r="MHL1" s="149"/>
      <c r="MHM1" s="149"/>
      <c r="MHN1" s="149"/>
      <c r="MHO1" s="149"/>
      <c r="MHP1" s="149"/>
      <c r="MHQ1" s="149"/>
      <c r="MHR1" s="149"/>
      <c r="MHS1" s="149"/>
      <c r="MHT1" s="149"/>
      <c r="MHU1" s="149"/>
      <c r="MHV1" s="149"/>
      <c r="MHW1" s="149"/>
      <c r="MHX1" s="149"/>
      <c r="MHY1" s="149"/>
      <c r="MHZ1" s="149"/>
      <c r="MIA1" s="149"/>
      <c r="MIB1" s="149"/>
      <c r="MIC1" s="149"/>
      <c r="MID1" s="149"/>
      <c r="MIE1" s="149"/>
      <c r="MIF1" s="149"/>
      <c r="MIG1" s="149"/>
      <c r="MIH1" s="149"/>
      <c r="MII1" s="149"/>
      <c r="MIJ1" s="149"/>
      <c r="MIK1" s="149"/>
      <c r="MIL1" s="149"/>
      <c r="MIM1" s="149"/>
      <c r="MIN1" s="149"/>
      <c r="MIO1" s="149"/>
      <c r="MIP1" s="149"/>
      <c r="MIQ1" s="149"/>
      <c r="MIR1" s="149"/>
      <c r="MIS1" s="149"/>
      <c r="MIT1" s="149"/>
      <c r="MIU1" s="149"/>
      <c r="MIV1" s="149"/>
      <c r="MIW1" s="149"/>
      <c r="MIX1" s="149"/>
      <c r="MIY1" s="149"/>
      <c r="MIZ1" s="149"/>
      <c r="MJA1" s="149"/>
      <c r="MJB1" s="149"/>
      <c r="MJC1" s="149"/>
      <c r="MJD1" s="149"/>
      <c r="MJE1" s="149"/>
      <c r="MJF1" s="149"/>
      <c r="MJG1" s="149"/>
      <c r="MJH1" s="149"/>
      <c r="MJI1" s="149"/>
      <c r="MJJ1" s="149"/>
      <c r="MJK1" s="149"/>
      <c r="MJL1" s="149"/>
      <c r="MJM1" s="149"/>
      <c r="MJN1" s="149"/>
      <c r="MJO1" s="149"/>
      <c r="MJP1" s="149"/>
      <c r="MJQ1" s="149"/>
      <c r="MJR1" s="149"/>
      <c r="MJS1" s="149"/>
      <c r="MJT1" s="149"/>
      <c r="MJU1" s="149"/>
      <c r="MJV1" s="149"/>
      <c r="MJW1" s="149"/>
      <c r="MJX1" s="149"/>
      <c r="MJY1" s="149"/>
      <c r="MJZ1" s="149"/>
      <c r="MKA1" s="149"/>
      <c r="MKB1" s="149"/>
      <c r="MKC1" s="149"/>
      <c r="MKD1" s="149"/>
      <c r="MKE1" s="149"/>
      <c r="MKF1" s="149"/>
      <c r="MKG1" s="149"/>
      <c r="MKH1" s="149"/>
      <c r="MKI1" s="149"/>
      <c r="MKJ1" s="149"/>
      <c r="MKK1" s="149"/>
      <c r="MKL1" s="149"/>
      <c r="MKM1" s="149"/>
      <c r="MKN1" s="149"/>
      <c r="MKO1" s="149"/>
      <c r="MKP1" s="149"/>
      <c r="MKQ1" s="149"/>
      <c r="MKR1" s="149"/>
      <c r="MKS1" s="149"/>
      <c r="MKT1" s="149"/>
      <c r="MKU1" s="149"/>
      <c r="MKV1" s="149"/>
      <c r="MKW1" s="149"/>
      <c r="MKX1" s="149"/>
      <c r="MKY1" s="149"/>
      <c r="MKZ1" s="149"/>
      <c r="MLA1" s="149"/>
      <c r="MLB1" s="149"/>
      <c r="MLC1" s="149"/>
      <c r="MLD1" s="149"/>
      <c r="MLE1" s="149"/>
      <c r="MLF1" s="149"/>
      <c r="MLG1" s="149"/>
      <c r="MLH1" s="149"/>
      <c r="MLI1" s="149"/>
      <c r="MLJ1" s="149"/>
      <c r="MLK1" s="149"/>
      <c r="MLL1" s="149"/>
      <c r="MLM1" s="149"/>
      <c r="MLN1" s="149"/>
      <c r="MLO1" s="149"/>
      <c r="MLP1" s="149"/>
      <c r="MLQ1" s="149"/>
      <c r="MLR1" s="149"/>
      <c r="MLS1" s="149"/>
      <c r="MLT1" s="149"/>
      <c r="MLU1" s="149"/>
      <c r="MLV1" s="149"/>
      <c r="MLW1" s="149"/>
      <c r="MLX1" s="149"/>
      <c r="MLY1" s="149"/>
      <c r="MLZ1" s="149"/>
      <c r="MMA1" s="149"/>
      <c r="MMB1" s="149"/>
      <c r="MMC1" s="149"/>
      <c r="MMD1" s="149"/>
      <c r="MME1" s="149"/>
      <c r="MMF1" s="149"/>
      <c r="MMG1" s="149"/>
      <c r="MMH1" s="149"/>
      <c r="MMI1" s="149"/>
      <c r="MMJ1" s="149"/>
      <c r="MMK1" s="149"/>
      <c r="MML1" s="149"/>
      <c r="MMM1" s="149"/>
      <c r="MMN1" s="149"/>
      <c r="MMO1" s="149"/>
      <c r="MMP1" s="149"/>
      <c r="MMQ1" s="149"/>
      <c r="MMR1" s="149"/>
      <c r="MMS1" s="149"/>
      <c r="MMT1" s="149"/>
      <c r="MMU1" s="149"/>
      <c r="MMV1" s="149"/>
      <c r="MMW1" s="149"/>
      <c r="MMX1" s="149"/>
      <c r="MMY1" s="149"/>
      <c r="MMZ1" s="149"/>
      <c r="MNA1" s="149"/>
      <c r="MNB1" s="149"/>
      <c r="MNC1" s="149"/>
      <c r="MND1" s="149"/>
      <c r="MNE1" s="149"/>
      <c r="MNF1" s="149"/>
      <c r="MNG1" s="149"/>
      <c r="MNH1" s="149"/>
      <c r="MNI1" s="149"/>
      <c r="MNJ1" s="149"/>
      <c r="MNK1" s="149"/>
      <c r="MNL1" s="149"/>
      <c r="MNM1" s="149"/>
      <c r="MNN1" s="149"/>
      <c r="MNO1" s="149"/>
      <c r="MNP1" s="149"/>
      <c r="MNQ1" s="149"/>
      <c r="MNR1" s="149"/>
      <c r="MNS1" s="149"/>
      <c r="MNT1" s="149"/>
      <c r="MNU1" s="149"/>
      <c r="MNV1" s="149"/>
      <c r="MNW1" s="149"/>
      <c r="MNX1" s="149"/>
      <c r="MNY1" s="149"/>
      <c r="MNZ1" s="149"/>
      <c r="MOA1" s="149"/>
      <c r="MOB1" s="149"/>
      <c r="MOC1" s="149"/>
      <c r="MOD1" s="149"/>
      <c r="MOE1" s="149"/>
      <c r="MOF1" s="149"/>
      <c r="MOG1" s="149"/>
      <c r="MOH1" s="149"/>
      <c r="MOI1" s="149"/>
      <c r="MOJ1" s="149"/>
      <c r="MOK1" s="149"/>
      <c r="MOL1" s="149"/>
      <c r="MOM1" s="149"/>
      <c r="MON1" s="149"/>
      <c r="MOO1" s="149"/>
      <c r="MOP1" s="149"/>
      <c r="MOQ1" s="149"/>
      <c r="MOR1" s="149"/>
      <c r="MOS1" s="149"/>
      <c r="MOT1" s="149"/>
      <c r="MOU1" s="149"/>
      <c r="MOV1" s="149"/>
      <c r="MOW1" s="149"/>
      <c r="MOX1" s="149"/>
      <c r="MOY1" s="149"/>
      <c r="MOZ1" s="149"/>
      <c r="MPA1" s="149"/>
      <c r="MPB1" s="149"/>
      <c r="MPC1" s="149"/>
      <c r="MPD1" s="149"/>
      <c r="MPE1" s="149"/>
      <c r="MPF1" s="149"/>
      <c r="MPG1" s="149"/>
      <c r="MPH1" s="149"/>
      <c r="MPI1" s="149"/>
      <c r="MPJ1" s="149"/>
      <c r="MPK1" s="149"/>
      <c r="MPL1" s="149"/>
      <c r="MPM1" s="149"/>
      <c r="MPN1" s="149"/>
      <c r="MPO1" s="149"/>
      <c r="MPP1" s="149"/>
      <c r="MPQ1" s="149"/>
      <c r="MPR1" s="149"/>
      <c r="MPS1" s="149"/>
      <c r="MPT1" s="149"/>
      <c r="MPU1" s="149"/>
      <c r="MPV1" s="149"/>
      <c r="MPW1" s="149"/>
      <c r="MPX1" s="149"/>
      <c r="MPY1" s="149"/>
      <c r="MPZ1" s="149"/>
      <c r="MQA1" s="149"/>
      <c r="MQB1" s="149"/>
      <c r="MQC1" s="149"/>
      <c r="MQD1" s="149"/>
      <c r="MQE1" s="149"/>
      <c r="MQF1" s="149"/>
      <c r="MQG1" s="149"/>
      <c r="MQH1" s="149"/>
      <c r="MQI1" s="149"/>
      <c r="MQJ1" s="149"/>
      <c r="MQK1" s="149"/>
      <c r="MQL1" s="149"/>
      <c r="MQM1" s="149"/>
      <c r="MQN1" s="149"/>
      <c r="MQO1" s="149"/>
      <c r="MQP1" s="149"/>
      <c r="MQQ1" s="149"/>
      <c r="MQR1" s="149"/>
      <c r="MQS1" s="149"/>
      <c r="MQT1" s="149"/>
      <c r="MQU1" s="149"/>
      <c r="MQV1" s="149"/>
      <c r="MQW1" s="149"/>
      <c r="MQX1" s="149"/>
      <c r="MQY1" s="149"/>
      <c r="MQZ1" s="149"/>
      <c r="MRA1" s="149"/>
      <c r="MRB1" s="149"/>
      <c r="MRC1" s="149"/>
      <c r="MRD1" s="149"/>
      <c r="MRE1" s="149"/>
      <c r="MRF1" s="149"/>
      <c r="MRG1" s="149"/>
      <c r="MRH1" s="149"/>
      <c r="MRI1" s="149"/>
      <c r="MRJ1" s="149"/>
      <c r="MRK1" s="149"/>
      <c r="MRL1" s="149"/>
      <c r="MRM1" s="149"/>
      <c r="MRN1" s="149"/>
      <c r="MRO1" s="149"/>
      <c r="MRP1" s="149"/>
      <c r="MRQ1" s="149"/>
      <c r="MRR1" s="149"/>
      <c r="MRS1" s="149"/>
      <c r="MRT1" s="149"/>
      <c r="MRU1" s="149"/>
      <c r="MRV1" s="149"/>
      <c r="MRW1" s="149"/>
      <c r="MRX1" s="149"/>
      <c r="MRY1" s="149"/>
      <c r="MRZ1" s="149"/>
      <c r="MSA1" s="149"/>
      <c r="MSB1" s="149"/>
      <c r="MSC1" s="149"/>
      <c r="MSD1" s="149"/>
      <c r="MSE1" s="149"/>
      <c r="MSF1" s="149"/>
      <c r="MSG1" s="149"/>
      <c r="MSH1" s="149"/>
      <c r="MSI1" s="149"/>
      <c r="MSJ1" s="149"/>
      <c r="MSK1" s="149"/>
      <c r="MSL1" s="149"/>
      <c r="MSM1" s="149"/>
      <c r="MSN1" s="149"/>
      <c r="MSO1" s="149"/>
      <c r="MSP1" s="149"/>
      <c r="MSQ1" s="149"/>
      <c r="MSR1" s="149"/>
      <c r="MSS1" s="149"/>
      <c r="MST1" s="149"/>
      <c r="MSU1" s="149"/>
      <c r="MSV1" s="149"/>
      <c r="MSW1" s="149"/>
      <c r="MSX1" s="149"/>
      <c r="MSY1" s="149"/>
      <c r="MSZ1" s="149"/>
      <c r="MTA1" s="149"/>
      <c r="MTB1" s="149"/>
      <c r="MTC1" s="149"/>
      <c r="MTD1" s="149"/>
      <c r="MTE1" s="149"/>
      <c r="MTF1" s="149"/>
      <c r="MTG1" s="149"/>
      <c r="MTH1" s="149"/>
      <c r="MTI1" s="149"/>
      <c r="MTJ1" s="149"/>
      <c r="MTK1" s="149"/>
      <c r="MTL1" s="149"/>
      <c r="MTM1" s="149"/>
      <c r="MTN1" s="149"/>
      <c r="MTO1" s="149"/>
      <c r="MTP1" s="149"/>
      <c r="MTQ1" s="149"/>
      <c r="MTR1" s="149"/>
      <c r="MTS1" s="149"/>
      <c r="MTT1" s="149"/>
      <c r="MTU1" s="149"/>
      <c r="MTV1" s="149"/>
      <c r="MTW1" s="149"/>
      <c r="MTX1" s="149"/>
      <c r="MTY1" s="149"/>
      <c r="MTZ1" s="149"/>
      <c r="MUA1" s="149"/>
      <c r="MUB1" s="149"/>
      <c r="MUC1" s="149"/>
      <c r="MUD1" s="149"/>
      <c r="MUE1" s="149"/>
      <c r="MUF1" s="149"/>
      <c r="MUG1" s="149"/>
      <c r="MUH1" s="149"/>
      <c r="MUI1" s="149"/>
      <c r="MUJ1" s="149"/>
      <c r="MUK1" s="149"/>
      <c r="MUL1" s="149"/>
      <c r="MUM1" s="149"/>
      <c r="MUN1" s="149"/>
      <c r="MUO1" s="149"/>
      <c r="MUP1" s="149"/>
      <c r="MUQ1" s="149"/>
      <c r="MUR1" s="149"/>
      <c r="MUS1" s="149"/>
      <c r="MUT1" s="149"/>
      <c r="MUU1" s="149"/>
      <c r="MUV1" s="149"/>
      <c r="MUW1" s="149"/>
      <c r="MUX1" s="149"/>
      <c r="MUY1" s="149"/>
      <c r="MUZ1" s="149"/>
      <c r="MVA1" s="149"/>
      <c r="MVB1" s="149"/>
      <c r="MVC1" s="149"/>
      <c r="MVD1" s="149"/>
      <c r="MVE1" s="149"/>
      <c r="MVF1" s="149"/>
      <c r="MVG1" s="149"/>
      <c r="MVH1" s="149"/>
      <c r="MVI1" s="149"/>
      <c r="MVJ1" s="149"/>
      <c r="MVK1" s="149"/>
      <c r="MVL1" s="149"/>
      <c r="MVM1" s="149"/>
      <c r="MVN1" s="149"/>
      <c r="MVO1" s="149"/>
      <c r="MVP1" s="149"/>
      <c r="MVQ1" s="149"/>
      <c r="MVR1" s="149"/>
      <c r="MVS1" s="149"/>
      <c r="MVT1" s="149"/>
      <c r="MVU1" s="149"/>
      <c r="MVV1" s="149"/>
      <c r="MVW1" s="149"/>
      <c r="MVX1" s="149"/>
      <c r="MVY1" s="149"/>
      <c r="MVZ1" s="149"/>
      <c r="MWA1" s="149"/>
      <c r="MWB1" s="149"/>
      <c r="MWC1" s="149"/>
      <c r="MWD1" s="149"/>
      <c r="MWE1" s="149"/>
      <c r="MWF1" s="149"/>
      <c r="MWG1" s="149"/>
      <c r="MWH1" s="149"/>
      <c r="MWI1" s="149"/>
      <c r="MWJ1" s="149"/>
      <c r="MWK1" s="149"/>
      <c r="MWL1" s="149"/>
      <c r="MWM1" s="149"/>
      <c r="MWN1" s="149"/>
      <c r="MWO1" s="149"/>
      <c r="MWP1" s="149"/>
      <c r="MWQ1" s="149"/>
      <c r="MWR1" s="149"/>
      <c r="MWS1" s="149"/>
      <c r="MWT1" s="149"/>
      <c r="MWU1" s="149"/>
      <c r="MWV1" s="149"/>
      <c r="MWW1" s="149"/>
      <c r="MWX1" s="149"/>
      <c r="MWY1" s="149"/>
      <c r="MWZ1" s="149"/>
      <c r="MXA1" s="149"/>
      <c r="MXB1" s="149"/>
      <c r="MXC1" s="149"/>
      <c r="MXD1" s="149"/>
      <c r="MXE1" s="149"/>
      <c r="MXF1" s="149"/>
      <c r="MXG1" s="149"/>
      <c r="MXH1" s="149"/>
      <c r="MXI1" s="149"/>
      <c r="MXJ1" s="149"/>
      <c r="MXK1" s="149"/>
      <c r="MXL1" s="149"/>
      <c r="MXM1" s="149"/>
      <c r="MXN1" s="149"/>
      <c r="MXO1" s="149"/>
      <c r="MXP1" s="149"/>
      <c r="MXQ1" s="149"/>
      <c r="MXR1" s="149"/>
      <c r="MXS1" s="149"/>
      <c r="MXT1" s="149"/>
      <c r="MXU1" s="149"/>
      <c r="MXV1" s="149"/>
      <c r="MXW1" s="149"/>
      <c r="MXX1" s="149"/>
      <c r="MXY1" s="149"/>
      <c r="MXZ1" s="149"/>
      <c r="MYA1" s="149"/>
      <c r="MYB1" s="149"/>
      <c r="MYC1" s="149"/>
      <c r="MYD1" s="149"/>
      <c r="MYE1" s="149"/>
      <c r="MYF1" s="149"/>
      <c r="MYG1" s="149"/>
      <c r="MYH1" s="149"/>
      <c r="MYI1" s="149"/>
      <c r="MYJ1" s="149"/>
      <c r="MYK1" s="149"/>
      <c r="MYL1" s="149"/>
      <c r="MYM1" s="149"/>
      <c r="MYN1" s="149"/>
      <c r="MYO1" s="149"/>
      <c r="MYP1" s="149"/>
      <c r="MYQ1" s="149"/>
      <c r="MYR1" s="149"/>
      <c r="MYS1" s="149"/>
      <c r="MYT1" s="149"/>
      <c r="MYU1" s="149"/>
      <c r="MYV1" s="149"/>
      <c r="MYW1" s="149"/>
      <c r="MYX1" s="149"/>
      <c r="MYY1" s="149"/>
      <c r="MYZ1" s="149"/>
      <c r="MZA1" s="149"/>
      <c r="MZB1" s="149"/>
      <c r="MZC1" s="149"/>
      <c r="MZD1" s="149"/>
      <c r="MZE1" s="149"/>
      <c r="MZF1" s="149"/>
      <c r="MZG1" s="149"/>
      <c r="MZH1" s="149"/>
      <c r="MZI1" s="149"/>
      <c r="MZJ1" s="149"/>
      <c r="MZK1" s="149"/>
      <c r="MZL1" s="149"/>
      <c r="MZM1" s="149"/>
      <c r="MZN1" s="149"/>
      <c r="MZO1" s="149"/>
      <c r="MZP1" s="149"/>
      <c r="MZQ1" s="149"/>
      <c r="MZR1" s="149"/>
      <c r="MZS1" s="149"/>
      <c r="MZT1" s="149"/>
      <c r="MZU1" s="149"/>
      <c r="MZV1" s="149"/>
      <c r="MZW1" s="149"/>
      <c r="MZX1" s="149"/>
      <c r="MZY1" s="149"/>
      <c r="MZZ1" s="149"/>
      <c r="NAA1" s="149"/>
      <c r="NAB1" s="149"/>
      <c r="NAC1" s="149"/>
      <c r="NAD1" s="149"/>
      <c r="NAE1" s="149"/>
      <c r="NAF1" s="149"/>
      <c r="NAG1" s="149"/>
      <c r="NAH1" s="149"/>
      <c r="NAI1" s="149"/>
      <c r="NAJ1" s="149"/>
      <c r="NAK1" s="149"/>
      <c r="NAL1" s="149"/>
      <c r="NAM1" s="149"/>
      <c r="NAN1" s="149"/>
      <c r="NAO1" s="149"/>
      <c r="NAP1" s="149"/>
      <c r="NAQ1" s="149"/>
      <c r="NAR1" s="149"/>
      <c r="NAS1" s="149"/>
      <c r="NAT1" s="149"/>
      <c r="NAU1" s="149"/>
      <c r="NAV1" s="149"/>
      <c r="NAW1" s="149"/>
      <c r="NAX1" s="149"/>
      <c r="NAY1" s="149"/>
      <c r="NAZ1" s="149"/>
      <c r="NBA1" s="149"/>
      <c r="NBB1" s="149"/>
      <c r="NBC1" s="149"/>
      <c r="NBD1" s="149"/>
      <c r="NBE1" s="149"/>
      <c r="NBF1" s="149"/>
      <c r="NBG1" s="149"/>
      <c r="NBH1" s="149"/>
      <c r="NBI1" s="149"/>
      <c r="NBJ1" s="149"/>
      <c r="NBK1" s="149"/>
      <c r="NBL1" s="149"/>
      <c r="NBM1" s="149"/>
      <c r="NBN1" s="149"/>
      <c r="NBO1" s="149"/>
      <c r="NBP1" s="149"/>
      <c r="NBQ1" s="149"/>
      <c r="NBR1" s="149"/>
      <c r="NBS1" s="149"/>
      <c r="NBT1" s="149"/>
      <c r="NBU1" s="149"/>
      <c r="NBV1" s="149"/>
      <c r="NBW1" s="149"/>
      <c r="NBX1" s="149"/>
      <c r="NBY1" s="149"/>
      <c r="NBZ1" s="149"/>
      <c r="NCA1" s="149"/>
      <c r="NCB1" s="149"/>
      <c r="NCC1" s="149"/>
      <c r="NCD1" s="149"/>
      <c r="NCE1" s="149"/>
      <c r="NCF1" s="149"/>
      <c r="NCG1" s="149"/>
      <c r="NCH1" s="149"/>
      <c r="NCI1" s="149"/>
      <c r="NCJ1" s="149"/>
      <c r="NCK1" s="149"/>
      <c r="NCL1" s="149"/>
      <c r="NCM1" s="149"/>
      <c r="NCN1" s="149"/>
      <c r="NCO1" s="149"/>
      <c r="NCP1" s="149"/>
      <c r="NCQ1" s="149"/>
      <c r="NCR1" s="149"/>
      <c r="NCS1" s="149"/>
      <c r="NCT1" s="149"/>
      <c r="NCU1" s="149"/>
      <c r="NCV1" s="149"/>
      <c r="NCW1" s="149"/>
      <c r="NCX1" s="149"/>
      <c r="NCY1" s="149"/>
      <c r="NCZ1" s="149"/>
      <c r="NDA1" s="149"/>
      <c r="NDB1" s="149"/>
      <c r="NDC1" s="149"/>
      <c r="NDD1" s="149"/>
      <c r="NDE1" s="149"/>
      <c r="NDF1" s="149"/>
      <c r="NDG1" s="149"/>
      <c r="NDH1" s="149"/>
      <c r="NDI1" s="149"/>
      <c r="NDJ1" s="149"/>
      <c r="NDK1" s="149"/>
      <c r="NDL1" s="149"/>
      <c r="NDM1" s="149"/>
      <c r="NDN1" s="149"/>
      <c r="NDO1" s="149"/>
      <c r="NDP1" s="149"/>
      <c r="NDQ1" s="149"/>
      <c r="NDR1" s="149"/>
      <c r="NDS1" s="149"/>
      <c r="NDT1" s="149"/>
      <c r="NDU1" s="149"/>
      <c r="NDV1" s="149"/>
      <c r="NDW1" s="149"/>
      <c r="NDX1" s="149"/>
      <c r="NDY1" s="149"/>
      <c r="NDZ1" s="149"/>
      <c r="NEA1" s="149"/>
      <c r="NEB1" s="149"/>
      <c r="NEC1" s="149"/>
      <c r="NED1" s="149"/>
      <c r="NEE1" s="149"/>
      <c r="NEF1" s="149"/>
      <c r="NEG1" s="149"/>
      <c r="NEH1" s="149"/>
      <c r="NEI1" s="149"/>
      <c r="NEJ1" s="149"/>
      <c r="NEK1" s="149"/>
      <c r="NEL1" s="149"/>
      <c r="NEM1" s="149"/>
      <c r="NEN1" s="149"/>
      <c r="NEO1" s="149"/>
      <c r="NEP1" s="149"/>
      <c r="NEQ1" s="149"/>
      <c r="NER1" s="149"/>
      <c r="NES1" s="149"/>
      <c r="NET1" s="149"/>
      <c r="NEU1" s="149"/>
      <c r="NEV1" s="149"/>
      <c r="NEW1" s="149"/>
      <c r="NEX1" s="149"/>
      <c r="NEY1" s="149"/>
      <c r="NEZ1" s="149"/>
      <c r="NFA1" s="149"/>
      <c r="NFB1" s="149"/>
      <c r="NFC1" s="149"/>
      <c r="NFD1" s="149"/>
      <c r="NFE1" s="149"/>
      <c r="NFF1" s="149"/>
      <c r="NFG1" s="149"/>
      <c r="NFH1" s="149"/>
      <c r="NFI1" s="149"/>
      <c r="NFJ1" s="149"/>
      <c r="NFK1" s="149"/>
      <c r="NFL1" s="149"/>
      <c r="NFM1" s="149"/>
      <c r="NFN1" s="149"/>
      <c r="NFO1" s="149"/>
      <c r="NFP1" s="149"/>
      <c r="NFQ1" s="149"/>
      <c r="NFR1" s="149"/>
      <c r="NFS1" s="149"/>
      <c r="NFT1" s="149"/>
      <c r="NFU1" s="149"/>
      <c r="NFV1" s="149"/>
      <c r="NFW1" s="149"/>
      <c r="NFX1" s="149"/>
      <c r="NFY1" s="149"/>
      <c r="NFZ1" s="149"/>
      <c r="NGA1" s="149"/>
      <c r="NGB1" s="149"/>
      <c r="NGC1" s="149"/>
      <c r="NGD1" s="149"/>
      <c r="NGE1" s="149"/>
      <c r="NGF1" s="149"/>
      <c r="NGG1" s="149"/>
      <c r="NGH1" s="149"/>
      <c r="NGI1" s="149"/>
      <c r="NGJ1" s="149"/>
      <c r="NGK1" s="149"/>
      <c r="NGL1" s="149"/>
      <c r="NGM1" s="149"/>
      <c r="NGN1" s="149"/>
      <c r="NGO1" s="149"/>
      <c r="NGP1" s="149"/>
      <c r="NGQ1" s="149"/>
      <c r="NGR1" s="149"/>
      <c r="NGS1" s="149"/>
      <c r="NGT1" s="149"/>
      <c r="NGU1" s="149"/>
      <c r="NGV1" s="149"/>
      <c r="NGW1" s="149"/>
      <c r="NGX1" s="149"/>
      <c r="NGY1" s="149"/>
      <c r="NGZ1" s="149"/>
      <c r="NHA1" s="149"/>
      <c r="NHB1" s="149"/>
      <c r="NHC1" s="149"/>
      <c r="NHD1" s="149"/>
      <c r="NHE1" s="149"/>
      <c r="NHF1" s="149"/>
      <c r="NHG1" s="149"/>
      <c r="NHH1" s="149"/>
      <c r="NHI1" s="149"/>
      <c r="NHJ1" s="149"/>
      <c r="NHK1" s="149"/>
      <c r="NHL1" s="149"/>
      <c r="NHM1" s="149"/>
      <c r="NHN1" s="149"/>
      <c r="NHO1" s="149"/>
      <c r="NHP1" s="149"/>
      <c r="NHQ1" s="149"/>
      <c r="NHR1" s="149"/>
      <c r="NHS1" s="149"/>
      <c r="NHT1" s="149"/>
      <c r="NHU1" s="149"/>
      <c r="NHV1" s="149"/>
      <c r="NHW1" s="149"/>
      <c r="NHX1" s="149"/>
      <c r="NHY1" s="149"/>
      <c r="NHZ1" s="149"/>
      <c r="NIA1" s="149"/>
      <c r="NIB1" s="149"/>
      <c r="NIC1" s="149"/>
      <c r="NID1" s="149"/>
      <c r="NIE1" s="149"/>
      <c r="NIF1" s="149"/>
      <c r="NIG1" s="149"/>
      <c r="NIH1" s="149"/>
      <c r="NII1" s="149"/>
      <c r="NIJ1" s="149"/>
      <c r="NIK1" s="149"/>
      <c r="NIL1" s="149"/>
      <c r="NIM1" s="149"/>
      <c r="NIN1" s="149"/>
      <c r="NIO1" s="149"/>
      <c r="NIP1" s="149"/>
      <c r="NIQ1" s="149"/>
      <c r="NIR1" s="149"/>
      <c r="NIS1" s="149"/>
      <c r="NIT1" s="149"/>
      <c r="NIU1" s="149"/>
      <c r="NIV1" s="149"/>
      <c r="NIW1" s="149"/>
      <c r="NIX1" s="149"/>
      <c r="NIY1" s="149"/>
      <c r="NIZ1" s="149"/>
      <c r="NJA1" s="149"/>
      <c r="NJB1" s="149"/>
      <c r="NJC1" s="149"/>
      <c r="NJD1" s="149"/>
      <c r="NJE1" s="149"/>
      <c r="NJF1" s="149"/>
      <c r="NJG1" s="149"/>
      <c r="NJH1" s="149"/>
      <c r="NJI1" s="149"/>
      <c r="NJJ1" s="149"/>
      <c r="NJK1" s="149"/>
      <c r="NJL1" s="149"/>
      <c r="NJM1" s="149"/>
      <c r="NJN1" s="149"/>
      <c r="NJO1" s="149"/>
      <c r="NJP1" s="149"/>
      <c r="NJQ1" s="149"/>
      <c r="NJR1" s="149"/>
      <c r="NJS1" s="149"/>
      <c r="NJT1" s="149"/>
      <c r="NJU1" s="149"/>
      <c r="NJV1" s="149"/>
      <c r="NJW1" s="149"/>
      <c r="NJX1" s="149"/>
      <c r="NJY1" s="149"/>
      <c r="NJZ1" s="149"/>
      <c r="NKA1" s="149"/>
      <c r="NKB1" s="149"/>
      <c r="NKC1" s="149"/>
      <c r="NKD1" s="149"/>
      <c r="NKE1" s="149"/>
      <c r="NKF1" s="149"/>
      <c r="NKG1" s="149"/>
      <c r="NKH1" s="149"/>
      <c r="NKI1" s="149"/>
      <c r="NKJ1" s="149"/>
      <c r="NKK1" s="149"/>
      <c r="NKL1" s="149"/>
      <c r="NKM1" s="149"/>
      <c r="NKN1" s="149"/>
      <c r="NKO1" s="149"/>
      <c r="NKP1" s="149"/>
      <c r="NKQ1" s="149"/>
      <c r="NKR1" s="149"/>
      <c r="NKS1" s="149"/>
      <c r="NKT1" s="149"/>
      <c r="NKU1" s="149"/>
      <c r="NKV1" s="149"/>
      <c r="NKW1" s="149"/>
      <c r="NKX1" s="149"/>
      <c r="NKY1" s="149"/>
      <c r="NKZ1" s="149"/>
      <c r="NLA1" s="149"/>
      <c r="NLB1" s="149"/>
      <c r="NLC1" s="149"/>
      <c r="NLD1" s="149"/>
      <c r="NLE1" s="149"/>
      <c r="NLF1" s="149"/>
      <c r="NLG1" s="149"/>
      <c r="NLH1" s="149"/>
      <c r="NLI1" s="149"/>
      <c r="NLJ1" s="149"/>
      <c r="NLK1" s="149"/>
      <c r="NLL1" s="149"/>
      <c r="NLM1" s="149"/>
      <c r="NLN1" s="149"/>
      <c r="NLO1" s="149"/>
      <c r="NLP1" s="149"/>
      <c r="NLQ1" s="149"/>
      <c r="NLR1" s="149"/>
      <c r="NLS1" s="149"/>
      <c r="NLT1" s="149"/>
      <c r="NLU1" s="149"/>
      <c r="NLV1" s="149"/>
      <c r="NLW1" s="149"/>
      <c r="NLX1" s="149"/>
      <c r="NLY1" s="149"/>
      <c r="NLZ1" s="149"/>
      <c r="NMA1" s="149"/>
      <c r="NMB1" s="149"/>
      <c r="NMC1" s="149"/>
      <c r="NMD1" s="149"/>
      <c r="NME1" s="149"/>
      <c r="NMF1" s="149"/>
      <c r="NMG1" s="149"/>
      <c r="NMH1" s="149"/>
      <c r="NMI1" s="149"/>
      <c r="NMJ1" s="149"/>
      <c r="NMK1" s="149"/>
      <c r="NML1" s="149"/>
      <c r="NMM1" s="149"/>
      <c r="NMN1" s="149"/>
      <c r="NMO1" s="149"/>
      <c r="NMP1" s="149"/>
      <c r="NMQ1" s="149"/>
      <c r="NMR1" s="149"/>
      <c r="NMS1" s="149"/>
      <c r="NMT1" s="149"/>
      <c r="NMU1" s="149"/>
      <c r="NMV1" s="149"/>
      <c r="NMW1" s="149"/>
      <c r="NMX1" s="149"/>
      <c r="NMY1" s="149"/>
      <c r="NMZ1" s="149"/>
      <c r="NNA1" s="149"/>
      <c r="NNB1" s="149"/>
      <c r="NNC1" s="149"/>
      <c r="NND1" s="149"/>
      <c r="NNE1" s="149"/>
      <c r="NNF1" s="149"/>
      <c r="NNG1" s="149"/>
      <c r="NNH1" s="149"/>
      <c r="NNI1" s="149"/>
      <c r="NNJ1" s="149"/>
      <c r="NNK1" s="149"/>
      <c r="NNL1" s="149"/>
      <c r="NNM1" s="149"/>
      <c r="NNN1" s="149"/>
      <c r="NNO1" s="149"/>
      <c r="NNP1" s="149"/>
      <c r="NNQ1" s="149"/>
      <c r="NNR1" s="149"/>
      <c r="NNS1" s="149"/>
      <c r="NNT1" s="149"/>
      <c r="NNU1" s="149"/>
      <c r="NNV1" s="149"/>
      <c r="NNW1" s="149"/>
      <c r="NNX1" s="149"/>
      <c r="NNY1" s="149"/>
      <c r="NNZ1" s="149"/>
      <c r="NOA1" s="149"/>
      <c r="NOB1" s="149"/>
      <c r="NOC1" s="149"/>
      <c r="NOD1" s="149"/>
      <c r="NOE1" s="149"/>
      <c r="NOF1" s="149"/>
      <c r="NOG1" s="149"/>
      <c r="NOH1" s="149"/>
      <c r="NOI1" s="149"/>
      <c r="NOJ1" s="149"/>
      <c r="NOK1" s="149"/>
      <c r="NOL1" s="149"/>
      <c r="NOM1" s="149"/>
      <c r="NON1" s="149"/>
      <c r="NOO1" s="149"/>
      <c r="NOP1" s="149"/>
      <c r="NOQ1" s="149"/>
      <c r="NOR1" s="149"/>
      <c r="NOS1" s="149"/>
      <c r="NOT1" s="149"/>
      <c r="NOU1" s="149"/>
      <c r="NOV1" s="149"/>
      <c r="NOW1" s="149"/>
      <c r="NOX1" s="149"/>
      <c r="NOY1" s="149"/>
      <c r="NOZ1" s="149"/>
      <c r="NPA1" s="149"/>
      <c r="NPB1" s="149"/>
      <c r="NPC1" s="149"/>
      <c r="NPD1" s="149"/>
      <c r="NPE1" s="149"/>
      <c r="NPF1" s="149"/>
      <c r="NPG1" s="149"/>
      <c r="NPH1" s="149"/>
      <c r="NPI1" s="149"/>
      <c r="NPJ1" s="149"/>
      <c r="NPK1" s="149"/>
      <c r="NPL1" s="149"/>
      <c r="NPM1" s="149"/>
      <c r="NPN1" s="149"/>
      <c r="NPO1" s="149"/>
      <c r="NPP1" s="149"/>
      <c r="NPQ1" s="149"/>
      <c r="NPR1" s="149"/>
      <c r="NPS1" s="149"/>
      <c r="NPT1" s="149"/>
      <c r="NPU1" s="149"/>
      <c r="NPV1" s="149"/>
      <c r="NPW1" s="149"/>
      <c r="NPX1" s="149"/>
      <c r="NPY1" s="149"/>
      <c r="NPZ1" s="149"/>
      <c r="NQA1" s="149"/>
      <c r="NQB1" s="149"/>
      <c r="NQC1" s="149"/>
      <c r="NQD1" s="149"/>
      <c r="NQE1" s="149"/>
      <c r="NQF1" s="149"/>
      <c r="NQG1" s="149"/>
      <c r="NQH1" s="149"/>
      <c r="NQI1" s="149"/>
      <c r="NQJ1" s="149"/>
      <c r="NQK1" s="149"/>
      <c r="NQL1" s="149"/>
      <c r="NQM1" s="149"/>
      <c r="NQN1" s="149"/>
      <c r="NQO1" s="149"/>
      <c r="NQP1" s="149"/>
      <c r="NQQ1" s="149"/>
      <c r="NQR1" s="149"/>
      <c r="NQS1" s="149"/>
      <c r="NQT1" s="149"/>
      <c r="NQU1" s="149"/>
      <c r="NQV1" s="149"/>
      <c r="NQW1" s="149"/>
      <c r="NQX1" s="149"/>
      <c r="NQY1" s="149"/>
      <c r="NQZ1" s="149"/>
      <c r="NRA1" s="149"/>
      <c r="NRB1" s="149"/>
      <c r="NRC1" s="149"/>
      <c r="NRD1" s="149"/>
      <c r="NRE1" s="149"/>
      <c r="NRF1" s="149"/>
      <c r="NRG1" s="149"/>
      <c r="NRH1" s="149"/>
      <c r="NRI1" s="149"/>
      <c r="NRJ1" s="149"/>
      <c r="NRK1" s="149"/>
      <c r="NRL1" s="149"/>
      <c r="NRM1" s="149"/>
      <c r="NRN1" s="149"/>
      <c r="NRO1" s="149"/>
      <c r="NRP1" s="149"/>
      <c r="NRQ1" s="149"/>
      <c r="NRR1" s="149"/>
      <c r="NRS1" s="149"/>
      <c r="NRT1" s="149"/>
      <c r="NRU1" s="149"/>
      <c r="NRV1" s="149"/>
      <c r="NRW1" s="149"/>
      <c r="NRX1" s="149"/>
      <c r="NRY1" s="149"/>
      <c r="NRZ1" s="149"/>
      <c r="NSA1" s="149"/>
      <c r="NSB1" s="149"/>
      <c r="NSC1" s="149"/>
      <c r="NSD1" s="149"/>
      <c r="NSE1" s="149"/>
      <c r="NSF1" s="149"/>
      <c r="NSG1" s="149"/>
      <c r="NSH1" s="149"/>
      <c r="NSI1" s="149"/>
      <c r="NSJ1" s="149"/>
      <c r="NSK1" s="149"/>
      <c r="NSL1" s="149"/>
      <c r="NSM1" s="149"/>
      <c r="NSN1" s="149"/>
      <c r="NSO1" s="149"/>
      <c r="NSP1" s="149"/>
      <c r="NSQ1" s="149"/>
      <c r="NSR1" s="149"/>
      <c r="NSS1" s="149"/>
      <c r="NST1" s="149"/>
      <c r="NSU1" s="149"/>
      <c r="NSV1" s="149"/>
      <c r="NSW1" s="149"/>
      <c r="NSX1" s="149"/>
      <c r="NSY1" s="149"/>
      <c r="NSZ1" s="149"/>
      <c r="NTA1" s="149"/>
      <c r="NTB1" s="149"/>
      <c r="NTC1" s="149"/>
      <c r="NTD1" s="149"/>
      <c r="NTE1" s="149"/>
      <c r="NTF1" s="149"/>
      <c r="NTG1" s="149"/>
      <c r="NTH1" s="149"/>
      <c r="NTI1" s="149"/>
      <c r="NTJ1" s="149"/>
      <c r="NTK1" s="149"/>
      <c r="NTL1" s="149"/>
      <c r="NTM1" s="149"/>
      <c r="NTN1" s="149"/>
      <c r="NTO1" s="149"/>
      <c r="NTP1" s="149"/>
      <c r="NTQ1" s="149"/>
      <c r="NTR1" s="149"/>
      <c r="NTS1" s="149"/>
      <c r="NTT1" s="149"/>
      <c r="NTU1" s="149"/>
      <c r="NTV1" s="149"/>
      <c r="NTW1" s="149"/>
      <c r="NTX1" s="149"/>
      <c r="NTY1" s="149"/>
      <c r="NTZ1" s="149"/>
      <c r="NUA1" s="149"/>
      <c r="NUB1" s="149"/>
      <c r="NUC1" s="149"/>
      <c r="NUD1" s="149"/>
      <c r="NUE1" s="149"/>
      <c r="NUF1" s="149"/>
      <c r="NUG1" s="149"/>
      <c r="NUH1" s="149"/>
      <c r="NUI1" s="149"/>
      <c r="NUJ1" s="149"/>
      <c r="NUK1" s="149"/>
      <c r="NUL1" s="149"/>
      <c r="NUM1" s="149"/>
      <c r="NUN1" s="149"/>
      <c r="NUO1" s="149"/>
      <c r="NUP1" s="149"/>
      <c r="NUQ1" s="149"/>
      <c r="NUR1" s="149"/>
      <c r="NUS1" s="149"/>
      <c r="NUT1" s="149"/>
      <c r="NUU1" s="149"/>
      <c r="NUV1" s="149"/>
      <c r="NUW1" s="149"/>
      <c r="NUX1" s="149"/>
      <c r="NUY1" s="149"/>
      <c r="NUZ1" s="149"/>
      <c r="NVA1" s="149"/>
      <c r="NVB1" s="149"/>
      <c r="NVC1" s="149"/>
      <c r="NVD1" s="149"/>
      <c r="NVE1" s="149"/>
      <c r="NVF1" s="149"/>
      <c r="NVG1" s="149"/>
      <c r="NVH1" s="149"/>
      <c r="NVI1" s="149"/>
      <c r="NVJ1" s="149"/>
      <c r="NVK1" s="149"/>
      <c r="NVL1" s="149"/>
      <c r="NVM1" s="149"/>
      <c r="NVN1" s="149"/>
      <c r="NVO1" s="149"/>
      <c r="NVP1" s="149"/>
      <c r="NVQ1" s="149"/>
      <c r="NVR1" s="149"/>
      <c r="NVS1" s="149"/>
      <c r="NVT1" s="149"/>
      <c r="NVU1" s="149"/>
      <c r="NVV1" s="149"/>
      <c r="NVW1" s="149"/>
      <c r="NVX1" s="149"/>
      <c r="NVY1" s="149"/>
      <c r="NVZ1" s="149"/>
      <c r="NWA1" s="149"/>
      <c r="NWB1" s="149"/>
      <c r="NWC1" s="149"/>
      <c r="NWD1" s="149"/>
      <c r="NWE1" s="149"/>
      <c r="NWF1" s="149"/>
      <c r="NWG1" s="149"/>
      <c r="NWH1" s="149"/>
      <c r="NWI1" s="149"/>
      <c r="NWJ1" s="149"/>
      <c r="NWK1" s="149"/>
      <c r="NWL1" s="149"/>
      <c r="NWM1" s="149"/>
      <c r="NWN1" s="149"/>
      <c r="NWO1" s="149"/>
      <c r="NWP1" s="149"/>
      <c r="NWQ1" s="149"/>
      <c r="NWR1" s="149"/>
      <c r="NWS1" s="149"/>
      <c r="NWT1" s="149"/>
      <c r="NWU1" s="149"/>
      <c r="NWV1" s="149"/>
      <c r="NWW1" s="149"/>
      <c r="NWX1" s="149"/>
      <c r="NWY1" s="149"/>
      <c r="NWZ1" s="149"/>
      <c r="NXA1" s="149"/>
      <c r="NXB1" s="149"/>
      <c r="NXC1" s="149"/>
      <c r="NXD1" s="149"/>
      <c r="NXE1" s="149"/>
      <c r="NXF1" s="149"/>
      <c r="NXG1" s="149"/>
      <c r="NXH1" s="149"/>
      <c r="NXI1" s="149"/>
      <c r="NXJ1" s="149"/>
      <c r="NXK1" s="149"/>
      <c r="NXL1" s="149"/>
      <c r="NXM1" s="149"/>
      <c r="NXN1" s="149"/>
      <c r="NXO1" s="149"/>
      <c r="NXP1" s="149"/>
      <c r="NXQ1" s="149"/>
      <c r="NXR1" s="149"/>
      <c r="NXS1" s="149"/>
      <c r="NXT1" s="149"/>
      <c r="NXU1" s="149"/>
      <c r="NXV1" s="149"/>
      <c r="NXW1" s="149"/>
      <c r="NXX1" s="149"/>
      <c r="NXY1" s="149"/>
      <c r="NXZ1" s="149"/>
      <c r="NYA1" s="149"/>
      <c r="NYB1" s="149"/>
      <c r="NYC1" s="149"/>
      <c r="NYD1" s="149"/>
      <c r="NYE1" s="149"/>
      <c r="NYF1" s="149"/>
      <c r="NYG1" s="149"/>
      <c r="NYH1" s="149"/>
      <c r="NYI1" s="149"/>
      <c r="NYJ1" s="149"/>
      <c r="NYK1" s="149"/>
      <c r="NYL1" s="149"/>
      <c r="NYM1" s="149"/>
      <c r="NYN1" s="149"/>
      <c r="NYO1" s="149"/>
      <c r="NYP1" s="149"/>
      <c r="NYQ1" s="149"/>
      <c r="NYR1" s="149"/>
      <c r="NYS1" s="149"/>
      <c r="NYT1" s="149"/>
      <c r="NYU1" s="149"/>
      <c r="NYV1" s="149"/>
      <c r="NYW1" s="149"/>
      <c r="NYX1" s="149"/>
      <c r="NYY1" s="149"/>
      <c r="NYZ1" s="149"/>
      <c r="NZA1" s="149"/>
      <c r="NZB1" s="149"/>
      <c r="NZC1" s="149"/>
      <c r="NZD1" s="149"/>
      <c r="NZE1" s="149"/>
      <c r="NZF1" s="149"/>
      <c r="NZG1" s="149"/>
      <c r="NZH1" s="149"/>
      <c r="NZI1" s="149"/>
      <c r="NZJ1" s="149"/>
      <c r="NZK1" s="149"/>
      <c r="NZL1" s="149"/>
      <c r="NZM1" s="149"/>
      <c r="NZN1" s="149"/>
      <c r="NZO1" s="149"/>
      <c r="NZP1" s="149"/>
      <c r="NZQ1" s="149"/>
      <c r="NZR1" s="149"/>
      <c r="NZS1" s="149"/>
      <c r="NZT1" s="149"/>
      <c r="NZU1" s="149"/>
      <c r="NZV1" s="149"/>
      <c r="NZW1" s="149"/>
      <c r="NZX1" s="149"/>
      <c r="NZY1" s="149"/>
      <c r="NZZ1" s="149"/>
      <c r="OAA1" s="149"/>
      <c r="OAB1" s="149"/>
      <c r="OAC1" s="149"/>
      <c r="OAD1" s="149"/>
      <c r="OAE1" s="149"/>
      <c r="OAF1" s="149"/>
      <c r="OAG1" s="149"/>
      <c r="OAH1" s="149"/>
      <c r="OAI1" s="149"/>
      <c r="OAJ1" s="149"/>
      <c r="OAK1" s="149"/>
      <c r="OAL1" s="149"/>
      <c r="OAM1" s="149"/>
      <c r="OAN1" s="149"/>
      <c r="OAO1" s="149"/>
      <c r="OAP1" s="149"/>
      <c r="OAQ1" s="149"/>
      <c r="OAR1" s="149"/>
      <c r="OAS1" s="149"/>
      <c r="OAT1" s="149"/>
      <c r="OAU1" s="149"/>
      <c r="OAV1" s="149"/>
      <c r="OAW1" s="149"/>
      <c r="OAX1" s="149"/>
      <c r="OAY1" s="149"/>
      <c r="OAZ1" s="149"/>
      <c r="OBA1" s="149"/>
      <c r="OBB1" s="149"/>
      <c r="OBC1" s="149"/>
      <c r="OBD1" s="149"/>
      <c r="OBE1" s="149"/>
      <c r="OBF1" s="149"/>
      <c r="OBG1" s="149"/>
      <c r="OBH1" s="149"/>
      <c r="OBI1" s="149"/>
      <c r="OBJ1" s="149"/>
      <c r="OBK1" s="149"/>
      <c r="OBL1" s="149"/>
      <c r="OBM1" s="149"/>
      <c r="OBN1" s="149"/>
      <c r="OBO1" s="149"/>
      <c r="OBP1" s="149"/>
      <c r="OBQ1" s="149"/>
      <c r="OBR1" s="149"/>
      <c r="OBS1" s="149"/>
      <c r="OBT1" s="149"/>
      <c r="OBU1" s="149"/>
      <c r="OBV1" s="149"/>
      <c r="OBW1" s="149"/>
      <c r="OBX1" s="149"/>
      <c r="OBY1" s="149"/>
      <c r="OBZ1" s="149"/>
      <c r="OCA1" s="149"/>
      <c r="OCB1" s="149"/>
      <c r="OCC1" s="149"/>
      <c r="OCD1" s="149"/>
      <c r="OCE1" s="149"/>
      <c r="OCF1" s="149"/>
      <c r="OCG1" s="149"/>
      <c r="OCH1" s="149"/>
      <c r="OCI1" s="149"/>
      <c r="OCJ1" s="149"/>
      <c r="OCK1" s="149"/>
      <c r="OCL1" s="149"/>
      <c r="OCM1" s="149"/>
      <c r="OCN1" s="149"/>
      <c r="OCO1" s="149"/>
      <c r="OCP1" s="149"/>
      <c r="OCQ1" s="149"/>
      <c r="OCR1" s="149"/>
      <c r="OCS1" s="149"/>
      <c r="OCT1" s="149"/>
      <c r="OCU1" s="149"/>
      <c r="OCV1" s="149"/>
      <c r="OCW1" s="149"/>
      <c r="OCX1" s="149"/>
      <c r="OCY1" s="149"/>
      <c r="OCZ1" s="149"/>
      <c r="ODA1" s="149"/>
      <c r="ODB1" s="149"/>
      <c r="ODC1" s="149"/>
      <c r="ODD1" s="149"/>
      <c r="ODE1" s="149"/>
      <c r="ODF1" s="149"/>
      <c r="ODG1" s="149"/>
      <c r="ODH1" s="149"/>
      <c r="ODI1" s="149"/>
      <c r="ODJ1" s="149"/>
      <c r="ODK1" s="149"/>
      <c r="ODL1" s="149"/>
      <c r="ODM1" s="149"/>
      <c r="ODN1" s="149"/>
      <c r="ODO1" s="149"/>
      <c r="ODP1" s="149"/>
      <c r="ODQ1" s="149"/>
      <c r="ODR1" s="149"/>
      <c r="ODS1" s="149"/>
      <c r="ODT1" s="149"/>
      <c r="ODU1" s="149"/>
      <c r="ODV1" s="149"/>
      <c r="ODW1" s="149"/>
      <c r="ODX1" s="149"/>
      <c r="ODY1" s="149"/>
      <c r="ODZ1" s="149"/>
      <c r="OEA1" s="149"/>
      <c r="OEB1" s="149"/>
      <c r="OEC1" s="149"/>
      <c r="OED1" s="149"/>
      <c r="OEE1" s="149"/>
      <c r="OEF1" s="149"/>
      <c r="OEG1" s="149"/>
      <c r="OEH1" s="149"/>
      <c r="OEI1" s="149"/>
      <c r="OEJ1" s="149"/>
      <c r="OEK1" s="149"/>
      <c r="OEL1" s="149"/>
      <c r="OEM1" s="149"/>
      <c r="OEN1" s="149"/>
      <c r="OEO1" s="149"/>
      <c r="OEP1" s="149"/>
      <c r="OEQ1" s="149"/>
      <c r="OER1" s="149"/>
      <c r="OES1" s="149"/>
      <c r="OET1" s="149"/>
      <c r="OEU1" s="149"/>
      <c r="OEV1" s="149"/>
      <c r="OEW1" s="149"/>
      <c r="OEX1" s="149"/>
      <c r="OEY1" s="149"/>
      <c r="OEZ1" s="149"/>
      <c r="OFA1" s="149"/>
      <c r="OFB1" s="149"/>
      <c r="OFC1" s="149"/>
      <c r="OFD1" s="149"/>
      <c r="OFE1" s="149"/>
      <c r="OFF1" s="149"/>
      <c r="OFG1" s="149"/>
      <c r="OFH1" s="149"/>
      <c r="OFI1" s="149"/>
      <c r="OFJ1" s="149"/>
      <c r="OFK1" s="149"/>
      <c r="OFL1" s="149"/>
      <c r="OFM1" s="149"/>
      <c r="OFN1" s="149"/>
      <c r="OFO1" s="149"/>
      <c r="OFP1" s="149"/>
      <c r="OFQ1" s="149"/>
      <c r="OFR1" s="149"/>
      <c r="OFS1" s="149"/>
      <c r="OFT1" s="149"/>
      <c r="OFU1" s="149"/>
      <c r="OFV1" s="149"/>
      <c r="OFW1" s="149"/>
      <c r="OFX1" s="149"/>
      <c r="OFY1" s="149"/>
      <c r="OFZ1" s="149"/>
      <c r="OGA1" s="149"/>
      <c r="OGB1" s="149"/>
      <c r="OGC1" s="149"/>
      <c r="OGD1" s="149"/>
      <c r="OGE1" s="149"/>
      <c r="OGF1" s="149"/>
      <c r="OGG1" s="149"/>
      <c r="OGH1" s="149"/>
      <c r="OGI1" s="149"/>
      <c r="OGJ1" s="149"/>
      <c r="OGK1" s="149"/>
      <c r="OGL1" s="149"/>
      <c r="OGM1" s="149"/>
      <c r="OGN1" s="149"/>
      <c r="OGO1" s="149"/>
      <c r="OGP1" s="149"/>
      <c r="OGQ1" s="149"/>
      <c r="OGR1" s="149"/>
      <c r="OGS1" s="149"/>
      <c r="OGT1" s="149"/>
      <c r="OGU1" s="149"/>
      <c r="OGV1" s="149"/>
      <c r="OGW1" s="149"/>
      <c r="OGX1" s="149"/>
      <c r="OGY1" s="149"/>
      <c r="OGZ1" s="149"/>
      <c r="OHA1" s="149"/>
      <c r="OHB1" s="149"/>
      <c r="OHC1" s="149"/>
      <c r="OHD1" s="149"/>
      <c r="OHE1" s="149"/>
      <c r="OHF1" s="149"/>
      <c r="OHG1" s="149"/>
      <c r="OHH1" s="149"/>
      <c r="OHI1" s="149"/>
      <c r="OHJ1" s="149"/>
      <c r="OHK1" s="149"/>
      <c r="OHL1" s="149"/>
      <c r="OHM1" s="149"/>
      <c r="OHN1" s="149"/>
      <c r="OHO1" s="149"/>
      <c r="OHP1" s="149"/>
      <c r="OHQ1" s="149"/>
      <c r="OHR1" s="149"/>
      <c r="OHS1" s="149"/>
      <c r="OHT1" s="149"/>
      <c r="OHU1" s="149"/>
      <c r="OHV1" s="149"/>
      <c r="OHW1" s="149"/>
      <c r="OHX1" s="149"/>
      <c r="OHY1" s="149"/>
      <c r="OHZ1" s="149"/>
      <c r="OIA1" s="149"/>
      <c r="OIB1" s="149"/>
      <c r="OIC1" s="149"/>
      <c r="OID1" s="149"/>
      <c r="OIE1" s="149"/>
      <c r="OIF1" s="149"/>
      <c r="OIG1" s="149"/>
      <c r="OIH1" s="149"/>
      <c r="OII1" s="149"/>
      <c r="OIJ1" s="149"/>
      <c r="OIK1" s="149"/>
      <c r="OIL1" s="149"/>
      <c r="OIM1" s="149"/>
      <c r="OIN1" s="149"/>
      <c r="OIO1" s="149"/>
      <c r="OIP1" s="149"/>
      <c r="OIQ1" s="149"/>
      <c r="OIR1" s="149"/>
      <c r="OIS1" s="149"/>
      <c r="OIT1" s="149"/>
      <c r="OIU1" s="149"/>
      <c r="OIV1" s="149"/>
      <c r="OIW1" s="149"/>
      <c r="OIX1" s="149"/>
      <c r="OIY1" s="149"/>
      <c r="OIZ1" s="149"/>
      <c r="OJA1" s="149"/>
      <c r="OJB1" s="149"/>
      <c r="OJC1" s="149"/>
      <c r="OJD1" s="149"/>
      <c r="OJE1" s="149"/>
      <c r="OJF1" s="149"/>
      <c r="OJG1" s="149"/>
      <c r="OJH1" s="149"/>
      <c r="OJI1" s="149"/>
      <c r="OJJ1" s="149"/>
      <c r="OJK1" s="149"/>
      <c r="OJL1" s="149"/>
      <c r="OJM1" s="149"/>
      <c r="OJN1" s="149"/>
      <c r="OJO1" s="149"/>
      <c r="OJP1" s="149"/>
      <c r="OJQ1" s="149"/>
      <c r="OJR1" s="149"/>
      <c r="OJS1" s="149"/>
      <c r="OJT1" s="149"/>
      <c r="OJU1" s="149"/>
      <c r="OJV1" s="149"/>
      <c r="OJW1" s="149"/>
      <c r="OJX1" s="149"/>
      <c r="OJY1" s="149"/>
      <c r="OJZ1" s="149"/>
      <c r="OKA1" s="149"/>
      <c r="OKB1" s="149"/>
      <c r="OKC1" s="149"/>
      <c r="OKD1" s="149"/>
      <c r="OKE1" s="149"/>
      <c r="OKF1" s="149"/>
      <c r="OKG1" s="149"/>
      <c r="OKH1" s="149"/>
      <c r="OKI1" s="149"/>
      <c r="OKJ1" s="149"/>
      <c r="OKK1" s="149"/>
      <c r="OKL1" s="149"/>
      <c r="OKM1" s="149"/>
      <c r="OKN1" s="149"/>
      <c r="OKO1" s="149"/>
      <c r="OKP1" s="149"/>
      <c r="OKQ1" s="149"/>
      <c r="OKR1" s="149"/>
      <c r="OKS1" s="149"/>
      <c r="OKT1" s="149"/>
      <c r="OKU1" s="149"/>
      <c r="OKV1" s="149"/>
      <c r="OKW1" s="149"/>
      <c r="OKX1" s="149"/>
      <c r="OKY1" s="149"/>
      <c r="OKZ1" s="149"/>
      <c r="OLA1" s="149"/>
      <c r="OLB1" s="149"/>
      <c r="OLC1" s="149"/>
      <c r="OLD1" s="149"/>
      <c r="OLE1" s="149"/>
      <c r="OLF1" s="149"/>
      <c r="OLG1" s="149"/>
      <c r="OLH1" s="149"/>
      <c r="OLI1" s="149"/>
      <c r="OLJ1" s="149"/>
      <c r="OLK1" s="149"/>
      <c r="OLL1" s="149"/>
      <c r="OLM1" s="149"/>
      <c r="OLN1" s="149"/>
      <c r="OLO1" s="149"/>
      <c r="OLP1" s="149"/>
      <c r="OLQ1" s="149"/>
      <c r="OLR1" s="149"/>
      <c r="OLS1" s="149"/>
      <c r="OLT1" s="149"/>
      <c r="OLU1" s="149"/>
      <c r="OLV1" s="149"/>
      <c r="OLW1" s="149"/>
      <c r="OLX1" s="149"/>
      <c r="OLY1" s="149"/>
      <c r="OLZ1" s="149"/>
      <c r="OMA1" s="149"/>
      <c r="OMB1" s="149"/>
      <c r="OMC1" s="149"/>
      <c r="OMD1" s="149"/>
      <c r="OME1" s="149"/>
      <c r="OMF1" s="149"/>
      <c r="OMG1" s="149"/>
      <c r="OMH1" s="149"/>
      <c r="OMI1" s="149"/>
      <c r="OMJ1" s="149"/>
      <c r="OMK1" s="149"/>
      <c r="OML1" s="149"/>
      <c r="OMM1" s="149"/>
      <c r="OMN1" s="149"/>
      <c r="OMO1" s="149"/>
      <c r="OMP1" s="149"/>
      <c r="OMQ1" s="149"/>
      <c r="OMR1" s="149"/>
      <c r="OMS1" s="149"/>
      <c r="OMT1" s="149"/>
      <c r="OMU1" s="149"/>
      <c r="OMV1" s="149"/>
      <c r="OMW1" s="149"/>
      <c r="OMX1" s="149"/>
      <c r="OMY1" s="149"/>
      <c r="OMZ1" s="149"/>
      <c r="ONA1" s="149"/>
      <c r="ONB1" s="149"/>
      <c r="ONC1" s="149"/>
      <c r="OND1" s="149"/>
      <c r="ONE1" s="149"/>
      <c r="ONF1" s="149"/>
      <c r="ONG1" s="149"/>
      <c r="ONH1" s="149"/>
      <c r="ONI1" s="149"/>
      <c r="ONJ1" s="149"/>
      <c r="ONK1" s="149"/>
      <c r="ONL1" s="149"/>
      <c r="ONM1" s="149"/>
      <c r="ONN1" s="149"/>
      <c r="ONO1" s="149"/>
      <c r="ONP1" s="149"/>
      <c r="ONQ1" s="149"/>
      <c r="ONR1" s="149"/>
      <c r="ONS1" s="149"/>
      <c r="ONT1" s="149"/>
      <c r="ONU1" s="149"/>
      <c r="ONV1" s="149"/>
      <c r="ONW1" s="149"/>
      <c r="ONX1" s="149"/>
      <c r="ONY1" s="149"/>
      <c r="ONZ1" s="149"/>
      <c r="OOA1" s="149"/>
      <c r="OOB1" s="149"/>
      <c r="OOC1" s="149"/>
      <c r="OOD1" s="149"/>
      <c r="OOE1" s="149"/>
      <c r="OOF1" s="149"/>
      <c r="OOG1" s="149"/>
      <c r="OOH1" s="149"/>
      <c r="OOI1" s="149"/>
      <c r="OOJ1" s="149"/>
      <c r="OOK1" s="149"/>
      <c r="OOL1" s="149"/>
      <c r="OOM1" s="149"/>
      <c r="OON1" s="149"/>
      <c r="OOO1" s="149"/>
      <c r="OOP1" s="149"/>
      <c r="OOQ1" s="149"/>
      <c r="OOR1" s="149"/>
      <c r="OOS1" s="149"/>
      <c r="OOT1" s="149"/>
      <c r="OOU1" s="149"/>
      <c r="OOV1" s="149"/>
      <c r="OOW1" s="149"/>
      <c r="OOX1" s="149"/>
      <c r="OOY1" s="149"/>
      <c r="OOZ1" s="149"/>
      <c r="OPA1" s="149"/>
      <c r="OPB1" s="149"/>
      <c r="OPC1" s="149"/>
      <c r="OPD1" s="149"/>
      <c r="OPE1" s="149"/>
      <c r="OPF1" s="149"/>
      <c r="OPG1" s="149"/>
      <c r="OPH1" s="149"/>
      <c r="OPI1" s="149"/>
      <c r="OPJ1" s="149"/>
      <c r="OPK1" s="149"/>
      <c r="OPL1" s="149"/>
      <c r="OPM1" s="149"/>
      <c r="OPN1" s="149"/>
      <c r="OPO1" s="149"/>
      <c r="OPP1" s="149"/>
      <c r="OPQ1" s="149"/>
      <c r="OPR1" s="149"/>
      <c r="OPS1" s="149"/>
      <c r="OPT1" s="149"/>
      <c r="OPU1" s="149"/>
      <c r="OPV1" s="149"/>
      <c r="OPW1" s="149"/>
      <c r="OPX1" s="149"/>
      <c r="OPY1" s="149"/>
      <c r="OPZ1" s="149"/>
      <c r="OQA1" s="149"/>
      <c r="OQB1" s="149"/>
      <c r="OQC1" s="149"/>
      <c r="OQD1" s="149"/>
      <c r="OQE1" s="149"/>
      <c r="OQF1" s="149"/>
      <c r="OQG1" s="149"/>
      <c r="OQH1" s="149"/>
      <c r="OQI1" s="149"/>
      <c r="OQJ1" s="149"/>
      <c r="OQK1" s="149"/>
      <c r="OQL1" s="149"/>
      <c r="OQM1" s="149"/>
      <c r="OQN1" s="149"/>
      <c r="OQO1" s="149"/>
      <c r="OQP1" s="149"/>
      <c r="OQQ1" s="149"/>
      <c r="OQR1" s="149"/>
      <c r="OQS1" s="149"/>
      <c r="OQT1" s="149"/>
      <c r="OQU1" s="149"/>
      <c r="OQV1" s="149"/>
      <c r="OQW1" s="149"/>
      <c r="OQX1" s="149"/>
      <c r="OQY1" s="149"/>
      <c r="OQZ1" s="149"/>
      <c r="ORA1" s="149"/>
      <c r="ORB1" s="149"/>
      <c r="ORC1" s="149"/>
      <c r="ORD1" s="149"/>
      <c r="ORE1" s="149"/>
      <c r="ORF1" s="149"/>
      <c r="ORG1" s="149"/>
      <c r="ORH1" s="149"/>
      <c r="ORI1" s="149"/>
      <c r="ORJ1" s="149"/>
      <c r="ORK1" s="149"/>
      <c r="ORL1" s="149"/>
      <c r="ORM1" s="149"/>
      <c r="ORN1" s="149"/>
      <c r="ORO1" s="149"/>
      <c r="ORP1" s="149"/>
      <c r="ORQ1" s="149"/>
      <c r="ORR1" s="149"/>
      <c r="ORS1" s="149"/>
      <c r="ORT1" s="149"/>
      <c r="ORU1" s="149"/>
      <c r="ORV1" s="149"/>
      <c r="ORW1" s="149"/>
      <c r="ORX1" s="149"/>
      <c r="ORY1" s="149"/>
      <c r="ORZ1" s="149"/>
      <c r="OSA1" s="149"/>
      <c r="OSB1" s="149"/>
      <c r="OSC1" s="149"/>
      <c r="OSD1" s="149"/>
      <c r="OSE1" s="149"/>
      <c r="OSF1" s="149"/>
      <c r="OSG1" s="149"/>
      <c r="OSH1" s="149"/>
      <c r="OSI1" s="149"/>
      <c r="OSJ1" s="149"/>
      <c r="OSK1" s="149"/>
      <c r="OSL1" s="149"/>
      <c r="OSM1" s="149"/>
      <c r="OSN1" s="149"/>
      <c r="OSO1" s="149"/>
      <c r="OSP1" s="149"/>
      <c r="OSQ1" s="149"/>
      <c r="OSR1" s="149"/>
      <c r="OSS1" s="149"/>
      <c r="OST1" s="149"/>
      <c r="OSU1" s="149"/>
      <c r="OSV1" s="149"/>
      <c r="OSW1" s="149"/>
      <c r="OSX1" s="149"/>
      <c r="OSY1" s="149"/>
      <c r="OSZ1" s="149"/>
      <c r="OTA1" s="149"/>
      <c r="OTB1" s="149"/>
      <c r="OTC1" s="149"/>
      <c r="OTD1" s="149"/>
      <c r="OTE1" s="149"/>
      <c r="OTF1" s="149"/>
      <c r="OTG1" s="149"/>
      <c r="OTH1" s="149"/>
      <c r="OTI1" s="149"/>
      <c r="OTJ1" s="149"/>
      <c r="OTK1" s="149"/>
      <c r="OTL1" s="149"/>
      <c r="OTM1" s="149"/>
      <c r="OTN1" s="149"/>
      <c r="OTO1" s="149"/>
      <c r="OTP1" s="149"/>
      <c r="OTQ1" s="149"/>
      <c r="OTR1" s="149"/>
      <c r="OTS1" s="149"/>
      <c r="OTT1" s="149"/>
      <c r="OTU1" s="149"/>
      <c r="OTV1" s="149"/>
      <c r="OTW1" s="149"/>
      <c r="OTX1" s="149"/>
      <c r="OTY1" s="149"/>
      <c r="OTZ1" s="149"/>
      <c r="OUA1" s="149"/>
      <c r="OUB1" s="149"/>
      <c r="OUC1" s="149"/>
      <c r="OUD1" s="149"/>
      <c r="OUE1" s="149"/>
      <c r="OUF1" s="149"/>
      <c r="OUG1" s="149"/>
      <c r="OUH1" s="149"/>
      <c r="OUI1" s="149"/>
      <c r="OUJ1" s="149"/>
      <c r="OUK1" s="149"/>
      <c r="OUL1" s="149"/>
      <c r="OUM1" s="149"/>
      <c r="OUN1" s="149"/>
      <c r="OUO1" s="149"/>
      <c r="OUP1" s="149"/>
      <c r="OUQ1" s="149"/>
      <c r="OUR1" s="149"/>
      <c r="OUS1" s="149"/>
      <c r="OUT1" s="149"/>
      <c r="OUU1" s="149"/>
      <c r="OUV1" s="149"/>
      <c r="OUW1" s="149"/>
      <c r="OUX1" s="149"/>
      <c r="OUY1" s="149"/>
      <c r="OUZ1" s="149"/>
      <c r="OVA1" s="149"/>
      <c r="OVB1" s="149"/>
      <c r="OVC1" s="149"/>
      <c r="OVD1" s="149"/>
      <c r="OVE1" s="149"/>
      <c r="OVF1" s="149"/>
      <c r="OVG1" s="149"/>
      <c r="OVH1" s="149"/>
      <c r="OVI1" s="149"/>
      <c r="OVJ1" s="149"/>
      <c r="OVK1" s="149"/>
      <c r="OVL1" s="149"/>
      <c r="OVM1" s="149"/>
      <c r="OVN1" s="149"/>
      <c r="OVO1" s="149"/>
      <c r="OVP1" s="149"/>
      <c r="OVQ1" s="149"/>
      <c r="OVR1" s="149"/>
      <c r="OVS1" s="149"/>
      <c r="OVT1" s="149"/>
      <c r="OVU1" s="149"/>
      <c r="OVV1" s="149"/>
      <c r="OVW1" s="149"/>
      <c r="OVX1" s="149"/>
      <c r="OVY1" s="149"/>
      <c r="OVZ1" s="149"/>
      <c r="OWA1" s="149"/>
      <c r="OWB1" s="149"/>
      <c r="OWC1" s="149"/>
      <c r="OWD1" s="149"/>
      <c r="OWE1" s="149"/>
      <c r="OWF1" s="149"/>
      <c r="OWG1" s="149"/>
      <c r="OWH1" s="149"/>
      <c r="OWI1" s="149"/>
      <c r="OWJ1" s="149"/>
      <c r="OWK1" s="149"/>
      <c r="OWL1" s="149"/>
      <c r="OWM1" s="149"/>
      <c r="OWN1" s="149"/>
      <c r="OWO1" s="149"/>
      <c r="OWP1" s="149"/>
      <c r="OWQ1" s="149"/>
      <c r="OWR1" s="149"/>
      <c r="OWS1" s="149"/>
      <c r="OWT1" s="149"/>
      <c r="OWU1" s="149"/>
      <c r="OWV1" s="149"/>
      <c r="OWW1" s="149"/>
      <c r="OWX1" s="149"/>
      <c r="OWY1" s="149"/>
      <c r="OWZ1" s="149"/>
      <c r="OXA1" s="149"/>
      <c r="OXB1" s="149"/>
      <c r="OXC1" s="149"/>
      <c r="OXD1" s="149"/>
      <c r="OXE1" s="149"/>
      <c r="OXF1" s="149"/>
      <c r="OXG1" s="149"/>
      <c r="OXH1" s="149"/>
      <c r="OXI1" s="149"/>
      <c r="OXJ1" s="149"/>
      <c r="OXK1" s="149"/>
      <c r="OXL1" s="149"/>
      <c r="OXM1" s="149"/>
      <c r="OXN1" s="149"/>
      <c r="OXO1" s="149"/>
      <c r="OXP1" s="149"/>
      <c r="OXQ1" s="149"/>
      <c r="OXR1" s="149"/>
      <c r="OXS1" s="149"/>
      <c r="OXT1" s="149"/>
      <c r="OXU1" s="149"/>
      <c r="OXV1" s="149"/>
      <c r="OXW1" s="149"/>
      <c r="OXX1" s="149"/>
      <c r="OXY1" s="149"/>
      <c r="OXZ1" s="149"/>
      <c r="OYA1" s="149"/>
      <c r="OYB1" s="149"/>
      <c r="OYC1" s="149"/>
      <c r="OYD1" s="149"/>
      <c r="OYE1" s="149"/>
      <c r="OYF1" s="149"/>
      <c r="OYG1" s="149"/>
      <c r="OYH1" s="149"/>
      <c r="OYI1" s="149"/>
      <c r="OYJ1" s="149"/>
      <c r="OYK1" s="149"/>
      <c r="OYL1" s="149"/>
      <c r="OYM1" s="149"/>
      <c r="OYN1" s="149"/>
      <c r="OYO1" s="149"/>
      <c r="OYP1" s="149"/>
      <c r="OYQ1" s="149"/>
      <c r="OYR1" s="149"/>
      <c r="OYS1" s="149"/>
      <c r="OYT1" s="149"/>
      <c r="OYU1" s="149"/>
      <c r="OYV1" s="149"/>
      <c r="OYW1" s="149"/>
      <c r="OYX1" s="149"/>
      <c r="OYY1" s="149"/>
      <c r="OYZ1" s="149"/>
      <c r="OZA1" s="149"/>
      <c r="OZB1" s="149"/>
      <c r="OZC1" s="149"/>
      <c r="OZD1" s="149"/>
      <c r="OZE1" s="149"/>
      <c r="OZF1" s="149"/>
      <c r="OZG1" s="149"/>
      <c r="OZH1" s="149"/>
      <c r="OZI1" s="149"/>
      <c r="OZJ1" s="149"/>
      <c r="OZK1" s="149"/>
      <c r="OZL1" s="149"/>
      <c r="OZM1" s="149"/>
      <c r="OZN1" s="149"/>
      <c r="OZO1" s="149"/>
      <c r="OZP1" s="149"/>
      <c r="OZQ1" s="149"/>
      <c r="OZR1" s="149"/>
      <c r="OZS1" s="149"/>
      <c r="OZT1" s="149"/>
      <c r="OZU1" s="149"/>
      <c r="OZV1" s="149"/>
      <c r="OZW1" s="149"/>
      <c r="OZX1" s="149"/>
      <c r="OZY1" s="149"/>
      <c r="OZZ1" s="149"/>
      <c r="PAA1" s="149"/>
      <c r="PAB1" s="149"/>
      <c r="PAC1" s="149"/>
      <c r="PAD1" s="149"/>
      <c r="PAE1" s="149"/>
      <c r="PAF1" s="149"/>
      <c r="PAG1" s="149"/>
      <c r="PAH1" s="149"/>
      <c r="PAI1" s="149"/>
      <c r="PAJ1" s="149"/>
      <c r="PAK1" s="149"/>
      <c r="PAL1" s="149"/>
      <c r="PAM1" s="149"/>
      <c r="PAN1" s="149"/>
      <c r="PAO1" s="149"/>
      <c r="PAP1" s="149"/>
      <c r="PAQ1" s="149"/>
      <c r="PAR1" s="149"/>
      <c r="PAS1" s="149"/>
      <c r="PAT1" s="149"/>
      <c r="PAU1" s="149"/>
      <c r="PAV1" s="149"/>
      <c r="PAW1" s="149"/>
      <c r="PAX1" s="149"/>
      <c r="PAY1" s="149"/>
      <c r="PAZ1" s="149"/>
      <c r="PBA1" s="149"/>
      <c r="PBB1" s="149"/>
      <c r="PBC1" s="149"/>
      <c r="PBD1" s="149"/>
      <c r="PBE1" s="149"/>
      <c r="PBF1" s="149"/>
      <c r="PBG1" s="149"/>
      <c r="PBH1" s="149"/>
      <c r="PBI1" s="149"/>
      <c r="PBJ1" s="149"/>
      <c r="PBK1" s="149"/>
      <c r="PBL1" s="149"/>
      <c r="PBM1" s="149"/>
      <c r="PBN1" s="149"/>
      <c r="PBO1" s="149"/>
      <c r="PBP1" s="149"/>
      <c r="PBQ1" s="149"/>
      <c r="PBR1" s="149"/>
      <c r="PBS1" s="149"/>
      <c r="PBT1" s="149"/>
      <c r="PBU1" s="149"/>
      <c r="PBV1" s="149"/>
      <c r="PBW1" s="149"/>
      <c r="PBX1" s="149"/>
      <c r="PBY1" s="149"/>
      <c r="PBZ1" s="149"/>
      <c r="PCA1" s="149"/>
      <c r="PCB1" s="149"/>
      <c r="PCC1" s="149"/>
      <c r="PCD1" s="149"/>
      <c r="PCE1" s="149"/>
      <c r="PCF1" s="149"/>
      <c r="PCG1" s="149"/>
      <c r="PCH1" s="149"/>
      <c r="PCI1" s="149"/>
      <c r="PCJ1" s="149"/>
      <c r="PCK1" s="149"/>
      <c r="PCL1" s="149"/>
      <c r="PCM1" s="149"/>
      <c r="PCN1" s="149"/>
      <c r="PCO1" s="149"/>
      <c r="PCP1" s="149"/>
      <c r="PCQ1" s="149"/>
      <c r="PCR1" s="149"/>
      <c r="PCS1" s="149"/>
      <c r="PCT1" s="149"/>
      <c r="PCU1" s="149"/>
      <c r="PCV1" s="149"/>
      <c r="PCW1" s="149"/>
      <c r="PCX1" s="149"/>
      <c r="PCY1" s="149"/>
      <c r="PCZ1" s="149"/>
      <c r="PDA1" s="149"/>
      <c r="PDB1" s="149"/>
      <c r="PDC1" s="149"/>
      <c r="PDD1" s="149"/>
      <c r="PDE1" s="149"/>
      <c r="PDF1" s="149"/>
      <c r="PDG1" s="149"/>
      <c r="PDH1" s="149"/>
      <c r="PDI1" s="149"/>
      <c r="PDJ1" s="149"/>
      <c r="PDK1" s="149"/>
      <c r="PDL1" s="149"/>
      <c r="PDM1" s="149"/>
      <c r="PDN1" s="149"/>
      <c r="PDO1" s="149"/>
      <c r="PDP1" s="149"/>
      <c r="PDQ1" s="149"/>
      <c r="PDR1" s="149"/>
      <c r="PDS1" s="149"/>
      <c r="PDT1" s="149"/>
      <c r="PDU1" s="149"/>
      <c r="PDV1" s="149"/>
      <c r="PDW1" s="149"/>
      <c r="PDX1" s="149"/>
      <c r="PDY1" s="149"/>
      <c r="PDZ1" s="149"/>
      <c r="PEA1" s="149"/>
      <c r="PEB1" s="149"/>
      <c r="PEC1" s="149"/>
      <c r="PED1" s="149"/>
      <c r="PEE1" s="149"/>
      <c r="PEF1" s="149"/>
      <c r="PEG1" s="149"/>
      <c r="PEH1" s="149"/>
      <c r="PEI1" s="149"/>
      <c r="PEJ1" s="149"/>
      <c r="PEK1" s="149"/>
      <c r="PEL1" s="149"/>
      <c r="PEM1" s="149"/>
      <c r="PEN1" s="149"/>
      <c r="PEO1" s="149"/>
      <c r="PEP1" s="149"/>
      <c r="PEQ1" s="149"/>
      <c r="PER1" s="149"/>
      <c r="PES1" s="149"/>
      <c r="PET1" s="149"/>
      <c r="PEU1" s="149"/>
      <c r="PEV1" s="149"/>
      <c r="PEW1" s="149"/>
      <c r="PEX1" s="149"/>
      <c r="PEY1" s="149"/>
      <c r="PEZ1" s="149"/>
      <c r="PFA1" s="149"/>
      <c r="PFB1" s="149"/>
      <c r="PFC1" s="149"/>
      <c r="PFD1" s="149"/>
      <c r="PFE1" s="149"/>
      <c r="PFF1" s="149"/>
      <c r="PFG1" s="149"/>
      <c r="PFH1" s="149"/>
      <c r="PFI1" s="149"/>
      <c r="PFJ1" s="149"/>
      <c r="PFK1" s="149"/>
      <c r="PFL1" s="149"/>
      <c r="PFM1" s="149"/>
      <c r="PFN1" s="149"/>
      <c r="PFO1" s="149"/>
      <c r="PFP1" s="149"/>
      <c r="PFQ1" s="149"/>
      <c r="PFR1" s="149"/>
      <c r="PFS1" s="149"/>
      <c r="PFT1" s="149"/>
      <c r="PFU1" s="149"/>
      <c r="PFV1" s="149"/>
      <c r="PFW1" s="149"/>
      <c r="PFX1" s="149"/>
      <c r="PFY1" s="149"/>
      <c r="PFZ1" s="149"/>
      <c r="PGA1" s="149"/>
      <c r="PGB1" s="149"/>
      <c r="PGC1" s="149"/>
      <c r="PGD1" s="149"/>
      <c r="PGE1" s="149"/>
      <c r="PGF1" s="149"/>
      <c r="PGG1" s="149"/>
      <c r="PGH1" s="149"/>
      <c r="PGI1" s="149"/>
      <c r="PGJ1" s="149"/>
      <c r="PGK1" s="149"/>
      <c r="PGL1" s="149"/>
      <c r="PGM1" s="149"/>
      <c r="PGN1" s="149"/>
      <c r="PGO1" s="149"/>
      <c r="PGP1" s="149"/>
      <c r="PGQ1" s="149"/>
      <c r="PGR1" s="149"/>
      <c r="PGS1" s="149"/>
      <c r="PGT1" s="149"/>
      <c r="PGU1" s="149"/>
      <c r="PGV1" s="149"/>
      <c r="PGW1" s="149"/>
      <c r="PGX1" s="149"/>
      <c r="PGY1" s="149"/>
      <c r="PGZ1" s="149"/>
      <c r="PHA1" s="149"/>
      <c r="PHB1" s="149"/>
      <c r="PHC1" s="149"/>
      <c r="PHD1" s="149"/>
      <c r="PHE1" s="149"/>
      <c r="PHF1" s="149"/>
      <c r="PHG1" s="149"/>
      <c r="PHH1" s="149"/>
      <c r="PHI1" s="149"/>
      <c r="PHJ1" s="149"/>
      <c r="PHK1" s="149"/>
      <c r="PHL1" s="149"/>
      <c r="PHM1" s="149"/>
      <c r="PHN1" s="149"/>
      <c r="PHO1" s="149"/>
      <c r="PHP1" s="149"/>
      <c r="PHQ1" s="149"/>
      <c r="PHR1" s="149"/>
      <c r="PHS1" s="149"/>
      <c r="PHT1" s="149"/>
      <c r="PHU1" s="149"/>
      <c r="PHV1" s="149"/>
      <c r="PHW1" s="149"/>
      <c r="PHX1" s="149"/>
      <c r="PHY1" s="149"/>
      <c r="PHZ1" s="149"/>
      <c r="PIA1" s="149"/>
      <c r="PIB1" s="149"/>
      <c r="PIC1" s="149"/>
      <c r="PID1" s="149"/>
      <c r="PIE1" s="149"/>
      <c r="PIF1" s="149"/>
      <c r="PIG1" s="149"/>
      <c r="PIH1" s="149"/>
      <c r="PII1" s="149"/>
      <c r="PIJ1" s="149"/>
      <c r="PIK1" s="149"/>
      <c r="PIL1" s="149"/>
      <c r="PIM1" s="149"/>
      <c r="PIN1" s="149"/>
      <c r="PIO1" s="149"/>
      <c r="PIP1" s="149"/>
      <c r="PIQ1" s="149"/>
      <c r="PIR1" s="149"/>
      <c r="PIS1" s="149"/>
      <c r="PIT1" s="149"/>
      <c r="PIU1" s="149"/>
      <c r="PIV1" s="149"/>
      <c r="PIW1" s="149"/>
      <c r="PIX1" s="149"/>
      <c r="PIY1" s="149"/>
      <c r="PIZ1" s="149"/>
      <c r="PJA1" s="149"/>
      <c r="PJB1" s="149"/>
      <c r="PJC1" s="149"/>
      <c r="PJD1" s="149"/>
      <c r="PJE1" s="149"/>
      <c r="PJF1" s="149"/>
      <c r="PJG1" s="149"/>
      <c r="PJH1" s="149"/>
      <c r="PJI1" s="149"/>
      <c r="PJJ1" s="149"/>
      <c r="PJK1" s="149"/>
      <c r="PJL1" s="149"/>
      <c r="PJM1" s="149"/>
      <c r="PJN1" s="149"/>
      <c r="PJO1" s="149"/>
      <c r="PJP1" s="149"/>
      <c r="PJQ1" s="149"/>
      <c r="PJR1" s="149"/>
      <c r="PJS1" s="149"/>
      <c r="PJT1" s="149"/>
      <c r="PJU1" s="149"/>
      <c r="PJV1" s="149"/>
      <c r="PJW1" s="149"/>
      <c r="PJX1" s="149"/>
      <c r="PJY1" s="149"/>
      <c r="PJZ1" s="149"/>
      <c r="PKA1" s="149"/>
      <c r="PKB1" s="149"/>
      <c r="PKC1" s="149"/>
      <c r="PKD1" s="149"/>
      <c r="PKE1" s="149"/>
      <c r="PKF1" s="149"/>
      <c r="PKG1" s="149"/>
      <c r="PKH1" s="149"/>
      <c r="PKI1" s="149"/>
      <c r="PKJ1" s="149"/>
      <c r="PKK1" s="149"/>
      <c r="PKL1" s="149"/>
      <c r="PKM1" s="149"/>
      <c r="PKN1" s="149"/>
      <c r="PKO1" s="149"/>
      <c r="PKP1" s="149"/>
      <c r="PKQ1" s="149"/>
      <c r="PKR1" s="149"/>
      <c r="PKS1" s="149"/>
      <c r="PKT1" s="149"/>
      <c r="PKU1" s="149"/>
      <c r="PKV1" s="149"/>
      <c r="PKW1" s="149"/>
      <c r="PKX1" s="149"/>
      <c r="PKY1" s="149"/>
      <c r="PKZ1" s="149"/>
      <c r="PLA1" s="149"/>
      <c r="PLB1" s="149"/>
      <c r="PLC1" s="149"/>
      <c r="PLD1" s="149"/>
      <c r="PLE1" s="149"/>
      <c r="PLF1" s="149"/>
      <c r="PLG1" s="149"/>
      <c r="PLH1" s="149"/>
      <c r="PLI1" s="149"/>
      <c r="PLJ1" s="149"/>
      <c r="PLK1" s="149"/>
      <c r="PLL1" s="149"/>
      <c r="PLM1" s="149"/>
      <c r="PLN1" s="149"/>
      <c r="PLO1" s="149"/>
      <c r="PLP1" s="149"/>
      <c r="PLQ1" s="149"/>
      <c r="PLR1" s="149"/>
      <c r="PLS1" s="149"/>
      <c r="PLT1" s="149"/>
      <c r="PLU1" s="149"/>
      <c r="PLV1" s="149"/>
      <c r="PLW1" s="149"/>
      <c r="PLX1" s="149"/>
      <c r="PLY1" s="149"/>
      <c r="PLZ1" s="149"/>
      <c r="PMA1" s="149"/>
      <c r="PMB1" s="149"/>
      <c r="PMC1" s="149"/>
      <c r="PMD1" s="149"/>
      <c r="PME1" s="149"/>
      <c r="PMF1" s="149"/>
      <c r="PMG1" s="149"/>
      <c r="PMH1" s="149"/>
      <c r="PMI1" s="149"/>
      <c r="PMJ1" s="149"/>
      <c r="PMK1" s="149"/>
      <c r="PML1" s="149"/>
      <c r="PMM1" s="149"/>
      <c r="PMN1" s="149"/>
      <c r="PMO1" s="149"/>
      <c r="PMP1" s="149"/>
      <c r="PMQ1" s="149"/>
      <c r="PMR1" s="149"/>
      <c r="PMS1" s="149"/>
      <c r="PMT1" s="149"/>
      <c r="PMU1" s="149"/>
      <c r="PMV1" s="149"/>
      <c r="PMW1" s="149"/>
      <c r="PMX1" s="149"/>
      <c r="PMY1" s="149"/>
      <c r="PMZ1" s="149"/>
      <c r="PNA1" s="149"/>
      <c r="PNB1" s="149"/>
      <c r="PNC1" s="149"/>
      <c r="PND1" s="149"/>
      <c r="PNE1" s="149"/>
      <c r="PNF1" s="149"/>
      <c r="PNG1" s="149"/>
      <c r="PNH1" s="149"/>
      <c r="PNI1" s="149"/>
      <c r="PNJ1" s="149"/>
      <c r="PNK1" s="149"/>
      <c r="PNL1" s="149"/>
      <c r="PNM1" s="149"/>
      <c r="PNN1" s="149"/>
      <c r="PNO1" s="149"/>
      <c r="PNP1" s="149"/>
      <c r="PNQ1" s="149"/>
      <c r="PNR1" s="149"/>
      <c r="PNS1" s="149"/>
      <c r="PNT1" s="149"/>
      <c r="PNU1" s="149"/>
      <c r="PNV1" s="149"/>
      <c r="PNW1" s="149"/>
      <c r="PNX1" s="149"/>
      <c r="PNY1" s="149"/>
      <c r="PNZ1" s="149"/>
      <c r="POA1" s="149"/>
      <c r="POB1" s="149"/>
      <c r="POC1" s="149"/>
      <c r="POD1" s="149"/>
      <c r="POE1" s="149"/>
      <c r="POF1" s="149"/>
      <c r="POG1" s="149"/>
      <c r="POH1" s="149"/>
      <c r="POI1" s="149"/>
      <c r="POJ1" s="149"/>
      <c r="POK1" s="149"/>
      <c r="POL1" s="149"/>
      <c r="POM1" s="149"/>
      <c r="PON1" s="149"/>
      <c r="POO1" s="149"/>
      <c r="POP1" s="149"/>
      <c r="POQ1" s="149"/>
      <c r="POR1" s="149"/>
      <c r="POS1" s="149"/>
      <c r="POT1" s="149"/>
      <c r="POU1" s="149"/>
      <c r="POV1" s="149"/>
      <c r="POW1" s="149"/>
      <c r="POX1" s="149"/>
      <c r="POY1" s="149"/>
      <c r="POZ1" s="149"/>
      <c r="PPA1" s="149"/>
      <c r="PPB1" s="149"/>
      <c r="PPC1" s="149"/>
      <c r="PPD1" s="149"/>
      <c r="PPE1" s="149"/>
      <c r="PPF1" s="149"/>
      <c r="PPG1" s="149"/>
      <c r="PPH1" s="149"/>
      <c r="PPI1" s="149"/>
      <c r="PPJ1" s="149"/>
      <c r="PPK1" s="149"/>
      <c r="PPL1" s="149"/>
      <c r="PPM1" s="149"/>
      <c r="PPN1" s="149"/>
      <c r="PPO1" s="149"/>
      <c r="PPP1" s="149"/>
      <c r="PPQ1" s="149"/>
      <c r="PPR1" s="149"/>
      <c r="PPS1" s="149"/>
      <c r="PPT1" s="149"/>
      <c r="PPU1" s="149"/>
      <c r="PPV1" s="149"/>
      <c r="PPW1" s="149"/>
      <c r="PPX1" s="149"/>
      <c r="PPY1" s="149"/>
      <c r="PPZ1" s="149"/>
      <c r="PQA1" s="149"/>
      <c r="PQB1" s="149"/>
      <c r="PQC1" s="149"/>
      <c r="PQD1" s="149"/>
      <c r="PQE1" s="149"/>
      <c r="PQF1" s="149"/>
      <c r="PQG1" s="149"/>
      <c r="PQH1" s="149"/>
      <c r="PQI1" s="149"/>
      <c r="PQJ1" s="149"/>
      <c r="PQK1" s="149"/>
      <c r="PQL1" s="149"/>
      <c r="PQM1" s="149"/>
      <c r="PQN1" s="149"/>
      <c r="PQO1" s="149"/>
      <c r="PQP1" s="149"/>
      <c r="PQQ1" s="149"/>
      <c r="PQR1" s="149"/>
      <c r="PQS1" s="149"/>
      <c r="PQT1" s="149"/>
      <c r="PQU1" s="149"/>
      <c r="PQV1" s="149"/>
      <c r="PQW1" s="149"/>
      <c r="PQX1" s="149"/>
      <c r="PQY1" s="149"/>
      <c r="PQZ1" s="149"/>
      <c r="PRA1" s="149"/>
      <c r="PRB1" s="149"/>
      <c r="PRC1" s="149"/>
      <c r="PRD1" s="149"/>
      <c r="PRE1" s="149"/>
      <c r="PRF1" s="149"/>
      <c r="PRG1" s="149"/>
      <c r="PRH1" s="149"/>
      <c r="PRI1" s="149"/>
      <c r="PRJ1" s="149"/>
      <c r="PRK1" s="149"/>
      <c r="PRL1" s="149"/>
      <c r="PRM1" s="149"/>
      <c r="PRN1" s="149"/>
      <c r="PRO1" s="149"/>
      <c r="PRP1" s="149"/>
      <c r="PRQ1" s="149"/>
      <c r="PRR1" s="149"/>
      <c r="PRS1" s="149"/>
      <c r="PRT1" s="149"/>
      <c r="PRU1" s="149"/>
      <c r="PRV1" s="149"/>
      <c r="PRW1" s="149"/>
      <c r="PRX1" s="149"/>
      <c r="PRY1" s="149"/>
      <c r="PRZ1" s="149"/>
      <c r="PSA1" s="149"/>
      <c r="PSB1" s="149"/>
      <c r="PSC1" s="149"/>
      <c r="PSD1" s="149"/>
      <c r="PSE1" s="149"/>
      <c r="PSF1" s="149"/>
      <c r="PSG1" s="149"/>
      <c r="PSH1" s="149"/>
      <c r="PSI1" s="149"/>
      <c r="PSJ1" s="149"/>
      <c r="PSK1" s="149"/>
      <c r="PSL1" s="149"/>
      <c r="PSM1" s="149"/>
      <c r="PSN1" s="149"/>
      <c r="PSO1" s="149"/>
      <c r="PSP1" s="149"/>
      <c r="PSQ1" s="149"/>
      <c r="PSR1" s="149"/>
      <c r="PSS1" s="149"/>
      <c r="PST1" s="149"/>
      <c r="PSU1" s="149"/>
      <c r="PSV1" s="149"/>
      <c r="PSW1" s="149"/>
      <c r="PSX1" s="149"/>
      <c r="PSY1" s="149"/>
      <c r="PSZ1" s="149"/>
      <c r="PTA1" s="149"/>
      <c r="PTB1" s="149"/>
      <c r="PTC1" s="149"/>
      <c r="PTD1" s="149"/>
      <c r="PTE1" s="149"/>
      <c r="PTF1" s="149"/>
      <c r="PTG1" s="149"/>
      <c r="PTH1" s="149"/>
      <c r="PTI1" s="149"/>
      <c r="PTJ1" s="149"/>
      <c r="PTK1" s="149"/>
      <c r="PTL1" s="149"/>
      <c r="PTM1" s="149"/>
      <c r="PTN1" s="149"/>
      <c r="PTO1" s="149"/>
      <c r="PTP1" s="149"/>
      <c r="PTQ1" s="149"/>
      <c r="PTR1" s="149"/>
      <c r="PTS1" s="149"/>
      <c r="PTT1" s="149"/>
      <c r="PTU1" s="149"/>
      <c r="PTV1" s="149"/>
      <c r="PTW1" s="149"/>
      <c r="PTX1" s="149"/>
      <c r="PTY1" s="149"/>
      <c r="PTZ1" s="149"/>
      <c r="PUA1" s="149"/>
      <c r="PUB1" s="149"/>
      <c r="PUC1" s="149"/>
      <c r="PUD1" s="149"/>
      <c r="PUE1" s="149"/>
      <c r="PUF1" s="149"/>
      <c r="PUG1" s="149"/>
      <c r="PUH1" s="149"/>
      <c r="PUI1" s="149"/>
      <c r="PUJ1" s="149"/>
      <c r="PUK1" s="149"/>
      <c r="PUL1" s="149"/>
      <c r="PUM1" s="149"/>
      <c r="PUN1" s="149"/>
      <c r="PUO1" s="149"/>
      <c r="PUP1" s="149"/>
      <c r="PUQ1" s="149"/>
      <c r="PUR1" s="149"/>
      <c r="PUS1" s="149"/>
      <c r="PUT1" s="149"/>
      <c r="PUU1" s="149"/>
      <c r="PUV1" s="149"/>
      <c r="PUW1" s="149"/>
      <c r="PUX1" s="149"/>
      <c r="PUY1" s="149"/>
      <c r="PUZ1" s="149"/>
      <c r="PVA1" s="149"/>
      <c r="PVB1" s="149"/>
      <c r="PVC1" s="149"/>
      <c r="PVD1" s="149"/>
      <c r="PVE1" s="149"/>
      <c r="PVF1" s="149"/>
      <c r="PVG1" s="149"/>
      <c r="PVH1" s="149"/>
      <c r="PVI1" s="149"/>
      <c r="PVJ1" s="149"/>
      <c r="PVK1" s="149"/>
      <c r="PVL1" s="149"/>
      <c r="PVM1" s="149"/>
      <c r="PVN1" s="149"/>
      <c r="PVO1" s="149"/>
      <c r="PVP1" s="149"/>
      <c r="PVQ1" s="149"/>
      <c r="PVR1" s="149"/>
      <c r="PVS1" s="149"/>
      <c r="PVT1" s="149"/>
      <c r="PVU1" s="149"/>
      <c r="PVV1" s="149"/>
      <c r="PVW1" s="149"/>
      <c r="PVX1" s="149"/>
      <c r="PVY1" s="149"/>
      <c r="PVZ1" s="149"/>
      <c r="PWA1" s="149"/>
      <c r="PWB1" s="149"/>
      <c r="PWC1" s="149"/>
      <c r="PWD1" s="149"/>
      <c r="PWE1" s="149"/>
      <c r="PWF1" s="149"/>
      <c r="PWG1" s="149"/>
      <c r="PWH1" s="149"/>
      <c r="PWI1" s="149"/>
      <c r="PWJ1" s="149"/>
      <c r="PWK1" s="149"/>
      <c r="PWL1" s="149"/>
      <c r="PWM1" s="149"/>
      <c r="PWN1" s="149"/>
      <c r="PWO1" s="149"/>
      <c r="PWP1" s="149"/>
      <c r="PWQ1" s="149"/>
      <c r="PWR1" s="149"/>
      <c r="PWS1" s="149"/>
      <c r="PWT1" s="149"/>
      <c r="PWU1" s="149"/>
      <c r="PWV1" s="149"/>
      <c r="PWW1" s="149"/>
      <c r="PWX1" s="149"/>
      <c r="PWY1" s="149"/>
      <c r="PWZ1" s="149"/>
      <c r="PXA1" s="149"/>
      <c r="PXB1" s="149"/>
      <c r="PXC1" s="149"/>
      <c r="PXD1" s="149"/>
      <c r="PXE1" s="149"/>
      <c r="PXF1" s="149"/>
      <c r="PXG1" s="149"/>
      <c r="PXH1" s="149"/>
      <c r="PXI1" s="149"/>
      <c r="PXJ1" s="149"/>
      <c r="PXK1" s="149"/>
      <c r="PXL1" s="149"/>
      <c r="PXM1" s="149"/>
      <c r="PXN1" s="149"/>
      <c r="PXO1" s="149"/>
      <c r="PXP1" s="149"/>
      <c r="PXQ1" s="149"/>
      <c r="PXR1" s="149"/>
      <c r="PXS1" s="149"/>
      <c r="PXT1" s="149"/>
      <c r="PXU1" s="149"/>
      <c r="PXV1" s="149"/>
      <c r="PXW1" s="149"/>
      <c r="PXX1" s="149"/>
      <c r="PXY1" s="149"/>
      <c r="PXZ1" s="149"/>
      <c r="PYA1" s="149"/>
      <c r="PYB1" s="149"/>
      <c r="PYC1" s="149"/>
      <c r="PYD1" s="149"/>
      <c r="PYE1" s="149"/>
      <c r="PYF1" s="149"/>
      <c r="PYG1" s="149"/>
      <c r="PYH1" s="149"/>
      <c r="PYI1" s="149"/>
      <c r="PYJ1" s="149"/>
      <c r="PYK1" s="149"/>
      <c r="PYL1" s="149"/>
      <c r="PYM1" s="149"/>
      <c r="PYN1" s="149"/>
      <c r="PYO1" s="149"/>
      <c r="PYP1" s="149"/>
      <c r="PYQ1" s="149"/>
      <c r="PYR1" s="149"/>
      <c r="PYS1" s="149"/>
      <c r="PYT1" s="149"/>
      <c r="PYU1" s="149"/>
      <c r="PYV1" s="149"/>
      <c r="PYW1" s="149"/>
      <c r="PYX1" s="149"/>
      <c r="PYY1" s="149"/>
      <c r="PYZ1" s="149"/>
      <c r="PZA1" s="149"/>
      <c r="PZB1" s="149"/>
      <c r="PZC1" s="149"/>
      <c r="PZD1" s="149"/>
      <c r="PZE1" s="149"/>
      <c r="PZF1" s="149"/>
      <c r="PZG1" s="149"/>
      <c r="PZH1" s="149"/>
      <c r="PZI1" s="149"/>
      <c r="PZJ1" s="149"/>
      <c r="PZK1" s="149"/>
      <c r="PZL1" s="149"/>
      <c r="PZM1" s="149"/>
      <c r="PZN1" s="149"/>
      <c r="PZO1" s="149"/>
      <c r="PZP1" s="149"/>
      <c r="PZQ1" s="149"/>
      <c r="PZR1" s="149"/>
      <c r="PZS1" s="149"/>
      <c r="PZT1" s="149"/>
      <c r="PZU1" s="149"/>
      <c r="PZV1" s="149"/>
      <c r="PZW1" s="149"/>
      <c r="PZX1" s="149"/>
      <c r="PZY1" s="149"/>
      <c r="PZZ1" s="149"/>
      <c r="QAA1" s="149"/>
      <c r="QAB1" s="149"/>
      <c r="QAC1" s="149"/>
      <c r="QAD1" s="149"/>
      <c r="QAE1" s="149"/>
      <c r="QAF1" s="149"/>
      <c r="QAG1" s="149"/>
      <c r="QAH1" s="149"/>
      <c r="QAI1" s="149"/>
      <c r="QAJ1" s="149"/>
      <c r="QAK1" s="149"/>
      <c r="QAL1" s="149"/>
      <c r="QAM1" s="149"/>
      <c r="QAN1" s="149"/>
      <c r="QAO1" s="149"/>
      <c r="QAP1" s="149"/>
      <c r="QAQ1" s="149"/>
      <c r="QAR1" s="149"/>
      <c r="QAS1" s="149"/>
      <c r="QAT1" s="149"/>
      <c r="QAU1" s="149"/>
      <c r="QAV1" s="149"/>
      <c r="QAW1" s="149"/>
      <c r="QAX1" s="149"/>
      <c r="QAY1" s="149"/>
      <c r="QAZ1" s="149"/>
      <c r="QBA1" s="149"/>
      <c r="QBB1" s="149"/>
      <c r="QBC1" s="149"/>
      <c r="QBD1" s="149"/>
      <c r="QBE1" s="149"/>
      <c r="QBF1" s="149"/>
      <c r="QBG1" s="149"/>
      <c r="QBH1" s="149"/>
      <c r="QBI1" s="149"/>
      <c r="QBJ1" s="149"/>
      <c r="QBK1" s="149"/>
      <c r="QBL1" s="149"/>
      <c r="QBM1" s="149"/>
      <c r="QBN1" s="149"/>
      <c r="QBO1" s="149"/>
      <c r="QBP1" s="149"/>
      <c r="QBQ1" s="149"/>
      <c r="QBR1" s="149"/>
      <c r="QBS1" s="149"/>
      <c r="QBT1" s="149"/>
      <c r="QBU1" s="149"/>
      <c r="QBV1" s="149"/>
      <c r="QBW1" s="149"/>
      <c r="QBX1" s="149"/>
      <c r="QBY1" s="149"/>
      <c r="QBZ1" s="149"/>
      <c r="QCA1" s="149"/>
      <c r="QCB1" s="149"/>
      <c r="QCC1" s="149"/>
      <c r="QCD1" s="149"/>
      <c r="QCE1" s="149"/>
      <c r="QCF1" s="149"/>
      <c r="QCG1" s="149"/>
      <c r="QCH1" s="149"/>
      <c r="QCI1" s="149"/>
      <c r="QCJ1" s="149"/>
      <c r="QCK1" s="149"/>
      <c r="QCL1" s="149"/>
      <c r="QCM1" s="149"/>
      <c r="QCN1" s="149"/>
      <c r="QCO1" s="149"/>
      <c r="QCP1" s="149"/>
      <c r="QCQ1" s="149"/>
      <c r="QCR1" s="149"/>
      <c r="QCS1" s="149"/>
      <c r="QCT1" s="149"/>
      <c r="QCU1" s="149"/>
      <c r="QCV1" s="149"/>
      <c r="QCW1" s="149"/>
      <c r="QCX1" s="149"/>
      <c r="QCY1" s="149"/>
      <c r="QCZ1" s="149"/>
      <c r="QDA1" s="149"/>
      <c r="QDB1" s="149"/>
      <c r="QDC1" s="149"/>
      <c r="QDD1" s="149"/>
      <c r="QDE1" s="149"/>
      <c r="QDF1" s="149"/>
      <c r="QDG1" s="149"/>
      <c r="QDH1" s="149"/>
      <c r="QDI1" s="149"/>
      <c r="QDJ1" s="149"/>
      <c r="QDK1" s="149"/>
      <c r="QDL1" s="149"/>
      <c r="QDM1" s="149"/>
      <c r="QDN1" s="149"/>
      <c r="QDO1" s="149"/>
      <c r="QDP1" s="149"/>
      <c r="QDQ1" s="149"/>
      <c r="QDR1" s="149"/>
      <c r="QDS1" s="149"/>
      <c r="QDT1" s="149"/>
      <c r="QDU1" s="149"/>
      <c r="QDV1" s="149"/>
      <c r="QDW1" s="149"/>
      <c r="QDX1" s="149"/>
      <c r="QDY1" s="149"/>
      <c r="QDZ1" s="149"/>
      <c r="QEA1" s="149"/>
      <c r="QEB1" s="149"/>
      <c r="QEC1" s="149"/>
      <c r="QED1" s="149"/>
      <c r="QEE1" s="149"/>
      <c r="QEF1" s="149"/>
      <c r="QEG1" s="149"/>
      <c r="QEH1" s="149"/>
      <c r="QEI1" s="149"/>
      <c r="QEJ1" s="149"/>
      <c r="QEK1" s="149"/>
      <c r="QEL1" s="149"/>
      <c r="QEM1" s="149"/>
      <c r="QEN1" s="149"/>
      <c r="QEO1" s="149"/>
      <c r="QEP1" s="149"/>
      <c r="QEQ1" s="149"/>
      <c r="QER1" s="149"/>
      <c r="QES1" s="149"/>
      <c r="QET1" s="149"/>
      <c r="QEU1" s="149"/>
      <c r="QEV1" s="149"/>
      <c r="QEW1" s="149"/>
      <c r="QEX1" s="149"/>
      <c r="QEY1" s="149"/>
      <c r="QEZ1" s="149"/>
      <c r="QFA1" s="149"/>
      <c r="QFB1" s="149"/>
      <c r="QFC1" s="149"/>
      <c r="QFD1" s="149"/>
      <c r="QFE1" s="149"/>
      <c r="QFF1" s="149"/>
      <c r="QFG1" s="149"/>
      <c r="QFH1" s="149"/>
      <c r="QFI1" s="149"/>
      <c r="QFJ1" s="149"/>
      <c r="QFK1" s="149"/>
      <c r="QFL1" s="149"/>
      <c r="QFM1" s="149"/>
      <c r="QFN1" s="149"/>
      <c r="QFO1" s="149"/>
      <c r="QFP1" s="149"/>
      <c r="QFQ1" s="149"/>
      <c r="QFR1" s="149"/>
      <c r="QFS1" s="149"/>
      <c r="QFT1" s="149"/>
      <c r="QFU1" s="149"/>
      <c r="QFV1" s="149"/>
      <c r="QFW1" s="149"/>
      <c r="QFX1" s="149"/>
      <c r="QFY1" s="149"/>
      <c r="QFZ1" s="149"/>
      <c r="QGA1" s="149"/>
      <c r="QGB1" s="149"/>
      <c r="QGC1" s="149"/>
      <c r="QGD1" s="149"/>
      <c r="QGE1" s="149"/>
      <c r="QGF1" s="149"/>
      <c r="QGG1" s="149"/>
      <c r="QGH1" s="149"/>
      <c r="QGI1" s="149"/>
      <c r="QGJ1" s="149"/>
      <c r="QGK1" s="149"/>
      <c r="QGL1" s="149"/>
      <c r="QGM1" s="149"/>
      <c r="QGN1" s="149"/>
      <c r="QGO1" s="149"/>
      <c r="QGP1" s="149"/>
      <c r="QGQ1" s="149"/>
      <c r="QGR1" s="149"/>
      <c r="QGS1" s="149"/>
      <c r="QGT1" s="149"/>
      <c r="QGU1" s="149"/>
      <c r="QGV1" s="149"/>
      <c r="QGW1" s="149"/>
      <c r="QGX1" s="149"/>
      <c r="QGY1" s="149"/>
      <c r="QGZ1" s="149"/>
      <c r="QHA1" s="149"/>
      <c r="QHB1" s="149"/>
      <c r="QHC1" s="149"/>
      <c r="QHD1" s="149"/>
      <c r="QHE1" s="149"/>
      <c r="QHF1" s="149"/>
      <c r="QHG1" s="149"/>
      <c r="QHH1" s="149"/>
      <c r="QHI1" s="149"/>
      <c r="QHJ1" s="149"/>
      <c r="QHK1" s="149"/>
      <c r="QHL1" s="149"/>
      <c r="QHM1" s="149"/>
      <c r="QHN1" s="149"/>
      <c r="QHO1" s="149"/>
      <c r="QHP1" s="149"/>
      <c r="QHQ1" s="149"/>
      <c r="QHR1" s="149"/>
      <c r="QHS1" s="149"/>
      <c r="QHT1" s="149"/>
      <c r="QHU1" s="149"/>
      <c r="QHV1" s="149"/>
      <c r="QHW1" s="149"/>
      <c r="QHX1" s="149"/>
      <c r="QHY1" s="149"/>
      <c r="QHZ1" s="149"/>
      <c r="QIA1" s="149"/>
      <c r="QIB1" s="149"/>
      <c r="QIC1" s="149"/>
      <c r="QID1" s="149"/>
      <c r="QIE1" s="149"/>
      <c r="QIF1" s="149"/>
      <c r="QIG1" s="149"/>
      <c r="QIH1" s="149"/>
      <c r="QII1" s="149"/>
      <c r="QIJ1" s="149"/>
      <c r="QIK1" s="149"/>
      <c r="QIL1" s="149"/>
      <c r="QIM1" s="149"/>
      <c r="QIN1" s="149"/>
      <c r="QIO1" s="149"/>
      <c r="QIP1" s="149"/>
      <c r="QIQ1" s="149"/>
      <c r="QIR1" s="149"/>
      <c r="QIS1" s="149"/>
      <c r="QIT1" s="149"/>
      <c r="QIU1" s="149"/>
      <c r="QIV1" s="149"/>
      <c r="QIW1" s="149"/>
      <c r="QIX1" s="149"/>
      <c r="QIY1" s="149"/>
      <c r="QIZ1" s="149"/>
      <c r="QJA1" s="149"/>
      <c r="QJB1" s="149"/>
      <c r="QJC1" s="149"/>
      <c r="QJD1" s="149"/>
      <c r="QJE1" s="149"/>
      <c r="QJF1" s="149"/>
      <c r="QJG1" s="149"/>
      <c r="QJH1" s="149"/>
      <c r="QJI1" s="149"/>
      <c r="QJJ1" s="149"/>
      <c r="QJK1" s="149"/>
      <c r="QJL1" s="149"/>
      <c r="QJM1" s="149"/>
      <c r="QJN1" s="149"/>
      <c r="QJO1" s="149"/>
      <c r="QJP1" s="149"/>
      <c r="QJQ1" s="149"/>
      <c r="QJR1" s="149"/>
      <c r="QJS1" s="149"/>
      <c r="QJT1" s="149"/>
      <c r="QJU1" s="149"/>
      <c r="QJV1" s="149"/>
      <c r="QJW1" s="149"/>
      <c r="QJX1" s="149"/>
      <c r="QJY1" s="149"/>
      <c r="QJZ1" s="149"/>
      <c r="QKA1" s="149"/>
      <c r="QKB1" s="149"/>
      <c r="QKC1" s="149"/>
      <c r="QKD1" s="149"/>
      <c r="QKE1" s="149"/>
      <c r="QKF1" s="149"/>
      <c r="QKG1" s="149"/>
      <c r="QKH1" s="149"/>
      <c r="QKI1" s="149"/>
      <c r="QKJ1" s="149"/>
      <c r="QKK1" s="149"/>
      <c r="QKL1" s="149"/>
      <c r="QKM1" s="149"/>
      <c r="QKN1" s="149"/>
      <c r="QKO1" s="149"/>
      <c r="QKP1" s="149"/>
      <c r="QKQ1" s="149"/>
      <c r="QKR1" s="149"/>
      <c r="QKS1" s="149"/>
      <c r="QKT1" s="149"/>
      <c r="QKU1" s="149"/>
      <c r="QKV1" s="149"/>
      <c r="QKW1" s="149"/>
      <c r="QKX1" s="149"/>
      <c r="QKY1" s="149"/>
      <c r="QKZ1" s="149"/>
      <c r="QLA1" s="149"/>
      <c r="QLB1" s="149"/>
      <c r="QLC1" s="149"/>
      <c r="QLD1" s="149"/>
      <c r="QLE1" s="149"/>
      <c r="QLF1" s="149"/>
      <c r="QLG1" s="149"/>
      <c r="QLH1" s="149"/>
      <c r="QLI1" s="149"/>
      <c r="QLJ1" s="149"/>
      <c r="QLK1" s="149"/>
      <c r="QLL1" s="149"/>
      <c r="QLM1" s="149"/>
      <c r="QLN1" s="149"/>
      <c r="QLO1" s="149"/>
      <c r="QLP1" s="149"/>
      <c r="QLQ1" s="149"/>
      <c r="QLR1" s="149"/>
      <c r="QLS1" s="149"/>
      <c r="QLT1" s="149"/>
      <c r="QLU1" s="149"/>
      <c r="QLV1" s="149"/>
      <c r="QLW1" s="149"/>
      <c r="QLX1" s="149"/>
      <c r="QLY1" s="149"/>
      <c r="QLZ1" s="149"/>
      <c r="QMA1" s="149"/>
      <c r="QMB1" s="149"/>
      <c r="QMC1" s="149"/>
      <c r="QMD1" s="149"/>
      <c r="QME1" s="149"/>
      <c r="QMF1" s="149"/>
      <c r="QMG1" s="149"/>
      <c r="QMH1" s="149"/>
      <c r="QMI1" s="149"/>
      <c r="QMJ1" s="149"/>
      <c r="QMK1" s="149"/>
      <c r="QML1" s="149"/>
      <c r="QMM1" s="149"/>
      <c r="QMN1" s="149"/>
      <c r="QMO1" s="149"/>
      <c r="QMP1" s="149"/>
      <c r="QMQ1" s="149"/>
      <c r="QMR1" s="149"/>
      <c r="QMS1" s="149"/>
      <c r="QMT1" s="149"/>
      <c r="QMU1" s="149"/>
      <c r="QMV1" s="149"/>
      <c r="QMW1" s="149"/>
      <c r="QMX1" s="149"/>
      <c r="QMY1" s="149"/>
      <c r="QMZ1" s="149"/>
      <c r="QNA1" s="149"/>
      <c r="QNB1" s="149"/>
      <c r="QNC1" s="149"/>
      <c r="QND1" s="149"/>
      <c r="QNE1" s="149"/>
      <c r="QNF1" s="149"/>
      <c r="QNG1" s="149"/>
      <c r="QNH1" s="149"/>
      <c r="QNI1" s="149"/>
      <c r="QNJ1" s="149"/>
      <c r="QNK1" s="149"/>
      <c r="QNL1" s="149"/>
      <c r="QNM1" s="149"/>
      <c r="QNN1" s="149"/>
      <c r="QNO1" s="149"/>
      <c r="QNP1" s="149"/>
      <c r="QNQ1" s="149"/>
      <c r="QNR1" s="149"/>
      <c r="QNS1" s="149"/>
      <c r="QNT1" s="149"/>
      <c r="QNU1" s="149"/>
      <c r="QNV1" s="149"/>
      <c r="QNW1" s="149"/>
      <c r="QNX1" s="149"/>
      <c r="QNY1" s="149"/>
      <c r="QNZ1" s="149"/>
      <c r="QOA1" s="149"/>
      <c r="QOB1" s="149"/>
      <c r="QOC1" s="149"/>
      <c r="QOD1" s="149"/>
      <c r="QOE1" s="149"/>
      <c r="QOF1" s="149"/>
      <c r="QOG1" s="149"/>
      <c r="QOH1" s="149"/>
      <c r="QOI1" s="149"/>
      <c r="QOJ1" s="149"/>
      <c r="QOK1" s="149"/>
      <c r="QOL1" s="149"/>
      <c r="QOM1" s="149"/>
      <c r="QON1" s="149"/>
      <c r="QOO1" s="149"/>
      <c r="QOP1" s="149"/>
      <c r="QOQ1" s="149"/>
      <c r="QOR1" s="149"/>
      <c r="QOS1" s="149"/>
      <c r="QOT1" s="149"/>
      <c r="QOU1" s="149"/>
      <c r="QOV1" s="149"/>
      <c r="QOW1" s="149"/>
      <c r="QOX1" s="149"/>
      <c r="QOY1" s="149"/>
      <c r="QOZ1" s="149"/>
      <c r="QPA1" s="149"/>
      <c r="QPB1" s="149"/>
      <c r="QPC1" s="149"/>
      <c r="QPD1" s="149"/>
      <c r="QPE1" s="149"/>
      <c r="QPF1" s="149"/>
      <c r="QPG1" s="149"/>
      <c r="QPH1" s="149"/>
      <c r="QPI1" s="149"/>
      <c r="QPJ1" s="149"/>
      <c r="QPK1" s="149"/>
      <c r="QPL1" s="149"/>
      <c r="QPM1" s="149"/>
      <c r="QPN1" s="149"/>
      <c r="QPO1" s="149"/>
      <c r="QPP1" s="149"/>
      <c r="QPQ1" s="149"/>
      <c r="QPR1" s="149"/>
      <c r="QPS1" s="149"/>
      <c r="QPT1" s="149"/>
      <c r="QPU1" s="149"/>
      <c r="QPV1" s="149"/>
      <c r="QPW1" s="149"/>
      <c r="QPX1" s="149"/>
      <c r="QPY1" s="149"/>
      <c r="QPZ1" s="149"/>
      <c r="QQA1" s="149"/>
      <c r="QQB1" s="149"/>
      <c r="QQC1" s="149"/>
      <c r="QQD1" s="149"/>
      <c r="QQE1" s="149"/>
      <c r="QQF1" s="149"/>
      <c r="QQG1" s="149"/>
      <c r="QQH1" s="149"/>
      <c r="QQI1" s="149"/>
      <c r="QQJ1" s="149"/>
      <c r="QQK1" s="149"/>
      <c r="QQL1" s="149"/>
      <c r="QQM1" s="149"/>
      <c r="QQN1" s="149"/>
      <c r="QQO1" s="149"/>
      <c r="QQP1" s="149"/>
      <c r="QQQ1" s="149"/>
      <c r="QQR1" s="149"/>
      <c r="QQS1" s="149"/>
      <c r="QQT1" s="149"/>
      <c r="QQU1" s="149"/>
      <c r="QQV1" s="149"/>
      <c r="QQW1" s="149"/>
      <c r="QQX1" s="149"/>
      <c r="QQY1" s="149"/>
      <c r="QQZ1" s="149"/>
      <c r="QRA1" s="149"/>
      <c r="QRB1" s="149"/>
      <c r="QRC1" s="149"/>
      <c r="QRD1" s="149"/>
      <c r="QRE1" s="149"/>
      <c r="QRF1" s="149"/>
      <c r="QRG1" s="149"/>
      <c r="QRH1" s="149"/>
      <c r="QRI1" s="149"/>
      <c r="QRJ1" s="149"/>
      <c r="QRK1" s="149"/>
      <c r="QRL1" s="149"/>
      <c r="QRM1" s="149"/>
      <c r="QRN1" s="149"/>
      <c r="QRO1" s="149"/>
      <c r="QRP1" s="149"/>
      <c r="QRQ1" s="149"/>
      <c r="QRR1" s="149"/>
      <c r="QRS1" s="149"/>
      <c r="QRT1" s="149"/>
      <c r="QRU1" s="149"/>
      <c r="QRV1" s="149"/>
      <c r="QRW1" s="149"/>
      <c r="QRX1" s="149"/>
      <c r="QRY1" s="149"/>
      <c r="QRZ1" s="149"/>
      <c r="QSA1" s="149"/>
      <c r="QSB1" s="149"/>
      <c r="QSC1" s="149"/>
      <c r="QSD1" s="149"/>
      <c r="QSE1" s="149"/>
      <c r="QSF1" s="149"/>
      <c r="QSG1" s="149"/>
      <c r="QSH1" s="149"/>
      <c r="QSI1" s="149"/>
      <c r="QSJ1" s="149"/>
      <c r="QSK1" s="149"/>
      <c r="QSL1" s="149"/>
      <c r="QSM1" s="149"/>
      <c r="QSN1" s="149"/>
      <c r="QSO1" s="149"/>
      <c r="QSP1" s="149"/>
      <c r="QSQ1" s="149"/>
      <c r="QSR1" s="149"/>
      <c r="QSS1" s="149"/>
      <c r="QST1" s="149"/>
      <c r="QSU1" s="149"/>
      <c r="QSV1" s="149"/>
      <c r="QSW1" s="149"/>
      <c r="QSX1" s="149"/>
      <c r="QSY1" s="149"/>
      <c r="QSZ1" s="149"/>
      <c r="QTA1" s="149"/>
      <c r="QTB1" s="149"/>
      <c r="QTC1" s="149"/>
      <c r="QTD1" s="149"/>
      <c r="QTE1" s="149"/>
      <c r="QTF1" s="149"/>
      <c r="QTG1" s="149"/>
      <c r="QTH1" s="149"/>
      <c r="QTI1" s="149"/>
      <c r="QTJ1" s="149"/>
      <c r="QTK1" s="149"/>
      <c r="QTL1" s="149"/>
      <c r="QTM1" s="149"/>
      <c r="QTN1" s="149"/>
      <c r="QTO1" s="149"/>
      <c r="QTP1" s="149"/>
      <c r="QTQ1" s="149"/>
      <c r="QTR1" s="149"/>
      <c r="QTS1" s="149"/>
      <c r="QTT1" s="149"/>
      <c r="QTU1" s="149"/>
      <c r="QTV1" s="149"/>
      <c r="QTW1" s="149"/>
      <c r="QTX1" s="149"/>
      <c r="QTY1" s="149"/>
      <c r="QTZ1" s="149"/>
      <c r="QUA1" s="149"/>
      <c r="QUB1" s="149"/>
      <c r="QUC1" s="149"/>
      <c r="QUD1" s="149"/>
      <c r="QUE1" s="149"/>
      <c r="QUF1" s="149"/>
      <c r="QUG1" s="149"/>
      <c r="QUH1" s="149"/>
      <c r="QUI1" s="149"/>
      <c r="QUJ1" s="149"/>
      <c r="QUK1" s="149"/>
      <c r="QUL1" s="149"/>
      <c r="QUM1" s="149"/>
      <c r="QUN1" s="149"/>
      <c r="QUO1" s="149"/>
      <c r="QUP1" s="149"/>
      <c r="QUQ1" s="149"/>
      <c r="QUR1" s="149"/>
      <c r="QUS1" s="149"/>
      <c r="QUT1" s="149"/>
      <c r="QUU1" s="149"/>
      <c r="QUV1" s="149"/>
      <c r="QUW1" s="149"/>
      <c r="QUX1" s="149"/>
      <c r="QUY1" s="149"/>
      <c r="QUZ1" s="149"/>
      <c r="QVA1" s="149"/>
      <c r="QVB1" s="149"/>
      <c r="QVC1" s="149"/>
      <c r="QVD1" s="149"/>
      <c r="QVE1" s="149"/>
      <c r="QVF1" s="149"/>
      <c r="QVG1" s="149"/>
      <c r="QVH1" s="149"/>
      <c r="QVI1" s="149"/>
      <c r="QVJ1" s="149"/>
      <c r="QVK1" s="149"/>
      <c r="QVL1" s="149"/>
      <c r="QVM1" s="149"/>
      <c r="QVN1" s="149"/>
      <c r="QVO1" s="149"/>
      <c r="QVP1" s="149"/>
      <c r="QVQ1" s="149"/>
      <c r="QVR1" s="149"/>
      <c r="QVS1" s="149"/>
      <c r="QVT1" s="149"/>
      <c r="QVU1" s="149"/>
      <c r="QVV1" s="149"/>
      <c r="QVW1" s="149"/>
      <c r="QVX1" s="149"/>
      <c r="QVY1" s="149"/>
      <c r="QVZ1" s="149"/>
      <c r="QWA1" s="149"/>
      <c r="QWB1" s="149"/>
      <c r="QWC1" s="149"/>
      <c r="QWD1" s="149"/>
      <c r="QWE1" s="149"/>
      <c r="QWF1" s="149"/>
      <c r="QWG1" s="149"/>
      <c r="QWH1" s="149"/>
      <c r="QWI1" s="149"/>
      <c r="QWJ1" s="149"/>
      <c r="QWK1" s="149"/>
      <c r="QWL1" s="149"/>
      <c r="QWM1" s="149"/>
      <c r="QWN1" s="149"/>
      <c r="QWO1" s="149"/>
      <c r="QWP1" s="149"/>
      <c r="QWQ1" s="149"/>
      <c r="QWR1" s="149"/>
      <c r="QWS1" s="149"/>
      <c r="QWT1" s="149"/>
      <c r="QWU1" s="149"/>
      <c r="QWV1" s="149"/>
      <c r="QWW1" s="149"/>
      <c r="QWX1" s="149"/>
      <c r="QWY1" s="149"/>
      <c r="QWZ1" s="149"/>
      <c r="QXA1" s="149"/>
      <c r="QXB1" s="149"/>
      <c r="QXC1" s="149"/>
      <c r="QXD1" s="149"/>
      <c r="QXE1" s="149"/>
      <c r="QXF1" s="149"/>
      <c r="QXG1" s="149"/>
      <c r="QXH1" s="149"/>
      <c r="QXI1" s="149"/>
      <c r="QXJ1" s="149"/>
      <c r="QXK1" s="149"/>
      <c r="QXL1" s="149"/>
      <c r="QXM1" s="149"/>
      <c r="QXN1" s="149"/>
      <c r="QXO1" s="149"/>
      <c r="QXP1" s="149"/>
      <c r="QXQ1" s="149"/>
      <c r="QXR1" s="149"/>
      <c r="QXS1" s="149"/>
      <c r="QXT1" s="149"/>
      <c r="QXU1" s="149"/>
      <c r="QXV1" s="149"/>
      <c r="QXW1" s="149"/>
      <c r="QXX1" s="149"/>
      <c r="QXY1" s="149"/>
      <c r="QXZ1" s="149"/>
      <c r="QYA1" s="149"/>
      <c r="QYB1" s="149"/>
      <c r="QYC1" s="149"/>
      <c r="QYD1" s="149"/>
      <c r="QYE1" s="149"/>
      <c r="QYF1" s="149"/>
      <c r="QYG1" s="149"/>
      <c r="QYH1" s="149"/>
      <c r="QYI1" s="149"/>
      <c r="QYJ1" s="149"/>
      <c r="QYK1" s="149"/>
      <c r="QYL1" s="149"/>
      <c r="QYM1" s="149"/>
      <c r="QYN1" s="149"/>
      <c r="QYO1" s="149"/>
      <c r="QYP1" s="149"/>
      <c r="QYQ1" s="149"/>
      <c r="QYR1" s="149"/>
      <c r="QYS1" s="149"/>
      <c r="QYT1" s="149"/>
      <c r="QYU1" s="149"/>
      <c r="QYV1" s="149"/>
      <c r="QYW1" s="149"/>
      <c r="QYX1" s="149"/>
      <c r="QYY1" s="149"/>
      <c r="QYZ1" s="149"/>
      <c r="QZA1" s="149"/>
      <c r="QZB1" s="149"/>
      <c r="QZC1" s="149"/>
      <c r="QZD1" s="149"/>
      <c r="QZE1" s="149"/>
      <c r="QZF1" s="149"/>
      <c r="QZG1" s="149"/>
      <c r="QZH1" s="149"/>
      <c r="QZI1" s="149"/>
      <c r="QZJ1" s="149"/>
      <c r="QZK1" s="149"/>
      <c r="QZL1" s="149"/>
      <c r="QZM1" s="149"/>
      <c r="QZN1" s="149"/>
      <c r="QZO1" s="149"/>
      <c r="QZP1" s="149"/>
      <c r="QZQ1" s="149"/>
      <c r="QZR1" s="149"/>
      <c r="QZS1" s="149"/>
      <c r="QZT1" s="149"/>
      <c r="QZU1" s="149"/>
      <c r="QZV1" s="149"/>
      <c r="QZW1" s="149"/>
      <c r="QZX1" s="149"/>
      <c r="QZY1" s="149"/>
      <c r="QZZ1" s="149"/>
      <c r="RAA1" s="149"/>
      <c r="RAB1" s="149"/>
      <c r="RAC1" s="149"/>
      <c r="RAD1" s="149"/>
      <c r="RAE1" s="149"/>
      <c r="RAF1" s="149"/>
      <c r="RAG1" s="149"/>
      <c r="RAH1" s="149"/>
      <c r="RAI1" s="149"/>
      <c r="RAJ1" s="149"/>
      <c r="RAK1" s="149"/>
      <c r="RAL1" s="149"/>
      <c r="RAM1" s="149"/>
      <c r="RAN1" s="149"/>
      <c r="RAO1" s="149"/>
      <c r="RAP1" s="149"/>
      <c r="RAQ1" s="149"/>
      <c r="RAR1" s="149"/>
      <c r="RAS1" s="149"/>
      <c r="RAT1" s="149"/>
      <c r="RAU1" s="149"/>
      <c r="RAV1" s="149"/>
      <c r="RAW1" s="149"/>
      <c r="RAX1" s="149"/>
      <c r="RAY1" s="149"/>
      <c r="RAZ1" s="149"/>
      <c r="RBA1" s="149"/>
      <c r="RBB1" s="149"/>
      <c r="RBC1" s="149"/>
      <c r="RBD1" s="149"/>
      <c r="RBE1" s="149"/>
      <c r="RBF1" s="149"/>
      <c r="RBG1" s="149"/>
      <c r="RBH1" s="149"/>
      <c r="RBI1" s="149"/>
      <c r="RBJ1" s="149"/>
      <c r="RBK1" s="149"/>
      <c r="RBL1" s="149"/>
      <c r="RBM1" s="149"/>
      <c r="RBN1" s="149"/>
      <c r="RBO1" s="149"/>
      <c r="RBP1" s="149"/>
      <c r="RBQ1" s="149"/>
      <c r="RBR1" s="149"/>
      <c r="RBS1" s="149"/>
      <c r="RBT1" s="149"/>
      <c r="RBU1" s="149"/>
      <c r="RBV1" s="149"/>
      <c r="RBW1" s="149"/>
      <c r="RBX1" s="149"/>
      <c r="RBY1" s="149"/>
      <c r="RBZ1" s="149"/>
      <c r="RCA1" s="149"/>
      <c r="RCB1" s="149"/>
      <c r="RCC1" s="149"/>
      <c r="RCD1" s="149"/>
      <c r="RCE1" s="149"/>
      <c r="RCF1" s="149"/>
      <c r="RCG1" s="149"/>
      <c r="RCH1" s="149"/>
      <c r="RCI1" s="149"/>
      <c r="RCJ1" s="149"/>
      <c r="RCK1" s="149"/>
      <c r="RCL1" s="149"/>
      <c r="RCM1" s="149"/>
      <c r="RCN1" s="149"/>
      <c r="RCO1" s="149"/>
      <c r="RCP1" s="149"/>
      <c r="RCQ1" s="149"/>
      <c r="RCR1" s="149"/>
      <c r="RCS1" s="149"/>
      <c r="RCT1" s="149"/>
      <c r="RCU1" s="149"/>
      <c r="RCV1" s="149"/>
      <c r="RCW1" s="149"/>
      <c r="RCX1" s="149"/>
      <c r="RCY1" s="149"/>
      <c r="RCZ1" s="149"/>
      <c r="RDA1" s="149"/>
      <c r="RDB1" s="149"/>
      <c r="RDC1" s="149"/>
      <c r="RDD1" s="149"/>
      <c r="RDE1" s="149"/>
      <c r="RDF1" s="149"/>
      <c r="RDG1" s="149"/>
      <c r="RDH1" s="149"/>
      <c r="RDI1" s="149"/>
      <c r="RDJ1" s="149"/>
      <c r="RDK1" s="149"/>
      <c r="RDL1" s="149"/>
      <c r="RDM1" s="149"/>
      <c r="RDN1" s="149"/>
      <c r="RDO1" s="149"/>
      <c r="RDP1" s="149"/>
      <c r="RDQ1" s="149"/>
      <c r="RDR1" s="149"/>
      <c r="RDS1" s="149"/>
      <c r="RDT1" s="149"/>
      <c r="RDU1" s="149"/>
      <c r="RDV1" s="149"/>
      <c r="RDW1" s="149"/>
      <c r="RDX1" s="149"/>
      <c r="RDY1" s="149"/>
      <c r="RDZ1" s="149"/>
      <c r="REA1" s="149"/>
      <c r="REB1" s="149"/>
      <c r="REC1" s="149"/>
      <c r="RED1" s="149"/>
      <c r="REE1" s="149"/>
      <c r="REF1" s="149"/>
      <c r="REG1" s="149"/>
      <c r="REH1" s="149"/>
      <c r="REI1" s="149"/>
      <c r="REJ1" s="149"/>
      <c r="REK1" s="149"/>
      <c r="REL1" s="149"/>
      <c r="REM1" s="149"/>
      <c r="REN1" s="149"/>
      <c r="REO1" s="149"/>
      <c r="REP1" s="149"/>
      <c r="REQ1" s="149"/>
      <c r="RER1" s="149"/>
      <c r="RES1" s="149"/>
      <c r="RET1" s="149"/>
      <c r="REU1" s="149"/>
      <c r="REV1" s="149"/>
      <c r="REW1" s="149"/>
      <c r="REX1" s="149"/>
      <c r="REY1" s="149"/>
      <c r="REZ1" s="149"/>
      <c r="RFA1" s="149"/>
      <c r="RFB1" s="149"/>
      <c r="RFC1" s="149"/>
      <c r="RFD1" s="149"/>
      <c r="RFE1" s="149"/>
      <c r="RFF1" s="149"/>
      <c r="RFG1" s="149"/>
      <c r="RFH1" s="149"/>
      <c r="RFI1" s="149"/>
      <c r="RFJ1" s="149"/>
      <c r="RFK1" s="149"/>
      <c r="RFL1" s="149"/>
      <c r="RFM1" s="149"/>
      <c r="RFN1" s="149"/>
      <c r="RFO1" s="149"/>
      <c r="RFP1" s="149"/>
      <c r="RFQ1" s="149"/>
      <c r="RFR1" s="149"/>
      <c r="RFS1" s="149"/>
      <c r="RFT1" s="149"/>
      <c r="RFU1" s="149"/>
      <c r="RFV1" s="149"/>
      <c r="RFW1" s="149"/>
      <c r="RFX1" s="149"/>
      <c r="RFY1" s="149"/>
      <c r="RFZ1" s="149"/>
      <c r="RGA1" s="149"/>
      <c r="RGB1" s="149"/>
      <c r="RGC1" s="149"/>
      <c r="RGD1" s="149"/>
      <c r="RGE1" s="149"/>
      <c r="RGF1" s="149"/>
      <c r="RGG1" s="149"/>
      <c r="RGH1" s="149"/>
      <c r="RGI1" s="149"/>
      <c r="RGJ1" s="149"/>
      <c r="RGK1" s="149"/>
      <c r="RGL1" s="149"/>
      <c r="RGM1" s="149"/>
      <c r="RGN1" s="149"/>
      <c r="RGO1" s="149"/>
      <c r="RGP1" s="149"/>
      <c r="RGQ1" s="149"/>
      <c r="RGR1" s="149"/>
      <c r="RGS1" s="149"/>
      <c r="RGT1" s="149"/>
      <c r="RGU1" s="149"/>
      <c r="RGV1" s="149"/>
      <c r="RGW1" s="149"/>
      <c r="RGX1" s="149"/>
      <c r="RGY1" s="149"/>
      <c r="RGZ1" s="149"/>
      <c r="RHA1" s="149"/>
      <c r="RHB1" s="149"/>
      <c r="RHC1" s="149"/>
      <c r="RHD1" s="149"/>
      <c r="RHE1" s="149"/>
      <c r="RHF1" s="149"/>
      <c r="RHG1" s="149"/>
      <c r="RHH1" s="149"/>
      <c r="RHI1" s="149"/>
      <c r="RHJ1" s="149"/>
      <c r="RHK1" s="149"/>
      <c r="RHL1" s="149"/>
      <c r="RHM1" s="149"/>
      <c r="RHN1" s="149"/>
      <c r="RHO1" s="149"/>
      <c r="RHP1" s="149"/>
      <c r="RHQ1" s="149"/>
      <c r="RHR1" s="149"/>
      <c r="RHS1" s="149"/>
      <c r="RHT1" s="149"/>
      <c r="RHU1" s="149"/>
      <c r="RHV1" s="149"/>
      <c r="RHW1" s="149"/>
      <c r="RHX1" s="149"/>
      <c r="RHY1" s="149"/>
      <c r="RHZ1" s="149"/>
      <c r="RIA1" s="149"/>
      <c r="RIB1" s="149"/>
      <c r="RIC1" s="149"/>
      <c r="RID1" s="149"/>
      <c r="RIE1" s="149"/>
      <c r="RIF1" s="149"/>
      <c r="RIG1" s="149"/>
      <c r="RIH1" s="149"/>
      <c r="RII1" s="149"/>
      <c r="RIJ1" s="149"/>
      <c r="RIK1" s="149"/>
      <c r="RIL1" s="149"/>
      <c r="RIM1" s="149"/>
      <c r="RIN1" s="149"/>
      <c r="RIO1" s="149"/>
      <c r="RIP1" s="149"/>
      <c r="RIQ1" s="149"/>
      <c r="RIR1" s="149"/>
      <c r="RIS1" s="149"/>
      <c r="RIT1" s="149"/>
      <c r="RIU1" s="149"/>
      <c r="RIV1" s="149"/>
      <c r="RIW1" s="149"/>
      <c r="RIX1" s="149"/>
      <c r="RIY1" s="149"/>
      <c r="RIZ1" s="149"/>
      <c r="RJA1" s="149"/>
      <c r="RJB1" s="149"/>
      <c r="RJC1" s="149"/>
      <c r="RJD1" s="149"/>
      <c r="RJE1" s="149"/>
      <c r="RJF1" s="149"/>
      <c r="RJG1" s="149"/>
      <c r="RJH1" s="149"/>
      <c r="RJI1" s="149"/>
      <c r="RJJ1" s="149"/>
      <c r="RJK1" s="149"/>
      <c r="RJL1" s="149"/>
      <c r="RJM1" s="149"/>
      <c r="RJN1" s="149"/>
      <c r="RJO1" s="149"/>
      <c r="RJP1" s="149"/>
      <c r="RJQ1" s="149"/>
      <c r="RJR1" s="149"/>
      <c r="RJS1" s="149"/>
      <c r="RJT1" s="149"/>
      <c r="RJU1" s="149"/>
      <c r="RJV1" s="149"/>
      <c r="RJW1" s="149"/>
      <c r="RJX1" s="149"/>
      <c r="RJY1" s="149"/>
      <c r="RJZ1" s="149"/>
      <c r="RKA1" s="149"/>
      <c r="RKB1" s="149"/>
      <c r="RKC1" s="149"/>
      <c r="RKD1" s="149"/>
      <c r="RKE1" s="149"/>
      <c r="RKF1" s="149"/>
      <c r="RKG1" s="149"/>
      <c r="RKH1" s="149"/>
      <c r="RKI1" s="149"/>
      <c r="RKJ1" s="149"/>
      <c r="RKK1" s="149"/>
      <c r="RKL1" s="149"/>
      <c r="RKM1" s="149"/>
      <c r="RKN1" s="149"/>
      <c r="RKO1" s="149"/>
      <c r="RKP1" s="149"/>
      <c r="RKQ1" s="149"/>
      <c r="RKR1" s="149"/>
      <c r="RKS1" s="149"/>
      <c r="RKT1" s="149"/>
      <c r="RKU1" s="149"/>
      <c r="RKV1" s="149"/>
      <c r="RKW1" s="149"/>
      <c r="RKX1" s="149"/>
      <c r="RKY1" s="149"/>
      <c r="RKZ1" s="149"/>
      <c r="RLA1" s="149"/>
      <c r="RLB1" s="149"/>
      <c r="RLC1" s="149"/>
      <c r="RLD1" s="149"/>
      <c r="RLE1" s="149"/>
      <c r="RLF1" s="149"/>
      <c r="RLG1" s="149"/>
      <c r="RLH1" s="149"/>
      <c r="RLI1" s="149"/>
      <c r="RLJ1" s="149"/>
      <c r="RLK1" s="149"/>
      <c r="RLL1" s="149"/>
      <c r="RLM1" s="149"/>
      <c r="RLN1" s="149"/>
      <c r="RLO1" s="149"/>
      <c r="RLP1" s="149"/>
      <c r="RLQ1" s="149"/>
      <c r="RLR1" s="149"/>
      <c r="RLS1" s="149"/>
      <c r="RLT1" s="149"/>
      <c r="RLU1" s="149"/>
      <c r="RLV1" s="149"/>
      <c r="RLW1" s="149"/>
      <c r="RLX1" s="149"/>
      <c r="RLY1" s="149"/>
      <c r="RLZ1" s="149"/>
      <c r="RMA1" s="149"/>
      <c r="RMB1" s="149"/>
      <c r="RMC1" s="149"/>
      <c r="RMD1" s="149"/>
      <c r="RME1" s="149"/>
      <c r="RMF1" s="149"/>
      <c r="RMG1" s="149"/>
      <c r="RMH1" s="149"/>
      <c r="RMI1" s="149"/>
      <c r="RMJ1" s="149"/>
      <c r="RMK1" s="149"/>
      <c r="RML1" s="149"/>
      <c r="RMM1" s="149"/>
      <c r="RMN1" s="149"/>
      <c r="RMO1" s="149"/>
      <c r="RMP1" s="149"/>
      <c r="RMQ1" s="149"/>
      <c r="RMR1" s="149"/>
      <c r="RMS1" s="149"/>
      <c r="RMT1" s="149"/>
      <c r="RMU1" s="149"/>
      <c r="RMV1" s="149"/>
      <c r="RMW1" s="149"/>
      <c r="RMX1" s="149"/>
      <c r="RMY1" s="149"/>
      <c r="RMZ1" s="149"/>
      <c r="RNA1" s="149"/>
      <c r="RNB1" s="149"/>
      <c r="RNC1" s="149"/>
      <c r="RND1" s="149"/>
      <c r="RNE1" s="149"/>
      <c r="RNF1" s="149"/>
      <c r="RNG1" s="149"/>
      <c r="RNH1" s="149"/>
      <c r="RNI1" s="149"/>
      <c r="RNJ1" s="149"/>
      <c r="RNK1" s="149"/>
      <c r="RNL1" s="149"/>
      <c r="RNM1" s="149"/>
      <c r="RNN1" s="149"/>
      <c r="RNO1" s="149"/>
      <c r="RNP1" s="149"/>
      <c r="RNQ1" s="149"/>
      <c r="RNR1" s="149"/>
      <c r="RNS1" s="149"/>
      <c r="RNT1" s="149"/>
      <c r="RNU1" s="149"/>
      <c r="RNV1" s="149"/>
      <c r="RNW1" s="149"/>
      <c r="RNX1" s="149"/>
      <c r="RNY1" s="149"/>
      <c r="RNZ1" s="149"/>
      <c r="ROA1" s="149"/>
      <c r="ROB1" s="149"/>
      <c r="ROC1" s="149"/>
      <c r="ROD1" s="149"/>
      <c r="ROE1" s="149"/>
      <c r="ROF1" s="149"/>
      <c r="ROG1" s="149"/>
      <c r="ROH1" s="149"/>
      <c r="ROI1" s="149"/>
      <c r="ROJ1" s="149"/>
      <c r="ROK1" s="149"/>
      <c r="ROL1" s="149"/>
      <c r="ROM1" s="149"/>
      <c r="RON1" s="149"/>
      <c r="ROO1" s="149"/>
      <c r="ROP1" s="149"/>
      <c r="ROQ1" s="149"/>
      <c r="ROR1" s="149"/>
      <c r="ROS1" s="149"/>
      <c r="ROT1" s="149"/>
      <c r="ROU1" s="149"/>
      <c r="ROV1" s="149"/>
      <c r="ROW1" s="149"/>
      <c r="ROX1" s="149"/>
      <c r="ROY1" s="149"/>
      <c r="ROZ1" s="149"/>
      <c r="RPA1" s="149"/>
      <c r="RPB1" s="149"/>
      <c r="RPC1" s="149"/>
      <c r="RPD1" s="149"/>
      <c r="RPE1" s="149"/>
      <c r="RPF1" s="149"/>
      <c r="RPG1" s="149"/>
      <c r="RPH1" s="149"/>
      <c r="RPI1" s="149"/>
      <c r="RPJ1" s="149"/>
      <c r="RPK1" s="149"/>
      <c r="RPL1" s="149"/>
      <c r="RPM1" s="149"/>
      <c r="RPN1" s="149"/>
      <c r="RPO1" s="149"/>
      <c r="RPP1" s="149"/>
      <c r="RPQ1" s="149"/>
      <c r="RPR1" s="149"/>
      <c r="RPS1" s="149"/>
      <c r="RPT1" s="149"/>
      <c r="RPU1" s="149"/>
      <c r="RPV1" s="149"/>
      <c r="RPW1" s="149"/>
      <c r="RPX1" s="149"/>
      <c r="RPY1" s="149"/>
      <c r="RPZ1" s="149"/>
      <c r="RQA1" s="149"/>
      <c r="RQB1" s="149"/>
      <c r="RQC1" s="149"/>
      <c r="RQD1" s="149"/>
      <c r="RQE1" s="149"/>
      <c r="RQF1" s="149"/>
      <c r="RQG1" s="149"/>
      <c r="RQH1" s="149"/>
      <c r="RQI1" s="149"/>
      <c r="RQJ1" s="149"/>
      <c r="RQK1" s="149"/>
      <c r="RQL1" s="149"/>
      <c r="RQM1" s="149"/>
      <c r="RQN1" s="149"/>
      <c r="RQO1" s="149"/>
      <c r="RQP1" s="149"/>
      <c r="RQQ1" s="149"/>
      <c r="RQR1" s="149"/>
      <c r="RQS1" s="149"/>
      <c r="RQT1" s="149"/>
      <c r="RQU1" s="149"/>
      <c r="RQV1" s="149"/>
      <c r="RQW1" s="149"/>
      <c r="RQX1" s="149"/>
      <c r="RQY1" s="149"/>
      <c r="RQZ1" s="149"/>
      <c r="RRA1" s="149"/>
      <c r="RRB1" s="149"/>
      <c r="RRC1" s="149"/>
      <c r="RRD1" s="149"/>
      <c r="RRE1" s="149"/>
      <c r="RRF1" s="149"/>
      <c r="RRG1" s="149"/>
      <c r="RRH1" s="149"/>
      <c r="RRI1" s="149"/>
      <c r="RRJ1" s="149"/>
      <c r="RRK1" s="149"/>
      <c r="RRL1" s="149"/>
      <c r="RRM1" s="149"/>
      <c r="RRN1" s="149"/>
      <c r="RRO1" s="149"/>
      <c r="RRP1" s="149"/>
      <c r="RRQ1" s="149"/>
      <c r="RRR1" s="149"/>
      <c r="RRS1" s="149"/>
      <c r="RRT1" s="149"/>
      <c r="RRU1" s="149"/>
      <c r="RRV1" s="149"/>
      <c r="RRW1" s="149"/>
      <c r="RRX1" s="149"/>
      <c r="RRY1" s="149"/>
      <c r="RRZ1" s="149"/>
      <c r="RSA1" s="149"/>
      <c r="RSB1" s="149"/>
      <c r="RSC1" s="149"/>
      <c r="RSD1" s="149"/>
      <c r="RSE1" s="149"/>
      <c r="RSF1" s="149"/>
      <c r="RSG1" s="149"/>
      <c r="RSH1" s="149"/>
      <c r="RSI1" s="149"/>
      <c r="RSJ1" s="149"/>
      <c r="RSK1" s="149"/>
      <c r="RSL1" s="149"/>
      <c r="RSM1" s="149"/>
      <c r="RSN1" s="149"/>
      <c r="RSO1" s="149"/>
      <c r="RSP1" s="149"/>
      <c r="RSQ1" s="149"/>
      <c r="RSR1" s="149"/>
      <c r="RSS1" s="149"/>
      <c r="RST1" s="149"/>
      <c r="RSU1" s="149"/>
      <c r="RSV1" s="149"/>
      <c r="RSW1" s="149"/>
      <c r="RSX1" s="149"/>
      <c r="RSY1" s="149"/>
      <c r="RSZ1" s="149"/>
      <c r="RTA1" s="149"/>
      <c r="RTB1" s="149"/>
      <c r="RTC1" s="149"/>
      <c r="RTD1" s="149"/>
      <c r="RTE1" s="149"/>
      <c r="RTF1" s="149"/>
      <c r="RTG1" s="149"/>
      <c r="RTH1" s="149"/>
      <c r="RTI1" s="149"/>
      <c r="RTJ1" s="149"/>
      <c r="RTK1" s="149"/>
      <c r="RTL1" s="149"/>
      <c r="RTM1" s="149"/>
      <c r="RTN1" s="149"/>
      <c r="RTO1" s="149"/>
      <c r="RTP1" s="149"/>
      <c r="RTQ1" s="149"/>
      <c r="RTR1" s="149"/>
      <c r="RTS1" s="149"/>
      <c r="RTT1" s="149"/>
      <c r="RTU1" s="149"/>
      <c r="RTV1" s="149"/>
      <c r="RTW1" s="149"/>
      <c r="RTX1" s="149"/>
      <c r="RTY1" s="149"/>
      <c r="RTZ1" s="149"/>
      <c r="RUA1" s="149"/>
      <c r="RUB1" s="149"/>
      <c r="RUC1" s="149"/>
      <c r="RUD1" s="149"/>
      <c r="RUE1" s="149"/>
      <c r="RUF1" s="149"/>
      <c r="RUG1" s="149"/>
      <c r="RUH1" s="149"/>
      <c r="RUI1" s="149"/>
      <c r="RUJ1" s="149"/>
      <c r="RUK1" s="149"/>
      <c r="RUL1" s="149"/>
      <c r="RUM1" s="149"/>
      <c r="RUN1" s="149"/>
      <c r="RUO1" s="149"/>
      <c r="RUP1" s="149"/>
      <c r="RUQ1" s="149"/>
      <c r="RUR1" s="149"/>
      <c r="RUS1" s="149"/>
      <c r="RUT1" s="149"/>
      <c r="RUU1" s="149"/>
      <c r="RUV1" s="149"/>
      <c r="RUW1" s="149"/>
      <c r="RUX1" s="149"/>
      <c r="RUY1" s="149"/>
      <c r="RUZ1" s="149"/>
      <c r="RVA1" s="149"/>
      <c r="RVB1" s="149"/>
      <c r="RVC1" s="149"/>
      <c r="RVD1" s="149"/>
      <c r="RVE1" s="149"/>
      <c r="RVF1" s="149"/>
      <c r="RVG1" s="149"/>
      <c r="RVH1" s="149"/>
      <c r="RVI1" s="149"/>
      <c r="RVJ1" s="149"/>
      <c r="RVK1" s="149"/>
      <c r="RVL1" s="149"/>
      <c r="RVM1" s="149"/>
      <c r="RVN1" s="149"/>
      <c r="RVO1" s="149"/>
      <c r="RVP1" s="149"/>
      <c r="RVQ1" s="149"/>
      <c r="RVR1" s="149"/>
      <c r="RVS1" s="149"/>
      <c r="RVT1" s="149"/>
      <c r="RVU1" s="149"/>
      <c r="RVV1" s="149"/>
      <c r="RVW1" s="149"/>
      <c r="RVX1" s="149"/>
      <c r="RVY1" s="149"/>
      <c r="RVZ1" s="149"/>
      <c r="RWA1" s="149"/>
      <c r="RWB1" s="149"/>
      <c r="RWC1" s="149"/>
      <c r="RWD1" s="149"/>
      <c r="RWE1" s="149"/>
      <c r="RWF1" s="149"/>
      <c r="RWG1" s="149"/>
      <c r="RWH1" s="149"/>
      <c r="RWI1" s="149"/>
      <c r="RWJ1" s="149"/>
      <c r="RWK1" s="149"/>
      <c r="RWL1" s="149"/>
      <c r="RWM1" s="149"/>
      <c r="RWN1" s="149"/>
      <c r="RWO1" s="149"/>
      <c r="RWP1" s="149"/>
      <c r="RWQ1" s="149"/>
      <c r="RWR1" s="149"/>
      <c r="RWS1" s="149"/>
      <c r="RWT1" s="149"/>
      <c r="RWU1" s="149"/>
      <c r="RWV1" s="149"/>
      <c r="RWW1" s="149"/>
      <c r="RWX1" s="149"/>
      <c r="RWY1" s="149"/>
      <c r="RWZ1" s="149"/>
      <c r="RXA1" s="149"/>
      <c r="RXB1" s="149"/>
      <c r="RXC1" s="149"/>
      <c r="RXD1" s="149"/>
      <c r="RXE1" s="149"/>
      <c r="RXF1" s="149"/>
      <c r="RXG1" s="149"/>
      <c r="RXH1" s="149"/>
      <c r="RXI1" s="149"/>
      <c r="RXJ1" s="149"/>
      <c r="RXK1" s="149"/>
      <c r="RXL1" s="149"/>
      <c r="RXM1" s="149"/>
      <c r="RXN1" s="149"/>
      <c r="RXO1" s="149"/>
      <c r="RXP1" s="149"/>
      <c r="RXQ1" s="149"/>
      <c r="RXR1" s="149"/>
      <c r="RXS1" s="149"/>
      <c r="RXT1" s="149"/>
      <c r="RXU1" s="149"/>
      <c r="RXV1" s="149"/>
      <c r="RXW1" s="149"/>
      <c r="RXX1" s="149"/>
      <c r="RXY1" s="149"/>
      <c r="RXZ1" s="149"/>
      <c r="RYA1" s="149"/>
      <c r="RYB1" s="149"/>
      <c r="RYC1" s="149"/>
      <c r="RYD1" s="149"/>
      <c r="RYE1" s="149"/>
      <c r="RYF1" s="149"/>
      <c r="RYG1" s="149"/>
      <c r="RYH1" s="149"/>
      <c r="RYI1" s="149"/>
      <c r="RYJ1" s="149"/>
      <c r="RYK1" s="149"/>
      <c r="RYL1" s="149"/>
      <c r="RYM1" s="149"/>
      <c r="RYN1" s="149"/>
      <c r="RYO1" s="149"/>
      <c r="RYP1" s="149"/>
      <c r="RYQ1" s="149"/>
      <c r="RYR1" s="149"/>
      <c r="RYS1" s="149"/>
      <c r="RYT1" s="149"/>
      <c r="RYU1" s="149"/>
      <c r="RYV1" s="149"/>
      <c r="RYW1" s="149"/>
      <c r="RYX1" s="149"/>
      <c r="RYY1" s="149"/>
      <c r="RYZ1" s="149"/>
      <c r="RZA1" s="149"/>
      <c r="RZB1" s="149"/>
      <c r="RZC1" s="149"/>
      <c r="RZD1" s="149"/>
      <c r="RZE1" s="149"/>
      <c r="RZF1" s="149"/>
      <c r="RZG1" s="149"/>
      <c r="RZH1" s="149"/>
      <c r="RZI1" s="149"/>
      <c r="RZJ1" s="149"/>
      <c r="RZK1" s="149"/>
      <c r="RZL1" s="149"/>
      <c r="RZM1" s="149"/>
      <c r="RZN1" s="149"/>
      <c r="RZO1" s="149"/>
      <c r="RZP1" s="149"/>
      <c r="RZQ1" s="149"/>
      <c r="RZR1" s="149"/>
      <c r="RZS1" s="149"/>
      <c r="RZT1" s="149"/>
      <c r="RZU1" s="149"/>
      <c r="RZV1" s="149"/>
      <c r="RZW1" s="149"/>
      <c r="RZX1" s="149"/>
      <c r="RZY1" s="149"/>
      <c r="RZZ1" s="149"/>
      <c r="SAA1" s="149"/>
      <c r="SAB1" s="149"/>
      <c r="SAC1" s="149"/>
      <c r="SAD1" s="149"/>
      <c r="SAE1" s="149"/>
      <c r="SAF1" s="149"/>
      <c r="SAG1" s="149"/>
      <c r="SAH1" s="149"/>
      <c r="SAI1" s="149"/>
      <c r="SAJ1" s="149"/>
      <c r="SAK1" s="149"/>
      <c r="SAL1" s="149"/>
      <c r="SAM1" s="149"/>
      <c r="SAN1" s="149"/>
      <c r="SAO1" s="149"/>
      <c r="SAP1" s="149"/>
      <c r="SAQ1" s="149"/>
      <c r="SAR1" s="149"/>
      <c r="SAS1" s="149"/>
      <c r="SAT1" s="149"/>
      <c r="SAU1" s="149"/>
      <c r="SAV1" s="149"/>
      <c r="SAW1" s="149"/>
      <c r="SAX1" s="149"/>
      <c r="SAY1" s="149"/>
      <c r="SAZ1" s="149"/>
      <c r="SBA1" s="149"/>
      <c r="SBB1" s="149"/>
      <c r="SBC1" s="149"/>
      <c r="SBD1" s="149"/>
      <c r="SBE1" s="149"/>
      <c r="SBF1" s="149"/>
      <c r="SBG1" s="149"/>
      <c r="SBH1" s="149"/>
      <c r="SBI1" s="149"/>
      <c r="SBJ1" s="149"/>
      <c r="SBK1" s="149"/>
      <c r="SBL1" s="149"/>
      <c r="SBM1" s="149"/>
      <c r="SBN1" s="149"/>
      <c r="SBO1" s="149"/>
      <c r="SBP1" s="149"/>
      <c r="SBQ1" s="149"/>
      <c r="SBR1" s="149"/>
      <c r="SBS1" s="149"/>
      <c r="SBT1" s="149"/>
      <c r="SBU1" s="149"/>
      <c r="SBV1" s="149"/>
      <c r="SBW1" s="149"/>
      <c r="SBX1" s="149"/>
      <c r="SBY1" s="149"/>
      <c r="SBZ1" s="149"/>
      <c r="SCA1" s="149"/>
      <c r="SCB1" s="149"/>
      <c r="SCC1" s="149"/>
      <c r="SCD1" s="149"/>
      <c r="SCE1" s="149"/>
      <c r="SCF1" s="149"/>
      <c r="SCG1" s="149"/>
      <c r="SCH1" s="149"/>
      <c r="SCI1" s="149"/>
      <c r="SCJ1" s="149"/>
      <c r="SCK1" s="149"/>
      <c r="SCL1" s="149"/>
      <c r="SCM1" s="149"/>
      <c r="SCN1" s="149"/>
      <c r="SCO1" s="149"/>
      <c r="SCP1" s="149"/>
      <c r="SCQ1" s="149"/>
      <c r="SCR1" s="149"/>
      <c r="SCS1" s="149"/>
      <c r="SCT1" s="149"/>
      <c r="SCU1" s="149"/>
      <c r="SCV1" s="149"/>
      <c r="SCW1" s="149"/>
      <c r="SCX1" s="149"/>
      <c r="SCY1" s="149"/>
      <c r="SCZ1" s="149"/>
      <c r="SDA1" s="149"/>
      <c r="SDB1" s="149"/>
      <c r="SDC1" s="149"/>
      <c r="SDD1" s="149"/>
      <c r="SDE1" s="149"/>
      <c r="SDF1" s="149"/>
      <c r="SDG1" s="149"/>
      <c r="SDH1" s="149"/>
      <c r="SDI1" s="149"/>
      <c r="SDJ1" s="149"/>
      <c r="SDK1" s="149"/>
      <c r="SDL1" s="149"/>
      <c r="SDM1" s="149"/>
      <c r="SDN1" s="149"/>
      <c r="SDO1" s="149"/>
      <c r="SDP1" s="149"/>
      <c r="SDQ1" s="149"/>
      <c r="SDR1" s="149"/>
      <c r="SDS1" s="149"/>
      <c r="SDT1" s="149"/>
      <c r="SDU1" s="149"/>
      <c r="SDV1" s="149"/>
      <c r="SDW1" s="149"/>
      <c r="SDX1" s="149"/>
      <c r="SDY1" s="149"/>
      <c r="SDZ1" s="149"/>
      <c r="SEA1" s="149"/>
      <c r="SEB1" s="149"/>
      <c r="SEC1" s="149"/>
      <c r="SED1" s="149"/>
      <c r="SEE1" s="149"/>
      <c r="SEF1" s="149"/>
      <c r="SEG1" s="149"/>
      <c r="SEH1" s="149"/>
      <c r="SEI1" s="149"/>
      <c r="SEJ1" s="149"/>
      <c r="SEK1" s="149"/>
      <c r="SEL1" s="149"/>
      <c r="SEM1" s="149"/>
      <c r="SEN1" s="149"/>
      <c r="SEO1" s="149"/>
      <c r="SEP1" s="149"/>
      <c r="SEQ1" s="149"/>
      <c r="SER1" s="149"/>
      <c r="SES1" s="149"/>
      <c r="SET1" s="149"/>
      <c r="SEU1" s="149"/>
      <c r="SEV1" s="149"/>
      <c r="SEW1" s="149"/>
      <c r="SEX1" s="149"/>
      <c r="SEY1" s="149"/>
      <c r="SEZ1" s="149"/>
      <c r="SFA1" s="149"/>
      <c r="SFB1" s="149"/>
      <c r="SFC1" s="149"/>
      <c r="SFD1" s="149"/>
      <c r="SFE1" s="149"/>
      <c r="SFF1" s="149"/>
      <c r="SFG1" s="149"/>
      <c r="SFH1" s="149"/>
      <c r="SFI1" s="149"/>
      <c r="SFJ1" s="149"/>
      <c r="SFK1" s="149"/>
      <c r="SFL1" s="149"/>
      <c r="SFM1" s="149"/>
      <c r="SFN1" s="149"/>
      <c r="SFO1" s="149"/>
      <c r="SFP1" s="149"/>
      <c r="SFQ1" s="149"/>
      <c r="SFR1" s="149"/>
      <c r="SFS1" s="149"/>
      <c r="SFT1" s="149"/>
      <c r="SFU1" s="149"/>
      <c r="SFV1" s="149"/>
      <c r="SFW1" s="149"/>
      <c r="SFX1" s="149"/>
      <c r="SFY1" s="149"/>
      <c r="SFZ1" s="149"/>
      <c r="SGA1" s="149"/>
      <c r="SGB1" s="149"/>
      <c r="SGC1" s="149"/>
      <c r="SGD1" s="149"/>
      <c r="SGE1" s="149"/>
      <c r="SGF1" s="149"/>
      <c r="SGG1" s="149"/>
      <c r="SGH1" s="149"/>
      <c r="SGI1" s="149"/>
      <c r="SGJ1" s="149"/>
      <c r="SGK1" s="149"/>
      <c r="SGL1" s="149"/>
      <c r="SGM1" s="149"/>
      <c r="SGN1" s="149"/>
      <c r="SGO1" s="149"/>
      <c r="SGP1" s="149"/>
      <c r="SGQ1" s="149"/>
      <c r="SGR1" s="149"/>
      <c r="SGS1" s="149"/>
      <c r="SGT1" s="149"/>
      <c r="SGU1" s="149"/>
      <c r="SGV1" s="149"/>
      <c r="SGW1" s="149"/>
      <c r="SGX1" s="149"/>
      <c r="SGY1" s="149"/>
      <c r="SGZ1" s="149"/>
      <c r="SHA1" s="149"/>
      <c r="SHB1" s="149"/>
      <c r="SHC1" s="149"/>
      <c r="SHD1" s="149"/>
      <c r="SHE1" s="149"/>
      <c r="SHF1" s="149"/>
      <c r="SHG1" s="149"/>
      <c r="SHH1" s="149"/>
      <c r="SHI1" s="149"/>
      <c r="SHJ1" s="149"/>
      <c r="SHK1" s="149"/>
      <c r="SHL1" s="149"/>
      <c r="SHM1" s="149"/>
      <c r="SHN1" s="149"/>
      <c r="SHO1" s="149"/>
      <c r="SHP1" s="149"/>
      <c r="SHQ1" s="149"/>
      <c r="SHR1" s="149"/>
      <c r="SHS1" s="149"/>
      <c r="SHT1" s="149"/>
      <c r="SHU1" s="149"/>
      <c r="SHV1" s="149"/>
      <c r="SHW1" s="149"/>
      <c r="SHX1" s="149"/>
      <c r="SHY1" s="149"/>
      <c r="SHZ1" s="149"/>
      <c r="SIA1" s="149"/>
      <c r="SIB1" s="149"/>
      <c r="SIC1" s="149"/>
      <c r="SID1" s="149"/>
      <c r="SIE1" s="149"/>
      <c r="SIF1" s="149"/>
      <c r="SIG1" s="149"/>
      <c r="SIH1" s="149"/>
      <c r="SII1" s="149"/>
      <c r="SIJ1" s="149"/>
      <c r="SIK1" s="149"/>
      <c r="SIL1" s="149"/>
      <c r="SIM1" s="149"/>
      <c r="SIN1" s="149"/>
      <c r="SIO1" s="149"/>
      <c r="SIP1" s="149"/>
      <c r="SIQ1" s="149"/>
      <c r="SIR1" s="149"/>
      <c r="SIS1" s="149"/>
      <c r="SIT1" s="149"/>
      <c r="SIU1" s="149"/>
      <c r="SIV1" s="149"/>
      <c r="SIW1" s="149"/>
      <c r="SIX1" s="149"/>
      <c r="SIY1" s="149"/>
      <c r="SIZ1" s="149"/>
      <c r="SJA1" s="149"/>
      <c r="SJB1" s="149"/>
      <c r="SJC1" s="149"/>
      <c r="SJD1" s="149"/>
      <c r="SJE1" s="149"/>
      <c r="SJF1" s="149"/>
      <c r="SJG1" s="149"/>
      <c r="SJH1" s="149"/>
      <c r="SJI1" s="149"/>
      <c r="SJJ1" s="149"/>
      <c r="SJK1" s="149"/>
      <c r="SJL1" s="149"/>
      <c r="SJM1" s="149"/>
      <c r="SJN1" s="149"/>
      <c r="SJO1" s="149"/>
      <c r="SJP1" s="149"/>
      <c r="SJQ1" s="149"/>
      <c r="SJR1" s="149"/>
      <c r="SJS1" s="149"/>
      <c r="SJT1" s="149"/>
      <c r="SJU1" s="149"/>
      <c r="SJV1" s="149"/>
      <c r="SJW1" s="149"/>
      <c r="SJX1" s="149"/>
      <c r="SJY1" s="149"/>
      <c r="SJZ1" s="149"/>
      <c r="SKA1" s="149"/>
      <c r="SKB1" s="149"/>
      <c r="SKC1" s="149"/>
      <c r="SKD1" s="149"/>
      <c r="SKE1" s="149"/>
      <c r="SKF1" s="149"/>
      <c r="SKG1" s="149"/>
      <c r="SKH1" s="149"/>
      <c r="SKI1" s="149"/>
      <c r="SKJ1" s="149"/>
      <c r="SKK1" s="149"/>
      <c r="SKL1" s="149"/>
      <c r="SKM1" s="149"/>
      <c r="SKN1" s="149"/>
      <c r="SKO1" s="149"/>
      <c r="SKP1" s="149"/>
      <c r="SKQ1" s="149"/>
      <c r="SKR1" s="149"/>
      <c r="SKS1" s="149"/>
      <c r="SKT1" s="149"/>
      <c r="SKU1" s="149"/>
      <c r="SKV1" s="149"/>
      <c r="SKW1" s="149"/>
      <c r="SKX1" s="149"/>
      <c r="SKY1" s="149"/>
      <c r="SKZ1" s="149"/>
      <c r="SLA1" s="149"/>
      <c r="SLB1" s="149"/>
      <c r="SLC1" s="149"/>
      <c r="SLD1" s="149"/>
      <c r="SLE1" s="149"/>
      <c r="SLF1" s="149"/>
      <c r="SLG1" s="149"/>
      <c r="SLH1" s="149"/>
      <c r="SLI1" s="149"/>
      <c r="SLJ1" s="149"/>
      <c r="SLK1" s="149"/>
      <c r="SLL1" s="149"/>
      <c r="SLM1" s="149"/>
      <c r="SLN1" s="149"/>
      <c r="SLO1" s="149"/>
      <c r="SLP1" s="149"/>
      <c r="SLQ1" s="149"/>
      <c r="SLR1" s="149"/>
      <c r="SLS1" s="149"/>
      <c r="SLT1" s="149"/>
      <c r="SLU1" s="149"/>
      <c r="SLV1" s="149"/>
      <c r="SLW1" s="149"/>
      <c r="SLX1" s="149"/>
      <c r="SLY1" s="149"/>
      <c r="SLZ1" s="149"/>
      <c r="SMA1" s="149"/>
      <c r="SMB1" s="149"/>
      <c r="SMC1" s="149"/>
      <c r="SMD1" s="149"/>
      <c r="SME1" s="149"/>
      <c r="SMF1" s="149"/>
      <c r="SMG1" s="149"/>
      <c r="SMH1" s="149"/>
      <c r="SMI1" s="149"/>
      <c r="SMJ1" s="149"/>
      <c r="SMK1" s="149"/>
      <c r="SML1" s="149"/>
      <c r="SMM1" s="149"/>
      <c r="SMN1" s="149"/>
      <c r="SMO1" s="149"/>
      <c r="SMP1" s="149"/>
      <c r="SMQ1" s="149"/>
      <c r="SMR1" s="149"/>
      <c r="SMS1" s="149"/>
      <c r="SMT1" s="149"/>
      <c r="SMU1" s="149"/>
      <c r="SMV1" s="149"/>
      <c r="SMW1" s="149"/>
      <c r="SMX1" s="149"/>
      <c r="SMY1" s="149"/>
      <c r="SMZ1" s="149"/>
      <c r="SNA1" s="149"/>
      <c r="SNB1" s="149"/>
      <c r="SNC1" s="149"/>
      <c r="SND1" s="149"/>
      <c r="SNE1" s="149"/>
      <c r="SNF1" s="149"/>
      <c r="SNG1" s="149"/>
      <c r="SNH1" s="149"/>
      <c r="SNI1" s="149"/>
      <c r="SNJ1" s="149"/>
      <c r="SNK1" s="149"/>
      <c r="SNL1" s="149"/>
      <c r="SNM1" s="149"/>
      <c r="SNN1" s="149"/>
      <c r="SNO1" s="149"/>
      <c r="SNP1" s="149"/>
      <c r="SNQ1" s="149"/>
      <c r="SNR1" s="149"/>
      <c r="SNS1" s="149"/>
      <c r="SNT1" s="149"/>
      <c r="SNU1" s="149"/>
      <c r="SNV1" s="149"/>
      <c r="SNW1" s="149"/>
      <c r="SNX1" s="149"/>
      <c r="SNY1" s="149"/>
      <c r="SNZ1" s="149"/>
      <c r="SOA1" s="149"/>
      <c r="SOB1" s="149"/>
      <c r="SOC1" s="149"/>
      <c r="SOD1" s="149"/>
      <c r="SOE1" s="149"/>
      <c r="SOF1" s="149"/>
      <c r="SOG1" s="149"/>
      <c r="SOH1" s="149"/>
      <c r="SOI1" s="149"/>
      <c r="SOJ1" s="149"/>
      <c r="SOK1" s="149"/>
      <c r="SOL1" s="149"/>
      <c r="SOM1" s="149"/>
      <c r="SON1" s="149"/>
      <c r="SOO1" s="149"/>
      <c r="SOP1" s="149"/>
      <c r="SOQ1" s="149"/>
      <c r="SOR1" s="149"/>
      <c r="SOS1" s="149"/>
      <c r="SOT1" s="149"/>
      <c r="SOU1" s="149"/>
      <c r="SOV1" s="149"/>
      <c r="SOW1" s="149"/>
      <c r="SOX1" s="149"/>
      <c r="SOY1" s="149"/>
      <c r="SOZ1" s="149"/>
      <c r="SPA1" s="149"/>
      <c r="SPB1" s="149"/>
      <c r="SPC1" s="149"/>
      <c r="SPD1" s="149"/>
      <c r="SPE1" s="149"/>
      <c r="SPF1" s="149"/>
      <c r="SPG1" s="149"/>
      <c r="SPH1" s="149"/>
      <c r="SPI1" s="149"/>
      <c r="SPJ1" s="149"/>
      <c r="SPK1" s="149"/>
      <c r="SPL1" s="149"/>
      <c r="SPM1" s="149"/>
      <c r="SPN1" s="149"/>
      <c r="SPO1" s="149"/>
      <c r="SPP1" s="149"/>
      <c r="SPQ1" s="149"/>
      <c r="SPR1" s="149"/>
      <c r="SPS1" s="149"/>
      <c r="SPT1" s="149"/>
      <c r="SPU1" s="149"/>
      <c r="SPV1" s="149"/>
      <c r="SPW1" s="149"/>
      <c r="SPX1" s="149"/>
      <c r="SPY1" s="149"/>
      <c r="SPZ1" s="149"/>
      <c r="SQA1" s="149"/>
      <c r="SQB1" s="149"/>
      <c r="SQC1" s="149"/>
      <c r="SQD1" s="149"/>
      <c r="SQE1" s="149"/>
      <c r="SQF1" s="149"/>
      <c r="SQG1" s="149"/>
      <c r="SQH1" s="149"/>
      <c r="SQI1" s="149"/>
      <c r="SQJ1" s="149"/>
      <c r="SQK1" s="149"/>
      <c r="SQL1" s="149"/>
      <c r="SQM1" s="149"/>
      <c r="SQN1" s="149"/>
      <c r="SQO1" s="149"/>
      <c r="SQP1" s="149"/>
      <c r="SQQ1" s="149"/>
      <c r="SQR1" s="149"/>
      <c r="SQS1" s="149"/>
      <c r="SQT1" s="149"/>
      <c r="SQU1" s="149"/>
      <c r="SQV1" s="149"/>
      <c r="SQW1" s="149"/>
      <c r="SQX1" s="149"/>
      <c r="SQY1" s="149"/>
      <c r="SQZ1" s="149"/>
      <c r="SRA1" s="149"/>
      <c r="SRB1" s="149"/>
      <c r="SRC1" s="149"/>
      <c r="SRD1" s="149"/>
      <c r="SRE1" s="149"/>
      <c r="SRF1" s="149"/>
      <c r="SRG1" s="149"/>
      <c r="SRH1" s="149"/>
      <c r="SRI1" s="149"/>
      <c r="SRJ1" s="149"/>
      <c r="SRK1" s="149"/>
      <c r="SRL1" s="149"/>
      <c r="SRM1" s="149"/>
      <c r="SRN1" s="149"/>
      <c r="SRO1" s="149"/>
      <c r="SRP1" s="149"/>
      <c r="SRQ1" s="149"/>
      <c r="SRR1" s="149"/>
      <c r="SRS1" s="149"/>
      <c r="SRT1" s="149"/>
      <c r="SRU1" s="149"/>
      <c r="SRV1" s="149"/>
      <c r="SRW1" s="149"/>
      <c r="SRX1" s="149"/>
      <c r="SRY1" s="149"/>
      <c r="SRZ1" s="149"/>
      <c r="SSA1" s="149"/>
      <c r="SSB1" s="149"/>
      <c r="SSC1" s="149"/>
      <c r="SSD1" s="149"/>
      <c r="SSE1" s="149"/>
      <c r="SSF1" s="149"/>
      <c r="SSG1" s="149"/>
      <c r="SSH1" s="149"/>
      <c r="SSI1" s="149"/>
      <c r="SSJ1" s="149"/>
      <c r="SSK1" s="149"/>
      <c r="SSL1" s="149"/>
      <c r="SSM1" s="149"/>
      <c r="SSN1" s="149"/>
      <c r="SSO1" s="149"/>
      <c r="SSP1" s="149"/>
      <c r="SSQ1" s="149"/>
      <c r="SSR1" s="149"/>
      <c r="SSS1" s="149"/>
      <c r="SST1" s="149"/>
      <c r="SSU1" s="149"/>
      <c r="SSV1" s="149"/>
      <c r="SSW1" s="149"/>
      <c r="SSX1" s="149"/>
      <c r="SSY1" s="149"/>
      <c r="SSZ1" s="149"/>
      <c r="STA1" s="149"/>
      <c r="STB1" s="149"/>
      <c r="STC1" s="149"/>
      <c r="STD1" s="149"/>
      <c r="STE1" s="149"/>
      <c r="STF1" s="149"/>
      <c r="STG1" s="149"/>
      <c r="STH1" s="149"/>
      <c r="STI1" s="149"/>
      <c r="STJ1" s="149"/>
      <c r="STK1" s="149"/>
      <c r="STL1" s="149"/>
      <c r="STM1" s="149"/>
      <c r="STN1" s="149"/>
      <c r="STO1" s="149"/>
      <c r="STP1" s="149"/>
      <c r="STQ1" s="149"/>
      <c r="STR1" s="149"/>
      <c r="STS1" s="149"/>
      <c r="STT1" s="149"/>
      <c r="STU1" s="149"/>
      <c r="STV1" s="149"/>
      <c r="STW1" s="149"/>
      <c r="STX1" s="149"/>
      <c r="STY1" s="149"/>
      <c r="STZ1" s="149"/>
      <c r="SUA1" s="149"/>
      <c r="SUB1" s="149"/>
      <c r="SUC1" s="149"/>
      <c r="SUD1" s="149"/>
      <c r="SUE1" s="149"/>
      <c r="SUF1" s="149"/>
      <c r="SUG1" s="149"/>
      <c r="SUH1" s="149"/>
      <c r="SUI1" s="149"/>
      <c r="SUJ1" s="149"/>
      <c r="SUK1" s="149"/>
      <c r="SUL1" s="149"/>
      <c r="SUM1" s="149"/>
      <c r="SUN1" s="149"/>
      <c r="SUO1" s="149"/>
      <c r="SUP1" s="149"/>
      <c r="SUQ1" s="149"/>
      <c r="SUR1" s="149"/>
      <c r="SUS1" s="149"/>
      <c r="SUT1" s="149"/>
      <c r="SUU1" s="149"/>
      <c r="SUV1" s="149"/>
      <c r="SUW1" s="149"/>
      <c r="SUX1" s="149"/>
      <c r="SUY1" s="149"/>
      <c r="SUZ1" s="149"/>
      <c r="SVA1" s="149"/>
      <c r="SVB1" s="149"/>
      <c r="SVC1" s="149"/>
      <c r="SVD1" s="149"/>
      <c r="SVE1" s="149"/>
      <c r="SVF1" s="149"/>
      <c r="SVG1" s="149"/>
      <c r="SVH1" s="149"/>
      <c r="SVI1" s="149"/>
      <c r="SVJ1" s="149"/>
      <c r="SVK1" s="149"/>
      <c r="SVL1" s="149"/>
      <c r="SVM1" s="149"/>
      <c r="SVN1" s="149"/>
      <c r="SVO1" s="149"/>
      <c r="SVP1" s="149"/>
      <c r="SVQ1" s="149"/>
      <c r="SVR1" s="149"/>
      <c r="SVS1" s="149"/>
      <c r="SVT1" s="149"/>
      <c r="SVU1" s="149"/>
      <c r="SVV1" s="149"/>
      <c r="SVW1" s="149"/>
      <c r="SVX1" s="149"/>
      <c r="SVY1" s="149"/>
      <c r="SVZ1" s="149"/>
      <c r="SWA1" s="149"/>
      <c r="SWB1" s="149"/>
      <c r="SWC1" s="149"/>
      <c r="SWD1" s="149"/>
      <c r="SWE1" s="149"/>
      <c r="SWF1" s="149"/>
      <c r="SWG1" s="149"/>
      <c r="SWH1" s="149"/>
      <c r="SWI1" s="149"/>
      <c r="SWJ1" s="149"/>
      <c r="SWK1" s="149"/>
      <c r="SWL1" s="149"/>
      <c r="SWM1" s="149"/>
      <c r="SWN1" s="149"/>
      <c r="SWO1" s="149"/>
      <c r="SWP1" s="149"/>
      <c r="SWQ1" s="149"/>
      <c r="SWR1" s="149"/>
      <c r="SWS1" s="149"/>
      <c r="SWT1" s="149"/>
      <c r="SWU1" s="149"/>
      <c r="SWV1" s="149"/>
      <c r="SWW1" s="149"/>
      <c r="SWX1" s="149"/>
      <c r="SWY1" s="149"/>
      <c r="SWZ1" s="149"/>
      <c r="SXA1" s="149"/>
      <c r="SXB1" s="149"/>
      <c r="SXC1" s="149"/>
      <c r="SXD1" s="149"/>
      <c r="SXE1" s="149"/>
      <c r="SXF1" s="149"/>
      <c r="SXG1" s="149"/>
      <c r="SXH1" s="149"/>
      <c r="SXI1" s="149"/>
      <c r="SXJ1" s="149"/>
      <c r="SXK1" s="149"/>
      <c r="SXL1" s="149"/>
      <c r="SXM1" s="149"/>
      <c r="SXN1" s="149"/>
      <c r="SXO1" s="149"/>
      <c r="SXP1" s="149"/>
      <c r="SXQ1" s="149"/>
      <c r="SXR1" s="149"/>
      <c r="SXS1" s="149"/>
      <c r="SXT1" s="149"/>
      <c r="SXU1" s="149"/>
      <c r="SXV1" s="149"/>
      <c r="SXW1" s="149"/>
      <c r="SXX1" s="149"/>
      <c r="SXY1" s="149"/>
      <c r="SXZ1" s="149"/>
      <c r="SYA1" s="149"/>
      <c r="SYB1" s="149"/>
      <c r="SYC1" s="149"/>
      <c r="SYD1" s="149"/>
      <c r="SYE1" s="149"/>
      <c r="SYF1" s="149"/>
      <c r="SYG1" s="149"/>
      <c r="SYH1" s="149"/>
      <c r="SYI1" s="149"/>
      <c r="SYJ1" s="149"/>
      <c r="SYK1" s="149"/>
      <c r="SYL1" s="149"/>
      <c r="SYM1" s="149"/>
      <c r="SYN1" s="149"/>
      <c r="SYO1" s="149"/>
      <c r="SYP1" s="149"/>
      <c r="SYQ1" s="149"/>
      <c r="SYR1" s="149"/>
      <c r="SYS1" s="149"/>
      <c r="SYT1" s="149"/>
      <c r="SYU1" s="149"/>
      <c r="SYV1" s="149"/>
      <c r="SYW1" s="149"/>
      <c r="SYX1" s="149"/>
      <c r="SYY1" s="149"/>
      <c r="SYZ1" s="149"/>
      <c r="SZA1" s="149"/>
      <c r="SZB1" s="149"/>
      <c r="SZC1" s="149"/>
      <c r="SZD1" s="149"/>
      <c r="SZE1" s="149"/>
      <c r="SZF1" s="149"/>
      <c r="SZG1" s="149"/>
      <c r="SZH1" s="149"/>
      <c r="SZI1" s="149"/>
      <c r="SZJ1" s="149"/>
      <c r="SZK1" s="149"/>
      <c r="SZL1" s="149"/>
      <c r="SZM1" s="149"/>
      <c r="SZN1" s="149"/>
      <c r="SZO1" s="149"/>
      <c r="SZP1" s="149"/>
      <c r="SZQ1" s="149"/>
      <c r="SZR1" s="149"/>
      <c r="SZS1" s="149"/>
      <c r="SZT1" s="149"/>
      <c r="SZU1" s="149"/>
      <c r="SZV1" s="149"/>
      <c r="SZW1" s="149"/>
      <c r="SZX1" s="149"/>
      <c r="SZY1" s="149"/>
      <c r="SZZ1" s="149"/>
      <c r="TAA1" s="149"/>
      <c r="TAB1" s="149"/>
      <c r="TAC1" s="149"/>
      <c r="TAD1" s="149"/>
      <c r="TAE1" s="149"/>
      <c r="TAF1" s="149"/>
      <c r="TAG1" s="149"/>
      <c r="TAH1" s="149"/>
      <c r="TAI1" s="149"/>
      <c r="TAJ1" s="149"/>
      <c r="TAK1" s="149"/>
      <c r="TAL1" s="149"/>
      <c r="TAM1" s="149"/>
      <c r="TAN1" s="149"/>
      <c r="TAO1" s="149"/>
      <c r="TAP1" s="149"/>
      <c r="TAQ1" s="149"/>
      <c r="TAR1" s="149"/>
      <c r="TAS1" s="149"/>
      <c r="TAT1" s="149"/>
      <c r="TAU1" s="149"/>
      <c r="TAV1" s="149"/>
      <c r="TAW1" s="149"/>
      <c r="TAX1" s="149"/>
      <c r="TAY1" s="149"/>
      <c r="TAZ1" s="149"/>
      <c r="TBA1" s="149"/>
      <c r="TBB1" s="149"/>
      <c r="TBC1" s="149"/>
      <c r="TBD1" s="149"/>
      <c r="TBE1" s="149"/>
      <c r="TBF1" s="149"/>
      <c r="TBG1" s="149"/>
      <c r="TBH1" s="149"/>
      <c r="TBI1" s="149"/>
      <c r="TBJ1" s="149"/>
      <c r="TBK1" s="149"/>
      <c r="TBL1" s="149"/>
      <c r="TBM1" s="149"/>
      <c r="TBN1" s="149"/>
      <c r="TBO1" s="149"/>
      <c r="TBP1" s="149"/>
      <c r="TBQ1" s="149"/>
      <c r="TBR1" s="149"/>
      <c r="TBS1" s="149"/>
      <c r="TBT1" s="149"/>
      <c r="TBU1" s="149"/>
      <c r="TBV1" s="149"/>
      <c r="TBW1" s="149"/>
      <c r="TBX1" s="149"/>
      <c r="TBY1" s="149"/>
      <c r="TBZ1" s="149"/>
      <c r="TCA1" s="149"/>
      <c r="TCB1" s="149"/>
      <c r="TCC1" s="149"/>
      <c r="TCD1" s="149"/>
      <c r="TCE1" s="149"/>
      <c r="TCF1" s="149"/>
      <c r="TCG1" s="149"/>
      <c r="TCH1" s="149"/>
      <c r="TCI1" s="149"/>
      <c r="TCJ1" s="149"/>
      <c r="TCK1" s="149"/>
      <c r="TCL1" s="149"/>
      <c r="TCM1" s="149"/>
      <c r="TCN1" s="149"/>
      <c r="TCO1" s="149"/>
      <c r="TCP1" s="149"/>
      <c r="TCQ1" s="149"/>
      <c r="TCR1" s="149"/>
      <c r="TCS1" s="149"/>
      <c r="TCT1" s="149"/>
      <c r="TCU1" s="149"/>
      <c r="TCV1" s="149"/>
      <c r="TCW1" s="149"/>
      <c r="TCX1" s="149"/>
      <c r="TCY1" s="149"/>
      <c r="TCZ1" s="149"/>
      <c r="TDA1" s="149"/>
      <c r="TDB1" s="149"/>
      <c r="TDC1" s="149"/>
      <c r="TDD1" s="149"/>
      <c r="TDE1" s="149"/>
      <c r="TDF1" s="149"/>
      <c r="TDG1" s="149"/>
      <c r="TDH1" s="149"/>
      <c r="TDI1" s="149"/>
      <c r="TDJ1" s="149"/>
      <c r="TDK1" s="149"/>
      <c r="TDL1" s="149"/>
      <c r="TDM1" s="149"/>
      <c r="TDN1" s="149"/>
      <c r="TDO1" s="149"/>
      <c r="TDP1" s="149"/>
      <c r="TDQ1" s="149"/>
      <c r="TDR1" s="149"/>
      <c r="TDS1" s="149"/>
      <c r="TDT1" s="149"/>
      <c r="TDU1" s="149"/>
      <c r="TDV1" s="149"/>
      <c r="TDW1" s="149"/>
      <c r="TDX1" s="149"/>
      <c r="TDY1" s="149"/>
      <c r="TDZ1" s="149"/>
      <c r="TEA1" s="149"/>
      <c r="TEB1" s="149"/>
      <c r="TEC1" s="149"/>
      <c r="TED1" s="149"/>
      <c r="TEE1" s="149"/>
      <c r="TEF1" s="149"/>
      <c r="TEG1" s="149"/>
      <c r="TEH1" s="149"/>
      <c r="TEI1" s="149"/>
      <c r="TEJ1" s="149"/>
      <c r="TEK1" s="149"/>
      <c r="TEL1" s="149"/>
      <c r="TEM1" s="149"/>
      <c r="TEN1" s="149"/>
      <c r="TEO1" s="149"/>
      <c r="TEP1" s="149"/>
      <c r="TEQ1" s="149"/>
      <c r="TER1" s="149"/>
      <c r="TES1" s="149"/>
      <c r="TET1" s="149"/>
      <c r="TEU1" s="149"/>
      <c r="TEV1" s="149"/>
      <c r="TEW1" s="149"/>
      <c r="TEX1" s="149"/>
      <c r="TEY1" s="149"/>
      <c r="TEZ1" s="149"/>
      <c r="TFA1" s="149"/>
      <c r="TFB1" s="149"/>
      <c r="TFC1" s="149"/>
      <c r="TFD1" s="149"/>
      <c r="TFE1" s="149"/>
      <c r="TFF1" s="149"/>
      <c r="TFG1" s="149"/>
      <c r="TFH1" s="149"/>
      <c r="TFI1" s="149"/>
      <c r="TFJ1" s="149"/>
      <c r="TFK1" s="149"/>
      <c r="TFL1" s="149"/>
      <c r="TFM1" s="149"/>
      <c r="TFN1" s="149"/>
      <c r="TFO1" s="149"/>
      <c r="TFP1" s="149"/>
      <c r="TFQ1" s="149"/>
      <c r="TFR1" s="149"/>
      <c r="TFS1" s="149"/>
      <c r="TFT1" s="149"/>
      <c r="TFU1" s="149"/>
      <c r="TFV1" s="149"/>
      <c r="TFW1" s="149"/>
      <c r="TFX1" s="149"/>
      <c r="TFY1" s="149"/>
      <c r="TFZ1" s="149"/>
      <c r="TGA1" s="149"/>
      <c r="TGB1" s="149"/>
      <c r="TGC1" s="149"/>
      <c r="TGD1" s="149"/>
      <c r="TGE1" s="149"/>
      <c r="TGF1" s="149"/>
      <c r="TGG1" s="149"/>
      <c r="TGH1" s="149"/>
      <c r="TGI1" s="149"/>
      <c r="TGJ1" s="149"/>
      <c r="TGK1" s="149"/>
      <c r="TGL1" s="149"/>
      <c r="TGM1" s="149"/>
      <c r="TGN1" s="149"/>
      <c r="TGO1" s="149"/>
      <c r="TGP1" s="149"/>
      <c r="TGQ1" s="149"/>
      <c r="TGR1" s="149"/>
      <c r="TGS1" s="149"/>
      <c r="TGT1" s="149"/>
      <c r="TGU1" s="149"/>
      <c r="TGV1" s="149"/>
      <c r="TGW1" s="149"/>
      <c r="TGX1" s="149"/>
      <c r="TGY1" s="149"/>
      <c r="TGZ1" s="149"/>
      <c r="THA1" s="149"/>
      <c r="THB1" s="149"/>
      <c r="THC1" s="149"/>
      <c r="THD1" s="149"/>
      <c r="THE1" s="149"/>
      <c r="THF1" s="149"/>
      <c r="THG1" s="149"/>
      <c r="THH1" s="149"/>
      <c r="THI1" s="149"/>
      <c r="THJ1" s="149"/>
      <c r="THK1" s="149"/>
      <c r="THL1" s="149"/>
      <c r="THM1" s="149"/>
      <c r="THN1" s="149"/>
      <c r="THO1" s="149"/>
      <c r="THP1" s="149"/>
      <c r="THQ1" s="149"/>
      <c r="THR1" s="149"/>
      <c r="THS1" s="149"/>
      <c r="THT1" s="149"/>
      <c r="THU1" s="149"/>
      <c r="THV1" s="149"/>
      <c r="THW1" s="149"/>
      <c r="THX1" s="149"/>
      <c r="THY1" s="149"/>
      <c r="THZ1" s="149"/>
      <c r="TIA1" s="149"/>
      <c r="TIB1" s="149"/>
      <c r="TIC1" s="149"/>
      <c r="TID1" s="149"/>
      <c r="TIE1" s="149"/>
      <c r="TIF1" s="149"/>
      <c r="TIG1" s="149"/>
      <c r="TIH1" s="149"/>
      <c r="TII1" s="149"/>
      <c r="TIJ1" s="149"/>
      <c r="TIK1" s="149"/>
      <c r="TIL1" s="149"/>
      <c r="TIM1" s="149"/>
      <c r="TIN1" s="149"/>
      <c r="TIO1" s="149"/>
      <c r="TIP1" s="149"/>
      <c r="TIQ1" s="149"/>
      <c r="TIR1" s="149"/>
      <c r="TIS1" s="149"/>
      <c r="TIT1" s="149"/>
      <c r="TIU1" s="149"/>
      <c r="TIV1" s="149"/>
      <c r="TIW1" s="149"/>
      <c r="TIX1" s="149"/>
      <c r="TIY1" s="149"/>
      <c r="TIZ1" s="149"/>
      <c r="TJA1" s="149"/>
      <c r="TJB1" s="149"/>
      <c r="TJC1" s="149"/>
      <c r="TJD1" s="149"/>
      <c r="TJE1" s="149"/>
      <c r="TJF1" s="149"/>
      <c r="TJG1" s="149"/>
      <c r="TJH1" s="149"/>
      <c r="TJI1" s="149"/>
      <c r="TJJ1" s="149"/>
      <c r="TJK1" s="149"/>
      <c r="TJL1" s="149"/>
      <c r="TJM1" s="149"/>
      <c r="TJN1" s="149"/>
      <c r="TJO1" s="149"/>
      <c r="TJP1" s="149"/>
      <c r="TJQ1" s="149"/>
      <c r="TJR1" s="149"/>
      <c r="TJS1" s="149"/>
      <c r="TJT1" s="149"/>
      <c r="TJU1" s="149"/>
      <c r="TJV1" s="149"/>
      <c r="TJW1" s="149"/>
      <c r="TJX1" s="149"/>
      <c r="TJY1" s="149"/>
      <c r="TJZ1" s="149"/>
      <c r="TKA1" s="149"/>
      <c r="TKB1" s="149"/>
      <c r="TKC1" s="149"/>
      <c r="TKD1" s="149"/>
      <c r="TKE1" s="149"/>
      <c r="TKF1" s="149"/>
      <c r="TKG1" s="149"/>
      <c r="TKH1" s="149"/>
      <c r="TKI1" s="149"/>
      <c r="TKJ1" s="149"/>
      <c r="TKK1" s="149"/>
      <c r="TKL1" s="149"/>
      <c r="TKM1" s="149"/>
      <c r="TKN1" s="149"/>
      <c r="TKO1" s="149"/>
      <c r="TKP1" s="149"/>
      <c r="TKQ1" s="149"/>
      <c r="TKR1" s="149"/>
      <c r="TKS1" s="149"/>
      <c r="TKT1" s="149"/>
      <c r="TKU1" s="149"/>
      <c r="TKV1" s="149"/>
      <c r="TKW1" s="149"/>
      <c r="TKX1" s="149"/>
      <c r="TKY1" s="149"/>
      <c r="TKZ1" s="149"/>
      <c r="TLA1" s="149"/>
      <c r="TLB1" s="149"/>
      <c r="TLC1" s="149"/>
      <c r="TLD1" s="149"/>
      <c r="TLE1" s="149"/>
      <c r="TLF1" s="149"/>
      <c r="TLG1" s="149"/>
      <c r="TLH1" s="149"/>
      <c r="TLI1" s="149"/>
      <c r="TLJ1" s="149"/>
      <c r="TLK1" s="149"/>
      <c r="TLL1" s="149"/>
      <c r="TLM1" s="149"/>
      <c r="TLN1" s="149"/>
      <c r="TLO1" s="149"/>
      <c r="TLP1" s="149"/>
      <c r="TLQ1" s="149"/>
      <c r="TLR1" s="149"/>
      <c r="TLS1" s="149"/>
      <c r="TLT1" s="149"/>
      <c r="TLU1" s="149"/>
      <c r="TLV1" s="149"/>
      <c r="TLW1" s="149"/>
      <c r="TLX1" s="149"/>
      <c r="TLY1" s="149"/>
      <c r="TLZ1" s="149"/>
      <c r="TMA1" s="149"/>
      <c r="TMB1" s="149"/>
      <c r="TMC1" s="149"/>
      <c r="TMD1" s="149"/>
      <c r="TME1" s="149"/>
      <c r="TMF1" s="149"/>
      <c r="TMG1" s="149"/>
      <c r="TMH1" s="149"/>
      <c r="TMI1" s="149"/>
      <c r="TMJ1" s="149"/>
      <c r="TMK1" s="149"/>
      <c r="TML1" s="149"/>
      <c r="TMM1" s="149"/>
      <c r="TMN1" s="149"/>
      <c r="TMO1" s="149"/>
      <c r="TMP1" s="149"/>
      <c r="TMQ1" s="149"/>
      <c r="TMR1" s="149"/>
      <c r="TMS1" s="149"/>
      <c r="TMT1" s="149"/>
      <c r="TMU1" s="149"/>
      <c r="TMV1" s="149"/>
      <c r="TMW1" s="149"/>
      <c r="TMX1" s="149"/>
      <c r="TMY1" s="149"/>
      <c r="TMZ1" s="149"/>
      <c r="TNA1" s="149"/>
      <c r="TNB1" s="149"/>
      <c r="TNC1" s="149"/>
      <c r="TND1" s="149"/>
      <c r="TNE1" s="149"/>
      <c r="TNF1" s="149"/>
      <c r="TNG1" s="149"/>
      <c r="TNH1" s="149"/>
      <c r="TNI1" s="149"/>
      <c r="TNJ1" s="149"/>
      <c r="TNK1" s="149"/>
      <c r="TNL1" s="149"/>
      <c r="TNM1" s="149"/>
      <c r="TNN1" s="149"/>
      <c r="TNO1" s="149"/>
      <c r="TNP1" s="149"/>
      <c r="TNQ1" s="149"/>
      <c r="TNR1" s="149"/>
      <c r="TNS1" s="149"/>
      <c r="TNT1" s="149"/>
      <c r="TNU1" s="149"/>
      <c r="TNV1" s="149"/>
      <c r="TNW1" s="149"/>
      <c r="TNX1" s="149"/>
      <c r="TNY1" s="149"/>
      <c r="TNZ1" s="149"/>
      <c r="TOA1" s="149"/>
      <c r="TOB1" s="149"/>
      <c r="TOC1" s="149"/>
      <c r="TOD1" s="149"/>
      <c r="TOE1" s="149"/>
      <c r="TOF1" s="149"/>
      <c r="TOG1" s="149"/>
      <c r="TOH1" s="149"/>
      <c r="TOI1" s="149"/>
      <c r="TOJ1" s="149"/>
      <c r="TOK1" s="149"/>
      <c r="TOL1" s="149"/>
      <c r="TOM1" s="149"/>
      <c r="TON1" s="149"/>
      <c r="TOO1" s="149"/>
      <c r="TOP1" s="149"/>
      <c r="TOQ1" s="149"/>
      <c r="TOR1" s="149"/>
      <c r="TOS1" s="149"/>
      <c r="TOT1" s="149"/>
      <c r="TOU1" s="149"/>
      <c r="TOV1" s="149"/>
      <c r="TOW1" s="149"/>
      <c r="TOX1" s="149"/>
      <c r="TOY1" s="149"/>
      <c r="TOZ1" s="149"/>
      <c r="TPA1" s="149"/>
      <c r="TPB1" s="149"/>
      <c r="TPC1" s="149"/>
      <c r="TPD1" s="149"/>
      <c r="TPE1" s="149"/>
      <c r="TPF1" s="149"/>
      <c r="TPG1" s="149"/>
      <c r="TPH1" s="149"/>
      <c r="TPI1" s="149"/>
      <c r="TPJ1" s="149"/>
      <c r="TPK1" s="149"/>
      <c r="TPL1" s="149"/>
      <c r="TPM1" s="149"/>
      <c r="TPN1" s="149"/>
      <c r="TPO1" s="149"/>
      <c r="TPP1" s="149"/>
      <c r="TPQ1" s="149"/>
      <c r="TPR1" s="149"/>
      <c r="TPS1" s="149"/>
      <c r="TPT1" s="149"/>
      <c r="TPU1" s="149"/>
      <c r="TPV1" s="149"/>
      <c r="TPW1" s="149"/>
      <c r="TPX1" s="149"/>
      <c r="TPY1" s="149"/>
      <c r="TPZ1" s="149"/>
      <c r="TQA1" s="149"/>
      <c r="TQB1" s="149"/>
      <c r="TQC1" s="149"/>
      <c r="TQD1" s="149"/>
      <c r="TQE1" s="149"/>
      <c r="TQF1" s="149"/>
      <c r="TQG1" s="149"/>
      <c r="TQH1" s="149"/>
      <c r="TQI1" s="149"/>
      <c r="TQJ1" s="149"/>
      <c r="TQK1" s="149"/>
      <c r="TQL1" s="149"/>
      <c r="TQM1" s="149"/>
      <c r="TQN1" s="149"/>
      <c r="TQO1" s="149"/>
      <c r="TQP1" s="149"/>
      <c r="TQQ1" s="149"/>
      <c r="TQR1" s="149"/>
      <c r="TQS1" s="149"/>
      <c r="TQT1" s="149"/>
      <c r="TQU1" s="149"/>
      <c r="TQV1" s="149"/>
      <c r="TQW1" s="149"/>
      <c r="TQX1" s="149"/>
      <c r="TQY1" s="149"/>
      <c r="TQZ1" s="149"/>
      <c r="TRA1" s="149"/>
      <c r="TRB1" s="149"/>
      <c r="TRC1" s="149"/>
      <c r="TRD1" s="149"/>
      <c r="TRE1" s="149"/>
      <c r="TRF1" s="149"/>
      <c r="TRG1" s="149"/>
      <c r="TRH1" s="149"/>
      <c r="TRI1" s="149"/>
      <c r="TRJ1" s="149"/>
      <c r="TRK1" s="149"/>
      <c r="TRL1" s="149"/>
      <c r="TRM1" s="149"/>
      <c r="TRN1" s="149"/>
      <c r="TRO1" s="149"/>
      <c r="TRP1" s="149"/>
      <c r="TRQ1" s="149"/>
      <c r="TRR1" s="149"/>
      <c r="TRS1" s="149"/>
      <c r="TRT1" s="149"/>
      <c r="TRU1" s="149"/>
      <c r="TRV1" s="149"/>
      <c r="TRW1" s="149"/>
      <c r="TRX1" s="149"/>
      <c r="TRY1" s="149"/>
      <c r="TRZ1" s="149"/>
      <c r="TSA1" s="149"/>
      <c r="TSB1" s="149"/>
      <c r="TSC1" s="149"/>
      <c r="TSD1" s="149"/>
      <c r="TSE1" s="149"/>
      <c r="TSF1" s="149"/>
      <c r="TSG1" s="149"/>
      <c r="TSH1" s="149"/>
      <c r="TSI1" s="149"/>
      <c r="TSJ1" s="149"/>
      <c r="TSK1" s="149"/>
      <c r="TSL1" s="149"/>
      <c r="TSM1" s="149"/>
      <c r="TSN1" s="149"/>
      <c r="TSO1" s="149"/>
      <c r="TSP1" s="149"/>
      <c r="TSQ1" s="149"/>
      <c r="TSR1" s="149"/>
      <c r="TSS1" s="149"/>
      <c r="TST1" s="149"/>
      <c r="TSU1" s="149"/>
      <c r="TSV1" s="149"/>
      <c r="TSW1" s="149"/>
      <c r="TSX1" s="149"/>
      <c r="TSY1" s="149"/>
      <c r="TSZ1" s="149"/>
      <c r="TTA1" s="149"/>
      <c r="TTB1" s="149"/>
      <c r="TTC1" s="149"/>
      <c r="TTD1" s="149"/>
      <c r="TTE1" s="149"/>
      <c r="TTF1" s="149"/>
      <c r="TTG1" s="149"/>
      <c r="TTH1" s="149"/>
      <c r="TTI1" s="149"/>
      <c r="TTJ1" s="149"/>
      <c r="TTK1" s="149"/>
      <c r="TTL1" s="149"/>
      <c r="TTM1" s="149"/>
      <c r="TTN1" s="149"/>
      <c r="TTO1" s="149"/>
      <c r="TTP1" s="149"/>
      <c r="TTQ1" s="149"/>
      <c r="TTR1" s="149"/>
      <c r="TTS1" s="149"/>
      <c r="TTT1" s="149"/>
      <c r="TTU1" s="149"/>
      <c r="TTV1" s="149"/>
      <c r="TTW1" s="149"/>
      <c r="TTX1" s="149"/>
      <c r="TTY1" s="149"/>
      <c r="TTZ1" s="149"/>
      <c r="TUA1" s="149"/>
      <c r="TUB1" s="149"/>
      <c r="TUC1" s="149"/>
      <c r="TUD1" s="149"/>
      <c r="TUE1" s="149"/>
      <c r="TUF1" s="149"/>
      <c r="TUG1" s="149"/>
      <c r="TUH1" s="149"/>
      <c r="TUI1" s="149"/>
      <c r="TUJ1" s="149"/>
      <c r="TUK1" s="149"/>
      <c r="TUL1" s="149"/>
      <c r="TUM1" s="149"/>
      <c r="TUN1" s="149"/>
      <c r="TUO1" s="149"/>
      <c r="TUP1" s="149"/>
      <c r="TUQ1" s="149"/>
      <c r="TUR1" s="149"/>
      <c r="TUS1" s="149"/>
      <c r="TUT1" s="149"/>
      <c r="TUU1" s="149"/>
      <c r="TUV1" s="149"/>
      <c r="TUW1" s="149"/>
      <c r="TUX1" s="149"/>
      <c r="TUY1" s="149"/>
      <c r="TUZ1" s="149"/>
      <c r="TVA1" s="149"/>
      <c r="TVB1" s="149"/>
      <c r="TVC1" s="149"/>
      <c r="TVD1" s="149"/>
      <c r="TVE1" s="149"/>
      <c r="TVF1" s="149"/>
      <c r="TVG1" s="149"/>
      <c r="TVH1" s="149"/>
      <c r="TVI1" s="149"/>
      <c r="TVJ1" s="149"/>
      <c r="TVK1" s="149"/>
      <c r="TVL1" s="149"/>
      <c r="TVM1" s="149"/>
      <c r="TVN1" s="149"/>
      <c r="TVO1" s="149"/>
      <c r="TVP1" s="149"/>
      <c r="TVQ1" s="149"/>
      <c r="TVR1" s="149"/>
      <c r="TVS1" s="149"/>
      <c r="TVT1" s="149"/>
      <c r="TVU1" s="149"/>
      <c r="TVV1" s="149"/>
      <c r="TVW1" s="149"/>
      <c r="TVX1" s="149"/>
      <c r="TVY1" s="149"/>
      <c r="TVZ1" s="149"/>
      <c r="TWA1" s="149"/>
      <c r="TWB1" s="149"/>
      <c r="TWC1" s="149"/>
      <c r="TWD1" s="149"/>
      <c r="TWE1" s="149"/>
      <c r="TWF1" s="149"/>
      <c r="TWG1" s="149"/>
      <c r="TWH1" s="149"/>
      <c r="TWI1" s="149"/>
      <c r="TWJ1" s="149"/>
      <c r="TWK1" s="149"/>
      <c r="TWL1" s="149"/>
      <c r="TWM1" s="149"/>
      <c r="TWN1" s="149"/>
      <c r="TWO1" s="149"/>
      <c r="TWP1" s="149"/>
      <c r="TWQ1" s="149"/>
      <c r="TWR1" s="149"/>
      <c r="TWS1" s="149"/>
      <c r="TWT1" s="149"/>
      <c r="TWU1" s="149"/>
      <c r="TWV1" s="149"/>
      <c r="TWW1" s="149"/>
      <c r="TWX1" s="149"/>
      <c r="TWY1" s="149"/>
      <c r="TWZ1" s="149"/>
      <c r="TXA1" s="149"/>
      <c r="TXB1" s="149"/>
      <c r="TXC1" s="149"/>
      <c r="TXD1" s="149"/>
      <c r="TXE1" s="149"/>
      <c r="TXF1" s="149"/>
      <c r="TXG1" s="149"/>
      <c r="TXH1" s="149"/>
      <c r="TXI1" s="149"/>
      <c r="TXJ1" s="149"/>
      <c r="TXK1" s="149"/>
      <c r="TXL1" s="149"/>
      <c r="TXM1" s="149"/>
      <c r="TXN1" s="149"/>
      <c r="TXO1" s="149"/>
      <c r="TXP1" s="149"/>
      <c r="TXQ1" s="149"/>
      <c r="TXR1" s="149"/>
      <c r="TXS1" s="149"/>
      <c r="TXT1" s="149"/>
      <c r="TXU1" s="149"/>
      <c r="TXV1" s="149"/>
      <c r="TXW1" s="149"/>
      <c r="TXX1" s="149"/>
      <c r="TXY1" s="149"/>
      <c r="TXZ1" s="149"/>
      <c r="TYA1" s="149"/>
      <c r="TYB1" s="149"/>
      <c r="TYC1" s="149"/>
      <c r="TYD1" s="149"/>
      <c r="TYE1" s="149"/>
      <c r="TYF1" s="149"/>
      <c r="TYG1" s="149"/>
      <c r="TYH1" s="149"/>
      <c r="TYI1" s="149"/>
      <c r="TYJ1" s="149"/>
      <c r="TYK1" s="149"/>
      <c r="TYL1" s="149"/>
      <c r="TYM1" s="149"/>
      <c r="TYN1" s="149"/>
      <c r="TYO1" s="149"/>
      <c r="TYP1" s="149"/>
      <c r="TYQ1" s="149"/>
      <c r="TYR1" s="149"/>
      <c r="TYS1" s="149"/>
      <c r="TYT1" s="149"/>
      <c r="TYU1" s="149"/>
      <c r="TYV1" s="149"/>
      <c r="TYW1" s="149"/>
      <c r="TYX1" s="149"/>
      <c r="TYY1" s="149"/>
      <c r="TYZ1" s="149"/>
      <c r="TZA1" s="149"/>
      <c r="TZB1" s="149"/>
      <c r="TZC1" s="149"/>
      <c r="TZD1" s="149"/>
      <c r="TZE1" s="149"/>
      <c r="TZF1" s="149"/>
      <c r="TZG1" s="149"/>
      <c r="TZH1" s="149"/>
      <c r="TZI1" s="149"/>
      <c r="TZJ1" s="149"/>
      <c r="TZK1" s="149"/>
      <c r="TZL1" s="149"/>
      <c r="TZM1" s="149"/>
      <c r="TZN1" s="149"/>
      <c r="TZO1" s="149"/>
      <c r="TZP1" s="149"/>
      <c r="TZQ1" s="149"/>
      <c r="TZR1" s="149"/>
      <c r="TZS1" s="149"/>
      <c r="TZT1" s="149"/>
      <c r="TZU1" s="149"/>
      <c r="TZV1" s="149"/>
      <c r="TZW1" s="149"/>
      <c r="TZX1" s="149"/>
      <c r="TZY1" s="149"/>
      <c r="TZZ1" s="149"/>
      <c r="UAA1" s="149"/>
      <c r="UAB1" s="149"/>
      <c r="UAC1" s="149"/>
      <c r="UAD1" s="149"/>
      <c r="UAE1" s="149"/>
      <c r="UAF1" s="149"/>
      <c r="UAG1" s="149"/>
      <c r="UAH1" s="149"/>
      <c r="UAI1" s="149"/>
      <c r="UAJ1" s="149"/>
      <c r="UAK1" s="149"/>
      <c r="UAL1" s="149"/>
      <c r="UAM1" s="149"/>
      <c r="UAN1" s="149"/>
      <c r="UAO1" s="149"/>
      <c r="UAP1" s="149"/>
      <c r="UAQ1" s="149"/>
      <c r="UAR1" s="149"/>
      <c r="UAS1" s="149"/>
      <c r="UAT1" s="149"/>
      <c r="UAU1" s="149"/>
      <c r="UAV1" s="149"/>
      <c r="UAW1" s="149"/>
      <c r="UAX1" s="149"/>
      <c r="UAY1" s="149"/>
      <c r="UAZ1" s="149"/>
      <c r="UBA1" s="149"/>
      <c r="UBB1" s="149"/>
      <c r="UBC1" s="149"/>
      <c r="UBD1" s="149"/>
      <c r="UBE1" s="149"/>
      <c r="UBF1" s="149"/>
      <c r="UBG1" s="149"/>
      <c r="UBH1" s="149"/>
      <c r="UBI1" s="149"/>
      <c r="UBJ1" s="149"/>
      <c r="UBK1" s="149"/>
      <c r="UBL1" s="149"/>
      <c r="UBM1" s="149"/>
      <c r="UBN1" s="149"/>
      <c r="UBO1" s="149"/>
      <c r="UBP1" s="149"/>
      <c r="UBQ1" s="149"/>
      <c r="UBR1" s="149"/>
      <c r="UBS1" s="149"/>
      <c r="UBT1" s="149"/>
      <c r="UBU1" s="149"/>
      <c r="UBV1" s="149"/>
      <c r="UBW1" s="149"/>
      <c r="UBX1" s="149"/>
      <c r="UBY1" s="149"/>
      <c r="UBZ1" s="149"/>
      <c r="UCA1" s="149"/>
      <c r="UCB1" s="149"/>
      <c r="UCC1" s="149"/>
      <c r="UCD1" s="149"/>
      <c r="UCE1" s="149"/>
      <c r="UCF1" s="149"/>
      <c r="UCG1" s="149"/>
      <c r="UCH1" s="149"/>
      <c r="UCI1" s="149"/>
      <c r="UCJ1" s="149"/>
      <c r="UCK1" s="149"/>
      <c r="UCL1" s="149"/>
      <c r="UCM1" s="149"/>
      <c r="UCN1" s="149"/>
      <c r="UCO1" s="149"/>
      <c r="UCP1" s="149"/>
      <c r="UCQ1" s="149"/>
      <c r="UCR1" s="149"/>
      <c r="UCS1" s="149"/>
      <c r="UCT1" s="149"/>
      <c r="UCU1" s="149"/>
      <c r="UCV1" s="149"/>
      <c r="UCW1" s="149"/>
      <c r="UCX1" s="149"/>
      <c r="UCY1" s="149"/>
      <c r="UCZ1" s="149"/>
      <c r="UDA1" s="149"/>
      <c r="UDB1" s="149"/>
      <c r="UDC1" s="149"/>
      <c r="UDD1" s="149"/>
      <c r="UDE1" s="149"/>
      <c r="UDF1" s="149"/>
      <c r="UDG1" s="149"/>
      <c r="UDH1" s="149"/>
      <c r="UDI1" s="149"/>
      <c r="UDJ1" s="149"/>
      <c r="UDK1" s="149"/>
      <c r="UDL1" s="149"/>
      <c r="UDM1" s="149"/>
      <c r="UDN1" s="149"/>
      <c r="UDO1" s="149"/>
      <c r="UDP1" s="149"/>
      <c r="UDQ1" s="149"/>
      <c r="UDR1" s="149"/>
      <c r="UDS1" s="149"/>
      <c r="UDT1" s="149"/>
      <c r="UDU1" s="149"/>
      <c r="UDV1" s="149"/>
      <c r="UDW1" s="149"/>
      <c r="UDX1" s="149"/>
      <c r="UDY1" s="149"/>
      <c r="UDZ1" s="149"/>
      <c r="UEA1" s="149"/>
      <c r="UEB1" s="149"/>
      <c r="UEC1" s="149"/>
      <c r="UED1" s="149"/>
      <c r="UEE1" s="149"/>
      <c r="UEF1" s="149"/>
      <c r="UEG1" s="149"/>
      <c r="UEH1" s="149"/>
      <c r="UEI1" s="149"/>
      <c r="UEJ1" s="149"/>
      <c r="UEK1" s="149"/>
      <c r="UEL1" s="149"/>
      <c r="UEM1" s="149"/>
      <c r="UEN1" s="149"/>
      <c r="UEO1" s="149"/>
      <c r="UEP1" s="149"/>
      <c r="UEQ1" s="149"/>
      <c r="UER1" s="149"/>
      <c r="UES1" s="149"/>
      <c r="UET1" s="149"/>
      <c r="UEU1" s="149"/>
      <c r="UEV1" s="149"/>
      <c r="UEW1" s="149"/>
      <c r="UEX1" s="149"/>
      <c r="UEY1" s="149"/>
      <c r="UEZ1" s="149"/>
      <c r="UFA1" s="149"/>
      <c r="UFB1" s="149"/>
      <c r="UFC1" s="149"/>
      <c r="UFD1" s="149"/>
      <c r="UFE1" s="149"/>
      <c r="UFF1" s="149"/>
      <c r="UFG1" s="149"/>
      <c r="UFH1" s="149"/>
      <c r="UFI1" s="149"/>
      <c r="UFJ1" s="149"/>
      <c r="UFK1" s="149"/>
      <c r="UFL1" s="149"/>
      <c r="UFM1" s="149"/>
      <c r="UFN1" s="149"/>
      <c r="UFO1" s="149"/>
      <c r="UFP1" s="149"/>
      <c r="UFQ1" s="149"/>
      <c r="UFR1" s="149"/>
      <c r="UFS1" s="149"/>
      <c r="UFT1" s="149"/>
      <c r="UFU1" s="149"/>
      <c r="UFV1" s="149"/>
      <c r="UFW1" s="149"/>
      <c r="UFX1" s="149"/>
      <c r="UFY1" s="149"/>
      <c r="UFZ1" s="149"/>
      <c r="UGA1" s="149"/>
      <c r="UGB1" s="149"/>
      <c r="UGC1" s="149"/>
      <c r="UGD1" s="149"/>
      <c r="UGE1" s="149"/>
      <c r="UGF1" s="149"/>
      <c r="UGG1" s="149"/>
      <c r="UGH1" s="149"/>
      <c r="UGI1" s="149"/>
      <c r="UGJ1" s="149"/>
      <c r="UGK1" s="149"/>
      <c r="UGL1" s="149"/>
      <c r="UGM1" s="149"/>
      <c r="UGN1" s="149"/>
      <c r="UGO1" s="149"/>
      <c r="UGP1" s="149"/>
      <c r="UGQ1" s="149"/>
      <c r="UGR1" s="149"/>
      <c r="UGS1" s="149"/>
      <c r="UGT1" s="149"/>
      <c r="UGU1" s="149"/>
      <c r="UGV1" s="149"/>
      <c r="UGW1" s="149"/>
      <c r="UGX1" s="149"/>
      <c r="UGY1" s="149"/>
      <c r="UGZ1" s="149"/>
      <c r="UHA1" s="149"/>
      <c r="UHB1" s="149"/>
      <c r="UHC1" s="149"/>
      <c r="UHD1" s="149"/>
      <c r="UHE1" s="149"/>
      <c r="UHF1" s="149"/>
      <c r="UHG1" s="149"/>
      <c r="UHH1" s="149"/>
      <c r="UHI1" s="149"/>
      <c r="UHJ1" s="149"/>
      <c r="UHK1" s="149"/>
      <c r="UHL1" s="149"/>
      <c r="UHM1" s="149"/>
      <c r="UHN1" s="149"/>
      <c r="UHO1" s="149"/>
      <c r="UHP1" s="149"/>
      <c r="UHQ1" s="149"/>
      <c r="UHR1" s="149"/>
      <c r="UHS1" s="149"/>
      <c r="UHT1" s="149"/>
      <c r="UHU1" s="149"/>
      <c r="UHV1" s="149"/>
      <c r="UHW1" s="149"/>
      <c r="UHX1" s="149"/>
      <c r="UHY1" s="149"/>
      <c r="UHZ1" s="149"/>
      <c r="UIA1" s="149"/>
      <c r="UIB1" s="149"/>
      <c r="UIC1" s="149"/>
      <c r="UID1" s="149"/>
      <c r="UIE1" s="149"/>
      <c r="UIF1" s="149"/>
      <c r="UIG1" s="149"/>
      <c r="UIH1" s="149"/>
      <c r="UII1" s="149"/>
      <c r="UIJ1" s="149"/>
      <c r="UIK1" s="149"/>
      <c r="UIL1" s="149"/>
      <c r="UIM1" s="149"/>
      <c r="UIN1" s="149"/>
      <c r="UIO1" s="149"/>
      <c r="UIP1" s="149"/>
      <c r="UIQ1" s="149"/>
      <c r="UIR1" s="149"/>
      <c r="UIS1" s="149"/>
      <c r="UIT1" s="149"/>
      <c r="UIU1" s="149"/>
      <c r="UIV1" s="149"/>
      <c r="UIW1" s="149"/>
      <c r="UIX1" s="149"/>
      <c r="UIY1" s="149"/>
      <c r="UIZ1" s="149"/>
      <c r="UJA1" s="149"/>
      <c r="UJB1" s="149"/>
      <c r="UJC1" s="149"/>
      <c r="UJD1" s="149"/>
      <c r="UJE1" s="149"/>
      <c r="UJF1" s="149"/>
      <c r="UJG1" s="149"/>
      <c r="UJH1" s="149"/>
      <c r="UJI1" s="149"/>
      <c r="UJJ1" s="149"/>
      <c r="UJK1" s="149"/>
      <c r="UJL1" s="149"/>
      <c r="UJM1" s="149"/>
      <c r="UJN1" s="149"/>
      <c r="UJO1" s="149"/>
      <c r="UJP1" s="149"/>
      <c r="UJQ1" s="149"/>
      <c r="UJR1" s="149"/>
      <c r="UJS1" s="149"/>
      <c r="UJT1" s="149"/>
      <c r="UJU1" s="149"/>
      <c r="UJV1" s="149"/>
      <c r="UJW1" s="149"/>
      <c r="UJX1" s="149"/>
      <c r="UJY1" s="149"/>
      <c r="UJZ1" s="149"/>
      <c r="UKA1" s="149"/>
      <c r="UKB1" s="149"/>
      <c r="UKC1" s="149"/>
      <c r="UKD1" s="149"/>
      <c r="UKE1" s="149"/>
      <c r="UKF1" s="149"/>
      <c r="UKG1" s="149"/>
      <c r="UKH1" s="149"/>
      <c r="UKI1" s="149"/>
      <c r="UKJ1" s="149"/>
      <c r="UKK1" s="149"/>
      <c r="UKL1" s="149"/>
      <c r="UKM1" s="149"/>
      <c r="UKN1" s="149"/>
      <c r="UKO1" s="149"/>
      <c r="UKP1" s="149"/>
      <c r="UKQ1" s="149"/>
      <c r="UKR1" s="149"/>
      <c r="UKS1" s="149"/>
      <c r="UKT1" s="149"/>
      <c r="UKU1" s="149"/>
      <c r="UKV1" s="149"/>
      <c r="UKW1" s="149"/>
      <c r="UKX1" s="149"/>
      <c r="UKY1" s="149"/>
      <c r="UKZ1" s="149"/>
      <c r="ULA1" s="149"/>
      <c r="ULB1" s="149"/>
      <c r="ULC1" s="149"/>
      <c r="ULD1" s="149"/>
      <c r="ULE1" s="149"/>
      <c r="ULF1" s="149"/>
      <c r="ULG1" s="149"/>
      <c r="ULH1" s="149"/>
      <c r="ULI1" s="149"/>
      <c r="ULJ1" s="149"/>
      <c r="ULK1" s="149"/>
      <c r="ULL1" s="149"/>
      <c r="ULM1" s="149"/>
      <c r="ULN1" s="149"/>
      <c r="ULO1" s="149"/>
      <c r="ULP1" s="149"/>
      <c r="ULQ1" s="149"/>
      <c r="ULR1" s="149"/>
      <c r="ULS1" s="149"/>
      <c r="ULT1" s="149"/>
      <c r="ULU1" s="149"/>
      <c r="ULV1" s="149"/>
      <c r="ULW1" s="149"/>
      <c r="ULX1" s="149"/>
      <c r="ULY1" s="149"/>
      <c r="ULZ1" s="149"/>
      <c r="UMA1" s="149"/>
      <c r="UMB1" s="149"/>
      <c r="UMC1" s="149"/>
      <c r="UMD1" s="149"/>
      <c r="UME1" s="149"/>
      <c r="UMF1" s="149"/>
      <c r="UMG1" s="149"/>
      <c r="UMH1" s="149"/>
      <c r="UMI1" s="149"/>
      <c r="UMJ1" s="149"/>
      <c r="UMK1" s="149"/>
      <c r="UML1" s="149"/>
      <c r="UMM1" s="149"/>
      <c r="UMN1" s="149"/>
      <c r="UMO1" s="149"/>
      <c r="UMP1" s="149"/>
      <c r="UMQ1" s="149"/>
      <c r="UMR1" s="149"/>
      <c r="UMS1" s="149"/>
      <c r="UMT1" s="149"/>
      <c r="UMU1" s="149"/>
      <c r="UMV1" s="149"/>
      <c r="UMW1" s="149"/>
      <c r="UMX1" s="149"/>
      <c r="UMY1" s="149"/>
      <c r="UMZ1" s="149"/>
      <c r="UNA1" s="149"/>
      <c r="UNB1" s="149"/>
      <c r="UNC1" s="149"/>
      <c r="UND1" s="149"/>
      <c r="UNE1" s="149"/>
      <c r="UNF1" s="149"/>
      <c r="UNG1" s="149"/>
      <c r="UNH1" s="149"/>
      <c r="UNI1" s="149"/>
      <c r="UNJ1" s="149"/>
      <c r="UNK1" s="149"/>
      <c r="UNL1" s="149"/>
      <c r="UNM1" s="149"/>
      <c r="UNN1" s="149"/>
      <c r="UNO1" s="149"/>
      <c r="UNP1" s="149"/>
      <c r="UNQ1" s="149"/>
      <c r="UNR1" s="149"/>
      <c r="UNS1" s="149"/>
      <c r="UNT1" s="149"/>
      <c r="UNU1" s="149"/>
      <c r="UNV1" s="149"/>
      <c r="UNW1" s="149"/>
      <c r="UNX1" s="149"/>
      <c r="UNY1" s="149"/>
      <c r="UNZ1" s="149"/>
      <c r="UOA1" s="149"/>
      <c r="UOB1" s="149"/>
      <c r="UOC1" s="149"/>
      <c r="UOD1" s="149"/>
      <c r="UOE1" s="149"/>
      <c r="UOF1" s="149"/>
      <c r="UOG1" s="149"/>
      <c r="UOH1" s="149"/>
      <c r="UOI1" s="149"/>
      <c r="UOJ1" s="149"/>
      <c r="UOK1" s="149"/>
      <c r="UOL1" s="149"/>
      <c r="UOM1" s="149"/>
      <c r="UON1" s="149"/>
      <c r="UOO1" s="149"/>
      <c r="UOP1" s="149"/>
      <c r="UOQ1" s="149"/>
      <c r="UOR1" s="149"/>
      <c r="UOS1" s="149"/>
      <c r="UOT1" s="149"/>
      <c r="UOU1" s="149"/>
      <c r="UOV1" s="149"/>
      <c r="UOW1" s="149"/>
      <c r="UOX1" s="149"/>
      <c r="UOY1" s="149"/>
      <c r="UOZ1" s="149"/>
      <c r="UPA1" s="149"/>
      <c r="UPB1" s="149"/>
      <c r="UPC1" s="149"/>
      <c r="UPD1" s="149"/>
      <c r="UPE1" s="149"/>
      <c r="UPF1" s="149"/>
      <c r="UPG1" s="149"/>
      <c r="UPH1" s="149"/>
      <c r="UPI1" s="149"/>
      <c r="UPJ1" s="149"/>
      <c r="UPK1" s="149"/>
      <c r="UPL1" s="149"/>
      <c r="UPM1" s="149"/>
      <c r="UPN1" s="149"/>
      <c r="UPO1" s="149"/>
      <c r="UPP1" s="149"/>
      <c r="UPQ1" s="149"/>
      <c r="UPR1" s="149"/>
      <c r="UPS1" s="149"/>
      <c r="UPT1" s="149"/>
      <c r="UPU1" s="149"/>
      <c r="UPV1" s="149"/>
      <c r="UPW1" s="149"/>
      <c r="UPX1" s="149"/>
      <c r="UPY1" s="149"/>
      <c r="UPZ1" s="149"/>
      <c r="UQA1" s="149"/>
      <c r="UQB1" s="149"/>
      <c r="UQC1" s="149"/>
      <c r="UQD1" s="149"/>
      <c r="UQE1" s="149"/>
      <c r="UQF1" s="149"/>
      <c r="UQG1" s="149"/>
      <c r="UQH1" s="149"/>
      <c r="UQI1" s="149"/>
      <c r="UQJ1" s="149"/>
      <c r="UQK1" s="149"/>
      <c r="UQL1" s="149"/>
      <c r="UQM1" s="149"/>
      <c r="UQN1" s="149"/>
      <c r="UQO1" s="149"/>
      <c r="UQP1" s="149"/>
      <c r="UQQ1" s="149"/>
      <c r="UQR1" s="149"/>
      <c r="UQS1" s="149"/>
      <c r="UQT1" s="149"/>
      <c r="UQU1" s="149"/>
      <c r="UQV1" s="149"/>
      <c r="UQW1" s="149"/>
      <c r="UQX1" s="149"/>
      <c r="UQY1" s="149"/>
      <c r="UQZ1" s="149"/>
      <c r="URA1" s="149"/>
      <c r="URB1" s="149"/>
      <c r="URC1" s="149"/>
      <c r="URD1" s="149"/>
      <c r="URE1" s="149"/>
      <c r="URF1" s="149"/>
      <c r="URG1" s="149"/>
      <c r="URH1" s="149"/>
      <c r="URI1" s="149"/>
      <c r="URJ1" s="149"/>
      <c r="URK1" s="149"/>
      <c r="URL1" s="149"/>
      <c r="URM1" s="149"/>
      <c r="URN1" s="149"/>
      <c r="URO1" s="149"/>
      <c r="URP1" s="149"/>
      <c r="URQ1" s="149"/>
      <c r="URR1" s="149"/>
      <c r="URS1" s="149"/>
      <c r="URT1" s="149"/>
      <c r="URU1" s="149"/>
      <c r="URV1" s="149"/>
      <c r="URW1" s="149"/>
      <c r="URX1" s="149"/>
      <c r="URY1" s="149"/>
      <c r="URZ1" s="149"/>
      <c r="USA1" s="149"/>
      <c r="USB1" s="149"/>
      <c r="USC1" s="149"/>
      <c r="USD1" s="149"/>
      <c r="USE1" s="149"/>
      <c r="USF1" s="149"/>
      <c r="USG1" s="149"/>
      <c r="USH1" s="149"/>
      <c r="USI1" s="149"/>
      <c r="USJ1" s="149"/>
      <c r="USK1" s="149"/>
      <c r="USL1" s="149"/>
      <c r="USM1" s="149"/>
      <c r="USN1" s="149"/>
      <c r="USO1" s="149"/>
      <c r="USP1" s="149"/>
      <c r="USQ1" s="149"/>
      <c r="USR1" s="149"/>
      <c r="USS1" s="149"/>
      <c r="UST1" s="149"/>
      <c r="USU1" s="149"/>
      <c r="USV1" s="149"/>
      <c r="USW1" s="149"/>
      <c r="USX1" s="149"/>
      <c r="USY1" s="149"/>
      <c r="USZ1" s="149"/>
      <c r="UTA1" s="149"/>
      <c r="UTB1" s="149"/>
      <c r="UTC1" s="149"/>
      <c r="UTD1" s="149"/>
      <c r="UTE1" s="149"/>
      <c r="UTF1" s="149"/>
      <c r="UTG1" s="149"/>
      <c r="UTH1" s="149"/>
      <c r="UTI1" s="149"/>
      <c r="UTJ1" s="149"/>
      <c r="UTK1" s="149"/>
      <c r="UTL1" s="149"/>
      <c r="UTM1" s="149"/>
      <c r="UTN1" s="149"/>
      <c r="UTO1" s="149"/>
      <c r="UTP1" s="149"/>
      <c r="UTQ1" s="149"/>
      <c r="UTR1" s="149"/>
      <c r="UTS1" s="149"/>
      <c r="UTT1" s="149"/>
      <c r="UTU1" s="149"/>
      <c r="UTV1" s="149"/>
      <c r="UTW1" s="149"/>
      <c r="UTX1" s="149"/>
      <c r="UTY1" s="149"/>
      <c r="UTZ1" s="149"/>
      <c r="UUA1" s="149"/>
      <c r="UUB1" s="149"/>
      <c r="UUC1" s="149"/>
      <c r="UUD1" s="149"/>
      <c r="UUE1" s="149"/>
      <c r="UUF1" s="149"/>
      <c r="UUG1" s="149"/>
      <c r="UUH1" s="149"/>
      <c r="UUI1" s="149"/>
      <c r="UUJ1" s="149"/>
      <c r="UUK1" s="149"/>
      <c r="UUL1" s="149"/>
      <c r="UUM1" s="149"/>
      <c r="UUN1" s="149"/>
      <c r="UUO1" s="149"/>
      <c r="UUP1" s="149"/>
      <c r="UUQ1" s="149"/>
      <c r="UUR1" s="149"/>
      <c r="UUS1" s="149"/>
      <c r="UUT1" s="149"/>
      <c r="UUU1" s="149"/>
      <c r="UUV1" s="149"/>
      <c r="UUW1" s="149"/>
      <c r="UUX1" s="149"/>
      <c r="UUY1" s="149"/>
      <c r="UUZ1" s="149"/>
      <c r="UVA1" s="149"/>
      <c r="UVB1" s="149"/>
      <c r="UVC1" s="149"/>
      <c r="UVD1" s="149"/>
      <c r="UVE1" s="149"/>
      <c r="UVF1" s="149"/>
      <c r="UVG1" s="149"/>
      <c r="UVH1" s="149"/>
      <c r="UVI1" s="149"/>
      <c r="UVJ1" s="149"/>
      <c r="UVK1" s="149"/>
      <c r="UVL1" s="149"/>
      <c r="UVM1" s="149"/>
      <c r="UVN1" s="149"/>
      <c r="UVO1" s="149"/>
      <c r="UVP1" s="149"/>
      <c r="UVQ1" s="149"/>
      <c r="UVR1" s="149"/>
      <c r="UVS1" s="149"/>
      <c r="UVT1" s="149"/>
      <c r="UVU1" s="149"/>
      <c r="UVV1" s="149"/>
      <c r="UVW1" s="149"/>
      <c r="UVX1" s="149"/>
      <c r="UVY1" s="149"/>
      <c r="UVZ1" s="149"/>
      <c r="UWA1" s="149"/>
      <c r="UWB1" s="149"/>
      <c r="UWC1" s="149"/>
      <c r="UWD1" s="149"/>
      <c r="UWE1" s="149"/>
      <c r="UWF1" s="149"/>
      <c r="UWG1" s="149"/>
      <c r="UWH1" s="149"/>
      <c r="UWI1" s="149"/>
      <c r="UWJ1" s="149"/>
      <c r="UWK1" s="149"/>
      <c r="UWL1" s="149"/>
      <c r="UWM1" s="149"/>
      <c r="UWN1" s="149"/>
      <c r="UWO1" s="149"/>
      <c r="UWP1" s="149"/>
      <c r="UWQ1" s="149"/>
      <c r="UWR1" s="149"/>
      <c r="UWS1" s="149"/>
      <c r="UWT1" s="149"/>
      <c r="UWU1" s="149"/>
      <c r="UWV1" s="149"/>
      <c r="UWW1" s="149"/>
      <c r="UWX1" s="149"/>
      <c r="UWY1" s="149"/>
      <c r="UWZ1" s="149"/>
      <c r="UXA1" s="149"/>
      <c r="UXB1" s="149"/>
      <c r="UXC1" s="149"/>
      <c r="UXD1" s="149"/>
      <c r="UXE1" s="149"/>
      <c r="UXF1" s="149"/>
      <c r="UXG1" s="149"/>
      <c r="UXH1" s="149"/>
      <c r="UXI1" s="149"/>
      <c r="UXJ1" s="149"/>
      <c r="UXK1" s="149"/>
      <c r="UXL1" s="149"/>
      <c r="UXM1" s="149"/>
      <c r="UXN1" s="149"/>
      <c r="UXO1" s="149"/>
      <c r="UXP1" s="149"/>
      <c r="UXQ1" s="149"/>
      <c r="UXR1" s="149"/>
      <c r="UXS1" s="149"/>
      <c r="UXT1" s="149"/>
      <c r="UXU1" s="149"/>
      <c r="UXV1" s="149"/>
      <c r="UXW1" s="149"/>
      <c r="UXX1" s="149"/>
      <c r="UXY1" s="149"/>
      <c r="UXZ1" s="149"/>
      <c r="UYA1" s="149"/>
      <c r="UYB1" s="149"/>
      <c r="UYC1" s="149"/>
      <c r="UYD1" s="149"/>
      <c r="UYE1" s="149"/>
      <c r="UYF1" s="149"/>
      <c r="UYG1" s="149"/>
      <c r="UYH1" s="149"/>
      <c r="UYI1" s="149"/>
      <c r="UYJ1" s="149"/>
      <c r="UYK1" s="149"/>
      <c r="UYL1" s="149"/>
      <c r="UYM1" s="149"/>
      <c r="UYN1" s="149"/>
      <c r="UYO1" s="149"/>
      <c r="UYP1" s="149"/>
      <c r="UYQ1" s="149"/>
      <c r="UYR1" s="149"/>
      <c r="UYS1" s="149"/>
      <c r="UYT1" s="149"/>
      <c r="UYU1" s="149"/>
      <c r="UYV1" s="149"/>
      <c r="UYW1" s="149"/>
      <c r="UYX1" s="149"/>
      <c r="UYY1" s="149"/>
      <c r="UYZ1" s="149"/>
      <c r="UZA1" s="149"/>
      <c r="UZB1" s="149"/>
      <c r="UZC1" s="149"/>
      <c r="UZD1" s="149"/>
      <c r="UZE1" s="149"/>
      <c r="UZF1" s="149"/>
      <c r="UZG1" s="149"/>
      <c r="UZH1" s="149"/>
      <c r="UZI1" s="149"/>
      <c r="UZJ1" s="149"/>
      <c r="UZK1" s="149"/>
      <c r="UZL1" s="149"/>
      <c r="UZM1" s="149"/>
      <c r="UZN1" s="149"/>
      <c r="UZO1" s="149"/>
      <c r="UZP1" s="149"/>
      <c r="UZQ1" s="149"/>
      <c r="UZR1" s="149"/>
      <c r="UZS1" s="149"/>
      <c r="UZT1" s="149"/>
      <c r="UZU1" s="149"/>
      <c r="UZV1" s="149"/>
      <c r="UZW1" s="149"/>
      <c r="UZX1" s="149"/>
      <c r="UZY1" s="149"/>
      <c r="UZZ1" s="149"/>
      <c r="VAA1" s="149"/>
      <c r="VAB1" s="149"/>
      <c r="VAC1" s="149"/>
      <c r="VAD1" s="149"/>
      <c r="VAE1" s="149"/>
      <c r="VAF1" s="149"/>
      <c r="VAG1" s="149"/>
      <c r="VAH1" s="149"/>
      <c r="VAI1" s="149"/>
      <c r="VAJ1" s="149"/>
      <c r="VAK1" s="149"/>
      <c r="VAL1" s="149"/>
      <c r="VAM1" s="149"/>
      <c r="VAN1" s="149"/>
      <c r="VAO1" s="149"/>
      <c r="VAP1" s="149"/>
      <c r="VAQ1" s="149"/>
      <c r="VAR1" s="149"/>
      <c r="VAS1" s="149"/>
      <c r="VAT1" s="149"/>
      <c r="VAU1" s="149"/>
      <c r="VAV1" s="149"/>
      <c r="VAW1" s="149"/>
      <c r="VAX1" s="149"/>
      <c r="VAY1" s="149"/>
      <c r="VAZ1" s="149"/>
      <c r="VBA1" s="149"/>
      <c r="VBB1" s="149"/>
      <c r="VBC1" s="149"/>
      <c r="VBD1" s="149"/>
      <c r="VBE1" s="149"/>
      <c r="VBF1" s="149"/>
      <c r="VBG1" s="149"/>
      <c r="VBH1" s="149"/>
      <c r="VBI1" s="149"/>
      <c r="VBJ1" s="149"/>
      <c r="VBK1" s="149"/>
      <c r="VBL1" s="149"/>
      <c r="VBM1" s="149"/>
      <c r="VBN1" s="149"/>
      <c r="VBO1" s="149"/>
      <c r="VBP1" s="149"/>
      <c r="VBQ1" s="149"/>
      <c r="VBR1" s="149"/>
      <c r="VBS1" s="149"/>
      <c r="VBT1" s="149"/>
      <c r="VBU1" s="149"/>
      <c r="VBV1" s="149"/>
      <c r="VBW1" s="149"/>
      <c r="VBX1" s="149"/>
      <c r="VBY1" s="149"/>
      <c r="VBZ1" s="149"/>
      <c r="VCA1" s="149"/>
      <c r="VCB1" s="149"/>
      <c r="VCC1" s="149"/>
      <c r="VCD1" s="149"/>
      <c r="VCE1" s="149"/>
      <c r="VCF1" s="149"/>
      <c r="VCG1" s="149"/>
      <c r="VCH1" s="149"/>
      <c r="VCI1" s="149"/>
      <c r="VCJ1" s="149"/>
      <c r="VCK1" s="149"/>
      <c r="VCL1" s="149"/>
      <c r="VCM1" s="149"/>
      <c r="VCN1" s="149"/>
      <c r="VCO1" s="149"/>
      <c r="VCP1" s="149"/>
      <c r="VCQ1" s="149"/>
      <c r="VCR1" s="149"/>
      <c r="VCS1" s="149"/>
      <c r="VCT1" s="149"/>
      <c r="VCU1" s="149"/>
      <c r="VCV1" s="149"/>
      <c r="VCW1" s="149"/>
      <c r="VCX1" s="149"/>
      <c r="VCY1" s="149"/>
      <c r="VCZ1" s="149"/>
      <c r="VDA1" s="149"/>
      <c r="VDB1" s="149"/>
      <c r="VDC1" s="149"/>
      <c r="VDD1" s="149"/>
      <c r="VDE1" s="149"/>
      <c r="VDF1" s="149"/>
      <c r="VDG1" s="149"/>
      <c r="VDH1" s="149"/>
      <c r="VDI1" s="149"/>
      <c r="VDJ1" s="149"/>
      <c r="VDK1" s="149"/>
      <c r="VDL1" s="149"/>
      <c r="VDM1" s="149"/>
      <c r="VDN1" s="149"/>
      <c r="VDO1" s="149"/>
      <c r="VDP1" s="149"/>
      <c r="VDQ1" s="149"/>
      <c r="VDR1" s="149"/>
      <c r="VDS1" s="149"/>
      <c r="VDT1" s="149"/>
      <c r="VDU1" s="149"/>
      <c r="VDV1" s="149"/>
      <c r="VDW1" s="149"/>
      <c r="VDX1" s="149"/>
      <c r="VDY1" s="149"/>
      <c r="VDZ1" s="149"/>
      <c r="VEA1" s="149"/>
      <c r="VEB1" s="149"/>
      <c r="VEC1" s="149"/>
      <c r="VED1" s="149"/>
      <c r="VEE1" s="149"/>
      <c r="VEF1" s="149"/>
      <c r="VEG1" s="149"/>
      <c r="VEH1" s="149"/>
      <c r="VEI1" s="149"/>
      <c r="VEJ1" s="149"/>
      <c r="VEK1" s="149"/>
      <c r="VEL1" s="149"/>
      <c r="VEM1" s="149"/>
      <c r="VEN1" s="149"/>
      <c r="VEO1" s="149"/>
      <c r="VEP1" s="149"/>
      <c r="VEQ1" s="149"/>
      <c r="VER1" s="149"/>
      <c r="VES1" s="149"/>
      <c r="VET1" s="149"/>
      <c r="VEU1" s="149"/>
      <c r="VEV1" s="149"/>
      <c r="VEW1" s="149"/>
      <c r="VEX1" s="149"/>
      <c r="VEY1" s="149"/>
      <c r="VEZ1" s="149"/>
      <c r="VFA1" s="149"/>
      <c r="VFB1" s="149"/>
      <c r="VFC1" s="149"/>
      <c r="VFD1" s="149"/>
      <c r="VFE1" s="149"/>
      <c r="VFF1" s="149"/>
      <c r="VFG1" s="149"/>
      <c r="VFH1" s="149"/>
      <c r="VFI1" s="149"/>
      <c r="VFJ1" s="149"/>
      <c r="VFK1" s="149"/>
      <c r="VFL1" s="149"/>
      <c r="VFM1" s="149"/>
      <c r="VFN1" s="149"/>
      <c r="VFO1" s="149"/>
      <c r="VFP1" s="149"/>
      <c r="VFQ1" s="149"/>
      <c r="VFR1" s="149"/>
      <c r="VFS1" s="149"/>
      <c r="VFT1" s="149"/>
      <c r="VFU1" s="149"/>
      <c r="VFV1" s="149"/>
      <c r="VFW1" s="149"/>
      <c r="VFX1" s="149"/>
      <c r="VFY1" s="149"/>
      <c r="VFZ1" s="149"/>
      <c r="VGA1" s="149"/>
      <c r="VGB1" s="149"/>
      <c r="VGC1" s="149"/>
      <c r="VGD1" s="149"/>
      <c r="VGE1" s="149"/>
      <c r="VGF1" s="149"/>
      <c r="VGG1" s="149"/>
      <c r="VGH1" s="149"/>
      <c r="VGI1" s="149"/>
      <c r="VGJ1" s="149"/>
      <c r="VGK1" s="149"/>
      <c r="VGL1" s="149"/>
      <c r="VGM1" s="149"/>
      <c r="VGN1" s="149"/>
      <c r="VGO1" s="149"/>
      <c r="VGP1" s="149"/>
      <c r="VGQ1" s="149"/>
      <c r="VGR1" s="149"/>
      <c r="VGS1" s="149"/>
      <c r="VGT1" s="149"/>
      <c r="VGU1" s="149"/>
      <c r="VGV1" s="149"/>
      <c r="VGW1" s="149"/>
      <c r="VGX1" s="149"/>
      <c r="VGY1" s="149"/>
      <c r="VGZ1" s="149"/>
      <c r="VHA1" s="149"/>
      <c r="VHB1" s="149"/>
      <c r="VHC1" s="149"/>
      <c r="VHD1" s="149"/>
      <c r="VHE1" s="149"/>
      <c r="VHF1" s="149"/>
      <c r="VHG1" s="149"/>
      <c r="VHH1" s="149"/>
      <c r="VHI1" s="149"/>
      <c r="VHJ1" s="149"/>
      <c r="VHK1" s="149"/>
      <c r="VHL1" s="149"/>
      <c r="VHM1" s="149"/>
      <c r="VHN1" s="149"/>
      <c r="VHO1" s="149"/>
      <c r="VHP1" s="149"/>
      <c r="VHQ1" s="149"/>
      <c r="VHR1" s="149"/>
      <c r="VHS1" s="149"/>
      <c r="VHT1" s="149"/>
      <c r="VHU1" s="149"/>
      <c r="VHV1" s="149"/>
      <c r="VHW1" s="149"/>
      <c r="VHX1" s="149"/>
      <c r="VHY1" s="149"/>
      <c r="VHZ1" s="149"/>
      <c r="VIA1" s="149"/>
      <c r="VIB1" s="149"/>
      <c r="VIC1" s="149"/>
      <c r="VID1" s="149"/>
      <c r="VIE1" s="149"/>
      <c r="VIF1" s="149"/>
      <c r="VIG1" s="149"/>
      <c r="VIH1" s="149"/>
      <c r="VII1" s="149"/>
      <c r="VIJ1" s="149"/>
      <c r="VIK1" s="149"/>
      <c r="VIL1" s="149"/>
      <c r="VIM1" s="149"/>
      <c r="VIN1" s="149"/>
      <c r="VIO1" s="149"/>
      <c r="VIP1" s="149"/>
      <c r="VIQ1" s="149"/>
      <c r="VIR1" s="149"/>
      <c r="VIS1" s="149"/>
      <c r="VIT1" s="149"/>
      <c r="VIU1" s="149"/>
      <c r="VIV1" s="149"/>
      <c r="VIW1" s="149"/>
      <c r="VIX1" s="149"/>
      <c r="VIY1" s="149"/>
      <c r="VIZ1" s="149"/>
      <c r="VJA1" s="149"/>
      <c r="VJB1" s="149"/>
      <c r="VJC1" s="149"/>
      <c r="VJD1" s="149"/>
      <c r="VJE1" s="149"/>
      <c r="VJF1" s="149"/>
      <c r="VJG1" s="149"/>
      <c r="VJH1" s="149"/>
      <c r="VJI1" s="149"/>
      <c r="VJJ1" s="149"/>
      <c r="VJK1" s="149"/>
      <c r="VJL1" s="149"/>
      <c r="VJM1" s="149"/>
      <c r="VJN1" s="149"/>
      <c r="VJO1" s="149"/>
      <c r="VJP1" s="149"/>
      <c r="VJQ1" s="149"/>
      <c r="VJR1" s="149"/>
      <c r="VJS1" s="149"/>
      <c r="VJT1" s="149"/>
      <c r="VJU1" s="149"/>
      <c r="VJV1" s="149"/>
      <c r="VJW1" s="149"/>
      <c r="VJX1" s="149"/>
      <c r="VJY1" s="149"/>
      <c r="VJZ1" s="149"/>
      <c r="VKA1" s="149"/>
      <c r="VKB1" s="149"/>
      <c r="VKC1" s="149"/>
      <c r="VKD1" s="149"/>
      <c r="VKE1" s="149"/>
      <c r="VKF1" s="149"/>
      <c r="VKG1" s="149"/>
      <c r="VKH1" s="149"/>
      <c r="VKI1" s="149"/>
      <c r="VKJ1" s="149"/>
      <c r="VKK1" s="149"/>
      <c r="VKL1" s="149"/>
      <c r="VKM1" s="149"/>
      <c r="VKN1" s="149"/>
      <c r="VKO1" s="149"/>
      <c r="VKP1" s="149"/>
      <c r="VKQ1" s="149"/>
      <c r="VKR1" s="149"/>
      <c r="VKS1" s="149"/>
      <c r="VKT1" s="149"/>
      <c r="VKU1" s="149"/>
      <c r="VKV1" s="149"/>
      <c r="VKW1" s="149"/>
      <c r="VKX1" s="149"/>
      <c r="VKY1" s="149"/>
      <c r="VKZ1" s="149"/>
      <c r="VLA1" s="149"/>
      <c r="VLB1" s="149"/>
      <c r="VLC1" s="149"/>
      <c r="VLD1" s="149"/>
      <c r="VLE1" s="149"/>
      <c r="VLF1" s="149"/>
      <c r="VLG1" s="149"/>
      <c r="VLH1" s="149"/>
      <c r="VLI1" s="149"/>
      <c r="VLJ1" s="149"/>
      <c r="VLK1" s="149"/>
      <c r="VLL1" s="149"/>
      <c r="VLM1" s="149"/>
      <c r="VLN1" s="149"/>
      <c r="VLO1" s="149"/>
      <c r="VLP1" s="149"/>
      <c r="VLQ1" s="149"/>
      <c r="VLR1" s="149"/>
      <c r="VLS1" s="149"/>
      <c r="VLT1" s="149"/>
      <c r="VLU1" s="149"/>
      <c r="VLV1" s="149"/>
      <c r="VLW1" s="149"/>
      <c r="VLX1" s="149"/>
      <c r="VLY1" s="149"/>
      <c r="VLZ1" s="149"/>
      <c r="VMA1" s="149"/>
      <c r="VMB1" s="149"/>
      <c r="VMC1" s="149"/>
      <c r="VMD1" s="149"/>
      <c r="VME1" s="149"/>
      <c r="VMF1" s="149"/>
      <c r="VMG1" s="149"/>
      <c r="VMH1" s="149"/>
      <c r="VMI1" s="149"/>
      <c r="VMJ1" s="149"/>
      <c r="VMK1" s="149"/>
      <c r="VML1" s="149"/>
      <c r="VMM1" s="149"/>
      <c r="VMN1" s="149"/>
      <c r="VMO1" s="149"/>
      <c r="VMP1" s="149"/>
      <c r="VMQ1" s="149"/>
      <c r="VMR1" s="149"/>
      <c r="VMS1" s="149"/>
      <c r="VMT1" s="149"/>
      <c r="VMU1" s="149"/>
      <c r="VMV1" s="149"/>
      <c r="VMW1" s="149"/>
      <c r="VMX1" s="149"/>
      <c r="VMY1" s="149"/>
      <c r="VMZ1" s="149"/>
      <c r="VNA1" s="149"/>
      <c r="VNB1" s="149"/>
      <c r="VNC1" s="149"/>
      <c r="VND1" s="149"/>
      <c r="VNE1" s="149"/>
      <c r="VNF1" s="149"/>
      <c r="VNG1" s="149"/>
      <c r="VNH1" s="149"/>
      <c r="VNI1" s="149"/>
      <c r="VNJ1" s="149"/>
      <c r="VNK1" s="149"/>
      <c r="VNL1" s="149"/>
      <c r="VNM1" s="149"/>
      <c r="VNN1" s="149"/>
      <c r="VNO1" s="149"/>
      <c r="VNP1" s="149"/>
      <c r="VNQ1" s="149"/>
      <c r="VNR1" s="149"/>
      <c r="VNS1" s="149"/>
      <c r="VNT1" s="149"/>
      <c r="VNU1" s="149"/>
      <c r="VNV1" s="149"/>
      <c r="VNW1" s="149"/>
      <c r="VNX1" s="149"/>
      <c r="VNY1" s="149"/>
      <c r="VNZ1" s="149"/>
      <c r="VOA1" s="149"/>
      <c r="VOB1" s="149"/>
      <c r="VOC1" s="149"/>
      <c r="VOD1" s="149"/>
      <c r="VOE1" s="149"/>
      <c r="VOF1" s="149"/>
      <c r="VOG1" s="149"/>
      <c r="VOH1" s="149"/>
      <c r="VOI1" s="149"/>
      <c r="VOJ1" s="149"/>
      <c r="VOK1" s="149"/>
      <c r="VOL1" s="149"/>
      <c r="VOM1" s="149"/>
      <c r="VON1" s="149"/>
      <c r="VOO1" s="149"/>
      <c r="VOP1" s="149"/>
      <c r="VOQ1" s="149"/>
      <c r="VOR1" s="149"/>
      <c r="VOS1" s="149"/>
      <c r="VOT1" s="149"/>
      <c r="VOU1" s="149"/>
      <c r="VOV1" s="149"/>
      <c r="VOW1" s="149"/>
      <c r="VOX1" s="149"/>
      <c r="VOY1" s="149"/>
      <c r="VOZ1" s="149"/>
      <c r="VPA1" s="149"/>
      <c r="VPB1" s="149"/>
      <c r="VPC1" s="149"/>
      <c r="VPD1" s="149"/>
      <c r="VPE1" s="149"/>
      <c r="VPF1" s="149"/>
      <c r="VPG1" s="149"/>
      <c r="VPH1" s="149"/>
      <c r="VPI1" s="149"/>
      <c r="VPJ1" s="149"/>
      <c r="VPK1" s="149"/>
      <c r="VPL1" s="149"/>
      <c r="VPM1" s="149"/>
      <c r="VPN1" s="149"/>
      <c r="VPO1" s="149"/>
      <c r="VPP1" s="149"/>
      <c r="VPQ1" s="149"/>
      <c r="VPR1" s="149"/>
      <c r="VPS1" s="149"/>
      <c r="VPT1" s="149"/>
      <c r="VPU1" s="149"/>
      <c r="VPV1" s="149"/>
      <c r="VPW1" s="149"/>
      <c r="VPX1" s="149"/>
      <c r="VPY1" s="149"/>
      <c r="VPZ1" s="149"/>
      <c r="VQA1" s="149"/>
      <c r="VQB1" s="149"/>
      <c r="VQC1" s="149"/>
      <c r="VQD1" s="149"/>
      <c r="VQE1" s="149"/>
      <c r="VQF1" s="149"/>
      <c r="VQG1" s="149"/>
      <c r="VQH1" s="149"/>
      <c r="VQI1" s="149"/>
      <c r="VQJ1" s="149"/>
      <c r="VQK1" s="149"/>
      <c r="VQL1" s="149"/>
      <c r="VQM1" s="149"/>
      <c r="VQN1" s="149"/>
      <c r="VQO1" s="149"/>
      <c r="VQP1" s="149"/>
      <c r="VQQ1" s="149"/>
      <c r="VQR1" s="149"/>
      <c r="VQS1" s="149"/>
      <c r="VQT1" s="149"/>
      <c r="VQU1" s="149"/>
      <c r="VQV1" s="149"/>
      <c r="VQW1" s="149"/>
      <c r="VQX1" s="149"/>
      <c r="VQY1" s="149"/>
      <c r="VQZ1" s="149"/>
      <c r="VRA1" s="149"/>
      <c r="VRB1" s="149"/>
      <c r="VRC1" s="149"/>
      <c r="VRD1" s="149"/>
      <c r="VRE1" s="149"/>
      <c r="VRF1" s="149"/>
      <c r="VRG1" s="149"/>
      <c r="VRH1" s="149"/>
      <c r="VRI1" s="149"/>
      <c r="VRJ1" s="149"/>
      <c r="VRK1" s="149"/>
      <c r="VRL1" s="149"/>
      <c r="VRM1" s="149"/>
      <c r="VRN1" s="149"/>
      <c r="VRO1" s="149"/>
      <c r="VRP1" s="149"/>
      <c r="VRQ1" s="149"/>
      <c r="VRR1" s="149"/>
      <c r="VRS1" s="149"/>
      <c r="VRT1" s="149"/>
      <c r="VRU1" s="149"/>
      <c r="VRV1" s="149"/>
      <c r="VRW1" s="149"/>
      <c r="VRX1" s="149"/>
      <c r="VRY1" s="149"/>
      <c r="VRZ1" s="149"/>
      <c r="VSA1" s="149"/>
      <c r="VSB1" s="149"/>
      <c r="VSC1" s="149"/>
      <c r="VSD1" s="149"/>
      <c r="VSE1" s="149"/>
      <c r="VSF1" s="149"/>
      <c r="VSG1" s="149"/>
      <c r="VSH1" s="149"/>
      <c r="VSI1" s="149"/>
      <c r="VSJ1" s="149"/>
      <c r="VSK1" s="149"/>
      <c r="VSL1" s="149"/>
      <c r="VSM1" s="149"/>
      <c r="VSN1" s="149"/>
      <c r="VSO1" s="149"/>
      <c r="VSP1" s="149"/>
      <c r="VSQ1" s="149"/>
      <c r="VSR1" s="149"/>
      <c r="VSS1" s="149"/>
      <c r="VST1" s="149"/>
      <c r="VSU1" s="149"/>
      <c r="VSV1" s="149"/>
      <c r="VSW1" s="149"/>
      <c r="VSX1" s="149"/>
      <c r="VSY1" s="149"/>
      <c r="VSZ1" s="149"/>
      <c r="VTA1" s="149"/>
      <c r="VTB1" s="149"/>
      <c r="VTC1" s="149"/>
      <c r="VTD1" s="149"/>
      <c r="VTE1" s="149"/>
      <c r="VTF1" s="149"/>
      <c r="VTG1" s="149"/>
      <c r="VTH1" s="149"/>
      <c r="VTI1" s="149"/>
      <c r="VTJ1" s="149"/>
      <c r="VTK1" s="149"/>
      <c r="VTL1" s="149"/>
      <c r="VTM1" s="149"/>
      <c r="VTN1" s="149"/>
      <c r="VTO1" s="149"/>
      <c r="VTP1" s="149"/>
      <c r="VTQ1" s="149"/>
      <c r="VTR1" s="149"/>
      <c r="VTS1" s="149"/>
      <c r="VTT1" s="149"/>
      <c r="VTU1" s="149"/>
      <c r="VTV1" s="149"/>
      <c r="VTW1" s="149"/>
      <c r="VTX1" s="149"/>
      <c r="VTY1" s="149"/>
      <c r="VTZ1" s="149"/>
      <c r="VUA1" s="149"/>
      <c r="VUB1" s="149"/>
      <c r="VUC1" s="149"/>
      <c r="VUD1" s="149"/>
      <c r="VUE1" s="149"/>
      <c r="VUF1" s="149"/>
      <c r="VUG1" s="149"/>
      <c r="VUH1" s="149"/>
      <c r="VUI1" s="149"/>
      <c r="VUJ1" s="149"/>
      <c r="VUK1" s="149"/>
      <c r="VUL1" s="149"/>
      <c r="VUM1" s="149"/>
      <c r="VUN1" s="149"/>
      <c r="VUO1" s="149"/>
      <c r="VUP1" s="149"/>
      <c r="VUQ1" s="149"/>
      <c r="VUR1" s="149"/>
      <c r="VUS1" s="149"/>
      <c r="VUT1" s="149"/>
      <c r="VUU1" s="149"/>
      <c r="VUV1" s="149"/>
      <c r="VUW1" s="149"/>
      <c r="VUX1" s="149"/>
      <c r="VUY1" s="149"/>
      <c r="VUZ1" s="149"/>
      <c r="VVA1" s="149"/>
      <c r="VVB1" s="149"/>
      <c r="VVC1" s="149"/>
      <c r="VVD1" s="149"/>
      <c r="VVE1" s="149"/>
      <c r="VVF1" s="149"/>
      <c r="VVG1" s="149"/>
      <c r="VVH1" s="149"/>
      <c r="VVI1" s="149"/>
      <c r="VVJ1" s="149"/>
      <c r="VVK1" s="149"/>
      <c r="VVL1" s="149"/>
      <c r="VVM1" s="149"/>
      <c r="VVN1" s="149"/>
      <c r="VVO1" s="149"/>
      <c r="VVP1" s="149"/>
      <c r="VVQ1" s="149"/>
      <c r="VVR1" s="149"/>
      <c r="VVS1" s="149"/>
      <c r="VVT1" s="149"/>
      <c r="VVU1" s="149"/>
      <c r="VVV1" s="149"/>
      <c r="VVW1" s="149"/>
      <c r="VVX1" s="149"/>
      <c r="VVY1" s="149"/>
      <c r="VVZ1" s="149"/>
      <c r="VWA1" s="149"/>
      <c r="VWB1" s="149"/>
      <c r="VWC1" s="149"/>
      <c r="VWD1" s="149"/>
      <c r="VWE1" s="149"/>
      <c r="VWF1" s="149"/>
      <c r="VWG1" s="149"/>
      <c r="VWH1" s="149"/>
      <c r="VWI1" s="149"/>
      <c r="VWJ1" s="149"/>
      <c r="VWK1" s="149"/>
      <c r="VWL1" s="149"/>
      <c r="VWM1" s="149"/>
      <c r="VWN1" s="149"/>
      <c r="VWO1" s="149"/>
      <c r="VWP1" s="149"/>
      <c r="VWQ1" s="149"/>
      <c r="VWR1" s="149"/>
      <c r="VWS1" s="149"/>
      <c r="VWT1" s="149"/>
      <c r="VWU1" s="149"/>
      <c r="VWV1" s="149"/>
      <c r="VWW1" s="149"/>
      <c r="VWX1" s="149"/>
      <c r="VWY1" s="149"/>
      <c r="VWZ1" s="149"/>
      <c r="VXA1" s="149"/>
      <c r="VXB1" s="149"/>
      <c r="VXC1" s="149"/>
      <c r="VXD1" s="149"/>
      <c r="VXE1" s="149"/>
      <c r="VXF1" s="149"/>
      <c r="VXG1" s="149"/>
      <c r="VXH1" s="149"/>
      <c r="VXI1" s="149"/>
      <c r="VXJ1" s="149"/>
      <c r="VXK1" s="149"/>
      <c r="VXL1" s="149"/>
      <c r="VXM1" s="149"/>
      <c r="VXN1" s="149"/>
      <c r="VXO1" s="149"/>
      <c r="VXP1" s="149"/>
      <c r="VXQ1" s="149"/>
      <c r="VXR1" s="149"/>
      <c r="VXS1" s="149"/>
      <c r="VXT1" s="149"/>
      <c r="VXU1" s="149"/>
      <c r="VXV1" s="149"/>
      <c r="VXW1" s="149"/>
      <c r="VXX1" s="149"/>
      <c r="VXY1" s="149"/>
      <c r="VXZ1" s="149"/>
      <c r="VYA1" s="149"/>
      <c r="VYB1" s="149"/>
      <c r="VYC1" s="149"/>
      <c r="VYD1" s="149"/>
      <c r="VYE1" s="149"/>
      <c r="VYF1" s="149"/>
      <c r="VYG1" s="149"/>
      <c r="VYH1" s="149"/>
      <c r="VYI1" s="149"/>
      <c r="VYJ1" s="149"/>
      <c r="VYK1" s="149"/>
      <c r="VYL1" s="149"/>
      <c r="VYM1" s="149"/>
      <c r="VYN1" s="149"/>
      <c r="VYO1" s="149"/>
      <c r="VYP1" s="149"/>
      <c r="VYQ1" s="149"/>
      <c r="VYR1" s="149"/>
      <c r="VYS1" s="149"/>
      <c r="VYT1" s="149"/>
      <c r="VYU1" s="149"/>
      <c r="VYV1" s="149"/>
      <c r="VYW1" s="149"/>
      <c r="VYX1" s="149"/>
      <c r="VYY1" s="149"/>
      <c r="VYZ1" s="149"/>
      <c r="VZA1" s="149"/>
      <c r="VZB1" s="149"/>
      <c r="VZC1" s="149"/>
      <c r="VZD1" s="149"/>
      <c r="VZE1" s="149"/>
      <c r="VZF1" s="149"/>
      <c r="VZG1" s="149"/>
      <c r="VZH1" s="149"/>
      <c r="VZI1" s="149"/>
      <c r="VZJ1" s="149"/>
      <c r="VZK1" s="149"/>
      <c r="VZL1" s="149"/>
      <c r="VZM1" s="149"/>
      <c r="VZN1" s="149"/>
      <c r="VZO1" s="149"/>
      <c r="VZP1" s="149"/>
      <c r="VZQ1" s="149"/>
      <c r="VZR1" s="149"/>
      <c r="VZS1" s="149"/>
      <c r="VZT1" s="149"/>
      <c r="VZU1" s="149"/>
      <c r="VZV1" s="149"/>
      <c r="VZW1" s="149"/>
      <c r="VZX1" s="149"/>
      <c r="VZY1" s="149"/>
      <c r="VZZ1" s="149"/>
      <c r="WAA1" s="149"/>
      <c r="WAB1" s="149"/>
      <c r="WAC1" s="149"/>
      <c r="WAD1" s="149"/>
      <c r="WAE1" s="149"/>
      <c r="WAF1" s="149"/>
      <c r="WAG1" s="149"/>
      <c r="WAH1" s="149"/>
      <c r="WAI1" s="149"/>
      <c r="WAJ1" s="149"/>
      <c r="WAK1" s="149"/>
      <c r="WAL1" s="149"/>
      <c r="WAM1" s="149"/>
      <c r="WAN1" s="149"/>
      <c r="WAO1" s="149"/>
      <c r="WAP1" s="149"/>
      <c r="WAQ1" s="149"/>
      <c r="WAR1" s="149"/>
      <c r="WAS1" s="149"/>
      <c r="WAT1" s="149"/>
      <c r="WAU1" s="149"/>
      <c r="WAV1" s="149"/>
      <c r="WAW1" s="149"/>
      <c r="WAX1" s="149"/>
      <c r="WAY1" s="149"/>
      <c r="WAZ1" s="149"/>
      <c r="WBA1" s="149"/>
      <c r="WBB1" s="149"/>
      <c r="WBC1" s="149"/>
      <c r="WBD1" s="149"/>
      <c r="WBE1" s="149"/>
      <c r="WBF1" s="149"/>
      <c r="WBG1" s="149"/>
      <c r="WBH1" s="149"/>
      <c r="WBI1" s="149"/>
      <c r="WBJ1" s="149"/>
      <c r="WBK1" s="149"/>
      <c r="WBL1" s="149"/>
      <c r="WBM1" s="149"/>
      <c r="WBN1" s="149"/>
      <c r="WBO1" s="149"/>
      <c r="WBP1" s="149"/>
      <c r="WBQ1" s="149"/>
      <c r="WBR1" s="149"/>
      <c r="WBS1" s="149"/>
      <c r="WBT1" s="149"/>
      <c r="WBU1" s="149"/>
      <c r="WBV1" s="149"/>
      <c r="WBW1" s="149"/>
      <c r="WBX1" s="149"/>
      <c r="WBY1" s="149"/>
      <c r="WBZ1" s="149"/>
      <c r="WCA1" s="149"/>
      <c r="WCB1" s="149"/>
      <c r="WCC1" s="149"/>
      <c r="WCD1" s="149"/>
      <c r="WCE1" s="149"/>
      <c r="WCF1" s="149"/>
      <c r="WCG1" s="149"/>
      <c r="WCH1" s="149"/>
      <c r="WCI1" s="149"/>
      <c r="WCJ1" s="149"/>
      <c r="WCK1" s="149"/>
      <c r="WCL1" s="149"/>
      <c r="WCM1" s="149"/>
      <c r="WCN1" s="149"/>
      <c r="WCO1" s="149"/>
      <c r="WCP1" s="149"/>
      <c r="WCQ1" s="149"/>
      <c r="WCR1" s="149"/>
      <c r="WCS1" s="149"/>
      <c r="WCT1" s="149"/>
      <c r="WCU1" s="149"/>
      <c r="WCV1" s="149"/>
      <c r="WCW1" s="149"/>
      <c r="WCX1" s="149"/>
      <c r="WCY1" s="149"/>
      <c r="WCZ1" s="149"/>
      <c r="WDA1" s="149"/>
      <c r="WDB1" s="149"/>
      <c r="WDC1" s="149"/>
      <c r="WDD1" s="149"/>
      <c r="WDE1" s="149"/>
      <c r="WDF1" s="149"/>
      <c r="WDG1" s="149"/>
      <c r="WDH1" s="149"/>
      <c r="WDI1" s="149"/>
      <c r="WDJ1" s="149"/>
      <c r="WDK1" s="149"/>
      <c r="WDL1" s="149"/>
      <c r="WDM1" s="149"/>
      <c r="WDN1" s="149"/>
      <c r="WDO1" s="149"/>
      <c r="WDP1" s="149"/>
      <c r="WDQ1" s="149"/>
      <c r="WDR1" s="149"/>
      <c r="WDS1" s="149"/>
      <c r="WDT1" s="149"/>
      <c r="WDU1" s="149"/>
      <c r="WDV1" s="149"/>
      <c r="WDW1" s="149"/>
      <c r="WDX1" s="149"/>
      <c r="WDY1" s="149"/>
      <c r="WDZ1" s="149"/>
      <c r="WEA1" s="149"/>
      <c r="WEB1" s="149"/>
      <c r="WEC1" s="149"/>
      <c r="WED1" s="149"/>
      <c r="WEE1" s="149"/>
      <c r="WEF1" s="149"/>
      <c r="WEG1" s="149"/>
      <c r="WEH1" s="149"/>
      <c r="WEI1" s="149"/>
      <c r="WEJ1" s="149"/>
      <c r="WEK1" s="149"/>
      <c r="WEL1" s="149"/>
      <c r="WEM1" s="149"/>
      <c r="WEN1" s="149"/>
      <c r="WEO1" s="149"/>
      <c r="WEP1" s="149"/>
      <c r="WEQ1" s="149"/>
      <c r="WER1" s="149"/>
      <c r="WES1" s="149"/>
      <c r="WET1" s="149"/>
      <c r="WEU1" s="149"/>
      <c r="WEV1" s="149"/>
      <c r="WEW1" s="149"/>
      <c r="WEX1" s="149"/>
      <c r="WEY1" s="149"/>
      <c r="WEZ1" s="149"/>
      <c r="WFA1" s="149"/>
      <c r="WFB1" s="149"/>
      <c r="WFC1" s="149"/>
      <c r="WFD1" s="149"/>
      <c r="WFE1" s="149"/>
      <c r="WFF1" s="149"/>
      <c r="WFG1" s="149"/>
      <c r="WFH1" s="149"/>
      <c r="WFI1" s="149"/>
      <c r="WFJ1" s="149"/>
      <c r="WFK1" s="149"/>
      <c r="WFL1" s="149"/>
      <c r="WFM1" s="149"/>
      <c r="WFN1" s="149"/>
      <c r="WFO1" s="149"/>
      <c r="WFP1" s="149"/>
      <c r="WFQ1" s="149"/>
      <c r="WFR1" s="149"/>
      <c r="WFS1" s="149"/>
      <c r="WFT1" s="149"/>
      <c r="WFU1" s="149"/>
      <c r="WFV1" s="149"/>
      <c r="WFW1" s="149"/>
      <c r="WFX1" s="149"/>
      <c r="WFY1" s="149"/>
      <c r="WFZ1" s="149"/>
      <c r="WGA1" s="149"/>
      <c r="WGB1" s="149"/>
      <c r="WGC1" s="149"/>
      <c r="WGD1" s="149"/>
      <c r="WGE1" s="149"/>
      <c r="WGF1" s="149"/>
      <c r="WGG1" s="149"/>
      <c r="WGH1" s="149"/>
      <c r="WGI1" s="149"/>
      <c r="WGJ1" s="149"/>
      <c r="WGK1" s="149"/>
      <c r="WGL1" s="149"/>
      <c r="WGM1" s="149"/>
      <c r="WGN1" s="149"/>
      <c r="WGO1" s="149"/>
      <c r="WGP1" s="149"/>
      <c r="WGQ1" s="149"/>
      <c r="WGR1" s="149"/>
      <c r="WGS1" s="149"/>
      <c r="WGT1" s="149"/>
      <c r="WGU1" s="149"/>
      <c r="WGV1" s="149"/>
      <c r="WGW1" s="149"/>
      <c r="WGX1" s="149"/>
      <c r="WGY1" s="149"/>
      <c r="WGZ1" s="149"/>
      <c r="WHA1" s="149"/>
      <c r="WHB1" s="149"/>
      <c r="WHC1" s="149"/>
      <c r="WHD1" s="149"/>
      <c r="WHE1" s="149"/>
      <c r="WHF1" s="149"/>
      <c r="WHG1" s="149"/>
      <c r="WHH1" s="149"/>
      <c r="WHI1" s="149"/>
      <c r="WHJ1" s="149"/>
      <c r="WHK1" s="149"/>
      <c r="WHL1" s="149"/>
      <c r="WHM1" s="149"/>
      <c r="WHN1" s="149"/>
      <c r="WHO1" s="149"/>
      <c r="WHP1" s="149"/>
      <c r="WHQ1" s="149"/>
      <c r="WHR1" s="149"/>
      <c r="WHS1" s="149"/>
      <c r="WHT1" s="149"/>
      <c r="WHU1" s="149"/>
      <c r="WHV1" s="149"/>
      <c r="WHW1" s="149"/>
      <c r="WHX1" s="149"/>
      <c r="WHY1" s="149"/>
      <c r="WHZ1" s="149"/>
      <c r="WIA1" s="149"/>
      <c r="WIB1" s="149"/>
      <c r="WIC1" s="149"/>
      <c r="WID1" s="149"/>
      <c r="WIE1" s="149"/>
      <c r="WIF1" s="149"/>
      <c r="WIG1" s="149"/>
      <c r="WIH1" s="149"/>
      <c r="WII1" s="149"/>
      <c r="WIJ1" s="149"/>
      <c r="WIK1" s="149"/>
      <c r="WIL1" s="149"/>
      <c r="WIM1" s="149"/>
      <c r="WIN1" s="149"/>
      <c r="WIO1" s="149"/>
      <c r="WIP1" s="149"/>
      <c r="WIQ1" s="149"/>
      <c r="WIR1" s="149"/>
      <c r="WIS1" s="149"/>
      <c r="WIT1" s="149"/>
      <c r="WIU1" s="149"/>
      <c r="WIV1" s="149"/>
      <c r="WIW1" s="149"/>
      <c r="WIX1" s="149"/>
      <c r="WIY1" s="149"/>
      <c r="WIZ1" s="149"/>
      <c r="WJA1" s="149"/>
      <c r="WJB1" s="149"/>
      <c r="WJC1" s="149"/>
      <c r="WJD1" s="149"/>
      <c r="WJE1" s="149"/>
      <c r="WJF1" s="149"/>
      <c r="WJG1" s="149"/>
      <c r="WJH1" s="149"/>
      <c r="WJI1" s="149"/>
      <c r="WJJ1" s="149"/>
      <c r="WJK1" s="149"/>
      <c r="WJL1" s="149"/>
      <c r="WJM1" s="149"/>
      <c r="WJN1" s="149"/>
      <c r="WJO1" s="149"/>
      <c r="WJP1" s="149"/>
      <c r="WJQ1" s="149"/>
      <c r="WJR1" s="149"/>
      <c r="WJS1" s="149"/>
      <c r="WJT1" s="149"/>
      <c r="WJU1" s="149"/>
      <c r="WJV1" s="149"/>
      <c r="WJW1" s="149"/>
      <c r="WJX1" s="149"/>
      <c r="WJY1" s="149"/>
      <c r="WJZ1" s="149"/>
      <c r="WKA1" s="149"/>
      <c r="WKB1" s="149"/>
      <c r="WKC1" s="149"/>
      <c r="WKD1" s="149"/>
      <c r="WKE1" s="149"/>
      <c r="WKF1" s="149"/>
      <c r="WKG1" s="149"/>
      <c r="WKH1" s="149"/>
      <c r="WKI1" s="149"/>
      <c r="WKJ1" s="149"/>
      <c r="WKK1" s="149"/>
      <c r="WKL1" s="149"/>
      <c r="WKM1" s="149"/>
      <c r="WKN1" s="149"/>
      <c r="WKO1" s="149"/>
      <c r="WKP1" s="149"/>
      <c r="WKQ1" s="149"/>
      <c r="WKR1" s="149"/>
      <c r="WKS1" s="149"/>
      <c r="WKT1" s="149"/>
      <c r="WKU1" s="149"/>
      <c r="WKV1" s="149"/>
      <c r="WKW1" s="149"/>
      <c r="WKX1" s="149"/>
      <c r="WKY1" s="149"/>
      <c r="WKZ1" s="149"/>
      <c r="WLA1" s="149"/>
      <c r="WLB1" s="149"/>
      <c r="WLC1" s="149"/>
      <c r="WLD1" s="149"/>
      <c r="WLE1" s="149"/>
      <c r="WLF1" s="149"/>
      <c r="WLG1" s="149"/>
      <c r="WLH1" s="149"/>
      <c r="WLI1" s="149"/>
      <c r="WLJ1" s="149"/>
      <c r="WLK1" s="149"/>
      <c r="WLL1" s="149"/>
      <c r="WLM1" s="149"/>
      <c r="WLN1" s="149"/>
      <c r="WLO1" s="149"/>
      <c r="WLP1" s="149"/>
      <c r="WLQ1" s="149"/>
      <c r="WLR1" s="149"/>
      <c r="WLS1" s="149"/>
      <c r="WLT1" s="149"/>
      <c r="WLU1" s="149"/>
      <c r="WLV1" s="149"/>
      <c r="WLW1" s="149"/>
      <c r="WLX1" s="149"/>
      <c r="WLY1" s="149"/>
      <c r="WLZ1" s="149"/>
      <c r="WMA1" s="149"/>
      <c r="WMB1" s="149"/>
      <c r="WMC1" s="149"/>
      <c r="WMD1" s="149"/>
      <c r="WME1" s="149"/>
      <c r="WMF1" s="149"/>
      <c r="WMG1" s="149"/>
      <c r="WMH1" s="149"/>
      <c r="WMI1" s="149"/>
      <c r="WMJ1" s="149"/>
      <c r="WMK1" s="149"/>
      <c r="WML1" s="149"/>
      <c r="WMM1" s="149"/>
      <c r="WMN1" s="149"/>
      <c r="WMO1" s="149"/>
      <c r="WMP1" s="149"/>
      <c r="WMQ1" s="149"/>
      <c r="WMR1" s="149"/>
      <c r="WMS1" s="149"/>
      <c r="WMT1" s="149"/>
      <c r="WMU1" s="149"/>
      <c r="WMV1" s="149"/>
      <c r="WMW1" s="149"/>
      <c r="WMX1" s="149"/>
      <c r="WMY1" s="149"/>
      <c r="WMZ1" s="149"/>
      <c r="WNA1" s="149"/>
      <c r="WNB1" s="149"/>
      <c r="WNC1" s="149"/>
      <c r="WND1" s="149"/>
      <c r="WNE1" s="149"/>
      <c r="WNF1" s="149"/>
      <c r="WNG1" s="149"/>
      <c r="WNH1" s="149"/>
      <c r="WNI1" s="149"/>
      <c r="WNJ1" s="149"/>
      <c r="WNK1" s="149"/>
      <c r="WNL1" s="149"/>
      <c r="WNM1" s="149"/>
      <c r="WNN1" s="149"/>
      <c r="WNO1" s="149"/>
      <c r="WNP1" s="149"/>
      <c r="WNQ1" s="149"/>
      <c r="WNR1" s="149"/>
      <c r="WNS1" s="149"/>
      <c r="WNT1" s="149"/>
      <c r="WNU1" s="149"/>
      <c r="WNV1" s="149"/>
      <c r="WNW1" s="149"/>
      <c r="WNX1" s="149"/>
      <c r="WNY1" s="149"/>
      <c r="WNZ1" s="149"/>
      <c r="WOA1" s="149"/>
      <c r="WOB1" s="149"/>
      <c r="WOC1" s="149"/>
      <c r="WOD1" s="149"/>
      <c r="WOE1" s="149"/>
      <c r="WOF1" s="149"/>
      <c r="WOG1" s="149"/>
      <c r="WOH1" s="149"/>
      <c r="WOI1" s="149"/>
      <c r="WOJ1" s="149"/>
      <c r="WOK1" s="149"/>
      <c r="WOL1" s="149"/>
      <c r="WOM1" s="149"/>
      <c r="WON1" s="149"/>
      <c r="WOO1" s="149"/>
      <c r="WOP1" s="149"/>
      <c r="WOQ1" s="149"/>
      <c r="WOR1" s="149"/>
      <c r="WOS1" s="149"/>
      <c r="WOT1" s="149"/>
      <c r="WOU1" s="149"/>
      <c r="WOV1" s="149"/>
      <c r="WOW1" s="149"/>
      <c r="WOX1" s="149"/>
      <c r="WOY1" s="149"/>
      <c r="WOZ1" s="149"/>
      <c r="WPA1" s="149"/>
      <c r="WPB1" s="149"/>
      <c r="WPC1" s="149"/>
      <c r="WPD1" s="149"/>
      <c r="WPE1" s="149"/>
      <c r="WPF1" s="149"/>
      <c r="WPG1" s="149"/>
      <c r="WPH1" s="149"/>
      <c r="WPI1" s="149"/>
      <c r="WPJ1" s="149"/>
      <c r="WPK1" s="149"/>
      <c r="WPL1" s="149"/>
      <c r="WPM1" s="149"/>
      <c r="WPN1" s="149"/>
      <c r="WPO1" s="149"/>
      <c r="WPP1" s="149"/>
      <c r="WPQ1" s="149"/>
      <c r="WPR1" s="149"/>
      <c r="WPS1" s="149"/>
      <c r="WPT1" s="149"/>
      <c r="WPU1" s="149"/>
      <c r="WPV1" s="149"/>
      <c r="WPW1" s="149"/>
      <c r="WPX1" s="149"/>
      <c r="WPY1" s="149"/>
      <c r="WPZ1" s="149"/>
      <c r="WQA1" s="149"/>
      <c r="WQB1" s="149"/>
      <c r="WQC1" s="149"/>
      <c r="WQD1" s="149"/>
      <c r="WQE1" s="149"/>
      <c r="WQF1" s="149"/>
      <c r="WQG1" s="149"/>
      <c r="WQH1" s="149"/>
      <c r="WQI1" s="149"/>
      <c r="WQJ1" s="149"/>
      <c r="WQK1" s="149"/>
      <c r="WQL1" s="149"/>
      <c r="WQM1" s="149"/>
      <c r="WQN1" s="149"/>
      <c r="WQO1" s="149"/>
      <c r="WQP1" s="149"/>
      <c r="WQQ1" s="149"/>
      <c r="WQR1" s="149"/>
      <c r="WQS1" s="149"/>
      <c r="WQT1" s="149"/>
      <c r="WQU1" s="149"/>
      <c r="WQV1" s="149"/>
      <c r="WQW1" s="149"/>
      <c r="WQX1" s="149"/>
      <c r="WQY1" s="149"/>
      <c r="WQZ1" s="149"/>
      <c r="WRA1" s="149"/>
      <c r="WRB1" s="149"/>
      <c r="WRC1" s="149"/>
      <c r="WRD1" s="149"/>
      <c r="WRE1" s="149"/>
      <c r="WRF1" s="149"/>
      <c r="WRG1" s="149"/>
      <c r="WRH1" s="149"/>
      <c r="WRI1" s="149"/>
      <c r="WRJ1" s="149"/>
      <c r="WRK1" s="149"/>
      <c r="WRL1" s="149"/>
      <c r="WRM1" s="149"/>
      <c r="WRN1" s="149"/>
      <c r="WRO1" s="149"/>
      <c r="WRP1" s="149"/>
      <c r="WRQ1" s="149"/>
      <c r="WRR1" s="149"/>
      <c r="WRS1" s="149"/>
      <c r="WRT1" s="149"/>
      <c r="WRU1" s="149"/>
      <c r="WRV1" s="149"/>
      <c r="WRW1" s="149"/>
      <c r="WRX1" s="149"/>
      <c r="WRY1" s="149"/>
      <c r="WRZ1" s="149"/>
      <c r="WSA1" s="149"/>
      <c r="WSB1" s="149"/>
      <c r="WSC1" s="149"/>
      <c r="WSD1" s="149"/>
      <c r="WSE1" s="149"/>
      <c r="WSF1" s="149"/>
      <c r="WSG1" s="149"/>
      <c r="WSH1" s="149"/>
      <c r="WSI1" s="149"/>
      <c r="WSJ1" s="149"/>
      <c r="WSK1" s="149"/>
      <c r="WSL1" s="149"/>
      <c r="WSM1" s="149"/>
      <c r="WSN1" s="149"/>
      <c r="WSO1" s="149"/>
      <c r="WSP1" s="149"/>
      <c r="WSQ1" s="149"/>
      <c r="WSR1" s="149"/>
      <c r="WSS1" s="149"/>
      <c r="WST1" s="149"/>
      <c r="WSU1" s="149"/>
      <c r="WSV1" s="149"/>
      <c r="WSW1" s="149"/>
      <c r="WSX1" s="149"/>
      <c r="WSY1" s="149"/>
      <c r="WSZ1" s="149"/>
      <c r="WTA1" s="149"/>
      <c r="WTB1" s="149"/>
      <c r="WTC1" s="149"/>
      <c r="WTD1" s="149"/>
      <c r="WTE1" s="149"/>
      <c r="WTF1" s="149"/>
      <c r="WTG1" s="149"/>
      <c r="WTH1" s="149"/>
      <c r="WTI1" s="149"/>
      <c r="WTJ1" s="149"/>
      <c r="WTK1" s="149"/>
      <c r="WTL1" s="149"/>
      <c r="WTM1" s="149"/>
      <c r="WTN1" s="149"/>
      <c r="WTO1" s="149"/>
      <c r="WTP1" s="149"/>
      <c r="WTQ1" s="149"/>
      <c r="WTR1" s="149"/>
      <c r="WTS1" s="149"/>
      <c r="WTT1" s="149"/>
      <c r="WTU1" s="149"/>
      <c r="WTV1" s="149"/>
      <c r="WTW1" s="149"/>
      <c r="WTX1" s="149"/>
      <c r="WTY1" s="149"/>
      <c r="WTZ1" s="149"/>
      <c r="WUA1" s="149"/>
      <c r="WUB1" s="149"/>
      <c r="WUC1" s="149"/>
      <c r="WUD1" s="149"/>
      <c r="WUE1" s="149"/>
      <c r="WUF1" s="149"/>
      <c r="WUG1" s="149"/>
      <c r="WUH1" s="149"/>
      <c r="WUI1" s="149"/>
      <c r="WUJ1" s="149"/>
      <c r="WUK1" s="149"/>
      <c r="WUL1" s="149"/>
      <c r="WUM1" s="149"/>
      <c r="WUN1" s="149"/>
      <c r="WUO1" s="149"/>
      <c r="WUP1" s="149"/>
      <c r="WUQ1" s="149"/>
      <c r="WUR1" s="149"/>
      <c r="WUS1" s="149"/>
      <c r="WUT1" s="149"/>
      <c r="WUU1" s="149"/>
      <c r="WUV1" s="149"/>
      <c r="WUW1" s="149"/>
      <c r="WUX1" s="149"/>
      <c r="WUY1" s="149"/>
      <c r="WUZ1" s="149"/>
      <c r="WVA1" s="149"/>
      <c r="WVB1" s="149"/>
      <c r="WVC1" s="149"/>
      <c r="WVD1" s="149"/>
      <c r="WVE1" s="149"/>
      <c r="WVF1" s="149"/>
      <c r="WVG1" s="149"/>
      <c r="WVH1" s="149"/>
      <c r="WVI1" s="149"/>
      <c r="WVJ1" s="149"/>
      <c r="WVK1" s="149"/>
      <c r="WVL1" s="149"/>
      <c r="WVM1" s="149"/>
      <c r="WVN1" s="149"/>
      <c r="WVO1" s="149"/>
      <c r="WVP1" s="149"/>
      <c r="WVQ1" s="149"/>
      <c r="WVR1" s="149"/>
      <c r="WVS1" s="149"/>
      <c r="WVT1" s="149"/>
      <c r="WVU1" s="149"/>
      <c r="WVV1" s="149"/>
      <c r="WVW1" s="149"/>
      <c r="WVX1" s="149"/>
      <c r="WVY1" s="149"/>
      <c r="WVZ1" s="149"/>
      <c r="WWA1" s="149"/>
      <c r="WWB1" s="149"/>
      <c r="WWC1" s="149"/>
      <c r="WWD1" s="149"/>
      <c r="WWE1" s="149"/>
      <c r="WWF1" s="149"/>
      <c r="WWG1" s="149"/>
      <c r="WWH1" s="149"/>
      <c r="WWI1" s="149"/>
      <c r="WWJ1" s="149"/>
      <c r="WWK1" s="149"/>
      <c r="WWL1" s="149"/>
      <c r="WWM1" s="149"/>
      <c r="WWN1" s="149"/>
      <c r="WWO1" s="149"/>
      <c r="WWP1" s="149"/>
      <c r="WWQ1" s="149"/>
      <c r="WWR1" s="149"/>
      <c r="WWS1" s="149"/>
      <c r="WWT1" s="149"/>
      <c r="WWU1" s="149"/>
      <c r="WWV1" s="149"/>
      <c r="WWW1" s="149"/>
      <c r="WWX1" s="149"/>
      <c r="WWY1" s="149"/>
      <c r="WWZ1" s="149"/>
      <c r="WXA1" s="149"/>
      <c r="WXB1" s="149"/>
      <c r="WXC1" s="149"/>
      <c r="WXD1" s="149"/>
      <c r="WXE1" s="149"/>
      <c r="WXF1" s="149"/>
      <c r="WXG1" s="149"/>
      <c r="WXH1" s="149"/>
      <c r="WXI1" s="149"/>
      <c r="WXJ1" s="149"/>
      <c r="WXK1" s="149"/>
      <c r="WXL1" s="149"/>
      <c r="WXM1" s="149"/>
      <c r="WXN1" s="149"/>
      <c r="WXO1" s="149"/>
      <c r="WXP1" s="149"/>
      <c r="WXQ1" s="149"/>
      <c r="WXR1" s="149"/>
      <c r="WXS1" s="149"/>
      <c r="WXT1" s="149"/>
      <c r="WXU1" s="149"/>
      <c r="WXV1" s="149"/>
      <c r="WXW1" s="149"/>
      <c r="WXX1" s="149"/>
      <c r="WXY1" s="149"/>
      <c r="WXZ1" s="149"/>
      <c r="WYA1" s="149"/>
      <c r="WYB1" s="149"/>
      <c r="WYC1" s="149"/>
      <c r="WYD1" s="149"/>
      <c r="WYE1" s="149"/>
      <c r="WYF1" s="149"/>
      <c r="WYG1" s="149"/>
      <c r="WYH1" s="149"/>
      <c r="WYI1" s="149"/>
      <c r="WYJ1" s="149"/>
      <c r="WYK1" s="149"/>
      <c r="WYL1" s="149"/>
      <c r="WYM1" s="149"/>
      <c r="WYN1" s="149"/>
      <c r="WYO1" s="149"/>
      <c r="WYP1" s="149"/>
      <c r="WYQ1" s="149"/>
      <c r="WYR1" s="149"/>
      <c r="WYS1" s="149"/>
      <c r="WYT1" s="149"/>
      <c r="WYU1" s="149"/>
      <c r="WYV1" s="149"/>
      <c r="WYW1" s="149"/>
      <c r="WYX1" s="149"/>
      <c r="WYY1" s="149"/>
      <c r="WYZ1" s="149"/>
      <c r="WZA1" s="149"/>
      <c r="WZB1" s="149"/>
      <c r="WZC1" s="149"/>
      <c r="WZD1" s="149"/>
      <c r="WZE1" s="149"/>
      <c r="WZF1" s="149"/>
      <c r="WZG1" s="149"/>
      <c r="WZH1" s="149"/>
      <c r="WZI1" s="149"/>
      <c r="WZJ1" s="149"/>
      <c r="WZK1" s="149"/>
      <c r="WZL1" s="149"/>
      <c r="WZM1" s="149"/>
      <c r="WZN1" s="149"/>
      <c r="WZO1" s="149"/>
      <c r="WZP1" s="149"/>
      <c r="WZQ1" s="149"/>
      <c r="WZR1" s="149"/>
      <c r="WZS1" s="149"/>
      <c r="WZT1" s="149"/>
      <c r="WZU1" s="149"/>
      <c r="WZV1" s="149"/>
      <c r="WZW1" s="149"/>
      <c r="WZX1" s="149"/>
      <c r="WZY1" s="149"/>
      <c r="WZZ1" s="149"/>
      <c r="XAA1" s="149"/>
      <c r="XAB1" s="149"/>
      <c r="XAC1" s="149"/>
      <c r="XAD1" s="149"/>
      <c r="XAE1" s="149"/>
      <c r="XAF1" s="149"/>
      <c r="XAG1" s="149"/>
      <c r="XAH1" s="149"/>
      <c r="XAI1" s="149"/>
      <c r="XAJ1" s="149"/>
      <c r="XAK1" s="149"/>
      <c r="XAL1" s="149"/>
      <c r="XAM1" s="149"/>
      <c r="XAN1" s="149"/>
      <c r="XAO1" s="149"/>
      <c r="XAP1" s="149"/>
      <c r="XAQ1" s="149"/>
      <c r="XAR1" s="149"/>
      <c r="XAS1" s="149"/>
      <c r="XAT1" s="149"/>
      <c r="XAU1" s="149"/>
      <c r="XAV1" s="149"/>
      <c r="XAW1" s="149"/>
      <c r="XAX1" s="149"/>
      <c r="XAY1" s="149"/>
      <c r="XAZ1" s="149"/>
      <c r="XBA1" s="149"/>
      <c r="XBB1" s="149"/>
      <c r="XBC1" s="149"/>
      <c r="XBD1" s="149"/>
      <c r="XBE1" s="149"/>
      <c r="XBF1" s="149"/>
      <c r="XBG1" s="149"/>
      <c r="XBH1" s="149"/>
      <c r="XBI1" s="149"/>
      <c r="XBJ1" s="149"/>
      <c r="XBK1" s="149"/>
      <c r="XBL1" s="149"/>
      <c r="XBM1" s="149"/>
      <c r="XBN1" s="149"/>
      <c r="XBO1" s="149"/>
      <c r="XBP1" s="149"/>
      <c r="XBQ1" s="149"/>
      <c r="XBR1" s="149"/>
      <c r="XBS1" s="149"/>
      <c r="XBT1" s="149"/>
      <c r="XBU1" s="149"/>
      <c r="XBV1" s="149"/>
      <c r="XBW1" s="149"/>
      <c r="XBX1" s="149"/>
      <c r="XBY1" s="149"/>
      <c r="XBZ1" s="149"/>
      <c r="XCA1" s="149"/>
      <c r="XCB1" s="149"/>
      <c r="XCC1" s="149"/>
      <c r="XCD1" s="149"/>
      <c r="XCE1" s="149"/>
      <c r="XCF1" s="149"/>
      <c r="XCG1" s="149"/>
      <c r="XCH1" s="149"/>
      <c r="XCI1" s="149"/>
      <c r="XCJ1" s="149"/>
      <c r="XCK1" s="149"/>
      <c r="XCL1" s="149"/>
      <c r="XCM1" s="149"/>
      <c r="XCN1" s="149"/>
      <c r="XCO1" s="149"/>
      <c r="XCP1" s="149"/>
      <c r="XCQ1" s="149"/>
      <c r="XCR1" s="149"/>
      <c r="XCS1" s="149"/>
      <c r="XCT1" s="149"/>
      <c r="XCU1" s="149"/>
      <c r="XCV1" s="149"/>
      <c r="XCW1" s="149"/>
      <c r="XCX1" s="149"/>
      <c r="XCY1" s="149"/>
      <c r="XCZ1" s="149"/>
      <c r="XDA1" s="149"/>
    </row>
    <row r="2" spans="1:16329" ht="73.5" thickBot="1" x14ac:dyDescent="0.3">
      <c r="A2" s="1">
        <v>2968</v>
      </c>
      <c r="B2" s="27" t="s">
        <v>201</v>
      </c>
      <c r="C2" s="27" t="s">
        <v>202</v>
      </c>
      <c r="D2" s="2">
        <v>20386454729</v>
      </c>
      <c r="E2" s="3">
        <v>45649</v>
      </c>
      <c r="F2" s="3">
        <v>45817</v>
      </c>
      <c r="G2" s="4">
        <v>120</v>
      </c>
      <c r="H2" s="377">
        <v>120</v>
      </c>
      <c r="I2" s="377">
        <v>0</v>
      </c>
      <c r="J2" s="355" t="s">
        <v>203</v>
      </c>
      <c r="K2" s="22">
        <v>200000</v>
      </c>
      <c r="L2" s="10">
        <v>528000</v>
      </c>
      <c r="M2" s="8">
        <v>22000</v>
      </c>
      <c r="N2" s="9">
        <v>88000</v>
      </c>
      <c r="O2" s="9">
        <v>528000</v>
      </c>
      <c r="P2" s="10">
        <v>0</v>
      </c>
      <c r="Q2" s="152">
        <v>38533</v>
      </c>
    </row>
    <row r="3" spans="1:16329" ht="61.5" thickBot="1" x14ac:dyDescent="0.3">
      <c r="A3" s="154">
        <v>2079</v>
      </c>
      <c r="B3" s="155" t="s">
        <v>179</v>
      </c>
      <c r="C3" s="155" t="s">
        <v>180</v>
      </c>
      <c r="D3" s="155"/>
      <c r="E3" s="3">
        <v>45048</v>
      </c>
      <c r="F3" s="156">
        <v>45148</v>
      </c>
      <c r="G3" s="4">
        <v>72</v>
      </c>
      <c r="H3" s="157">
        <v>75.555555555555557</v>
      </c>
      <c r="I3" s="157">
        <v>-3.5555555555555571</v>
      </c>
      <c r="J3" s="2" t="s">
        <v>181</v>
      </c>
      <c r="K3" s="162">
        <v>30000</v>
      </c>
      <c r="L3" s="162">
        <v>67800</v>
      </c>
      <c r="M3" s="163">
        <v>4500</v>
      </c>
      <c r="N3" s="160">
        <v>1500</v>
      </c>
      <c r="O3" s="160">
        <v>68000</v>
      </c>
      <c r="P3" s="162">
        <v>-200</v>
      </c>
      <c r="Q3" s="152">
        <v>45201</v>
      </c>
    </row>
    <row r="4" spans="1:16329" ht="61.5" thickBot="1" x14ac:dyDescent="0.3">
      <c r="A4" s="154">
        <v>2056</v>
      </c>
      <c r="B4" s="155" t="s">
        <v>294</v>
      </c>
      <c r="C4" s="155" t="s">
        <v>291</v>
      </c>
      <c r="D4" s="155"/>
      <c r="E4" s="3">
        <v>45028</v>
      </c>
      <c r="F4" s="156">
        <v>45182</v>
      </c>
      <c r="G4" s="4">
        <v>110</v>
      </c>
      <c r="H4" s="157">
        <v>110</v>
      </c>
      <c r="I4" s="157">
        <v>0</v>
      </c>
      <c r="J4" s="16" t="s">
        <v>556</v>
      </c>
      <c r="K4" s="162">
        <v>100000</v>
      </c>
      <c r="L4" s="162">
        <v>275000</v>
      </c>
      <c r="M4" s="163">
        <v>12500</v>
      </c>
      <c r="N4" s="160">
        <v>25000</v>
      </c>
      <c r="O4" s="160">
        <v>275000</v>
      </c>
      <c r="P4" s="162">
        <v>0</v>
      </c>
      <c r="Q4" s="161">
        <v>45201</v>
      </c>
    </row>
    <row r="5" spans="1:16329" ht="49.5" thickBot="1" x14ac:dyDescent="0.3">
      <c r="A5" s="154">
        <v>2132</v>
      </c>
      <c r="B5" s="155" t="s">
        <v>557</v>
      </c>
      <c r="C5" s="155" t="s">
        <v>558</v>
      </c>
      <c r="D5" s="155"/>
      <c r="E5" s="3">
        <v>45094</v>
      </c>
      <c r="F5" s="156">
        <v>45195</v>
      </c>
      <c r="G5" s="4">
        <v>72</v>
      </c>
      <c r="H5" s="157">
        <v>72</v>
      </c>
      <c r="I5" s="157">
        <v>0</v>
      </c>
      <c r="J5" s="2" t="s">
        <v>182</v>
      </c>
      <c r="K5" s="162">
        <v>20000</v>
      </c>
      <c r="L5" s="162">
        <v>43200</v>
      </c>
      <c r="M5" s="163">
        <v>3000</v>
      </c>
      <c r="N5" s="160">
        <v>1200</v>
      </c>
      <c r="O5" s="160">
        <v>43200</v>
      </c>
      <c r="P5" s="162">
        <v>0</v>
      </c>
      <c r="Q5" s="152">
        <v>45201</v>
      </c>
    </row>
    <row r="6" spans="1:16329" ht="49.5" thickBot="1" x14ac:dyDescent="0.3">
      <c r="A6" s="154">
        <v>2271</v>
      </c>
      <c r="B6" s="155" t="s">
        <v>557</v>
      </c>
      <c r="C6" s="155" t="s">
        <v>559</v>
      </c>
      <c r="D6" s="155"/>
      <c r="E6" s="3">
        <v>45198</v>
      </c>
      <c r="F6" s="156">
        <v>45205</v>
      </c>
      <c r="G6" s="4">
        <v>5</v>
      </c>
      <c r="H6" s="157" t="e">
        <v>#VALUE!</v>
      </c>
      <c r="I6" s="157" t="e">
        <v>#VALUE!</v>
      </c>
      <c r="J6" s="6" t="s">
        <v>550</v>
      </c>
      <c r="K6" s="162">
        <v>10000</v>
      </c>
      <c r="L6" s="162">
        <v>12250</v>
      </c>
      <c r="M6" s="163" t="s">
        <v>143</v>
      </c>
      <c r="N6" s="160">
        <v>12500</v>
      </c>
      <c r="O6" s="160">
        <v>12500</v>
      </c>
      <c r="P6" s="162">
        <v>-250</v>
      </c>
      <c r="Q6" s="161">
        <v>45201</v>
      </c>
    </row>
    <row r="7" spans="1:16329" ht="49.5" thickBot="1" x14ac:dyDescent="0.3">
      <c r="A7" s="154">
        <v>2131</v>
      </c>
      <c r="B7" s="155" t="s">
        <v>560</v>
      </c>
      <c r="C7" s="155" t="s">
        <v>561</v>
      </c>
      <c r="D7" s="155"/>
      <c r="E7" s="3">
        <v>45086</v>
      </c>
      <c r="F7" s="156">
        <v>45188</v>
      </c>
      <c r="G7" s="4">
        <v>72</v>
      </c>
      <c r="H7" s="157">
        <v>72</v>
      </c>
      <c r="I7" s="157">
        <v>0</v>
      </c>
      <c r="J7" s="2" t="s">
        <v>182</v>
      </c>
      <c r="K7" s="162">
        <v>20000</v>
      </c>
      <c r="L7" s="162">
        <v>43200</v>
      </c>
      <c r="M7" s="163">
        <v>3000</v>
      </c>
      <c r="N7" s="160">
        <v>1200</v>
      </c>
      <c r="O7" s="160">
        <v>43200</v>
      </c>
      <c r="P7" s="162">
        <v>0</v>
      </c>
      <c r="Q7" s="152">
        <v>45201</v>
      </c>
    </row>
    <row r="8" spans="1:16329" ht="49.5" thickBot="1" x14ac:dyDescent="0.3">
      <c r="A8" s="154">
        <v>2240</v>
      </c>
      <c r="B8" s="155" t="s">
        <v>562</v>
      </c>
      <c r="C8" s="155" t="s">
        <v>563</v>
      </c>
      <c r="D8" s="155"/>
      <c r="E8" s="156">
        <v>45176</v>
      </c>
      <c r="F8" s="156">
        <v>45204</v>
      </c>
      <c r="G8" s="164">
        <v>20</v>
      </c>
      <c r="H8" s="157" t="e">
        <v>#DIV/0!</v>
      </c>
      <c r="I8" s="157" t="e">
        <v>#DIV/0!</v>
      </c>
      <c r="J8" s="6" t="s">
        <v>550</v>
      </c>
      <c r="K8" s="158">
        <v>35000</v>
      </c>
      <c r="L8" s="158">
        <v>56000</v>
      </c>
      <c r="M8" s="159"/>
      <c r="N8" s="160">
        <v>56000</v>
      </c>
      <c r="O8" s="160">
        <v>56000</v>
      </c>
      <c r="P8" s="162">
        <v>0</v>
      </c>
      <c r="Q8" s="161">
        <v>45201</v>
      </c>
    </row>
    <row r="9" spans="1:16329" ht="37.5" thickBot="1" x14ac:dyDescent="0.3">
      <c r="A9" s="154">
        <v>2252</v>
      </c>
      <c r="B9" s="155" t="s">
        <v>564</v>
      </c>
      <c r="C9" s="155" t="s">
        <v>160</v>
      </c>
      <c r="D9" s="155"/>
      <c r="E9" s="3">
        <v>45183</v>
      </c>
      <c r="F9" s="156">
        <v>45208</v>
      </c>
      <c r="G9" s="4">
        <v>17</v>
      </c>
      <c r="H9" s="157" t="e">
        <v>#DIV/0!</v>
      </c>
      <c r="I9" s="157" t="e">
        <v>#DIV/0!</v>
      </c>
      <c r="J9" s="6" t="s">
        <v>550</v>
      </c>
      <c r="K9" s="158">
        <v>10000</v>
      </c>
      <c r="L9" s="158">
        <v>16000</v>
      </c>
      <c r="M9" s="163"/>
      <c r="N9" s="160">
        <v>16000</v>
      </c>
      <c r="O9" s="160">
        <v>16000</v>
      </c>
      <c r="P9" s="162">
        <v>0</v>
      </c>
      <c r="Q9" s="152">
        <v>45201</v>
      </c>
    </row>
    <row r="10" spans="1:16329" ht="37.5" thickBot="1" x14ac:dyDescent="0.3">
      <c r="A10" s="154">
        <v>2025</v>
      </c>
      <c r="B10" s="155" t="s">
        <v>369</v>
      </c>
      <c r="C10" s="155" t="s">
        <v>160</v>
      </c>
      <c r="D10" s="155"/>
      <c r="E10" s="3">
        <v>45004</v>
      </c>
      <c r="F10" s="156">
        <v>45209</v>
      </c>
      <c r="G10" s="4">
        <v>147</v>
      </c>
      <c r="H10" s="157">
        <v>140</v>
      </c>
      <c r="I10" s="157">
        <v>7</v>
      </c>
      <c r="J10" s="6" t="s">
        <v>565</v>
      </c>
      <c r="K10" s="158">
        <v>70000</v>
      </c>
      <c r="L10" s="158">
        <v>184800</v>
      </c>
      <c r="M10" s="159">
        <v>6600</v>
      </c>
      <c r="N10" s="160">
        <v>26400</v>
      </c>
      <c r="O10" s="160">
        <v>184800</v>
      </c>
      <c r="P10" s="162">
        <v>0</v>
      </c>
      <c r="Q10" s="161">
        <v>45201</v>
      </c>
    </row>
    <row r="11" spans="1:16329" ht="37.5" thickBot="1" x14ac:dyDescent="0.3">
      <c r="A11" s="154">
        <v>2245</v>
      </c>
      <c r="B11" s="155" t="s">
        <v>551</v>
      </c>
      <c r="C11" s="155" t="s">
        <v>566</v>
      </c>
      <c r="D11" s="155"/>
      <c r="E11" s="156">
        <v>45180</v>
      </c>
      <c r="F11" s="156">
        <v>45208</v>
      </c>
      <c r="G11" s="164">
        <v>20</v>
      </c>
      <c r="H11" s="157" t="e">
        <v>#DIV/0!</v>
      </c>
      <c r="I11" s="157" t="e">
        <v>#DIV/0!</v>
      </c>
      <c r="J11" s="6" t="s">
        <v>550</v>
      </c>
      <c r="K11" s="162">
        <v>15000</v>
      </c>
      <c r="L11" s="162">
        <v>23000</v>
      </c>
      <c r="M11" s="163"/>
      <c r="N11" s="160">
        <v>23000</v>
      </c>
      <c r="O11" s="160">
        <v>23000</v>
      </c>
      <c r="P11" s="162">
        <v>0</v>
      </c>
      <c r="Q11" s="152">
        <v>45201</v>
      </c>
    </row>
    <row r="12" spans="1:16329" ht="37.5" thickBot="1" x14ac:dyDescent="0.3">
      <c r="A12" s="154">
        <v>2256</v>
      </c>
      <c r="B12" s="155" t="s">
        <v>567</v>
      </c>
      <c r="C12" s="155" t="s">
        <v>566</v>
      </c>
      <c r="D12" s="155"/>
      <c r="E12" s="3">
        <v>45187</v>
      </c>
      <c r="F12" s="156">
        <v>45208</v>
      </c>
      <c r="G12" s="4">
        <v>15</v>
      </c>
      <c r="H12" s="157" t="e">
        <v>#DIV/0!</v>
      </c>
      <c r="I12" s="157" t="e">
        <v>#DIV/0!</v>
      </c>
      <c r="J12" s="6" t="s">
        <v>550</v>
      </c>
      <c r="K12" s="162">
        <v>10000</v>
      </c>
      <c r="L12" s="162">
        <v>16000</v>
      </c>
      <c r="M12" s="163"/>
      <c r="N12" s="160">
        <v>16000</v>
      </c>
      <c r="O12" s="160">
        <v>16000</v>
      </c>
      <c r="P12" s="162">
        <v>0</v>
      </c>
      <c r="Q12" s="161">
        <v>45201</v>
      </c>
    </row>
    <row r="13" spans="1:16329" ht="85.5" thickBot="1" x14ac:dyDescent="0.3">
      <c r="A13" s="154">
        <v>1861</v>
      </c>
      <c r="B13" s="155" t="s">
        <v>568</v>
      </c>
      <c r="C13" s="155" t="s">
        <v>432</v>
      </c>
      <c r="D13" s="155"/>
      <c r="E13" s="3">
        <v>44877</v>
      </c>
      <c r="F13" s="156">
        <v>45177</v>
      </c>
      <c r="G13" s="4">
        <v>215</v>
      </c>
      <c r="H13" s="157">
        <v>215</v>
      </c>
      <c r="I13" s="157">
        <v>0</v>
      </c>
      <c r="J13" s="2" t="s">
        <v>569</v>
      </c>
      <c r="K13" s="158">
        <v>50000</v>
      </c>
      <c r="L13" s="158">
        <v>129000</v>
      </c>
      <c r="M13" s="159">
        <v>3000</v>
      </c>
      <c r="N13" s="160">
        <v>36050</v>
      </c>
      <c r="O13" s="160">
        <v>129000</v>
      </c>
      <c r="P13" s="158">
        <v>0</v>
      </c>
      <c r="Q13" s="152">
        <v>45201</v>
      </c>
    </row>
    <row r="14" spans="1:16329" ht="85.5" thickBot="1" x14ac:dyDescent="0.3">
      <c r="A14" s="154">
        <v>2144</v>
      </c>
      <c r="B14" s="165" t="s">
        <v>570</v>
      </c>
      <c r="C14" s="155" t="s">
        <v>571</v>
      </c>
      <c r="D14" s="155"/>
      <c r="E14" s="3">
        <v>45179</v>
      </c>
      <c r="F14" s="156">
        <v>45205</v>
      </c>
      <c r="G14" s="4">
        <v>20</v>
      </c>
      <c r="H14" s="157" t="e">
        <v>#DIV/0!</v>
      </c>
      <c r="I14" s="157" t="e">
        <v>#DIV/0!</v>
      </c>
      <c r="J14" s="6" t="s">
        <v>550</v>
      </c>
      <c r="K14" s="158">
        <v>50000</v>
      </c>
      <c r="L14" s="158">
        <v>67000</v>
      </c>
      <c r="M14" s="159"/>
      <c r="N14" s="160">
        <v>67000</v>
      </c>
      <c r="O14" s="160">
        <v>67000</v>
      </c>
      <c r="P14" s="158">
        <v>0</v>
      </c>
      <c r="Q14" s="152">
        <v>45208</v>
      </c>
    </row>
    <row r="15" spans="1:16329" ht="61.5" thickBot="1" x14ac:dyDescent="0.3">
      <c r="A15" s="154">
        <v>2055</v>
      </c>
      <c r="B15" s="155" t="s">
        <v>572</v>
      </c>
      <c r="C15" s="155" t="s">
        <v>173</v>
      </c>
      <c r="D15" s="155" t="s">
        <v>174</v>
      </c>
      <c r="E15" s="3">
        <v>45028</v>
      </c>
      <c r="F15" s="156">
        <v>45210</v>
      </c>
      <c r="G15" s="164">
        <v>130</v>
      </c>
      <c r="H15" s="157">
        <v>120</v>
      </c>
      <c r="I15" s="157">
        <v>10</v>
      </c>
      <c r="J15" s="6" t="s">
        <v>573</v>
      </c>
      <c r="K15" s="158">
        <v>30000</v>
      </c>
      <c r="L15" s="158">
        <v>79200</v>
      </c>
      <c r="M15" s="159">
        <v>3300</v>
      </c>
      <c r="N15" s="160">
        <v>13200</v>
      </c>
      <c r="O15" s="160">
        <v>79200</v>
      </c>
      <c r="P15" s="158">
        <v>0</v>
      </c>
      <c r="Q15" s="152">
        <v>45208</v>
      </c>
    </row>
    <row r="16" spans="1:16329" ht="49.5" thickBot="1" x14ac:dyDescent="0.3">
      <c r="A16" s="154">
        <v>2118</v>
      </c>
      <c r="B16" s="155" t="s">
        <v>574</v>
      </c>
      <c r="C16" s="155" t="s">
        <v>575</v>
      </c>
      <c r="D16" s="155"/>
      <c r="E16" s="3">
        <v>45087</v>
      </c>
      <c r="F16" s="156">
        <v>45188</v>
      </c>
      <c r="G16" s="4">
        <v>72</v>
      </c>
      <c r="H16" s="157">
        <v>72</v>
      </c>
      <c r="I16" s="157">
        <v>0</v>
      </c>
      <c r="J16" s="2" t="s">
        <v>576</v>
      </c>
      <c r="K16" s="162">
        <v>10000</v>
      </c>
      <c r="L16" s="162">
        <v>21600</v>
      </c>
      <c r="M16" s="163">
        <v>1500</v>
      </c>
      <c r="N16" s="160">
        <v>3600</v>
      </c>
      <c r="O16" s="160">
        <v>21600</v>
      </c>
      <c r="P16" s="162">
        <v>0</v>
      </c>
      <c r="Q16" s="152">
        <v>45208</v>
      </c>
    </row>
    <row r="17" spans="1:17" ht="37.5" thickBot="1" x14ac:dyDescent="0.3">
      <c r="A17" s="154">
        <v>2057</v>
      </c>
      <c r="B17" s="155" t="s">
        <v>233</v>
      </c>
      <c r="C17" s="155" t="s">
        <v>577</v>
      </c>
      <c r="D17" s="155"/>
      <c r="E17" s="3">
        <v>45029</v>
      </c>
      <c r="F17" s="156">
        <v>45197</v>
      </c>
      <c r="G17" s="4">
        <v>120</v>
      </c>
      <c r="H17" s="157">
        <v>120</v>
      </c>
      <c r="I17" s="157">
        <v>0</v>
      </c>
      <c r="J17" s="6" t="s">
        <v>578</v>
      </c>
      <c r="K17" s="158">
        <v>20000</v>
      </c>
      <c r="L17" s="158">
        <v>52800</v>
      </c>
      <c r="M17" s="163">
        <v>2200</v>
      </c>
      <c r="N17" s="160">
        <v>8800</v>
      </c>
      <c r="O17" s="160">
        <v>52800</v>
      </c>
      <c r="P17" s="162">
        <v>0</v>
      </c>
      <c r="Q17" s="152">
        <v>45208</v>
      </c>
    </row>
    <row r="18" spans="1:17" ht="37.5" thickBot="1" x14ac:dyDescent="0.3">
      <c r="A18" s="154">
        <v>2140</v>
      </c>
      <c r="B18" s="155" t="s">
        <v>579</v>
      </c>
      <c r="C18" s="155" t="s">
        <v>580</v>
      </c>
      <c r="D18" s="155"/>
      <c r="E18" s="3">
        <v>45108</v>
      </c>
      <c r="F18" s="156">
        <v>45209</v>
      </c>
      <c r="G18" s="4">
        <v>72</v>
      </c>
      <c r="H18" s="157">
        <v>72</v>
      </c>
      <c r="I18" s="157">
        <v>0</v>
      </c>
      <c r="J18" s="2" t="s">
        <v>581</v>
      </c>
      <c r="K18" s="162">
        <v>25000</v>
      </c>
      <c r="L18" s="162">
        <v>54000</v>
      </c>
      <c r="M18" s="163">
        <v>3750</v>
      </c>
      <c r="N18" s="160">
        <v>16000</v>
      </c>
      <c r="O18" s="160">
        <v>54000</v>
      </c>
      <c r="P18" s="162">
        <v>0</v>
      </c>
      <c r="Q18" s="152">
        <v>45208</v>
      </c>
    </row>
    <row r="19" spans="1:17" ht="73.5" thickBot="1" x14ac:dyDescent="0.3">
      <c r="A19" s="154">
        <v>2130</v>
      </c>
      <c r="B19" s="155" t="s">
        <v>582</v>
      </c>
      <c r="C19" s="155" t="s">
        <v>305</v>
      </c>
      <c r="D19" s="155"/>
      <c r="E19" s="3">
        <v>45093</v>
      </c>
      <c r="F19" s="156">
        <v>45209</v>
      </c>
      <c r="G19" s="4">
        <v>82</v>
      </c>
      <c r="H19" s="157">
        <v>80</v>
      </c>
      <c r="I19" s="157">
        <v>2</v>
      </c>
      <c r="J19" s="6" t="s">
        <v>583</v>
      </c>
      <c r="K19" s="158">
        <v>20000</v>
      </c>
      <c r="L19" s="158">
        <v>43200</v>
      </c>
      <c r="M19" s="159">
        <v>2700</v>
      </c>
      <c r="N19" s="160">
        <v>10800</v>
      </c>
      <c r="O19" s="160">
        <v>43200</v>
      </c>
      <c r="P19" s="162">
        <v>0</v>
      </c>
      <c r="Q19" s="152">
        <v>45208</v>
      </c>
    </row>
    <row r="20" spans="1:17" ht="61.5" thickBot="1" x14ac:dyDescent="0.3">
      <c r="A20" s="154">
        <v>2135</v>
      </c>
      <c r="B20" s="155" t="s">
        <v>584</v>
      </c>
      <c r="C20" s="155" t="s">
        <v>314</v>
      </c>
      <c r="D20" s="155"/>
      <c r="E20" s="3">
        <v>45100</v>
      </c>
      <c r="F20" s="156">
        <v>45202</v>
      </c>
      <c r="G20" s="164">
        <v>72</v>
      </c>
      <c r="H20" s="157">
        <v>72</v>
      </c>
      <c r="I20" s="157">
        <v>0</v>
      </c>
      <c r="J20" s="2" t="s">
        <v>181</v>
      </c>
      <c r="K20" s="162">
        <v>30000</v>
      </c>
      <c r="L20" s="162">
        <v>64800</v>
      </c>
      <c r="M20" s="163">
        <v>4500</v>
      </c>
      <c r="N20" s="160">
        <v>1800</v>
      </c>
      <c r="O20" s="160">
        <v>64800</v>
      </c>
      <c r="P20" s="162">
        <v>0</v>
      </c>
      <c r="Q20" s="152">
        <v>45208</v>
      </c>
    </row>
    <row r="21" spans="1:17" ht="49.5" thickBot="1" x14ac:dyDescent="0.3">
      <c r="A21" s="154">
        <v>2147</v>
      </c>
      <c r="B21" s="155" t="s">
        <v>585</v>
      </c>
      <c r="C21" s="155" t="s">
        <v>346</v>
      </c>
      <c r="D21" s="155"/>
      <c r="E21" s="3">
        <v>45112</v>
      </c>
      <c r="F21" s="156">
        <v>45210</v>
      </c>
      <c r="G21" s="4">
        <v>70</v>
      </c>
      <c r="H21" s="157">
        <v>70</v>
      </c>
      <c r="I21" s="157">
        <v>0</v>
      </c>
      <c r="J21" s="6" t="s">
        <v>586</v>
      </c>
      <c r="K21" s="162">
        <v>20000</v>
      </c>
      <c r="L21" s="162">
        <v>43400</v>
      </c>
      <c r="M21" s="163">
        <v>3100</v>
      </c>
      <c r="N21" s="160">
        <v>6200</v>
      </c>
      <c r="O21" s="160">
        <v>43400</v>
      </c>
      <c r="P21" s="162">
        <v>0</v>
      </c>
      <c r="Q21" s="152">
        <v>45208</v>
      </c>
    </row>
    <row r="22" spans="1:17" ht="25.5" thickBot="1" x14ac:dyDescent="0.3">
      <c r="A22" s="154">
        <v>2061</v>
      </c>
      <c r="B22" s="155" t="s">
        <v>376</v>
      </c>
      <c r="C22" s="155"/>
      <c r="D22" s="155"/>
      <c r="E22" s="3">
        <v>45030</v>
      </c>
      <c r="F22" s="156">
        <v>45208</v>
      </c>
      <c r="G22" s="4">
        <v>126</v>
      </c>
      <c r="H22" s="157">
        <v>120</v>
      </c>
      <c r="I22" s="157">
        <v>6</v>
      </c>
      <c r="J22" s="6" t="s">
        <v>587</v>
      </c>
      <c r="K22" s="158">
        <v>30000</v>
      </c>
      <c r="L22" s="158">
        <v>60000</v>
      </c>
      <c r="M22" s="159">
        <v>2500</v>
      </c>
      <c r="N22" s="160">
        <v>10000</v>
      </c>
      <c r="O22" s="160">
        <v>60000</v>
      </c>
      <c r="P22" s="162">
        <v>0</v>
      </c>
      <c r="Q22" s="152">
        <v>45208</v>
      </c>
    </row>
    <row r="23" spans="1:17" ht="49.5" thickBot="1" x14ac:dyDescent="0.3">
      <c r="A23" s="154">
        <v>2075</v>
      </c>
      <c r="B23" s="155" t="s">
        <v>381</v>
      </c>
      <c r="C23" s="155"/>
      <c r="D23" s="155"/>
      <c r="E23" s="3">
        <v>45043</v>
      </c>
      <c r="F23" s="156">
        <v>45211</v>
      </c>
      <c r="G23" s="4">
        <v>120</v>
      </c>
      <c r="H23" s="157">
        <v>120</v>
      </c>
      <c r="I23" s="157">
        <v>0</v>
      </c>
      <c r="J23" s="6" t="s">
        <v>587</v>
      </c>
      <c r="K23" s="162">
        <v>30000</v>
      </c>
      <c r="L23" s="162">
        <v>60000</v>
      </c>
      <c r="M23" s="163">
        <v>2500</v>
      </c>
      <c r="N23" s="160">
        <v>10000</v>
      </c>
      <c r="O23" s="160">
        <v>60000</v>
      </c>
      <c r="P23" s="162">
        <v>0</v>
      </c>
      <c r="Q23" s="152">
        <v>45208</v>
      </c>
    </row>
    <row r="24" spans="1:17" ht="49.5" thickBot="1" x14ac:dyDescent="0.3">
      <c r="A24" s="154">
        <v>2066</v>
      </c>
      <c r="B24" s="155" t="s">
        <v>543</v>
      </c>
      <c r="C24" s="155" t="s">
        <v>407</v>
      </c>
      <c r="D24" s="155"/>
      <c r="E24" s="3">
        <v>45036</v>
      </c>
      <c r="F24" s="156">
        <v>45138</v>
      </c>
      <c r="G24" s="4">
        <v>72</v>
      </c>
      <c r="H24" s="157">
        <v>72</v>
      </c>
      <c r="I24" s="157">
        <v>0</v>
      </c>
      <c r="J24" s="2" t="s">
        <v>576</v>
      </c>
      <c r="K24" s="158">
        <v>10000</v>
      </c>
      <c r="L24" s="158">
        <v>21600</v>
      </c>
      <c r="M24" s="163">
        <v>1500</v>
      </c>
      <c r="N24" s="160">
        <v>5100</v>
      </c>
      <c r="O24" s="160">
        <v>21600</v>
      </c>
      <c r="P24" s="162">
        <v>0</v>
      </c>
      <c r="Q24" s="152">
        <v>45208</v>
      </c>
    </row>
    <row r="25" spans="1:17" ht="49.5" thickBot="1" x14ac:dyDescent="0.3">
      <c r="A25" s="154">
        <v>1968</v>
      </c>
      <c r="B25" s="155" t="s">
        <v>546</v>
      </c>
      <c r="C25" s="155" t="s">
        <v>547</v>
      </c>
      <c r="D25" s="155"/>
      <c r="E25" s="3">
        <v>44952</v>
      </c>
      <c r="F25" s="156">
        <v>45117</v>
      </c>
      <c r="G25" s="4">
        <v>117</v>
      </c>
      <c r="H25" s="157">
        <v>121.36363636363636</v>
      </c>
      <c r="I25" s="157">
        <v>-4.3636363636363598</v>
      </c>
      <c r="J25" s="6" t="s">
        <v>588</v>
      </c>
      <c r="K25" s="158">
        <v>20000</v>
      </c>
      <c r="L25" s="158">
        <v>52800</v>
      </c>
      <c r="M25" s="163">
        <v>2200</v>
      </c>
      <c r="N25" s="160">
        <v>8800</v>
      </c>
      <c r="O25" s="160">
        <v>53400</v>
      </c>
      <c r="P25" s="162">
        <v>-600</v>
      </c>
      <c r="Q25" s="152">
        <v>45208</v>
      </c>
    </row>
    <row r="26" spans="1:17" ht="46.5" thickBot="1" x14ac:dyDescent="0.3">
      <c r="A26" s="154">
        <v>2141</v>
      </c>
      <c r="B26" s="155" t="s">
        <v>456</v>
      </c>
      <c r="C26" s="155" t="s">
        <v>457</v>
      </c>
      <c r="D26" s="155"/>
      <c r="E26" s="3">
        <v>45108</v>
      </c>
      <c r="F26" s="156">
        <v>45209</v>
      </c>
      <c r="G26" s="4">
        <v>72</v>
      </c>
      <c r="H26" s="157">
        <v>72</v>
      </c>
      <c r="I26" s="157">
        <v>0</v>
      </c>
      <c r="J26" s="2" t="s">
        <v>182</v>
      </c>
      <c r="K26" s="162">
        <v>20000</v>
      </c>
      <c r="L26" s="162">
        <v>43200</v>
      </c>
      <c r="M26" s="163">
        <v>3000</v>
      </c>
      <c r="N26" s="160">
        <v>7200</v>
      </c>
      <c r="O26" s="160">
        <v>43200</v>
      </c>
      <c r="P26" s="162">
        <v>0</v>
      </c>
      <c r="Q26" s="152">
        <v>45208</v>
      </c>
    </row>
    <row r="27" spans="1:17" ht="69" thickBot="1" x14ac:dyDescent="0.3">
      <c r="A27" s="25">
        <v>2154</v>
      </c>
      <c r="B27" s="2" t="s">
        <v>574</v>
      </c>
      <c r="C27" s="2" t="s">
        <v>575</v>
      </c>
      <c r="D27" s="2"/>
      <c r="E27" s="3">
        <v>45118</v>
      </c>
      <c r="F27" s="3">
        <v>45218</v>
      </c>
      <c r="G27" s="4">
        <v>72</v>
      </c>
      <c r="H27" s="157">
        <v>72</v>
      </c>
      <c r="I27" s="157">
        <v>0</v>
      </c>
      <c r="J27" s="2" t="s">
        <v>589</v>
      </c>
      <c r="K27" s="7">
        <v>5000</v>
      </c>
      <c r="L27" s="7">
        <v>10800</v>
      </c>
      <c r="M27" s="21">
        <v>750</v>
      </c>
      <c r="N27" s="9">
        <v>400</v>
      </c>
      <c r="O27" s="9">
        <v>10800</v>
      </c>
      <c r="P27" s="7">
        <v>0</v>
      </c>
      <c r="Q27" s="152">
        <v>45215</v>
      </c>
    </row>
    <row r="28" spans="1:17" ht="57.75" thickBot="1" x14ac:dyDescent="0.3">
      <c r="A28" s="1">
        <v>2189</v>
      </c>
      <c r="B28" s="2" t="s">
        <v>219</v>
      </c>
      <c r="C28" s="2" t="s">
        <v>220</v>
      </c>
      <c r="D28" s="2"/>
      <c r="E28" s="3">
        <v>45141</v>
      </c>
      <c r="F28" s="3">
        <v>45243</v>
      </c>
      <c r="G28" s="4">
        <v>72</v>
      </c>
      <c r="H28" s="157">
        <v>72</v>
      </c>
      <c r="I28" s="157">
        <v>0</v>
      </c>
      <c r="J28" s="2" t="s">
        <v>181</v>
      </c>
      <c r="K28" s="10">
        <v>30000</v>
      </c>
      <c r="L28" s="10">
        <v>64800</v>
      </c>
      <c r="M28" s="8">
        <v>4500</v>
      </c>
      <c r="N28" s="166">
        <v>19800</v>
      </c>
      <c r="O28" s="9">
        <v>64800</v>
      </c>
      <c r="P28" s="7">
        <v>0</v>
      </c>
      <c r="Q28" s="152">
        <v>45215</v>
      </c>
    </row>
    <row r="29" spans="1:17" ht="57.75" thickBot="1" x14ac:dyDescent="0.3">
      <c r="A29" s="1">
        <v>2110</v>
      </c>
      <c r="B29" s="2" t="s">
        <v>590</v>
      </c>
      <c r="C29" s="2" t="s">
        <v>591</v>
      </c>
      <c r="D29" s="2" t="s">
        <v>592</v>
      </c>
      <c r="E29" s="3">
        <v>45080</v>
      </c>
      <c r="F29" s="3">
        <v>45181</v>
      </c>
      <c r="G29" s="4">
        <v>72</v>
      </c>
      <c r="H29" s="157">
        <v>72</v>
      </c>
      <c r="I29" s="157">
        <v>0</v>
      </c>
      <c r="J29" s="2" t="s">
        <v>181</v>
      </c>
      <c r="K29" s="10">
        <v>30000</v>
      </c>
      <c r="L29" s="10">
        <v>64800</v>
      </c>
      <c r="M29" s="8">
        <v>4500</v>
      </c>
      <c r="N29" s="498">
        <v>10000</v>
      </c>
      <c r="O29" s="498">
        <v>64800</v>
      </c>
      <c r="P29" s="10">
        <v>0</v>
      </c>
      <c r="Q29" s="152">
        <v>45215</v>
      </c>
    </row>
    <row r="30" spans="1:17" ht="46.5" thickBot="1" x14ac:dyDescent="0.3">
      <c r="A30" s="1">
        <v>2181</v>
      </c>
      <c r="B30" s="2" t="s">
        <v>341</v>
      </c>
      <c r="C30" s="2" t="s">
        <v>593</v>
      </c>
      <c r="D30" s="2">
        <v>29201110</v>
      </c>
      <c r="E30" s="3">
        <v>45135</v>
      </c>
      <c r="F30" s="3">
        <v>45237</v>
      </c>
      <c r="G30" s="4">
        <v>72</v>
      </c>
      <c r="H30" s="157">
        <v>72</v>
      </c>
      <c r="I30" s="157">
        <v>0</v>
      </c>
      <c r="J30" s="2" t="s">
        <v>318</v>
      </c>
      <c r="K30" s="10">
        <v>15000</v>
      </c>
      <c r="L30" s="10">
        <v>32400</v>
      </c>
      <c r="M30" s="8">
        <v>2250</v>
      </c>
      <c r="N30" s="9">
        <v>9900</v>
      </c>
      <c r="O30" s="9">
        <v>32400</v>
      </c>
      <c r="P30" s="7">
        <v>0</v>
      </c>
      <c r="Q30" s="152">
        <v>45215</v>
      </c>
    </row>
    <row r="31" spans="1:17" ht="46.5" thickBot="1" x14ac:dyDescent="0.3">
      <c r="A31" s="458">
        <v>2162</v>
      </c>
      <c r="B31" s="2" t="s">
        <v>594</v>
      </c>
      <c r="C31" s="2" t="s">
        <v>360</v>
      </c>
      <c r="D31" s="2"/>
      <c r="E31" s="3">
        <v>45122</v>
      </c>
      <c r="F31" s="3">
        <v>45223</v>
      </c>
      <c r="G31" s="4">
        <v>72</v>
      </c>
      <c r="H31" s="157">
        <v>72</v>
      </c>
      <c r="I31" s="157">
        <v>0</v>
      </c>
      <c r="J31" s="2" t="s">
        <v>181</v>
      </c>
      <c r="K31" s="10">
        <v>30000</v>
      </c>
      <c r="L31" s="10">
        <v>64800</v>
      </c>
      <c r="M31" s="8">
        <v>4500</v>
      </c>
      <c r="N31" s="455">
        <v>10800</v>
      </c>
      <c r="O31" s="455">
        <v>64800</v>
      </c>
      <c r="P31" s="361">
        <v>0</v>
      </c>
      <c r="Q31" s="152">
        <v>45215</v>
      </c>
    </row>
    <row r="32" spans="1:17" ht="57.75" thickBot="1" x14ac:dyDescent="0.3">
      <c r="A32" s="482"/>
      <c r="B32" s="2" t="s">
        <v>440</v>
      </c>
      <c r="C32" s="2" t="s">
        <v>441</v>
      </c>
      <c r="D32" s="2" t="s">
        <v>442</v>
      </c>
      <c r="E32" s="3">
        <v>45204</v>
      </c>
      <c r="F32" s="3">
        <f>WORKDAY(E32,G32)</f>
        <v>45306</v>
      </c>
      <c r="G32" s="4">
        <v>72</v>
      </c>
      <c r="H32" s="157">
        <f>(BS32* 5)/M32</f>
        <v>0</v>
      </c>
      <c r="I32" s="157">
        <f>G32-H32</f>
        <v>72</v>
      </c>
      <c r="J32" s="2" t="s">
        <v>227</v>
      </c>
      <c r="K32" s="10">
        <v>50000</v>
      </c>
      <c r="L32" s="10">
        <v>108000</v>
      </c>
      <c r="M32" s="8">
        <v>7500</v>
      </c>
      <c r="N32" s="167">
        <v>60000</v>
      </c>
      <c r="O32" s="167">
        <v>108000</v>
      </c>
      <c r="P32" s="7">
        <v>0</v>
      </c>
      <c r="Q32" s="152">
        <v>45215</v>
      </c>
    </row>
    <row r="33" spans="1:17" ht="57.75" thickBot="1" x14ac:dyDescent="0.3">
      <c r="A33" s="1">
        <v>2293</v>
      </c>
      <c r="B33" s="2" t="s">
        <v>595</v>
      </c>
      <c r="C33" s="2" t="s">
        <v>559</v>
      </c>
      <c r="D33" s="2"/>
      <c r="E33" s="3">
        <v>45211</v>
      </c>
      <c r="F33" s="3">
        <v>45218</v>
      </c>
      <c r="G33" s="4">
        <v>5</v>
      </c>
      <c r="H33" s="157" t="e">
        <v>#VALUE!</v>
      </c>
      <c r="I33" s="157" t="e">
        <v>#VALUE!</v>
      </c>
      <c r="J33" s="6" t="s">
        <v>550</v>
      </c>
      <c r="K33" s="7">
        <v>10000</v>
      </c>
      <c r="L33" s="7">
        <v>12500</v>
      </c>
      <c r="M33" s="21" t="s">
        <v>143</v>
      </c>
      <c r="N33" s="9">
        <v>12500</v>
      </c>
      <c r="O33" s="9">
        <v>12500</v>
      </c>
      <c r="P33" s="7">
        <v>0</v>
      </c>
      <c r="Q33" s="152">
        <v>45222</v>
      </c>
    </row>
    <row r="34" spans="1:17" ht="24" thickBot="1" x14ac:dyDescent="0.3">
      <c r="A34" s="1">
        <v>2126</v>
      </c>
      <c r="B34" s="2" t="s">
        <v>316</v>
      </c>
      <c r="C34" s="2" t="s">
        <v>317</v>
      </c>
      <c r="D34" s="2"/>
      <c r="E34" s="3">
        <v>45092</v>
      </c>
      <c r="F34" s="3">
        <v>45194</v>
      </c>
      <c r="G34" s="4">
        <v>72</v>
      </c>
      <c r="H34" s="157">
        <v>72</v>
      </c>
      <c r="I34" s="157">
        <v>0</v>
      </c>
      <c r="J34" s="2" t="s">
        <v>576</v>
      </c>
      <c r="K34" s="7">
        <v>10000</v>
      </c>
      <c r="L34" s="7">
        <v>21600</v>
      </c>
      <c r="M34" s="21">
        <v>1500</v>
      </c>
      <c r="N34" s="9">
        <v>600</v>
      </c>
      <c r="O34" s="9">
        <v>21600</v>
      </c>
      <c r="P34" s="7">
        <v>0</v>
      </c>
      <c r="Q34" s="152">
        <v>45222</v>
      </c>
    </row>
    <row r="35" spans="1:17" ht="80.25" thickBot="1" x14ac:dyDescent="0.3">
      <c r="A35" s="1">
        <v>2076</v>
      </c>
      <c r="B35" s="2" t="s">
        <v>596</v>
      </c>
      <c r="C35" s="2"/>
      <c r="D35" s="2"/>
      <c r="E35" s="3">
        <v>45044</v>
      </c>
      <c r="F35" s="3">
        <v>45146</v>
      </c>
      <c r="G35" s="4">
        <v>72</v>
      </c>
      <c r="H35" s="157">
        <v>72</v>
      </c>
      <c r="I35" s="157">
        <v>0</v>
      </c>
      <c r="J35" s="2" t="s">
        <v>162</v>
      </c>
      <c r="K35" s="10">
        <v>60000</v>
      </c>
      <c r="L35" s="10">
        <v>129600</v>
      </c>
      <c r="M35" s="8">
        <v>9000</v>
      </c>
      <c r="N35" s="9">
        <v>4900</v>
      </c>
      <c r="O35" s="9">
        <v>129600</v>
      </c>
      <c r="P35" s="7">
        <v>0</v>
      </c>
      <c r="Q35" s="152">
        <v>45222</v>
      </c>
    </row>
    <row r="36" spans="1:17" ht="46.5" thickBot="1" x14ac:dyDescent="0.3">
      <c r="A36" s="1">
        <v>2100</v>
      </c>
      <c r="B36" s="2" t="s">
        <v>597</v>
      </c>
      <c r="C36" s="2" t="s">
        <v>598</v>
      </c>
      <c r="D36" s="2"/>
      <c r="E36" s="3">
        <v>45069</v>
      </c>
      <c r="F36" s="3">
        <v>45169</v>
      </c>
      <c r="G36" s="4">
        <v>72</v>
      </c>
      <c r="H36" s="157">
        <v>72</v>
      </c>
      <c r="I36" s="157">
        <v>0</v>
      </c>
      <c r="J36" s="2" t="s">
        <v>227</v>
      </c>
      <c r="K36" s="7">
        <v>50000</v>
      </c>
      <c r="L36" s="7">
        <v>108000</v>
      </c>
      <c r="M36" s="21">
        <v>7500</v>
      </c>
      <c r="N36" s="9">
        <v>4850</v>
      </c>
      <c r="O36" s="9">
        <v>108000</v>
      </c>
      <c r="P36" s="7">
        <v>0</v>
      </c>
      <c r="Q36" s="152">
        <v>45222</v>
      </c>
    </row>
    <row r="37" spans="1:17" ht="57.75" thickBot="1" x14ac:dyDescent="0.3">
      <c r="A37" s="1">
        <v>2279</v>
      </c>
      <c r="B37" s="2" t="s">
        <v>440</v>
      </c>
      <c r="C37" s="2" t="s">
        <v>441</v>
      </c>
      <c r="D37" s="2" t="s">
        <v>442</v>
      </c>
      <c r="E37" s="3">
        <v>45204</v>
      </c>
      <c r="F37" s="3">
        <v>45306</v>
      </c>
      <c r="G37" s="4">
        <v>72</v>
      </c>
      <c r="H37" s="157">
        <v>72</v>
      </c>
      <c r="I37" s="157">
        <v>0</v>
      </c>
      <c r="J37" s="2" t="s">
        <v>227</v>
      </c>
      <c r="K37" s="10">
        <v>50000</v>
      </c>
      <c r="L37" s="10">
        <v>108000</v>
      </c>
      <c r="M37" s="8">
        <v>7500</v>
      </c>
      <c r="N37" s="9"/>
      <c r="O37" s="9">
        <v>108000</v>
      </c>
      <c r="P37" s="7">
        <v>0</v>
      </c>
      <c r="Q37" s="152">
        <v>45222</v>
      </c>
    </row>
    <row r="38" spans="1:17" ht="35.25" thickBot="1" x14ac:dyDescent="0.3">
      <c r="A38" s="1">
        <v>2173</v>
      </c>
      <c r="B38" s="2" t="s">
        <v>599</v>
      </c>
      <c r="C38" s="2" t="s">
        <v>466</v>
      </c>
      <c r="D38" s="2"/>
      <c r="E38" s="3">
        <v>45129</v>
      </c>
      <c r="F38" s="3">
        <v>45230</v>
      </c>
      <c r="G38" s="4">
        <v>72</v>
      </c>
      <c r="H38" s="157">
        <v>72</v>
      </c>
      <c r="I38" s="157">
        <v>0</v>
      </c>
      <c r="J38" s="2" t="s">
        <v>576</v>
      </c>
      <c r="K38" s="10">
        <v>10000</v>
      </c>
      <c r="L38" s="10">
        <v>21600</v>
      </c>
      <c r="M38" s="8">
        <v>1500</v>
      </c>
      <c r="N38" s="9">
        <v>3600</v>
      </c>
      <c r="O38" s="9">
        <v>21600</v>
      </c>
      <c r="P38" s="10">
        <v>0</v>
      </c>
      <c r="Q38" s="152">
        <v>45222</v>
      </c>
    </row>
    <row r="39" spans="1:17" ht="35.25" thickBot="1" x14ac:dyDescent="0.3">
      <c r="A39" s="1">
        <v>2174</v>
      </c>
      <c r="B39" s="2" t="s">
        <v>600</v>
      </c>
      <c r="C39" s="2" t="s">
        <v>601</v>
      </c>
      <c r="D39" s="2"/>
      <c r="E39" s="3">
        <v>45061</v>
      </c>
      <c r="F39" s="3">
        <v>45161</v>
      </c>
      <c r="G39" s="4">
        <v>72</v>
      </c>
      <c r="H39" s="168">
        <v>72</v>
      </c>
      <c r="I39" s="168">
        <v>0</v>
      </c>
      <c r="J39" s="2" t="s">
        <v>318</v>
      </c>
      <c r="K39" s="10">
        <v>15000</v>
      </c>
      <c r="L39" s="10">
        <v>32400</v>
      </c>
      <c r="M39" s="21">
        <v>2250</v>
      </c>
      <c r="N39" s="9">
        <v>3150</v>
      </c>
      <c r="O39" s="9">
        <v>32400</v>
      </c>
      <c r="P39" s="7">
        <v>0</v>
      </c>
      <c r="Q39" s="152">
        <v>45229</v>
      </c>
    </row>
    <row r="40" spans="1:17" ht="57.75" thickBot="1" x14ac:dyDescent="0.3">
      <c r="A40" s="1">
        <v>2049</v>
      </c>
      <c r="B40" s="2" t="s">
        <v>280</v>
      </c>
      <c r="C40" s="2" t="s">
        <v>285</v>
      </c>
      <c r="D40" s="2"/>
      <c r="E40" s="3">
        <v>45118</v>
      </c>
      <c r="F40" s="3">
        <v>45271</v>
      </c>
      <c r="G40" s="4">
        <v>109</v>
      </c>
      <c r="H40" s="168">
        <v>110</v>
      </c>
      <c r="I40" s="168">
        <v>-1</v>
      </c>
      <c r="J40" s="6" t="s">
        <v>602</v>
      </c>
      <c r="K40" s="10">
        <v>15000</v>
      </c>
      <c r="L40" s="10">
        <v>39600</v>
      </c>
      <c r="M40" s="8">
        <v>1800</v>
      </c>
      <c r="N40" s="9">
        <v>1000</v>
      </c>
      <c r="O40" s="9">
        <v>39600</v>
      </c>
      <c r="P40" s="7">
        <v>0</v>
      </c>
      <c r="Q40" s="152">
        <v>45229</v>
      </c>
    </row>
    <row r="41" spans="1:17" ht="46.5" thickBot="1" x14ac:dyDescent="0.3">
      <c r="A41" s="1">
        <v>2017</v>
      </c>
      <c r="B41" s="2" t="s">
        <v>603</v>
      </c>
      <c r="C41" s="2" t="s">
        <v>604</v>
      </c>
      <c r="D41" s="3"/>
      <c r="E41" s="3">
        <v>44986</v>
      </c>
      <c r="F41" s="3">
        <v>45140</v>
      </c>
      <c r="G41" s="169">
        <v>110</v>
      </c>
      <c r="H41" s="168">
        <v>102.5</v>
      </c>
      <c r="I41" s="168">
        <v>7.5</v>
      </c>
      <c r="J41" s="10" t="s">
        <v>605</v>
      </c>
      <c r="K41" s="7">
        <v>60000</v>
      </c>
      <c r="L41" s="21">
        <v>132000</v>
      </c>
      <c r="M41" s="9">
        <v>6600</v>
      </c>
      <c r="N41" s="9">
        <v>6000</v>
      </c>
      <c r="O41" s="9">
        <v>135300</v>
      </c>
      <c r="P41" s="7">
        <v>-3300</v>
      </c>
      <c r="Q41" s="152">
        <v>45229</v>
      </c>
    </row>
    <row r="42" spans="1:17" ht="35.25" thickBot="1" x14ac:dyDescent="0.3">
      <c r="A42" s="1">
        <v>2177</v>
      </c>
      <c r="B42" s="2" t="s">
        <v>299</v>
      </c>
      <c r="C42" s="2" t="s">
        <v>606</v>
      </c>
      <c r="D42" s="2"/>
      <c r="E42" s="3">
        <v>45133</v>
      </c>
      <c r="F42" s="3">
        <v>45259</v>
      </c>
      <c r="G42" s="4">
        <v>90</v>
      </c>
      <c r="H42" s="168">
        <v>80</v>
      </c>
      <c r="I42" s="168">
        <v>10</v>
      </c>
      <c r="J42" s="6" t="s">
        <v>607</v>
      </c>
      <c r="K42" s="10">
        <v>10000</v>
      </c>
      <c r="L42" s="10">
        <v>21600</v>
      </c>
      <c r="M42" s="8">
        <v>1350</v>
      </c>
      <c r="N42" s="9">
        <v>5400</v>
      </c>
      <c r="O42" s="9">
        <v>21600</v>
      </c>
      <c r="P42" s="7">
        <v>0</v>
      </c>
      <c r="Q42" s="152">
        <v>45229</v>
      </c>
    </row>
    <row r="43" spans="1:17" ht="35.25" thickBot="1" x14ac:dyDescent="0.3">
      <c r="A43" s="1">
        <v>2283</v>
      </c>
      <c r="B43" s="2" t="s">
        <v>562</v>
      </c>
      <c r="C43" s="2" t="s">
        <v>563</v>
      </c>
      <c r="D43" s="2"/>
      <c r="E43" s="3">
        <v>45206</v>
      </c>
      <c r="F43" s="3">
        <v>45233</v>
      </c>
      <c r="G43" s="4">
        <v>20</v>
      </c>
      <c r="H43" s="168" t="e">
        <v>#DIV/0!</v>
      </c>
      <c r="I43" s="168" t="e">
        <v>#DIV/0!</v>
      </c>
      <c r="J43" s="6" t="s">
        <v>550</v>
      </c>
      <c r="K43" s="7">
        <v>15000</v>
      </c>
      <c r="L43" s="7">
        <v>22500</v>
      </c>
      <c r="M43" s="21"/>
      <c r="N43" s="9">
        <v>22500</v>
      </c>
      <c r="O43" s="9">
        <v>22500</v>
      </c>
      <c r="P43" s="7">
        <v>0</v>
      </c>
      <c r="Q43" s="152">
        <v>45229</v>
      </c>
    </row>
    <row r="44" spans="1:17" ht="35.25" thickBot="1" x14ac:dyDescent="0.3">
      <c r="A44" s="1">
        <v>2284</v>
      </c>
      <c r="B44" s="2" t="s">
        <v>562</v>
      </c>
      <c r="C44" s="2" t="s">
        <v>563</v>
      </c>
      <c r="D44" s="2"/>
      <c r="E44" s="3">
        <v>45206</v>
      </c>
      <c r="F44" s="3">
        <v>45231</v>
      </c>
      <c r="G44" s="4">
        <v>18</v>
      </c>
      <c r="H44" s="168" t="e">
        <v>#DIV/0!</v>
      </c>
      <c r="I44" s="168" t="e">
        <v>#DIV/0!</v>
      </c>
      <c r="J44" s="6" t="s">
        <v>550</v>
      </c>
      <c r="K44" s="7">
        <v>25000</v>
      </c>
      <c r="L44" s="7">
        <v>37500</v>
      </c>
      <c r="M44" s="21"/>
      <c r="N44" s="9">
        <v>37500</v>
      </c>
      <c r="O44" s="9">
        <v>37500</v>
      </c>
      <c r="P44" s="7">
        <v>0</v>
      </c>
      <c r="Q44" s="152">
        <v>45229</v>
      </c>
    </row>
    <row r="45" spans="1:17" ht="46.5" thickBot="1" x14ac:dyDescent="0.3">
      <c r="A45" s="1">
        <v>2155</v>
      </c>
      <c r="B45" s="2" t="s">
        <v>608</v>
      </c>
      <c r="C45" s="2" t="s">
        <v>160</v>
      </c>
      <c r="D45" s="2"/>
      <c r="E45" s="3">
        <v>45119</v>
      </c>
      <c r="F45" s="3">
        <v>45231</v>
      </c>
      <c r="G45" s="4">
        <v>80</v>
      </c>
      <c r="H45" s="168">
        <v>80</v>
      </c>
      <c r="I45" s="168">
        <v>0</v>
      </c>
      <c r="J45" s="6" t="s">
        <v>154</v>
      </c>
      <c r="K45" s="7">
        <v>50000</v>
      </c>
      <c r="L45" s="7">
        <v>108000</v>
      </c>
      <c r="M45" s="21">
        <v>6750</v>
      </c>
      <c r="N45" s="9">
        <v>27000</v>
      </c>
      <c r="O45" s="9">
        <v>108000</v>
      </c>
      <c r="P45" s="7">
        <v>0</v>
      </c>
      <c r="Q45" s="152">
        <v>45229</v>
      </c>
    </row>
    <row r="46" spans="1:17" ht="35.25" thickBot="1" x14ac:dyDescent="0.3">
      <c r="A46" s="1">
        <v>2090</v>
      </c>
      <c r="B46" s="2" t="s">
        <v>609</v>
      </c>
      <c r="C46" s="2" t="s">
        <v>610</v>
      </c>
      <c r="D46" s="2"/>
      <c r="E46" s="3">
        <v>45059</v>
      </c>
      <c r="F46" s="3">
        <v>45212</v>
      </c>
      <c r="G46" s="4">
        <v>110</v>
      </c>
      <c r="H46" s="168">
        <v>110</v>
      </c>
      <c r="I46" s="168">
        <v>0</v>
      </c>
      <c r="J46" s="2" t="s">
        <v>611</v>
      </c>
      <c r="K46" s="7">
        <v>30000</v>
      </c>
      <c r="L46" s="7">
        <v>79200</v>
      </c>
      <c r="M46" s="21">
        <v>3600</v>
      </c>
      <c r="N46" s="9">
        <v>3600</v>
      </c>
      <c r="O46" s="9">
        <v>79200</v>
      </c>
      <c r="P46" s="7">
        <v>0</v>
      </c>
      <c r="Q46" s="152">
        <v>45229</v>
      </c>
    </row>
    <row r="47" spans="1:17" ht="46.5" thickBot="1" x14ac:dyDescent="0.3">
      <c r="A47" s="1">
        <v>2185</v>
      </c>
      <c r="B47" s="2" t="s">
        <v>242</v>
      </c>
      <c r="C47" s="2" t="s">
        <v>243</v>
      </c>
      <c r="D47" s="2"/>
      <c r="E47" s="3">
        <v>45139</v>
      </c>
      <c r="F47" s="3">
        <v>45239</v>
      </c>
      <c r="G47" s="4">
        <v>72</v>
      </c>
      <c r="H47" s="168">
        <v>72</v>
      </c>
      <c r="I47" s="168">
        <v>0</v>
      </c>
      <c r="J47" s="2" t="s">
        <v>576</v>
      </c>
      <c r="K47" s="7">
        <v>10000</v>
      </c>
      <c r="L47" s="7">
        <v>21600</v>
      </c>
      <c r="M47" s="21">
        <v>1500</v>
      </c>
      <c r="N47" s="9">
        <v>2100</v>
      </c>
      <c r="O47" s="9">
        <v>21600</v>
      </c>
      <c r="P47" s="7">
        <v>0</v>
      </c>
      <c r="Q47" s="152">
        <v>45236</v>
      </c>
    </row>
    <row r="48" spans="1:17" ht="46.5" thickBot="1" x14ac:dyDescent="0.3">
      <c r="A48" s="1">
        <v>2315</v>
      </c>
      <c r="B48" s="2" t="s">
        <v>612</v>
      </c>
      <c r="C48" s="2" t="s">
        <v>559</v>
      </c>
      <c r="D48" s="2"/>
      <c r="E48" s="3">
        <v>45227</v>
      </c>
      <c r="F48" s="3">
        <v>45233</v>
      </c>
      <c r="G48" s="4">
        <v>5</v>
      </c>
      <c r="H48" s="168" t="e">
        <v>#VALUE!</v>
      </c>
      <c r="I48" s="168" t="e">
        <v>#VALUE!</v>
      </c>
      <c r="J48" s="6" t="s">
        <v>550</v>
      </c>
      <c r="K48" s="10">
        <v>20000</v>
      </c>
      <c r="L48" s="10">
        <v>30000</v>
      </c>
      <c r="M48" s="8" t="s">
        <v>143</v>
      </c>
      <c r="N48" s="9">
        <v>25000</v>
      </c>
      <c r="O48" s="9">
        <v>30000</v>
      </c>
      <c r="P48" s="7">
        <v>0</v>
      </c>
      <c r="Q48" s="152">
        <v>45236</v>
      </c>
    </row>
    <row r="49" spans="1:17" ht="46.5" thickBot="1" x14ac:dyDescent="0.3">
      <c r="A49" s="1">
        <v>2127</v>
      </c>
      <c r="B49" s="2" t="s">
        <v>613</v>
      </c>
      <c r="C49" s="2" t="s">
        <v>317</v>
      </c>
      <c r="D49" s="2"/>
      <c r="E49" s="3">
        <v>45092</v>
      </c>
      <c r="F49" s="3">
        <v>45194</v>
      </c>
      <c r="G49" s="4">
        <v>72</v>
      </c>
      <c r="H49" s="168">
        <v>72</v>
      </c>
      <c r="I49" s="168">
        <v>0</v>
      </c>
      <c r="J49" s="2" t="s">
        <v>576</v>
      </c>
      <c r="K49" s="10">
        <v>10000</v>
      </c>
      <c r="L49" s="10">
        <v>21600</v>
      </c>
      <c r="M49" s="8">
        <v>1500</v>
      </c>
      <c r="N49" s="9">
        <v>2100</v>
      </c>
      <c r="O49" s="9">
        <v>21600</v>
      </c>
      <c r="P49" s="7">
        <v>0</v>
      </c>
      <c r="Q49" s="152">
        <v>45236</v>
      </c>
    </row>
    <row r="50" spans="1:17" ht="46.5" thickBot="1" x14ac:dyDescent="0.3">
      <c r="A50" s="1">
        <v>2291</v>
      </c>
      <c r="B50" s="2" t="s">
        <v>614</v>
      </c>
      <c r="C50" s="2" t="s">
        <v>566</v>
      </c>
      <c r="D50" s="2" t="s">
        <v>615</v>
      </c>
      <c r="E50" s="3">
        <v>45209</v>
      </c>
      <c r="F50" s="3">
        <v>45237</v>
      </c>
      <c r="G50" s="4">
        <v>20</v>
      </c>
      <c r="H50" s="168" t="e">
        <v>#DIV/0!</v>
      </c>
      <c r="I50" s="168" t="e">
        <v>#DIV/0!</v>
      </c>
      <c r="J50" s="6" t="s">
        <v>550</v>
      </c>
      <c r="K50" s="10">
        <v>15000</v>
      </c>
      <c r="L50" s="10">
        <v>23000</v>
      </c>
      <c r="M50" s="8"/>
      <c r="N50" s="9">
        <v>23000</v>
      </c>
      <c r="O50" s="9">
        <v>23000</v>
      </c>
      <c r="P50" s="7">
        <v>0</v>
      </c>
      <c r="Q50" s="152">
        <v>45236</v>
      </c>
    </row>
    <row r="51" spans="1:17" ht="35.25" thickBot="1" x14ac:dyDescent="0.3">
      <c r="A51" s="1">
        <v>1983</v>
      </c>
      <c r="B51" s="2" t="s">
        <v>546</v>
      </c>
      <c r="C51" s="2" t="s">
        <v>547</v>
      </c>
      <c r="D51" s="2"/>
      <c r="E51" s="3">
        <v>44974</v>
      </c>
      <c r="F51" s="3">
        <v>45139</v>
      </c>
      <c r="G51" s="4">
        <v>117</v>
      </c>
      <c r="H51" s="168">
        <v>121.36363636363636</v>
      </c>
      <c r="I51" s="168">
        <v>-4.3636363636363598</v>
      </c>
      <c r="J51" s="6" t="s">
        <v>588</v>
      </c>
      <c r="K51" s="10">
        <v>20000</v>
      </c>
      <c r="L51" s="7">
        <v>52800</v>
      </c>
      <c r="M51" s="21">
        <v>2200</v>
      </c>
      <c r="N51" s="9">
        <v>8800</v>
      </c>
      <c r="O51" s="9">
        <v>53400</v>
      </c>
      <c r="P51" s="7">
        <v>-600</v>
      </c>
      <c r="Q51" s="152">
        <v>45236</v>
      </c>
    </row>
    <row r="52" spans="1:17" ht="35.25" thickBot="1" x14ac:dyDescent="0.3">
      <c r="A52" s="1">
        <v>2289</v>
      </c>
      <c r="B52" s="2" t="s">
        <v>551</v>
      </c>
      <c r="C52" s="2" t="s">
        <v>566</v>
      </c>
      <c r="D52" s="2"/>
      <c r="E52" s="3">
        <v>45209</v>
      </c>
      <c r="F52" s="3">
        <v>45237</v>
      </c>
      <c r="G52" s="4">
        <v>20</v>
      </c>
      <c r="H52" s="168" t="e">
        <v>#DIV/0!</v>
      </c>
      <c r="I52" s="168" t="e">
        <v>#DIV/0!</v>
      </c>
      <c r="J52" s="6" t="s">
        <v>550</v>
      </c>
      <c r="K52" s="7">
        <v>20000</v>
      </c>
      <c r="L52" s="7">
        <v>32000</v>
      </c>
      <c r="M52" s="21"/>
      <c r="N52" s="9">
        <v>32000</v>
      </c>
      <c r="O52" s="9">
        <v>32000</v>
      </c>
      <c r="P52" s="7">
        <v>0</v>
      </c>
      <c r="Q52" s="152">
        <v>45236</v>
      </c>
    </row>
    <row r="53" spans="1:17" ht="35.25" thickBot="1" x14ac:dyDescent="0.3">
      <c r="A53" s="1">
        <v>2294</v>
      </c>
      <c r="B53" s="2" t="s">
        <v>567</v>
      </c>
      <c r="C53" s="2" t="s">
        <v>566</v>
      </c>
      <c r="D53" s="2"/>
      <c r="E53" s="3">
        <v>45212</v>
      </c>
      <c r="F53" s="3">
        <v>45233</v>
      </c>
      <c r="G53" s="4">
        <v>15</v>
      </c>
      <c r="H53" s="168" t="e">
        <v>#DIV/0!</v>
      </c>
      <c r="I53" s="168" t="e">
        <v>#DIV/0!</v>
      </c>
      <c r="J53" s="6" t="s">
        <v>550</v>
      </c>
      <c r="K53" s="10">
        <v>10000</v>
      </c>
      <c r="L53" s="10">
        <v>16000</v>
      </c>
      <c r="M53" s="8"/>
      <c r="N53" s="9">
        <v>16000</v>
      </c>
      <c r="O53" s="9">
        <v>16000</v>
      </c>
      <c r="P53" s="7">
        <v>0</v>
      </c>
      <c r="Q53" s="152">
        <v>45236</v>
      </c>
    </row>
    <row r="54" spans="1:17" ht="46.5" thickBot="1" x14ac:dyDescent="0.3">
      <c r="A54" s="1">
        <v>1945</v>
      </c>
      <c r="B54" s="2" t="s">
        <v>616</v>
      </c>
      <c r="C54" s="2" t="s">
        <v>617</v>
      </c>
      <c r="D54" s="2"/>
      <c r="E54" s="3">
        <v>44936</v>
      </c>
      <c r="F54" s="3">
        <v>45036</v>
      </c>
      <c r="G54" s="4">
        <v>72</v>
      </c>
      <c r="H54" s="168">
        <v>72</v>
      </c>
      <c r="I54" s="168">
        <v>0</v>
      </c>
      <c r="J54" s="2" t="s">
        <v>618</v>
      </c>
      <c r="K54" s="10">
        <v>13000</v>
      </c>
      <c r="L54" s="10">
        <v>28080</v>
      </c>
      <c r="M54" s="8">
        <v>1950</v>
      </c>
      <c r="N54" s="9">
        <v>1830</v>
      </c>
      <c r="O54" s="9">
        <v>28080</v>
      </c>
      <c r="P54" s="10">
        <v>0</v>
      </c>
      <c r="Q54" s="152">
        <v>45236</v>
      </c>
    </row>
    <row r="55" spans="1:17" ht="46.5" thickBot="1" x14ac:dyDescent="0.3">
      <c r="A55" s="1">
        <v>2278</v>
      </c>
      <c r="B55" s="2" t="s">
        <v>166</v>
      </c>
      <c r="C55" s="2" t="s">
        <v>167</v>
      </c>
      <c r="D55" s="2"/>
      <c r="E55" s="3">
        <v>45203</v>
      </c>
      <c r="F55" s="3">
        <v>45266</v>
      </c>
      <c r="G55" s="4">
        <v>45</v>
      </c>
      <c r="H55" s="168">
        <v>107.84313725490196</v>
      </c>
      <c r="I55" s="168">
        <v>-62.843137254901961</v>
      </c>
      <c r="J55" s="16" t="s">
        <v>619</v>
      </c>
      <c r="K55" s="10">
        <v>15000</v>
      </c>
      <c r="L55" s="10">
        <v>25500</v>
      </c>
      <c r="M55" s="8">
        <v>1275</v>
      </c>
      <c r="N55" s="9">
        <v>10500</v>
      </c>
      <c r="O55" s="9">
        <v>27500</v>
      </c>
      <c r="P55" s="7">
        <v>-2000</v>
      </c>
      <c r="Q55" s="152">
        <v>45243</v>
      </c>
    </row>
    <row r="56" spans="1:17" ht="46.5" thickBot="1" x14ac:dyDescent="0.3">
      <c r="A56" s="1">
        <v>2139</v>
      </c>
      <c r="B56" s="2" t="s">
        <v>620</v>
      </c>
      <c r="C56" s="2" t="s">
        <v>621</v>
      </c>
      <c r="D56" s="2"/>
      <c r="E56" s="3">
        <v>45106</v>
      </c>
      <c r="F56" s="3">
        <v>45208</v>
      </c>
      <c r="G56" s="4">
        <v>72</v>
      </c>
      <c r="H56" s="168">
        <v>73.13333333333334</v>
      </c>
      <c r="I56" s="168">
        <v>-1.13333333333334</v>
      </c>
      <c r="J56" s="2" t="s">
        <v>581</v>
      </c>
      <c r="K56" s="10">
        <v>25000</v>
      </c>
      <c r="L56" s="10">
        <v>54000</v>
      </c>
      <c r="M56" s="8">
        <v>3750</v>
      </c>
      <c r="N56" s="9">
        <v>6000</v>
      </c>
      <c r="O56" s="9">
        <v>54850</v>
      </c>
      <c r="P56" s="7">
        <v>-850</v>
      </c>
      <c r="Q56" s="152">
        <v>45243</v>
      </c>
    </row>
    <row r="57" spans="1:17" ht="35.25" thickBot="1" x14ac:dyDescent="0.3">
      <c r="A57" s="1">
        <v>2104</v>
      </c>
      <c r="B57" s="2" t="s">
        <v>350</v>
      </c>
      <c r="C57" s="2" t="s">
        <v>167</v>
      </c>
      <c r="D57" s="2"/>
      <c r="E57" s="3">
        <v>45073</v>
      </c>
      <c r="F57" s="3">
        <v>45174</v>
      </c>
      <c r="G57" s="4">
        <v>72</v>
      </c>
      <c r="H57" s="168">
        <v>76.444444444444443</v>
      </c>
      <c r="I57" s="168">
        <v>-4.4444444444444429</v>
      </c>
      <c r="J57" s="2" t="s">
        <v>318</v>
      </c>
      <c r="K57" s="10">
        <v>15000</v>
      </c>
      <c r="L57" s="10">
        <v>32400</v>
      </c>
      <c r="M57" s="8">
        <v>2250</v>
      </c>
      <c r="N57" s="9">
        <v>6050</v>
      </c>
      <c r="O57" s="9">
        <v>34400</v>
      </c>
      <c r="P57" s="7">
        <v>-2000</v>
      </c>
      <c r="Q57" s="152">
        <v>45243</v>
      </c>
    </row>
    <row r="58" spans="1:17" ht="35.25" thickBot="1" x14ac:dyDescent="0.3">
      <c r="A58" s="25">
        <v>2159</v>
      </c>
      <c r="B58" s="2" t="s">
        <v>562</v>
      </c>
      <c r="C58" s="2" t="s">
        <v>563</v>
      </c>
      <c r="D58" s="2"/>
      <c r="E58" s="3">
        <v>45121</v>
      </c>
      <c r="F58" s="3">
        <v>45223</v>
      </c>
      <c r="G58" s="4">
        <v>72</v>
      </c>
      <c r="H58" s="168">
        <v>73.333333333333329</v>
      </c>
      <c r="I58" s="168">
        <v>-1.3333333333333286</v>
      </c>
      <c r="J58" s="2" t="s">
        <v>589</v>
      </c>
      <c r="K58" s="7">
        <v>5000</v>
      </c>
      <c r="L58" s="7">
        <v>10800</v>
      </c>
      <c r="M58" s="21">
        <v>750</v>
      </c>
      <c r="N58" s="9">
        <v>3000</v>
      </c>
      <c r="O58" s="9">
        <v>11000</v>
      </c>
      <c r="P58" s="7">
        <v>-200</v>
      </c>
      <c r="Q58" s="152">
        <v>45243</v>
      </c>
    </row>
    <row r="59" spans="1:17" ht="35.25" thickBot="1" x14ac:dyDescent="0.3">
      <c r="A59" s="1">
        <v>2285</v>
      </c>
      <c r="B59" s="2" t="s">
        <v>562</v>
      </c>
      <c r="C59" s="2" t="s">
        <v>563</v>
      </c>
      <c r="D59" s="2"/>
      <c r="E59" s="3">
        <v>45209</v>
      </c>
      <c r="F59" s="3">
        <v>45232</v>
      </c>
      <c r="G59" s="4">
        <v>17</v>
      </c>
      <c r="H59" s="168" t="e">
        <v>#DIV/0!</v>
      </c>
      <c r="I59" s="168" t="e">
        <v>#DIV/0!</v>
      </c>
      <c r="J59" s="6" t="s">
        <v>550</v>
      </c>
      <c r="K59" s="10">
        <v>20000</v>
      </c>
      <c r="L59" s="10">
        <v>30000</v>
      </c>
      <c r="M59" s="8"/>
      <c r="N59" s="9">
        <v>10000</v>
      </c>
      <c r="O59" s="9">
        <v>30000</v>
      </c>
      <c r="P59" s="7">
        <v>0</v>
      </c>
      <c r="Q59" s="152">
        <v>45243</v>
      </c>
    </row>
    <row r="60" spans="1:17" ht="35.25" thickBot="1" x14ac:dyDescent="0.3">
      <c r="A60" s="1">
        <v>2164</v>
      </c>
      <c r="B60" s="2" t="s">
        <v>242</v>
      </c>
      <c r="C60" s="2" t="s">
        <v>243</v>
      </c>
      <c r="D60" s="2"/>
      <c r="E60" s="3">
        <v>45124</v>
      </c>
      <c r="F60" s="3">
        <v>45348</v>
      </c>
      <c r="G60" s="4">
        <v>160</v>
      </c>
      <c r="H60" s="168">
        <v>140.01237404984974</v>
      </c>
      <c r="I60" s="168">
        <v>19.98762595015026</v>
      </c>
      <c r="J60" s="6" t="s">
        <v>622</v>
      </c>
      <c r="K60" s="10">
        <v>30000</v>
      </c>
      <c r="L60" s="10">
        <v>79205</v>
      </c>
      <c r="M60" s="8">
        <v>2828.5</v>
      </c>
      <c r="N60" s="9">
        <v>22625</v>
      </c>
      <c r="O60" s="9">
        <v>79205</v>
      </c>
      <c r="P60" s="7">
        <v>0</v>
      </c>
      <c r="Q60" s="152">
        <v>45257</v>
      </c>
    </row>
    <row r="61" spans="1:17" ht="46.5" thickBot="1" x14ac:dyDescent="0.3">
      <c r="A61" s="1">
        <v>2112</v>
      </c>
      <c r="B61" s="2" t="s">
        <v>280</v>
      </c>
      <c r="C61" s="2" t="s">
        <v>285</v>
      </c>
      <c r="D61" s="2"/>
      <c r="E61" s="3">
        <v>45082</v>
      </c>
      <c r="F61" s="3">
        <v>45260</v>
      </c>
      <c r="G61" s="4">
        <v>128</v>
      </c>
      <c r="H61" s="168">
        <v>120</v>
      </c>
      <c r="I61" s="168">
        <v>8</v>
      </c>
      <c r="J61" s="6" t="s">
        <v>623</v>
      </c>
      <c r="K61" s="10">
        <v>20000</v>
      </c>
      <c r="L61" s="10">
        <v>52800</v>
      </c>
      <c r="M61" s="21">
        <v>2200</v>
      </c>
      <c r="N61" s="9">
        <v>8800</v>
      </c>
      <c r="O61" s="9">
        <v>52800</v>
      </c>
      <c r="P61" s="7">
        <v>0</v>
      </c>
      <c r="Q61" s="152">
        <v>45257</v>
      </c>
    </row>
    <row r="62" spans="1:17" ht="57.75" thickBot="1" x14ac:dyDescent="0.3">
      <c r="A62" s="1">
        <v>2143</v>
      </c>
      <c r="B62" s="2" t="s">
        <v>624</v>
      </c>
      <c r="C62" s="2" t="s">
        <v>160</v>
      </c>
      <c r="D62" s="2"/>
      <c r="E62" s="3">
        <v>45110</v>
      </c>
      <c r="F62" s="3">
        <v>45264</v>
      </c>
      <c r="G62" s="4">
        <v>110</v>
      </c>
      <c r="H62" s="168">
        <v>110</v>
      </c>
      <c r="I62" s="168">
        <v>0</v>
      </c>
      <c r="J62" s="2" t="s">
        <v>625</v>
      </c>
      <c r="K62" s="7">
        <v>40000</v>
      </c>
      <c r="L62" s="7">
        <v>105600</v>
      </c>
      <c r="M62" s="21">
        <v>4800</v>
      </c>
      <c r="N62" s="9">
        <v>11200</v>
      </c>
      <c r="O62" s="9">
        <v>105600</v>
      </c>
      <c r="P62" s="7">
        <v>0</v>
      </c>
      <c r="Q62" s="152">
        <v>45257</v>
      </c>
    </row>
    <row r="63" spans="1:17" ht="35.25" thickBot="1" x14ac:dyDescent="0.3">
      <c r="A63" s="1">
        <v>2216</v>
      </c>
      <c r="B63" s="2" t="s">
        <v>413</v>
      </c>
      <c r="C63" s="2" t="s">
        <v>414</v>
      </c>
      <c r="D63" s="2"/>
      <c r="E63" s="3">
        <v>45157</v>
      </c>
      <c r="F63" s="3">
        <v>45258</v>
      </c>
      <c r="G63" s="4">
        <v>72</v>
      </c>
      <c r="H63" s="168">
        <v>72</v>
      </c>
      <c r="I63" s="168">
        <v>0</v>
      </c>
      <c r="J63" s="2" t="s">
        <v>182</v>
      </c>
      <c r="K63" s="10">
        <v>20000</v>
      </c>
      <c r="L63" s="10">
        <v>43200</v>
      </c>
      <c r="M63" s="8">
        <v>3000</v>
      </c>
      <c r="N63" s="9">
        <v>1200</v>
      </c>
      <c r="O63" s="9">
        <v>43200</v>
      </c>
      <c r="P63" s="7">
        <v>0</v>
      </c>
      <c r="Q63" s="152">
        <v>45257</v>
      </c>
    </row>
    <row r="64" spans="1:17" ht="46.5" thickBot="1" x14ac:dyDescent="0.3">
      <c r="A64" s="1">
        <v>2214</v>
      </c>
      <c r="B64" s="2" t="s">
        <v>626</v>
      </c>
      <c r="C64" s="2" t="s">
        <v>208</v>
      </c>
      <c r="D64" s="2"/>
      <c r="E64" s="3">
        <v>45156</v>
      </c>
      <c r="F64" s="3">
        <v>45258</v>
      </c>
      <c r="G64" s="4">
        <v>72</v>
      </c>
      <c r="H64" s="168">
        <v>72</v>
      </c>
      <c r="I64" s="168">
        <v>0</v>
      </c>
      <c r="J64" s="2" t="s">
        <v>576</v>
      </c>
      <c r="K64" s="10">
        <v>10000</v>
      </c>
      <c r="L64" s="10">
        <v>21600</v>
      </c>
      <c r="M64" s="8">
        <v>1500</v>
      </c>
      <c r="N64" s="9">
        <v>600</v>
      </c>
      <c r="O64" s="9">
        <v>21600</v>
      </c>
      <c r="P64" s="10">
        <v>0</v>
      </c>
      <c r="Q64" s="152">
        <v>45257</v>
      </c>
    </row>
    <row r="65" spans="1:17" ht="46.5" thickBot="1" x14ac:dyDescent="0.3">
      <c r="A65" s="25">
        <v>2156</v>
      </c>
      <c r="B65" s="2" t="s">
        <v>151</v>
      </c>
      <c r="C65" s="2" t="s">
        <v>152</v>
      </c>
      <c r="D65" s="2" t="s">
        <v>627</v>
      </c>
      <c r="E65" s="3">
        <v>45119</v>
      </c>
      <c r="F65" s="3">
        <v>45219</v>
      </c>
      <c r="G65" s="4">
        <v>72</v>
      </c>
      <c r="H65" s="168">
        <v>72</v>
      </c>
      <c r="I65" s="168">
        <v>0</v>
      </c>
      <c r="J65" s="2" t="s">
        <v>182</v>
      </c>
      <c r="K65" s="10">
        <v>20000</v>
      </c>
      <c r="L65" s="10">
        <v>43200</v>
      </c>
      <c r="M65" s="8">
        <v>3000</v>
      </c>
      <c r="N65" s="9">
        <v>1200</v>
      </c>
      <c r="O65" s="9">
        <v>43200</v>
      </c>
      <c r="P65" s="10">
        <v>0</v>
      </c>
      <c r="Q65" s="152">
        <v>45264</v>
      </c>
    </row>
    <row r="66" spans="1:17" ht="46.5" thickBot="1" x14ac:dyDescent="0.3">
      <c r="A66" s="1">
        <v>2325</v>
      </c>
      <c r="B66" s="2" t="s">
        <v>628</v>
      </c>
      <c r="C66" s="2" t="s">
        <v>629</v>
      </c>
      <c r="D66" s="2"/>
      <c r="E66" s="3">
        <v>45236</v>
      </c>
      <c r="F66" s="3">
        <v>45252</v>
      </c>
      <c r="G66" s="4">
        <v>12</v>
      </c>
      <c r="H66" s="168" t="e">
        <v>#VALUE!</v>
      </c>
      <c r="I66" s="168" t="e">
        <v>#VALUE!</v>
      </c>
      <c r="J66" s="6" t="s">
        <v>550</v>
      </c>
      <c r="K66" s="10">
        <v>10000</v>
      </c>
      <c r="L66" s="10">
        <v>13500</v>
      </c>
      <c r="M66" s="8" t="s">
        <v>143</v>
      </c>
      <c r="N66" s="9">
        <v>15000</v>
      </c>
      <c r="O66" s="9">
        <v>15000</v>
      </c>
      <c r="P66" s="10">
        <v>-1500</v>
      </c>
      <c r="Q66" s="152">
        <v>45264</v>
      </c>
    </row>
    <row r="67" spans="1:17" ht="46.5" thickBot="1" x14ac:dyDescent="0.3">
      <c r="A67" s="1">
        <v>2350</v>
      </c>
      <c r="B67" s="2" t="s">
        <v>630</v>
      </c>
      <c r="C67" s="2" t="s">
        <v>317</v>
      </c>
      <c r="D67" s="2"/>
      <c r="E67" s="3">
        <v>45257</v>
      </c>
      <c r="F67" s="3">
        <v>45265</v>
      </c>
      <c r="G67" s="4">
        <v>6</v>
      </c>
      <c r="H67" s="168" t="e">
        <v>#DIV/0!</v>
      </c>
      <c r="I67" s="168" t="e">
        <v>#DIV/0!</v>
      </c>
      <c r="J67" s="6" t="s">
        <v>550</v>
      </c>
      <c r="K67" s="10">
        <v>10000</v>
      </c>
      <c r="L67" s="10">
        <v>13000</v>
      </c>
      <c r="M67" s="8"/>
      <c r="N67" s="9">
        <v>13000</v>
      </c>
      <c r="O67" s="9">
        <v>13000</v>
      </c>
      <c r="P67" s="10">
        <v>0</v>
      </c>
      <c r="Q67" s="152">
        <v>45264</v>
      </c>
    </row>
    <row r="68" spans="1:17" ht="35.25" thickBot="1" x14ac:dyDescent="0.3">
      <c r="A68" s="25">
        <v>2157</v>
      </c>
      <c r="B68" s="2" t="s">
        <v>631</v>
      </c>
      <c r="C68" s="2" t="s">
        <v>632</v>
      </c>
      <c r="D68" s="2" t="s">
        <v>174</v>
      </c>
      <c r="E68" s="3">
        <v>45120</v>
      </c>
      <c r="F68" s="3">
        <v>45222</v>
      </c>
      <c r="G68" s="4">
        <v>72</v>
      </c>
      <c r="H68" s="168">
        <v>72.555555555555557</v>
      </c>
      <c r="I68" s="168">
        <v>-0.55555555555555713</v>
      </c>
      <c r="J68" s="2" t="s">
        <v>318</v>
      </c>
      <c r="K68" s="7">
        <v>15000</v>
      </c>
      <c r="L68" s="7">
        <v>32400</v>
      </c>
      <c r="M68" s="21">
        <v>2250</v>
      </c>
      <c r="N68" s="9">
        <v>2200</v>
      </c>
      <c r="O68" s="9">
        <v>32650</v>
      </c>
      <c r="P68" s="7">
        <v>-250</v>
      </c>
      <c r="Q68" s="152">
        <v>45264</v>
      </c>
    </row>
    <row r="69" spans="1:17" ht="46.5" thickBot="1" x14ac:dyDescent="0.3">
      <c r="A69" s="1">
        <v>2148</v>
      </c>
      <c r="B69" s="2" t="s">
        <v>633</v>
      </c>
      <c r="C69" s="2" t="s">
        <v>208</v>
      </c>
      <c r="D69" s="2"/>
      <c r="E69" s="3">
        <v>45113</v>
      </c>
      <c r="F69" s="3">
        <v>45267</v>
      </c>
      <c r="G69" s="4">
        <v>110</v>
      </c>
      <c r="H69" s="168">
        <v>110</v>
      </c>
      <c r="I69" s="168">
        <v>0</v>
      </c>
      <c r="J69" s="2" t="s">
        <v>634</v>
      </c>
      <c r="K69" s="10">
        <v>35000</v>
      </c>
      <c r="L69" s="10">
        <v>92400</v>
      </c>
      <c r="M69" s="8">
        <v>4200</v>
      </c>
      <c r="N69" s="9">
        <v>8400</v>
      </c>
      <c r="O69" s="9">
        <v>92400</v>
      </c>
      <c r="P69" s="7">
        <v>0</v>
      </c>
      <c r="Q69" s="152">
        <v>45264</v>
      </c>
    </row>
    <row r="70" spans="1:17" ht="57.75" thickBot="1" x14ac:dyDescent="0.3">
      <c r="A70" s="1">
        <v>2195</v>
      </c>
      <c r="B70" s="2" t="s">
        <v>215</v>
      </c>
      <c r="C70" s="2" t="s">
        <v>216</v>
      </c>
      <c r="D70" s="2"/>
      <c r="E70" s="3">
        <v>45145</v>
      </c>
      <c r="F70" s="3">
        <v>45271</v>
      </c>
      <c r="G70" s="4">
        <v>90</v>
      </c>
      <c r="H70" s="168">
        <v>80</v>
      </c>
      <c r="I70" s="168">
        <v>10</v>
      </c>
      <c r="J70" s="6" t="s">
        <v>635</v>
      </c>
      <c r="K70" s="10">
        <v>100000</v>
      </c>
      <c r="L70" s="10">
        <v>216000</v>
      </c>
      <c r="M70" s="8">
        <v>13500</v>
      </c>
      <c r="N70" s="9">
        <v>54000</v>
      </c>
      <c r="O70" s="9">
        <v>216000</v>
      </c>
      <c r="P70" s="7">
        <v>0</v>
      </c>
      <c r="Q70" s="152">
        <v>45264</v>
      </c>
    </row>
    <row r="71" spans="1:17" ht="35.25" thickBot="1" x14ac:dyDescent="0.3">
      <c r="A71" s="1">
        <v>2088</v>
      </c>
      <c r="B71" s="2" t="s">
        <v>222</v>
      </c>
      <c r="C71" s="4" t="s">
        <v>223</v>
      </c>
      <c r="D71" s="2"/>
      <c r="E71" s="3">
        <v>45057</v>
      </c>
      <c r="F71" s="3">
        <v>45301</v>
      </c>
      <c r="G71" s="4">
        <v>174</v>
      </c>
      <c r="H71" s="168">
        <v>160</v>
      </c>
      <c r="I71" s="168">
        <v>14</v>
      </c>
      <c r="J71" s="6" t="s">
        <v>636</v>
      </c>
      <c r="K71" s="7">
        <v>60000</v>
      </c>
      <c r="L71" s="7">
        <v>160800</v>
      </c>
      <c r="M71" s="21">
        <v>5025</v>
      </c>
      <c r="N71" s="9">
        <v>40800</v>
      </c>
      <c r="O71" s="9">
        <v>160800</v>
      </c>
      <c r="P71" s="7">
        <v>0</v>
      </c>
      <c r="Q71" s="152">
        <v>45264</v>
      </c>
    </row>
    <row r="72" spans="1:17" ht="57.75" thickBot="1" x14ac:dyDescent="0.3">
      <c r="A72" s="1">
        <v>2125</v>
      </c>
      <c r="B72" s="2" t="s">
        <v>637</v>
      </c>
      <c r="C72" s="2" t="s">
        <v>638</v>
      </c>
      <c r="D72" s="2"/>
      <c r="E72" s="3">
        <v>45091</v>
      </c>
      <c r="F72" s="3">
        <v>45268</v>
      </c>
      <c r="G72" s="4">
        <v>127</v>
      </c>
      <c r="H72" s="168">
        <v>120</v>
      </c>
      <c r="I72" s="168">
        <v>7</v>
      </c>
      <c r="J72" s="6" t="s">
        <v>639</v>
      </c>
      <c r="K72" s="7">
        <v>40000</v>
      </c>
      <c r="L72" s="7">
        <v>80400</v>
      </c>
      <c r="M72" s="21">
        <v>3350</v>
      </c>
      <c r="N72" s="9">
        <v>13400</v>
      </c>
      <c r="O72" s="9">
        <v>80400</v>
      </c>
      <c r="P72" s="7">
        <v>0</v>
      </c>
      <c r="Q72" s="152">
        <v>45264</v>
      </c>
    </row>
    <row r="73" spans="1:17" ht="57.75" thickBot="1" x14ac:dyDescent="0.3">
      <c r="A73" s="1">
        <v>2357</v>
      </c>
      <c r="B73" s="2" t="s">
        <v>595</v>
      </c>
      <c r="C73" s="2" t="s">
        <v>559</v>
      </c>
      <c r="D73" s="2"/>
      <c r="E73" s="3">
        <v>45261</v>
      </c>
      <c r="F73" s="3">
        <v>45268</v>
      </c>
      <c r="G73" s="4">
        <v>5</v>
      </c>
      <c r="H73" s="168" t="e">
        <v>#VALUE!</v>
      </c>
      <c r="I73" s="168" t="e">
        <v>#VALUE!</v>
      </c>
      <c r="J73" s="6" t="s">
        <v>550</v>
      </c>
      <c r="K73" s="10">
        <v>10000</v>
      </c>
      <c r="L73" s="10">
        <v>13000</v>
      </c>
      <c r="M73" s="21" t="s">
        <v>143</v>
      </c>
      <c r="N73" s="9">
        <v>13000</v>
      </c>
      <c r="O73" s="9">
        <v>13000</v>
      </c>
      <c r="P73" s="7">
        <v>0</v>
      </c>
      <c r="Q73" s="152">
        <v>45264</v>
      </c>
    </row>
    <row r="74" spans="1:17" ht="46.5" thickBot="1" x14ac:dyDescent="0.3">
      <c r="A74" s="1">
        <v>2227</v>
      </c>
      <c r="B74" s="2" t="s">
        <v>313</v>
      </c>
      <c r="C74" s="2" t="s">
        <v>314</v>
      </c>
      <c r="D74" s="2"/>
      <c r="E74" s="3">
        <v>45163</v>
      </c>
      <c r="F74" s="3">
        <v>45268</v>
      </c>
      <c r="G74" s="4">
        <v>75</v>
      </c>
      <c r="H74" s="168">
        <v>75</v>
      </c>
      <c r="I74" s="168">
        <v>0</v>
      </c>
      <c r="J74" s="2" t="s">
        <v>640</v>
      </c>
      <c r="K74" s="7">
        <v>40000</v>
      </c>
      <c r="L74" s="7">
        <v>90000</v>
      </c>
      <c r="M74" s="21">
        <v>6000</v>
      </c>
      <c r="N74" s="9">
        <v>8400</v>
      </c>
      <c r="O74" s="9">
        <v>90000</v>
      </c>
      <c r="P74" s="7">
        <v>0</v>
      </c>
      <c r="Q74" s="152">
        <v>45264</v>
      </c>
    </row>
    <row r="75" spans="1:17" ht="35.25" thickBot="1" x14ac:dyDescent="0.3">
      <c r="A75" s="1">
        <v>2063</v>
      </c>
      <c r="B75" s="2" t="s">
        <v>321</v>
      </c>
      <c r="C75" s="2" t="s">
        <v>322</v>
      </c>
      <c r="D75" s="2"/>
      <c r="E75" s="3">
        <v>45034</v>
      </c>
      <c r="F75" s="3">
        <v>45245</v>
      </c>
      <c r="G75" s="4">
        <v>151</v>
      </c>
      <c r="H75" s="168">
        <v>140</v>
      </c>
      <c r="I75" s="168">
        <v>11</v>
      </c>
      <c r="J75" s="6" t="s">
        <v>641</v>
      </c>
      <c r="K75" s="10">
        <v>31500</v>
      </c>
      <c r="L75" s="10">
        <v>84560</v>
      </c>
      <c r="M75" s="8">
        <v>3020</v>
      </c>
      <c r="N75" s="9">
        <v>2365</v>
      </c>
      <c r="O75" s="9">
        <v>84560</v>
      </c>
      <c r="P75" s="7">
        <v>0</v>
      </c>
      <c r="Q75" s="152">
        <v>45264</v>
      </c>
    </row>
    <row r="76" spans="1:17" ht="35.25" thickBot="1" x14ac:dyDescent="0.3">
      <c r="A76" s="1">
        <v>2176</v>
      </c>
      <c r="B76" s="2" t="s">
        <v>560</v>
      </c>
      <c r="C76" s="2" t="s">
        <v>561</v>
      </c>
      <c r="D76" s="2"/>
      <c r="E76" s="3">
        <v>45132</v>
      </c>
      <c r="F76" s="3">
        <v>45232</v>
      </c>
      <c r="G76" s="4">
        <v>72</v>
      </c>
      <c r="H76" s="168">
        <v>72</v>
      </c>
      <c r="I76" s="168">
        <v>0</v>
      </c>
      <c r="J76" s="2" t="s">
        <v>182</v>
      </c>
      <c r="K76" s="7">
        <v>40000</v>
      </c>
      <c r="L76" s="7">
        <v>86400</v>
      </c>
      <c r="M76" s="21">
        <v>6000</v>
      </c>
      <c r="N76" s="9">
        <v>2400</v>
      </c>
      <c r="O76" s="9">
        <v>86400</v>
      </c>
      <c r="P76" s="7">
        <v>0</v>
      </c>
      <c r="Q76" s="152">
        <v>45264</v>
      </c>
    </row>
    <row r="77" spans="1:17" ht="35.25" thickBot="1" x14ac:dyDescent="0.3">
      <c r="A77" s="1">
        <v>2328</v>
      </c>
      <c r="B77" s="2" t="s">
        <v>562</v>
      </c>
      <c r="C77" s="2" t="s">
        <v>563</v>
      </c>
      <c r="D77" s="2"/>
      <c r="E77" s="3">
        <v>45237</v>
      </c>
      <c r="F77" s="3">
        <v>45260</v>
      </c>
      <c r="G77" s="4">
        <v>17</v>
      </c>
      <c r="H77" s="168" t="e">
        <v>#DIV/0!</v>
      </c>
      <c r="I77" s="168" t="e">
        <v>#DIV/0!</v>
      </c>
      <c r="J77" s="6" t="s">
        <v>550</v>
      </c>
      <c r="K77" s="7">
        <v>35000</v>
      </c>
      <c r="L77" s="7">
        <v>52500</v>
      </c>
      <c r="M77" s="21"/>
      <c r="N77" s="9">
        <v>35000</v>
      </c>
      <c r="O77" s="9">
        <v>52500</v>
      </c>
      <c r="P77" s="7">
        <v>0</v>
      </c>
      <c r="Q77" s="152">
        <v>45264</v>
      </c>
    </row>
    <row r="78" spans="1:17" ht="46.5" thickBot="1" x14ac:dyDescent="0.3">
      <c r="A78" s="1">
        <v>2332</v>
      </c>
      <c r="B78" s="2" t="s">
        <v>614</v>
      </c>
      <c r="C78" s="2" t="s">
        <v>566</v>
      </c>
      <c r="D78" s="2" t="s">
        <v>615</v>
      </c>
      <c r="E78" s="3">
        <v>45239</v>
      </c>
      <c r="F78" s="3">
        <v>45267</v>
      </c>
      <c r="G78" s="4">
        <v>20</v>
      </c>
      <c r="H78" s="168" t="e">
        <v>#DIV/0!</v>
      </c>
      <c r="I78" s="168" t="e">
        <v>#DIV/0!</v>
      </c>
      <c r="J78" s="6" t="s">
        <v>550</v>
      </c>
      <c r="K78" s="10">
        <v>20000</v>
      </c>
      <c r="L78" s="10">
        <v>32000</v>
      </c>
      <c r="M78" s="8"/>
      <c r="N78" s="9">
        <v>32000</v>
      </c>
      <c r="O78" s="9">
        <v>32000</v>
      </c>
      <c r="P78" s="7">
        <v>0</v>
      </c>
      <c r="Q78" s="152">
        <v>45264</v>
      </c>
    </row>
    <row r="79" spans="1:17" ht="35.25" thickBot="1" x14ac:dyDescent="0.3">
      <c r="A79" s="1">
        <v>2121</v>
      </c>
      <c r="B79" s="2" t="s">
        <v>376</v>
      </c>
      <c r="C79" s="2"/>
      <c r="D79" s="2"/>
      <c r="E79" s="3">
        <v>45089</v>
      </c>
      <c r="F79" s="3">
        <v>45268</v>
      </c>
      <c r="G79" s="4">
        <v>129</v>
      </c>
      <c r="H79" s="168">
        <v>120</v>
      </c>
      <c r="I79" s="168">
        <v>9</v>
      </c>
      <c r="J79" s="6" t="s">
        <v>642</v>
      </c>
      <c r="K79" s="10">
        <v>25000</v>
      </c>
      <c r="L79" s="10">
        <v>50400</v>
      </c>
      <c r="M79" s="8">
        <v>2100</v>
      </c>
      <c r="N79" s="9">
        <v>8400</v>
      </c>
      <c r="O79" s="9">
        <v>50400</v>
      </c>
      <c r="P79" s="7">
        <v>0</v>
      </c>
      <c r="Q79" s="152">
        <v>45264</v>
      </c>
    </row>
    <row r="80" spans="1:17" ht="35.25" thickBot="1" x14ac:dyDescent="0.3">
      <c r="A80" s="25">
        <v>2161</v>
      </c>
      <c r="B80" s="2" t="s">
        <v>385</v>
      </c>
      <c r="C80" s="2" t="s">
        <v>386</v>
      </c>
      <c r="D80" s="2"/>
      <c r="E80" s="3">
        <v>45122</v>
      </c>
      <c r="F80" s="3">
        <v>45223</v>
      </c>
      <c r="G80" s="4">
        <v>72</v>
      </c>
      <c r="H80" s="168">
        <v>72</v>
      </c>
      <c r="I80" s="168">
        <v>0</v>
      </c>
      <c r="J80" s="2" t="s">
        <v>182</v>
      </c>
      <c r="K80" s="7">
        <v>20000</v>
      </c>
      <c r="L80" s="7">
        <v>43200</v>
      </c>
      <c r="M80" s="21">
        <v>3000</v>
      </c>
      <c r="N80" s="9">
        <v>700</v>
      </c>
      <c r="O80" s="9">
        <v>43200</v>
      </c>
      <c r="P80" s="7">
        <v>0</v>
      </c>
      <c r="Q80" s="152">
        <v>45264</v>
      </c>
    </row>
    <row r="81" spans="1:17" ht="35.25" thickBot="1" x14ac:dyDescent="0.3">
      <c r="A81" s="1">
        <v>2191</v>
      </c>
      <c r="B81" s="2" t="s">
        <v>546</v>
      </c>
      <c r="C81" s="2" t="s">
        <v>547</v>
      </c>
      <c r="D81" s="2"/>
      <c r="E81" s="3">
        <v>45143</v>
      </c>
      <c r="F81" s="3">
        <v>45268</v>
      </c>
      <c r="G81" s="4">
        <v>90</v>
      </c>
      <c r="H81" s="168">
        <v>80</v>
      </c>
      <c r="I81" s="168">
        <v>10</v>
      </c>
      <c r="J81" s="6" t="s">
        <v>643</v>
      </c>
      <c r="K81" s="7">
        <v>10000</v>
      </c>
      <c r="L81" s="7">
        <v>21600</v>
      </c>
      <c r="M81" s="21">
        <v>1350</v>
      </c>
      <c r="N81" s="9">
        <v>5400</v>
      </c>
      <c r="O81" s="9">
        <v>21600</v>
      </c>
      <c r="P81" s="7">
        <v>0</v>
      </c>
      <c r="Q81" s="152">
        <v>45264</v>
      </c>
    </row>
    <row r="82" spans="1:17" ht="35.25" thickBot="1" x14ac:dyDescent="0.3">
      <c r="A82" s="1">
        <v>2330</v>
      </c>
      <c r="B82" s="2" t="s">
        <v>551</v>
      </c>
      <c r="C82" s="2" t="s">
        <v>566</v>
      </c>
      <c r="D82" s="2"/>
      <c r="E82" s="3">
        <v>45257</v>
      </c>
      <c r="F82" s="3">
        <v>45265</v>
      </c>
      <c r="G82" s="4">
        <v>6</v>
      </c>
      <c r="H82" s="168" t="e">
        <v>#DIV/0!</v>
      </c>
      <c r="I82" s="168" t="e">
        <v>#DIV/0!</v>
      </c>
      <c r="J82" s="6" t="s">
        <v>550</v>
      </c>
      <c r="K82" s="7">
        <v>20000</v>
      </c>
      <c r="L82" s="7">
        <v>32000</v>
      </c>
      <c r="M82" s="21"/>
      <c r="N82" s="9">
        <v>32000</v>
      </c>
      <c r="O82" s="9">
        <v>32000</v>
      </c>
      <c r="P82" s="7">
        <v>0</v>
      </c>
      <c r="Q82" s="152">
        <v>45264</v>
      </c>
    </row>
    <row r="83" spans="1:17" ht="35.25" thickBot="1" x14ac:dyDescent="0.3">
      <c r="A83" s="1">
        <v>2331</v>
      </c>
      <c r="B83" s="2" t="s">
        <v>567</v>
      </c>
      <c r="C83" s="2" t="s">
        <v>566</v>
      </c>
      <c r="D83" s="2"/>
      <c r="E83" s="3">
        <v>45239</v>
      </c>
      <c r="F83" s="3">
        <v>45267</v>
      </c>
      <c r="G83" s="4">
        <v>20</v>
      </c>
      <c r="H83" s="168" t="e">
        <v>#DIV/0!</v>
      </c>
      <c r="I83" s="168" t="e">
        <v>#DIV/0!</v>
      </c>
      <c r="J83" s="6" t="s">
        <v>550</v>
      </c>
      <c r="K83" s="7">
        <v>10000</v>
      </c>
      <c r="L83" s="7">
        <v>16000</v>
      </c>
      <c r="M83" s="21"/>
      <c r="N83" s="9">
        <v>16000</v>
      </c>
      <c r="O83" s="9">
        <v>16000</v>
      </c>
      <c r="P83" s="7">
        <v>0</v>
      </c>
      <c r="Q83" s="152">
        <v>45264</v>
      </c>
    </row>
    <row r="84" spans="1:17" ht="35.25" thickBot="1" x14ac:dyDescent="0.3">
      <c r="A84" s="1">
        <v>2229</v>
      </c>
      <c r="B84" s="2" t="s">
        <v>462</v>
      </c>
      <c r="C84" s="2" t="s">
        <v>644</v>
      </c>
      <c r="D84" s="2"/>
      <c r="E84" s="3">
        <v>45163</v>
      </c>
      <c r="F84" s="3">
        <v>45268</v>
      </c>
      <c r="G84" s="4">
        <v>75</v>
      </c>
      <c r="H84" s="168">
        <v>75</v>
      </c>
      <c r="I84" s="168">
        <v>0</v>
      </c>
      <c r="J84" s="2" t="s">
        <v>318</v>
      </c>
      <c r="K84" s="10">
        <v>15000</v>
      </c>
      <c r="L84" s="10">
        <v>33750</v>
      </c>
      <c r="M84" s="8">
        <v>2250</v>
      </c>
      <c r="N84" s="9">
        <v>2200</v>
      </c>
      <c r="O84" s="9">
        <v>33750</v>
      </c>
      <c r="P84" s="7">
        <v>0</v>
      </c>
      <c r="Q84" s="152">
        <v>45264</v>
      </c>
    </row>
    <row r="85" spans="1:17" ht="35.25" thickBot="1" x14ac:dyDescent="0.3">
      <c r="A85" s="1">
        <v>2145</v>
      </c>
      <c r="B85" s="2" t="s">
        <v>467</v>
      </c>
      <c r="C85" s="2"/>
      <c r="D85" s="2"/>
      <c r="E85" s="3">
        <v>45110</v>
      </c>
      <c r="F85" s="3">
        <v>45264</v>
      </c>
      <c r="G85" s="4">
        <v>110</v>
      </c>
      <c r="H85" s="168">
        <v>110</v>
      </c>
      <c r="I85" s="168">
        <v>0</v>
      </c>
      <c r="J85" s="2" t="s">
        <v>279</v>
      </c>
      <c r="K85" s="10">
        <v>100000</v>
      </c>
      <c r="L85" s="10">
        <v>264000</v>
      </c>
      <c r="M85" s="8">
        <v>12000</v>
      </c>
      <c r="N85" s="9">
        <v>12000</v>
      </c>
      <c r="O85" s="9">
        <v>264000</v>
      </c>
      <c r="P85" s="7">
        <v>0</v>
      </c>
      <c r="Q85" s="152">
        <v>45264</v>
      </c>
    </row>
    <row r="86" spans="1:17" ht="46.5" thickBot="1" x14ac:dyDescent="0.3">
      <c r="A86" s="1">
        <v>2215</v>
      </c>
      <c r="B86" s="2" t="s">
        <v>645</v>
      </c>
      <c r="C86" s="2" t="s">
        <v>208</v>
      </c>
      <c r="D86" s="2"/>
      <c r="E86" s="3">
        <v>45156</v>
      </c>
      <c r="F86" s="3">
        <v>45258</v>
      </c>
      <c r="G86" s="4">
        <v>72</v>
      </c>
      <c r="H86" s="168">
        <v>72</v>
      </c>
      <c r="I86" s="168">
        <v>0</v>
      </c>
      <c r="J86" s="2" t="s">
        <v>182</v>
      </c>
      <c r="K86" s="7">
        <v>20000</v>
      </c>
      <c r="L86" s="7">
        <v>43200</v>
      </c>
      <c r="M86" s="21">
        <v>3000</v>
      </c>
      <c r="N86" s="9">
        <v>1200</v>
      </c>
      <c r="O86" s="9">
        <v>43200</v>
      </c>
      <c r="P86" s="7">
        <v>0</v>
      </c>
      <c r="Q86" s="152">
        <v>45271</v>
      </c>
    </row>
    <row r="87" spans="1:17" ht="35.25" thickBot="1" x14ac:dyDescent="0.3">
      <c r="A87" s="1">
        <v>2205</v>
      </c>
      <c r="B87" s="2" t="s">
        <v>215</v>
      </c>
      <c r="C87" s="2" t="s">
        <v>216</v>
      </c>
      <c r="D87" s="2"/>
      <c r="E87" s="3">
        <v>45152</v>
      </c>
      <c r="F87" s="3">
        <v>45278</v>
      </c>
      <c r="G87" s="4">
        <v>90</v>
      </c>
      <c r="H87" s="168">
        <v>80</v>
      </c>
      <c r="I87" s="168">
        <v>10</v>
      </c>
      <c r="J87" s="6" t="s">
        <v>646</v>
      </c>
      <c r="K87" s="7">
        <v>50000</v>
      </c>
      <c r="L87" s="7">
        <v>108000</v>
      </c>
      <c r="M87" s="21">
        <v>6750</v>
      </c>
      <c r="N87" s="9">
        <v>27000</v>
      </c>
      <c r="O87" s="9">
        <v>108000</v>
      </c>
      <c r="P87" s="7">
        <v>0</v>
      </c>
      <c r="Q87" s="152">
        <v>45271</v>
      </c>
    </row>
    <row r="88" spans="1:17" ht="46.5" thickBot="1" x14ac:dyDescent="0.3">
      <c r="A88" s="1">
        <v>2077</v>
      </c>
      <c r="B88" s="2" t="s">
        <v>647</v>
      </c>
      <c r="C88" s="2"/>
      <c r="D88" s="2"/>
      <c r="E88" s="3">
        <v>45044</v>
      </c>
      <c r="F88" s="3">
        <v>45296</v>
      </c>
      <c r="G88" s="4">
        <v>180</v>
      </c>
      <c r="H88" s="168">
        <v>160</v>
      </c>
      <c r="I88" s="168">
        <v>20</v>
      </c>
      <c r="J88" s="6" t="s">
        <v>648</v>
      </c>
      <c r="K88" s="7">
        <v>20000</v>
      </c>
      <c r="L88" s="7">
        <v>58400</v>
      </c>
      <c r="M88" s="21">
        <v>1825</v>
      </c>
      <c r="N88" s="166">
        <v>7300</v>
      </c>
      <c r="O88" s="9">
        <v>58400</v>
      </c>
      <c r="P88" s="7">
        <v>0</v>
      </c>
      <c r="Q88" s="152">
        <v>45271</v>
      </c>
    </row>
    <row r="89" spans="1:17" ht="24" thickBot="1" x14ac:dyDescent="0.3">
      <c r="A89" s="1">
        <v>2175</v>
      </c>
      <c r="B89" s="2" t="s">
        <v>316</v>
      </c>
      <c r="C89" s="2" t="s">
        <v>317</v>
      </c>
      <c r="D89" s="2"/>
      <c r="E89" s="3">
        <v>45131</v>
      </c>
      <c r="F89" s="3">
        <v>45231</v>
      </c>
      <c r="G89" s="4">
        <v>72</v>
      </c>
      <c r="H89" s="168">
        <v>72</v>
      </c>
      <c r="I89" s="168">
        <v>0</v>
      </c>
      <c r="J89" s="2" t="s">
        <v>576</v>
      </c>
      <c r="K89" s="7">
        <v>10000</v>
      </c>
      <c r="L89" s="7">
        <v>21600</v>
      </c>
      <c r="M89" s="21">
        <v>1500</v>
      </c>
      <c r="N89" s="9">
        <v>2100</v>
      </c>
      <c r="O89" s="9">
        <v>21600</v>
      </c>
      <c r="P89" s="7">
        <v>0</v>
      </c>
      <c r="Q89" s="152">
        <v>45271</v>
      </c>
    </row>
    <row r="90" spans="1:17" ht="24" thickBot="1" x14ac:dyDescent="0.3">
      <c r="A90" s="1">
        <v>2051</v>
      </c>
      <c r="B90" s="2" t="s">
        <v>649</v>
      </c>
      <c r="C90" s="2" t="s">
        <v>650</v>
      </c>
      <c r="D90" s="2"/>
      <c r="E90" s="3">
        <v>45027</v>
      </c>
      <c r="F90" s="3">
        <v>45127</v>
      </c>
      <c r="G90" s="4">
        <v>72</v>
      </c>
      <c r="H90" s="168">
        <v>72</v>
      </c>
      <c r="I90" s="168">
        <v>0</v>
      </c>
      <c r="J90" s="2" t="s">
        <v>182</v>
      </c>
      <c r="K90" s="7">
        <v>20000</v>
      </c>
      <c r="L90" s="7">
        <v>43200</v>
      </c>
      <c r="M90" s="21">
        <v>3000</v>
      </c>
      <c r="N90" s="9">
        <v>4200</v>
      </c>
      <c r="O90" s="9">
        <v>43200</v>
      </c>
      <c r="P90" s="7">
        <v>0</v>
      </c>
      <c r="Q90" s="152">
        <v>45271</v>
      </c>
    </row>
    <row r="91" spans="1:17" ht="24" thickBot="1" x14ac:dyDescent="0.3">
      <c r="A91" s="1">
        <v>2187</v>
      </c>
      <c r="B91" s="2" t="s">
        <v>327</v>
      </c>
      <c r="C91" s="2"/>
      <c r="D91" s="2"/>
      <c r="E91" s="3">
        <v>45140</v>
      </c>
      <c r="F91" s="3">
        <v>45240</v>
      </c>
      <c r="G91" s="4">
        <v>72</v>
      </c>
      <c r="H91" s="168">
        <v>72</v>
      </c>
      <c r="I91" s="168">
        <v>0</v>
      </c>
      <c r="J91" s="2" t="s">
        <v>318</v>
      </c>
      <c r="K91" s="10">
        <v>15000</v>
      </c>
      <c r="L91" s="10">
        <v>32400</v>
      </c>
      <c r="M91" s="8">
        <v>2250</v>
      </c>
      <c r="N91" s="166">
        <v>900</v>
      </c>
      <c r="O91" s="9">
        <v>32400</v>
      </c>
      <c r="P91" s="7">
        <v>0</v>
      </c>
      <c r="Q91" s="152">
        <v>45271</v>
      </c>
    </row>
    <row r="92" spans="1:17" ht="46.5" thickBot="1" x14ac:dyDescent="0.3">
      <c r="A92" s="1">
        <v>2128</v>
      </c>
      <c r="B92" s="2" t="s">
        <v>381</v>
      </c>
      <c r="C92" s="2"/>
      <c r="D92" s="2"/>
      <c r="E92" s="3">
        <v>45092</v>
      </c>
      <c r="F92" s="3">
        <v>45271</v>
      </c>
      <c r="G92" s="4">
        <v>127</v>
      </c>
      <c r="H92" s="168">
        <v>119.90049751243781</v>
      </c>
      <c r="I92" s="168">
        <v>7.0995024875621908</v>
      </c>
      <c r="J92" s="6" t="s">
        <v>651</v>
      </c>
      <c r="K92" s="10">
        <v>30000</v>
      </c>
      <c r="L92" s="10">
        <v>60300</v>
      </c>
      <c r="M92" s="21">
        <v>2512.5</v>
      </c>
      <c r="N92" s="166">
        <v>10050</v>
      </c>
      <c r="O92" s="9">
        <v>60250</v>
      </c>
      <c r="P92" s="7">
        <v>50</v>
      </c>
      <c r="Q92" s="152">
        <v>45271</v>
      </c>
    </row>
    <row r="93" spans="1:17" ht="24" thickBot="1" x14ac:dyDescent="0.3">
      <c r="A93" s="1">
        <v>2113</v>
      </c>
      <c r="B93" s="2" t="s">
        <v>390</v>
      </c>
      <c r="C93" s="2" t="s">
        <v>391</v>
      </c>
      <c r="D93" s="2"/>
      <c r="E93" s="3">
        <v>45083</v>
      </c>
      <c r="F93" s="3">
        <v>45265</v>
      </c>
      <c r="G93" s="4">
        <v>130</v>
      </c>
      <c r="H93" s="168">
        <v>130</v>
      </c>
      <c r="I93" s="168">
        <v>0</v>
      </c>
      <c r="J93" s="2" t="s">
        <v>652</v>
      </c>
      <c r="K93" s="10">
        <v>100000</v>
      </c>
      <c r="L93" s="10">
        <v>260000</v>
      </c>
      <c r="M93" s="8">
        <v>10000</v>
      </c>
      <c r="N93" s="9">
        <v>10000</v>
      </c>
      <c r="O93" s="9">
        <v>260000</v>
      </c>
      <c r="P93" s="7">
        <v>0</v>
      </c>
      <c r="Q93" s="152">
        <v>45271</v>
      </c>
    </row>
    <row r="94" spans="1:17" ht="24" thickBot="1" x14ac:dyDescent="0.3">
      <c r="A94" s="1">
        <v>1951</v>
      </c>
      <c r="B94" s="2" t="s">
        <v>471</v>
      </c>
      <c r="C94" s="2" t="s">
        <v>653</v>
      </c>
      <c r="D94" s="2"/>
      <c r="E94" s="3">
        <v>44942</v>
      </c>
      <c r="F94" s="3">
        <v>45096</v>
      </c>
      <c r="G94" s="4">
        <v>110</v>
      </c>
      <c r="H94" s="168">
        <v>114.80769230769231</v>
      </c>
      <c r="I94" s="168">
        <v>-4.8076923076923066</v>
      </c>
      <c r="J94" s="2" t="s">
        <v>654</v>
      </c>
      <c r="K94" s="10">
        <v>65000</v>
      </c>
      <c r="L94" s="10">
        <v>171600</v>
      </c>
      <c r="M94" s="8">
        <v>7800</v>
      </c>
      <c r="N94" s="9">
        <v>10000</v>
      </c>
      <c r="O94" s="9">
        <v>179100</v>
      </c>
      <c r="P94" s="7">
        <v>-7500</v>
      </c>
      <c r="Q94" s="152">
        <v>45271</v>
      </c>
    </row>
    <row r="95" spans="1:17" ht="46.5" thickBot="1" x14ac:dyDescent="0.3">
      <c r="A95" s="1">
        <v>2220</v>
      </c>
      <c r="B95" s="2" t="s">
        <v>471</v>
      </c>
      <c r="C95" s="2" t="s">
        <v>655</v>
      </c>
      <c r="D95" s="2"/>
      <c r="E95" s="3">
        <v>45160</v>
      </c>
      <c r="F95" s="3">
        <v>45209</v>
      </c>
      <c r="G95" s="4">
        <v>35</v>
      </c>
      <c r="H95" s="168">
        <v>45.6</v>
      </c>
      <c r="I95" s="168">
        <v>-10.600000000000001</v>
      </c>
      <c r="J95" s="2" t="s">
        <v>656</v>
      </c>
      <c r="K95" s="10">
        <v>20000</v>
      </c>
      <c r="L95" s="10">
        <v>40000</v>
      </c>
      <c r="M95" s="21">
        <v>5000</v>
      </c>
      <c r="N95" s="9">
        <v>7800</v>
      </c>
      <c r="O95" s="9">
        <v>45600</v>
      </c>
      <c r="P95" s="7">
        <v>-5600</v>
      </c>
      <c r="Q95" s="152">
        <v>45271</v>
      </c>
    </row>
    <row r="96" spans="1:17" ht="46.5" thickBot="1" x14ac:dyDescent="0.3">
      <c r="A96" s="1">
        <v>2222</v>
      </c>
      <c r="B96" s="2" t="s">
        <v>609</v>
      </c>
      <c r="C96" s="2" t="s">
        <v>610</v>
      </c>
      <c r="D96" s="2"/>
      <c r="E96" s="3">
        <v>45161</v>
      </c>
      <c r="F96" s="3">
        <v>45315</v>
      </c>
      <c r="G96" s="4">
        <v>110</v>
      </c>
      <c r="H96" s="168">
        <v>110</v>
      </c>
      <c r="I96" s="168">
        <v>0</v>
      </c>
      <c r="J96" s="2" t="s">
        <v>657</v>
      </c>
      <c r="K96" s="10">
        <v>20000</v>
      </c>
      <c r="L96" s="10">
        <v>52800</v>
      </c>
      <c r="M96" s="8">
        <v>2400</v>
      </c>
      <c r="N96" s="9">
        <v>19200</v>
      </c>
      <c r="O96" s="9">
        <v>52800</v>
      </c>
      <c r="P96" s="7">
        <v>0</v>
      </c>
      <c r="Q96" s="152">
        <v>45271</v>
      </c>
    </row>
    <row r="97" spans="1:17" ht="24" thickBot="1" x14ac:dyDescent="0.3">
      <c r="A97" s="1">
        <v>2272</v>
      </c>
      <c r="B97" s="2" t="s">
        <v>609</v>
      </c>
      <c r="C97" s="2" t="s">
        <v>610</v>
      </c>
      <c r="D97" s="2"/>
      <c r="E97" s="3">
        <v>45198</v>
      </c>
      <c r="F97" s="3">
        <v>45352</v>
      </c>
      <c r="G97" s="4">
        <v>110</v>
      </c>
      <c r="H97" s="168">
        <v>110</v>
      </c>
      <c r="I97" s="168">
        <v>0</v>
      </c>
      <c r="J97" s="2" t="s">
        <v>611</v>
      </c>
      <c r="K97" s="10">
        <v>30000</v>
      </c>
      <c r="L97" s="10">
        <v>79200</v>
      </c>
      <c r="M97" s="8">
        <v>3600</v>
      </c>
      <c r="N97" s="9">
        <v>44400</v>
      </c>
      <c r="O97" s="9">
        <v>79200</v>
      </c>
      <c r="P97" s="10">
        <v>0</v>
      </c>
      <c r="Q97" s="152">
        <v>45271</v>
      </c>
    </row>
    <row r="98" spans="1:17" ht="46.5" thickBot="1" x14ac:dyDescent="0.3">
      <c r="A98" s="1">
        <v>2232</v>
      </c>
      <c r="B98" s="2" t="s">
        <v>658</v>
      </c>
      <c r="C98" s="2" t="s">
        <v>659</v>
      </c>
      <c r="D98" s="2"/>
      <c r="E98" s="3">
        <v>45169</v>
      </c>
      <c r="F98" s="3">
        <v>45271</v>
      </c>
      <c r="G98" s="4">
        <v>72</v>
      </c>
      <c r="H98" s="168">
        <v>72</v>
      </c>
      <c r="I98" s="168">
        <v>0</v>
      </c>
      <c r="J98" s="2" t="s">
        <v>161</v>
      </c>
      <c r="K98" s="10">
        <v>100000</v>
      </c>
      <c r="L98" s="10">
        <v>216000</v>
      </c>
      <c r="M98" s="8">
        <v>15000</v>
      </c>
      <c r="N98" s="166">
        <v>16000</v>
      </c>
      <c r="O98" s="9">
        <v>216000</v>
      </c>
      <c r="P98" s="10">
        <v>0</v>
      </c>
      <c r="Q98" s="152">
        <v>45278</v>
      </c>
    </row>
    <row r="99" spans="1:17" ht="46.5" thickBot="1" x14ac:dyDescent="0.3">
      <c r="A99" s="1">
        <v>2345</v>
      </c>
      <c r="B99" s="2" t="s">
        <v>166</v>
      </c>
      <c r="C99" s="2" t="s">
        <v>167</v>
      </c>
      <c r="D99" s="2"/>
      <c r="E99" s="3">
        <v>45254</v>
      </c>
      <c r="F99" s="3">
        <v>45296</v>
      </c>
      <c r="G99" s="4">
        <v>30</v>
      </c>
      <c r="H99" s="168" t="e">
        <v>#DIV/0!</v>
      </c>
      <c r="I99" s="168" t="e">
        <v>#DIV/0!</v>
      </c>
      <c r="J99" s="6" t="s">
        <v>660</v>
      </c>
      <c r="K99" s="10">
        <v>15000</v>
      </c>
      <c r="L99" s="10">
        <v>25500</v>
      </c>
      <c r="M99" s="8"/>
      <c r="N99" s="9">
        <v>8500</v>
      </c>
      <c r="O99" s="9">
        <v>25500</v>
      </c>
      <c r="P99" s="10">
        <v>0</v>
      </c>
      <c r="Q99" s="152">
        <v>45278</v>
      </c>
    </row>
    <row r="100" spans="1:17" ht="46.5" thickBot="1" x14ac:dyDescent="0.3">
      <c r="A100" s="1">
        <v>2366</v>
      </c>
      <c r="B100" s="2" t="s">
        <v>630</v>
      </c>
      <c r="C100" s="2" t="s">
        <v>317</v>
      </c>
      <c r="D100" s="2"/>
      <c r="E100" s="3">
        <v>45268</v>
      </c>
      <c r="F100" s="3">
        <v>45275</v>
      </c>
      <c r="G100" s="4">
        <v>5</v>
      </c>
      <c r="H100" s="168" t="e">
        <v>#DIV/0!</v>
      </c>
      <c r="I100" s="168" t="e">
        <v>#DIV/0!</v>
      </c>
      <c r="J100" s="6" t="s">
        <v>550</v>
      </c>
      <c r="K100" s="10">
        <v>10000</v>
      </c>
      <c r="L100" s="10">
        <v>13000</v>
      </c>
      <c r="M100" s="8"/>
      <c r="N100" s="9">
        <v>13000</v>
      </c>
      <c r="O100" s="9">
        <v>13000</v>
      </c>
      <c r="P100" s="10">
        <v>0</v>
      </c>
      <c r="Q100" s="152">
        <v>45278</v>
      </c>
    </row>
    <row r="101" spans="1:17" ht="57.75" thickBot="1" x14ac:dyDescent="0.3">
      <c r="A101" s="1">
        <v>2152</v>
      </c>
      <c r="B101" s="2" t="s">
        <v>246</v>
      </c>
      <c r="C101" s="2" t="s">
        <v>247</v>
      </c>
      <c r="D101" s="2">
        <v>27212523</v>
      </c>
      <c r="E101" s="3">
        <v>45115</v>
      </c>
      <c r="F101" s="3">
        <v>45216</v>
      </c>
      <c r="G101" s="4">
        <v>72</v>
      </c>
      <c r="H101" s="168">
        <v>75</v>
      </c>
      <c r="I101" s="168">
        <v>-3</v>
      </c>
      <c r="J101" s="2" t="s">
        <v>309</v>
      </c>
      <c r="K101" s="10">
        <v>40000</v>
      </c>
      <c r="L101" s="10">
        <v>86400</v>
      </c>
      <c r="M101" s="21">
        <v>6000</v>
      </c>
      <c r="N101" s="9">
        <v>6000</v>
      </c>
      <c r="O101" s="9">
        <v>90000</v>
      </c>
      <c r="P101" s="7">
        <v>-3600</v>
      </c>
      <c r="Q101" s="152">
        <v>45278</v>
      </c>
    </row>
    <row r="102" spans="1:17" ht="57.75" thickBot="1" x14ac:dyDescent="0.3">
      <c r="A102" s="1">
        <v>2070</v>
      </c>
      <c r="B102" s="2" t="s">
        <v>290</v>
      </c>
      <c r="C102" s="2" t="s">
        <v>291</v>
      </c>
      <c r="D102" s="2"/>
      <c r="E102" s="3">
        <v>45037</v>
      </c>
      <c r="F102" s="3">
        <v>45275</v>
      </c>
      <c r="G102" s="4">
        <v>170</v>
      </c>
      <c r="H102" s="168">
        <v>160</v>
      </c>
      <c r="I102" s="168">
        <v>10</v>
      </c>
      <c r="J102" s="6" t="s">
        <v>661</v>
      </c>
      <c r="K102" s="7">
        <v>50000</v>
      </c>
      <c r="L102" s="7">
        <v>132000</v>
      </c>
      <c r="M102" s="21">
        <v>4125</v>
      </c>
      <c r="N102" s="9">
        <v>17000</v>
      </c>
      <c r="O102" s="9">
        <v>132000</v>
      </c>
      <c r="P102" s="7">
        <v>0</v>
      </c>
      <c r="Q102" s="152">
        <v>45278</v>
      </c>
    </row>
    <row r="103" spans="1:17" ht="57.75" thickBot="1" x14ac:dyDescent="0.3">
      <c r="A103" s="1">
        <v>2375</v>
      </c>
      <c r="B103" s="2" t="s">
        <v>595</v>
      </c>
      <c r="C103" s="2" t="s">
        <v>559</v>
      </c>
      <c r="D103" s="2"/>
      <c r="E103" s="3">
        <v>45275</v>
      </c>
      <c r="F103" s="3">
        <v>45282</v>
      </c>
      <c r="G103" s="4">
        <v>5</v>
      </c>
      <c r="H103" s="168" t="e">
        <v>#VALUE!</v>
      </c>
      <c r="I103" s="168" t="e">
        <v>#VALUE!</v>
      </c>
      <c r="J103" s="6" t="s">
        <v>550</v>
      </c>
      <c r="K103" s="7">
        <v>20000</v>
      </c>
      <c r="L103" s="7">
        <v>26000</v>
      </c>
      <c r="M103" s="21" t="s">
        <v>143</v>
      </c>
      <c r="N103" s="9">
        <v>26000</v>
      </c>
      <c r="O103" s="9">
        <v>26000</v>
      </c>
      <c r="P103" s="7">
        <v>0</v>
      </c>
      <c r="Q103" s="152">
        <v>45278</v>
      </c>
    </row>
    <row r="104" spans="1:17" ht="24" thickBot="1" x14ac:dyDescent="0.3">
      <c r="A104" s="1">
        <v>2142</v>
      </c>
      <c r="B104" s="2" t="s">
        <v>594</v>
      </c>
      <c r="C104" s="2" t="s">
        <v>360</v>
      </c>
      <c r="D104" s="2"/>
      <c r="E104" s="3">
        <v>45108</v>
      </c>
      <c r="F104" s="3">
        <v>45275</v>
      </c>
      <c r="G104" s="4">
        <v>120</v>
      </c>
      <c r="H104" s="168">
        <v>120</v>
      </c>
      <c r="I104" s="168">
        <v>0</v>
      </c>
      <c r="J104" s="2" t="s">
        <v>662</v>
      </c>
      <c r="K104" s="7">
        <v>40000</v>
      </c>
      <c r="L104" s="7">
        <v>105600</v>
      </c>
      <c r="M104" s="21">
        <v>4400</v>
      </c>
      <c r="N104" s="9">
        <v>8800</v>
      </c>
      <c r="O104" s="9">
        <v>105600</v>
      </c>
      <c r="P104" s="7">
        <v>0</v>
      </c>
      <c r="Q104" s="152">
        <v>45278</v>
      </c>
    </row>
    <row r="105" spans="1:17" ht="24" thickBot="1" x14ac:dyDescent="0.3">
      <c r="A105" s="1">
        <v>2246</v>
      </c>
      <c r="B105" s="2" t="s">
        <v>663</v>
      </c>
      <c r="C105" s="2" t="s">
        <v>664</v>
      </c>
      <c r="D105" s="2"/>
      <c r="E105" s="3">
        <v>45180</v>
      </c>
      <c r="F105" s="3">
        <v>45280</v>
      </c>
      <c r="G105" s="4">
        <v>72</v>
      </c>
      <c r="H105" s="168">
        <v>72</v>
      </c>
      <c r="I105" s="168">
        <v>0</v>
      </c>
      <c r="J105" s="2" t="s">
        <v>182</v>
      </c>
      <c r="K105" s="10">
        <v>20000</v>
      </c>
      <c r="L105" s="10">
        <v>43200</v>
      </c>
      <c r="M105" s="8">
        <v>3000</v>
      </c>
      <c r="N105" s="9">
        <v>4200</v>
      </c>
      <c r="O105" s="9">
        <v>43200</v>
      </c>
      <c r="P105" s="7">
        <v>0</v>
      </c>
      <c r="Q105" s="152">
        <v>45278</v>
      </c>
    </row>
    <row r="106" spans="1:17" ht="57.75" thickBot="1" x14ac:dyDescent="0.3">
      <c r="A106" s="1">
        <v>2069</v>
      </c>
      <c r="B106" s="2" t="s">
        <v>665</v>
      </c>
      <c r="C106" s="2" t="s">
        <v>448</v>
      </c>
      <c r="D106" s="2"/>
      <c r="E106" s="3">
        <v>45037</v>
      </c>
      <c r="F106" s="3">
        <v>45139</v>
      </c>
      <c r="G106" s="4">
        <v>72</v>
      </c>
      <c r="H106" s="168">
        <v>75</v>
      </c>
      <c r="I106" s="168">
        <v>-3</v>
      </c>
      <c r="J106" s="2" t="s">
        <v>182</v>
      </c>
      <c r="K106" s="7">
        <v>20000</v>
      </c>
      <c r="L106" s="10">
        <v>43200</v>
      </c>
      <c r="M106" s="8">
        <v>3000</v>
      </c>
      <c r="N106" s="9">
        <v>2500</v>
      </c>
      <c r="O106" s="9">
        <v>45000</v>
      </c>
      <c r="P106" s="7">
        <v>-1800</v>
      </c>
      <c r="Q106" s="152">
        <v>45278</v>
      </c>
    </row>
    <row r="107" spans="1:17" ht="57.75" thickBot="1" x14ac:dyDescent="0.3">
      <c r="A107" s="1">
        <v>2260</v>
      </c>
      <c r="B107" s="2" t="s">
        <v>146</v>
      </c>
      <c r="C107" s="2" t="s">
        <v>147</v>
      </c>
      <c r="D107" s="2"/>
      <c r="E107" s="3">
        <v>45190</v>
      </c>
      <c r="F107" s="3">
        <v>45292</v>
      </c>
      <c r="G107" s="4">
        <v>72</v>
      </c>
      <c r="H107" s="168">
        <v>72</v>
      </c>
      <c r="I107" s="168">
        <v>0</v>
      </c>
      <c r="J107" s="2" t="s">
        <v>181</v>
      </c>
      <c r="K107" s="10">
        <v>30000</v>
      </c>
      <c r="L107" s="10">
        <v>64800</v>
      </c>
      <c r="M107" s="21">
        <v>4500</v>
      </c>
      <c r="N107" s="9">
        <v>6300</v>
      </c>
      <c r="O107" s="9">
        <v>64800</v>
      </c>
      <c r="P107" s="7">
        <v>0</v>
      </c>
      <c r="Q107" s="152">
        <v>45285</v>
      </c>
    </row>
    <row r="108" spans="1:17" ht="35.25" thickBot="1" x14ac:dyDescent="0.3">
      <c r="A108" s="1">
        <v>2203</v>
      </c>
      <c r="B108" s="2" t="s">
        <v>296</v>
      </c>
      <c r="C108" s="2" t="s">
        <v>297</v>
      </c>
      <c r="D108" s="2">
        <v>13589728</v>
      </c>
      <c r="E108" s="3">
        <v>45139</v>
      </c>
      <c r="F108" s="3">
        <v>45350</v>
      </c>
      <c r="G108" s="4">
        <v>151</v>
      </c>
      <c r="H108" s="168">
        <v>140</v>
      </c>
      <c r="I108" s="168">
        <v>11</v>
      </c>
      <c r="J108" s="6" t="s">
        <v>666</v>
      </c>
      <c r="K108" s="10">
        <v>50000</v>
      </c>
      <c r="L108" s="10">
        <v>132300</v>
      </c>
      <c r="M108" s="8">
        <v>4725</v>
      </c>
      <c r="N108" s="9">
        <v>51000</v>
      </c>
      <c r="O108" s="9">
        <v>132300</v>
      </c>
      <c r="P108" s="7">
        <v>0</v>
      </c>
      <c r="Q108" s="152">
        <v>45285</v>
      </c>
    </row>
    <row r="109" spans="1:17" ht="35.25" thickBot="1" x14ac:dyDescent="0.3">
      <c r="A109" s="1">
        <v>2248</v>
      </c>
      <c r="B109" s="2" t="s">
        <v>336</v>
      </c>
      <c r="C109" s="2" t="s">
        <v>667</v>
      </c>
      <c r="D109" s="2"/>
      <c r="E109" s="3">
        <v>45181</v>
      </c>
      <c r="F109" s="3">
        <v>45281</v>
      </c>
      <c r="G109" s="4">
        <v>72</v>
      </c>
      <c r="H109" s="168">
        <v>72</v>
      </c>
      <c r="I109" s="168">
        <v>0</v>
      </c>
      <c r="J109" s="2" t="s">
        <v>227</v>
      </c>
      <c r="K109" s="7">
        <v>50000</v>
      </c>
      <c r="L109" s="7">
        <v>108000</v>
      </c>
      <c r="M109" s="21">
        <v>7500</v>
      </c>
      <c r="N109" s="9">
        <v>7500</v>
      </c>
      <c r="O109" s="9">
        <v>108000</v>
      </c>
      <c r="P109" s="7">
        <v>0</v>
      </c>
      <c r="Q109" s="152">
        <v>45285</v>
      </c>
    </row>
    <row r="110" spans="1:17" ht="46.5" thickBot="1" x14ac:dyDescent="0.3">
      <c r="A110" s="1">
        <v>2388</v>
      </c>
      <c r="B110" s="2" t="s">
        <v>630</v>
      </c>
      <c r="C110" s="2" t="s">
        <v>317</v>
      </c>
      <c r="D110" s="2"/>
      <c r="E110" s="3">
        <v>45282</v>
      </c>
      <c r="F110" s="3">
        <v>45289</v>
      </c>
      <c r="G110" s="4">
        <v>5</v>
      </c>
      <c r="H110" s="168" t="e">
        <v>#DIV/0!</v>
      </c>
      <c r="I110" s="168" t="e">
        <v>#DIV/0!</v>
      </c>
      <c r="J110" s="6" t="s">
        <v>550</v>
      </c>
      <c r="K110" s="10">
        <v>25000</v>
      </c>
      <c r="L110" s="10">
        <v>32000</v>
      </c>
      <c r="M110" s="8"/>
      <c r="N110" s="9">
        <v>37000</v>
      </c>
      <c r="O110" s="9">
        <v>37000</v>
      </c>
      <c r="P110" s="10">
        <v>-5000</v>
      </c>
      <c r="Q110" s="152">
        <v>45292</v>
      </c>
    </row>
    <row r="111" spans="1:17" ht="24" thickBot="1" x14ac:dyDescent="0.3">
      <c r="A111" s="1">
        <v>2011</v>
      </c>
      <c r="B111" s="2" t="s">
        <v>195</v>
      </c>
      <c r="C111" s="2" t="s">
        <v>196</v>
      </c>
      <c r="D111" s="2"/>
      <c r="E111" s="3">
        <v>45178</v>
      </c>
      <c r="F111" s="3">
        <v>45471</v>
      </c>
      <c r="G111" s="4">
        <v>210</v>
      </c>
      <c r="H111" s="168">
        <v>200</v>
      </c>
      <c r="I111" s="168">
        <v>10</v>
      </c>
      <c r="J111" s="16" t="s">
        <v>668</v>
      </c>
      <c r="K111" s="7">
        <v>200000</v>
      </c>
      <c r="L111" s="7">
        <v>500000</v>
      </c>
      <c r="M111" s="21">
        <v>12500</v>
      </c>
      <c r="N111" s="9">
        <v>25000</v>
      </c>
      <c r="O111" s="9">
        <v>500000</v>
      </c>
      <c r="P111" s="7">
        <v>0</v>
      </c>
      <c r="Q111" s="152">
        <v>45292</v>
      </c>
    </row>
    <row r="112" spans="1:17" ht="69" thickBot="1" x14ac:dyDescent="0.3">
      <c r="A112" s="1">
        <v>2247</v>
      </c>
      <c r="B112" s="2" t="s">
        <v>219</v>
      </c>
      <c r="C112" s="2" t="s">
        <v>220</v>
      </c>
      <c r="D112" s="2"/>
      <c r="E112" s="3">
        <v>45181</v>
      </c>
      <c r="F112" s="3">
        <v>45281</v>
      </c>
      <c r="G112" s="4">
        <v>72</v>
      </c>
      <c r="H112" s="168">
        <v>72</v>
      </c>
      <c r="I112" s="168">
        <v>0</v>
      </c>
      <c r="J112" s="2" t="s">
        <v>181</v>
      </c>
      <c r="K112" s="10">
        <v>30000</v>
      </c>
      <c r="L112" s="10">
        <v>64800</v>
      </c>
      <c r="M112" s="8">
        <v>4500</v>
      </c>
      <c r="N112" s="9">
        <v>6300</v>
      </c>
      <c r="O112" s="9">
        <v>64800</v>
      </c>
      <c r="P112" s="7">
        <v>0</v>
      </c>
      <c r="Q112" s="152">
        <v>45292</v>
      </c>
    </row>
    <row r="113" spans="1:17" ht="69" thickBot="1" x14ac:dyDescent="0.3">
      <c r="A113" s="1">
        <v>2305</v>
      </c>
      <c r="B113" s="2" t="s">
        <v>219</v>
      </c>
      <c r="C113" s="2" t="s">
        <v>220</v>
      </c>
      <c r="D113" s="2"/>
      <c r="E113" s="3">
        <v>45220</v>
      </c>
      <c r="F113" s="3">
        <v>45321</v>
      </c>
      <c r="G113" s="4">
        <v>72</v>
      </c>
      <c r="H113" s="168">
        <v>72</v>
      </c>
      <c r="I113" s="168">
        <v>0</v>
      </c>
      <c r="J113" s="2" t="s">
        <v>227</v>
      </c>
      <c r="K113" s="7">
        <v>50000</v>
      </c>
      <c r="L113" s="7">
        <v>108000</v>
      </c>
      <c r="M113" s="21">
        <v>7500</v>
      </c>
      <c r="N113" s="9">
        <v>48000</v>
      </c>
      <c r="O113" s="9">
        <v>108000</v>
      </c>
      <c r="P113" s="7">
        <v>0</v>
      </c>
      <c r="Q113" s="152">
        <v>45292</v>
      </c>
    </row>
    <row r="114" spans="1:17" ht="46.5" thickBot="1" x14ac:dyDescent="0.3">
      <c r="A114" s="1">
        <v>2395</v>
      </c>
      <c r="B114" s="2" t="s">
        <v>612</v>
      </c>
      <c r="C114" s="2" t="s">
        <v>559</v>
      </c>
      <c r="D114" s="2"/>
      <c r="E114" s="3">
        <v>45290</v>
      </c>
      <c r="F114" s="3">
        <v>45296</v>
      </c>
      <c r="G114" s="4">
        <v>5</v>
      </c>
      <c r="H114" s="168" t="e">
        <v>#VALUE!</v>
      </c>
      <c r="I114" s="168" t="e">
        <v>#VALUE!</v>
      </c>
      <c r="J114" s="6" t="s">
        <v>550</v>
      </c>
      <c r="K114" s="10">
        <v>20000</v>
      </c>
      <c r="L114" s="10">
        <v>26000</v>
      </c>
      <c r="M114" s="8" t="s">
        <v>143</v>
      </c>
      <c r="N114" s="9">
        <v>26000</v>
      </c>
      <c r="O114" s="9">
        <v>26000</v>
      </c>
      <c r="P114" s="7">
        <v>0</v>
      </c>
      <c r="Q114" s="152">
        <v>45292</v>
      </c>
    </row>
    <row r="115" spans="1:17" ht="35.25" thickBot="1" x14ac:dyDescent="0.3">
      <c r="A115" s="1">
        <v>2371</v>
      </c>
      <c r="B115" s="2" t="s">
        <v>562</v>
      </c>
      <c r="C115" s="2" t="s">
        <v>563</v>
      </c>
      <c r="D115" s="2"/>
      <c r="E115" s="3">
        <v>45273</v>
      </c>
      <c r="F115" s="3">
        <v>45293</v>
      </c>
      <c r="G115" s="4">
        <v>14</v>
      </c>
      <c r="H115" s="168" t="e">
        <v>#DIV/0!</v>
      </c>
      <c r="I115" s="168" t="e">
        <v>#DIV/0!</v>
      </c>
      <c r="J115" s="6" t="s">
        <v>550</v>
      </c>
      <c r="K115" s="10">
        <v>40000</v>
      </c>
      <c r="L115" s="10">
        <v>60000</v>
      </c>
      <c r="M115" s="8"/>
      <c r="N115" s="9">
        <v>20000</v>
      </c>
      <c r="O115" s="9">
        <v>60000</v>
      </c>
      <c r="P115" s="7">
        <v>0</v>
      </c>
      <c r="Q115" s="152">
        <v>45292</v>
      </c>
    </row>
    <row r="116" spans="1:17" ht="15.75" thickBot="1" x14ac:dyDescent="0.3">
      <c r="A116" s="1">
        <v>2379</v>
      </c>
      <c r="B116" s="2" t="s">
        <v>367</v>
      </c>
      <c r="C116" s="2"/>
      <c r="D116" s="2"/>
      <c r="E116" s="3">
        <v>45280</v>
      </c>
      <c r="F116" s="3">
        <v>45300</v>
      </c>
      <c r="G116" s="4">
        <v>14</v>
      </c>
      <c r="H116" s="168" t="e">
        <v>#DIV/0!</v>
      </c>
      <c r="I116" s="168" t="e">
        <v>#DIV/0!</v>
      </c>
      <c r="J116" s="6" t="s">
        <v>550</v>
      </c>
      <c r="K116" s="7">
        <v>32000</v>
      </c>
      <c r="L116" s="7">
        <v>48000</v>
      </c>
      <c r="M116" s="21"/>
      <c r="N116" s="9">
        <v>48000</v>
      </c>
      <c r="O116" s="9">
        <v>48000</v>
      </c>
      <c r="P116" s="7">
        <v>0</v>
      </c>
      <c r="Q116" s="152">
        <v>45292</v>
      </c>
    </row>
    <row r="117" spans="1:17" ht="46.5" thickBot="1" x14ac:dyDescent="0.3">
      <c r="A117" s="25">
        <v>2160</v>
      </c>
      <c r="B117" s="2" t="s">
        <v>447</v>
      </c>
      <c r="C117" s="2" t="s">
        <v>448</v>
      </c>
      <c r="D117" s="2"/>
      <c r="E117" s="3">
        <v>45121</v>
      </c>
      <c r="F117" s="3">
        <v>45271</v>
      </c>
      <c r="G117" s="4">
        <v>106</v>
      </c>
      <c r="H117" s="168">
        <v>120</v>
      </c>
      <c r="I117" s="168">
        <v>-14</v>
      </c>
      <c r="J117" s="6" t="s">
        <v>669</v>
      </c>
      <c r="K117" s="7">
        <v>20000</v>
      </c>
      <c r="L117" s="7">
        <v>52800</v>
      </c>
      <c r="M117" s="21">
        <v>2200</v>
      </c>
      <c r="N117" s="9">
        <v>9600</v>
      </c>
      <c r="O117" s="9">
        <v>52800</v>
      </c>
      <c r="P117" s="7">
        <v>0</v>
      </c>
      <c r="Q117" s="152">
        <v>45292</v>
      </c>
    </row>
    <row r="118" spans="1:17" ht="24" thickBot="1" x14ac:dyDescent="0.3">
      <c r="A118" s="1">
        <v>2297</v>
      </c>
      <c r="B118" s="2" t="s">
        <v>471</v>
      </c>
      <c r="C118" s="2" t="s">
        <v>655</v>
      </c>
      <c r="D118" s="2"/>
      <c r="E118" s="3">
        <v>45213</v>
      </c>
      <c r="F118" s="3">
        <v>45261</v>
      </c>
      <c r="G118" s="4">
        <v>35</v>
      </c>
      <c r="H118" s="168">
        <v>40</v>
      </c>
      <c r="I118" s="168">
        <v>-5</v>
      </c>
      <c r="J118" s="2" t="s">
        <v>656</v>
      </c>
      <c r="K118" s="10">
        <v>20000</v>
      </c>
      <c r="L118" s="10">
        <v>40000</v>
      </c>
      <c r="M118" s="8">
        <v>5000</v>
      </c>
      <c r="N118" s="9">
        <v>7500</v>
      </c>
      <c r="O118" s="9">
        <v>40000</v>
      </c>
      <c r="P118" s="7">
        <v>0</v>
      </c>
      <c r="Q118" s="152">
        <v>45292</v>
      </c>
    </row>
    <row r="119" spans="1:17" ht="69" thickBot="1" x14ac:dyDescent="0.3">
      <c r="A119" s="1">
        <v>2265</v>
      </c>
      <c r="B119" s="2" t="s">
        <v>144</v>
      </c>
      <c r="C119" s="2" t="s">
        <v>145</v>
      </c>
      <c r="D119" s="2"/>
      <c r="E119" s="3">
        <v>45194</v>
      </c>
      <c r="F119" s="3">
        <v>45294</v>
      </c>
      <c r="G119" s="4">
        <v>72</v>
      </c>
      <c r="H119" s="168">
        <v>80</v>
      </c>
      <c r="I119" s="168">
        <v>-8</v>
      </c>
      <c r="J119" s="6" t="s">
        <v>670</v>
      </c>
      <c r="K119" s="10">
        <v>40000</v>
      </c>
      <c r="L119" s="10">
        <v>86400</v>
      </c>
      <c r="M119" s="8">
        <v>5400</v>
      </c>
      <c r="N119" s="9">
        <v>21600</v>
      </c>
      <c r="O119" s="9">
        <v>86400</v>
      </c>
      <c r="P119" s="10">
        <v>0</v>
      </c>
      <c r="Q119" s="152">
        <v>45299</v>
      </c>
    </row>
    <row r="120" spans="1:17" ht="46.5" thickBot="1" x14ac:dyDescent="0.3">
      <c r="A120" s="1">
        <v>2226</v>
      </c>
      <c r="B120" s="2" t="s">
        <v>628</v>
      </c>
      <c r="C120" s="2" t="s">
        <v>629</v>
      </c>
      <c r="D120" s="2"/>
      <c r="E120" s="3">
        <v>45162</v>
      </c>
      <c r="F120" s="3">
        <v>45264</v>
      </c>
      <c r="G120" s="4">
        <v>72</v>
      </c>
      <c r="H120" s="168">
        <v>75.333333333333329</v>
      </c>
      <c r="I120" s="168">
        <v>-3.3333333333333286</v>
      </c>
      <c r="J120" s="2" t="s">
        <v>181</v>
      </c>
      <c r="K120" s="10">
        <v>30000</v>
      </c>
      <c r="L120" s="10">
        <v>64800</v>
      </c>
      <c r="M120" s="8">
        <v>4500</v>
      </c>
      <c r="N120" s="9">
        <v>18800</v>
      </c>
      <c r="O120" s="9">
        <v>67800</v>
      </c>
      <c r="P120" s="10">
        <v>-3000</v>
      </c>
      <c r="Q120" s="152">
        <v>45299</v>
      </c>
    </row>
    <row r="121" spans="1:17" ht="46.5" thickBot="1" x14ac:dyDescent="0.3">
      <c r="A121" s="1">
        <v>2081</v>
      </c>
      <c r="B121" s="2" t="s">
        <v>572</v>
      </c>
      <c r="C121" s="2" t="s">
        <v>173</v>
      </c>
      <c r="D121" s="2" t="s">
        <v>174</v>
      </c>
      <c r="E121" s="3">
        <v>45053</v>
      </c>
      <c r="F121" s="3">
        <v>45296</v>
      </c>
      <c r="G121" s="4">
        <v>175</v>
      </c>
      <c r="H121" s="168">
        <v>168.36363636363637</v>
      </c>
      <c r="I121" s="168">
        <v>6.636363636363626</v>
      </c>
      <c r="J121" s="6" t="s">
        <v>671</v>
      </c>
      <c r="K121" s="10">
        <v>50000</v>
      </c>
      <c r="L121" s="10">
        <v>132000</v>
      </c>
      <c r="M121" s="8">
        <v>4125</v>
      </c>
      <c r="N121" s="9">
        <v>16500</v>
      </c>
      <c r="O121" s="9">
        <v>138900</v>
      </c>
      <c r="P121" s="10">
        <v>-6900</v>
      </c>
      <c r="Q121" s="152">
        <v>45299</v>
      </c>
    </row>
    <row r="122" spans="1:17" ht="46.5" thickBot="1" x14ac:dyDescent="0.3">
      <c r="A122" s="1">
        <v>2404</v>
      </c>
      <c r="B122" s="2" t="s">
        <v>612</v>
      </c>
      <c r="C122" s="2" t="s">
        <v>559</v>
      </c>
      <c r="D122" s="2"/>
      <c r="E122" s="3">
        <v>45297</v>
      </c>
      <c r="F122" s="3">
        <v>45303</v>
      </c>
      <c r="G122" s="4">
        <v>5</v>
      </c>
      <c r="H122" s="168" t="e">
        <v>#VALUE!</v>
      </c>
      <c r="I122" s="168" t="e">
        <v>#VALUE!</v>
      </c>
      <c r="J122" s="6" t="s">
        <v>550</v>
      </c>
      <c r="K122" s="10">
        <v>10000</v>
      </c>
      <c r="L122" s="10">
        <v>13000</v>
      </c>
      <c r="M122" s="8" t="s">
        <v>143</v>
      </c>
      <c r="N122" s="9">
        <v>13000</v>
      </c>
      <c r="O122" s="9">
        <v>13000</v>
      </c>
      <c r="P122" s="7">
        <v>0</v>
      </c>
      <c r="Q122" s="152">
        <v>45299</v>
      </c>
    </row>
    <row r="123" spans="1:17" ht="46.5" thickBot="1" x14ac:dyDescent="0.3">
      <c r="A123" s="1">
        <v>1848</v>
      </c>
      <c r="B123" s="2" t="s">
        <v>672</v>
      </c>
      <c r="C123" s="2" t="s">
        <v>673</v>
      </c>
      <c r="D123" s="2"/>
      <c r="E123" s="3">
        <v>44869</v>
      </c>
      <c r="F123" s="3">
        <v>45065</v>
      </c>
      <c r="G123" s="4">
        <v>140</v>
      </c>
      <c r="H123" s="168">
        <v>140</v>
      </c>
      <c r="I123" s="168">
        <v>0</v>
      </c>
      <c r="J123" s="16" t="s">
        <v>674</v>
      </c>
      <c r="K123" s="7">
        <v>100000</v>
      </c>
      <c r="L123" s="7">
        <v>280000</v>
      </c>
      <c r="M123" s="21">
        <v>10000</v>
      </c>
      <c r="N123" s="9">
        <v>20000</v>
      </c>
      <c r="O123" s="9">
        <v>280000</v>
      </c>
      <c r="P123" s="7">
        <v>0</v>
      </c>
      <c r="Q123" s="152">
        <v>45299</v>
      </c>
    </row>
    <row r="124" spans="1:17" ht="46.5" thickBot="1" x14ac:dyDescent="0.3">
      <c r="A124" s="1">
        <v>2213</v>
      </c>
      <c r="B124" s="2" t="s">
        <v>613</v>
      </c>
      <c r="C124" s="2" t="s">
        <v>317</v>
      </c>
      <c r="D124" s="2"/>
      <c r="E124" s="3">
        <v>45156</v>
      </c>
      <c r="F124" s="3">
        <v>45258</v>
      </c>
      <c r="G124" s="4">
        <v>72</v>
      </c>
      <c r="H124" s="168">
        <v>74</v>
      </c>
      <c r="I124" s="168">
        <v>-2</v>
      </c>
      <c r="J124" s="2" t="s">
        <v>576</v>
      </c>
      <c r="K124" s="7">
        <v>10000</v>
      </c>
      <c r="L124" s="7">
        <v>21600</v>
      </c>
      <c r="M124" s="21">
        <v>1500</v>
      </c>
      <c r="N124" s="9">
        <v>1200</v>
      </c>
      <c r="O124" s="9">
        <v>22200</v>
      </c>
      <c r="P124" s="7">
        <v>-600</v>
      </c>
      <c r="Q124" s="152">
        <v>45299</v>
      </c>
    </row>
    <row r="125" spans="1:17" ht="35.25" thickBot="1" x14ac:dyDescent="0.3">
      <c r="A125" s="1">
        <v>2241</v>
      </c>
      <c r="B125" s="2" t="s">
        <v>385</v>
      </c>
      <c r="C125" s="2" t="s">
        <v>386</v>
      </c>
      <c r="D125" s="2"/>
      <c r="E125" s="3">
        <v>45177</v>
      </c>
      <c r="F125" s="3">
        <v>45279</v>
      </c>
      <c r="G125" s="4">
        <v>72</v>
      </c>
      <c r="H125" s="168">
        <v>72</v>
      </c>
      <c r="I125" s="168">
        <v>0</v>
      </c>
      <c r="J125" s="2" t="s">
        <v>181</v>
      </c>
      <c r="K125" s="10">
        <v>30000</v>
      </c>
      <c r="L125" s="10">
        <v>64800</v>
      </c>
      <c r="M125" s="8">
        <v>4500</v>
      </c>
      <c r="N125" s="9">
        <v>8600</v>
      </c>
      <c r="O125" s="9">
        <v>64800</v>
      </c>
      <c r="P125" s="7">
        <v>0</v>
      </c>
      <c r="Q125" s="152">
        <v>45299</v>
      </c>
    </row>
    <row r="126" spans="1:17" ht="35.25" thickBot="1" x14ac:dyDescent="0.3">
      <c r="A126" s="1">
        <v>2238</v>
      </c>
      <c r="B126" s="2" t="s">
        <v>546</v>
      </c>
      <c r="C126" s="2" t="s">
        <v>547</v>
      </c>
      <c r="D126" s="2"/>
      <c r="E126" s="3">
        <v>45175</v>
      </c>
      <c r="F126" s="3">
        <v>45338</v>
      </c>
      <c r="G126" s="4">
        <v>117</v>
      </c>
      <c r="H126" s="168">
        <v>80</v>
      </c>
      <c r="I126" s="168">
        <v>37</v>
      </c>
      <c r="J126" s="6" t="s">
        <v>675</v>
      </c>
      <c r="K126" s="7">
        <v>5000</v>
      </c>
      <c r="L126" s="7">
        <v>11260</v>
      </c>
      <c r="M126" s="21">
        <v>703.75</v>
      </c>
      <c r="N126" s="9">
        <v>2815</v>
      </c>
      <c r="O126" s="9">
        <v>11260</v>
      </c>
      <c r="P126" s="7">
        <v>0</v>
      </c>
      <c r="Q126" s="152">
        <v>45299</v>
      </c>
    </row>
    <row r="127" spans="1:17" ht="35.25" thickBot="1" x14ac:dyDescent="0.3">
      <c r="A127" s="1">
        <v>2374</v>
      </c>
      <c r="B127" s="2" t="s">
        <v>551</v>
      </c>
      <c r="C127" s="2"/>
      <c r="D127" s="2"/>
      <c r="E127" s="3">
        <v>45275</v>
      </c>
      <c r="F127" s="3">
        <v>45299</v>
      </c>
      <c r="G127" s="4">
        <v>16</v>
      </c>
      <c r="H127" s="168" t="e">
        <v>#VALUE!</v>
      </c>
      <c r="I127" s="168" t="e">
        <v>#VALUE!</v>
      </c>
      <c r="J127" s="6" t="s">
        <v>550</v>
      </c>
      <c r="K127" s="7">
        <v>25000</v>
      </c>
      <c r="L127" s="7">
        <v>39000</v>
      </c>
      <c r="M127" s="21" t="s">
        <v>143</v>
      </c>
      <c r="N127" s="9">
        <v>39000</v>
      </c>
      <c r="O127" s="9">
        <v>39000</v>
      </c>
      <c r="P127" s="7">
        <v>0</v>
      </c>
      <c r="Q127" s="152">
        <v>45299</v>
      </c>
    </row>
    <row r="128" spans="1:17" ht="24" thickBot="1" x14ac:dyDescent="0.3">
      <c r="A128" s="1">
        <v>2380</v>
      </c>
      <c r="B128" s="2" t="s">
        <v>567</v>
      </c>
      <c r="C128" s="2"/>
      <c r="D128" s="2"/>
      <c r="E128" s="3">
        <v>45280</v>
      </c>
      <c r="F128" s="3">
        <v>45300</v>
      </c>
      <c r="G128" s="4">
        <v>14</v>
      </c>
      <c r="H128" s="168" t="e">
        <v>#DIV/0!</v>
      </c>
      <c r="I128" s="168" t="e">
        <v>#DIV/0!</v>
      </c>
      <c r="J128" s="6" t="s">
        <v>550</v>
      </c>
      <c r="K128" s="10">
        <v>15000</v>
      </c>
      <c r="L128" s="10">
        <v>22500</v>
      </c>
      <c r="M128" s="21"/>
      <c r="N128" s="9">
        <v>22500</v>
      </c>
      <c r="O128" s="9">
        <v>22500</v>
      </c>
      <c r="P128" s="7">
        <v>0</v>
      </c>
      <c r="Q128" s="152">
        <v>45299</v>
      </c>
    </row>
    <row r="129" spans="1:17" ht="80.25" thickBot="1" x14ac:dyDescent="0.3">
      <c r="A129" s="1">
        <v>1850</v>
      </c>
      <c r="B129" s="2" t="s">
        <v>568</v>
      </c>
      <c r="C129" s="2" t="s">
        <v>432</v>
      </c>
      <c r="D129" s="2"/>
      <c r="E129" s="3">
        <v>44869</v>
      </c>
      <c r="F129" s="3">
        <v>45205</v>
      </c>
      <c r="G129" s="4">
        <v>240</v>
      </c>
      <c r="H129" s="168">
        <v>240</v>
      </c>
      <c r="I129" s="168">
        <v>0</v>
      </c>
      <c r="J129" s="2" t="s">
        <v>676</v>
      </c>
      <c r="K129" s="7">
        <v>120000</v>
      </c>
      <c r="L129" s="7">
        <v>309600</v>
      </c>
      <c r="M129" s="21">
        <v>6450</v>
      </c>
      <c r="N129" s="9">
        <v>11200</v>
      </c>
      <c r="O129" s="9">
        <v>309600</v>
      </c>
      <c r="P129" s="7">
        <v>0</v>
      </c>
      <c r="Q129" s="152">
        <v>45299</v>
      </c>
    </row>
    <row r="130" spans="1:17" ht="57.75" thickBot="1" x14ac:dyDescent="0.3">
      <c r="A130" s="1">
        <v>2290</v>
      </c>
      <c r="B130" s="2" t="s">
        <v>677</v>
      </c>
      <c r="C130" s="2" t="s">
        <v>466</v>
      </c>
      <c r="D130" s="2" t="s">
        <v>678</v>
      </c>
      <c r="E130" s="3">
        <v>45209</v>
      </c>
      <c r="F130" s="3">
        <v>45309</v>
      </c>
      <c r="G130" s="4">
        <v>72</v>
      </c>
      <c r="H130" s="168">
        <v>72</v>
      </c>
      <c r="I130" s="168">
        <v>0</v>
      </c>
      <c r="J130" s="2" t="s">
        <v>181</v>
      </c>
      <c r="K130" s="7">
        <v>30000</v>
      </c>
      <c r="L130" s="7">
        <v>64800</v>
      </c>
      <c r="M130" s="21">
        <v>4500</v>
      </c>
      <c r="N130" s="9">
        <v>15300</v>
      </c>
      <c r="O130" s="9">
        <v>64800</v>
      </c>
      <c r="P130" s="7">
        <v>0</v>
      </c>
      <c r="Q130" s="152">
        <v>45299</v>
      </c>
    </row>
    <row r="131" spans="1:17" ht="46.5" thickBot="1" x14ac:dyDescent="0.3">
      <c r="A131" s="17">
        <v>2419</v>
      </c>
      <c r="B131" s="2" t="s">
        <v>628</v>
      </c>
      <c r="C131" s="2" t="s">
        <v>629</v>
      </c>
      <c r="D131" s="2"/>
      <c r="E131" s="3">
        <v>45303</v>
      </c>
      <c r="F131" s="3">
        <v>45310</v>
      </c>
      <c r="G131" s="168" t="e">
        <v>#DIV/0!</v>
      </c>
      <c r="H131" s="168" t="e">
        <v>#DIV/0!</v>
      </c>
      <c r="I131" s="168" t="e">
        <v>#DIV/0!</v>
      </c>
      <c r="J131" s="6" t="s">
        <v>550</v>
      </c>
      <c r="K131" s="10">
        <v>10000</v>
      </c>
      <c r="L131" s="10">
        <v>13000</v>
      </c>
      <c r="M131" s="8"/>
      <c r="N131" s="166">
        <v>13000</v>
      </c>
      <c r="O131" s="9">
        <v>13000</v>
      </c>
      <c r="P131" s="10">
        <v>0</v>
      </c>
      <c r="Q131" s="152">
        <v>45306</v>
      </c>
    </row>
    <row r="132" spans="1:17" ht="46.5" thickBot="1" x14ac:dyDescent="0.3">
      <c r="A132" s="17">
        <v>2423</v>
      </c>
      <c r="B132" s="2" t="s">
        <v>628</v>
      </c>
      <c r="C132" s="2" t="s">
        <v>629</v>
      </c>
      <c r="D132" s="2"/>
      <c r="E132" s="3">
        <v>45306</v>
      </c>
      <c r="F132" s="3">
        <v>45310</v>
      </c>
      <c r="G132" s="168" t="e">
        <v>#DIV/0!</v>
      </c>
      <c r="H132" s="168" t="e">
        <v>#DIV/0!</v>
      </c>
      <c r="I132" s="168" t="e">
        <v>#DIV/0!</v>
      </c>
      <c r="J132" s="6" t="s">
        <v>550</v>
      </c>
      <c r="K132" s="10">
        <v>5000</v>
      </c>
      <c r="L132" s="10">
        <v>6500</v>
      </c>
      <c r="M132" s="8"/>
      <c r="N132" s="166">
        <v>7000</v>
      </c>
      <c r="O132" s="9">
        <v>7000</v>
      </c>
      <c r="P132" s="10">
        <v>-500</v>
      </c>
      <c r="Q132" s="152">
        <v>45306</v>
      </c>
    </row>
    <row r="133" spans="1:17" ht="46.5" thickBot="1" x14ac:dyDescent="0.3">
      <c r="A133" s="1">
        <v>2231</v>
      </c>
      <c r="B133" s="2" t="s">
        <v>179</v>
      </c>
      <c r="C133" s="2" t="s">
        <v>180</v>
      </c>
      <c r="D133" s="2"/>
      <c r="E133" s="3">
        <v>45167</v>
      </c>
      <c r="F133" s="3">
        <v>45267</v>
      </c>
      <c r="G133" s="168">
        <v>72</v>
      </c>
      <c r="H133" s="168">
        <v>0</v>
      </c>
      <c r="I133" s="168">
        <v>0</v>
      </c>
      <c r="J133" s="170" t="s">
        <v>576</v>
      </c>
      <c r="K133" s="7">
        <v>10000</v>
      </c>
      <c r="L133" s="7">
        <v>21600</v>
      </c>
      <c r="M133" s="21">
        <v>1500</v>
      </c>
      <c r="N133" s="9">
        <v>100</v>
      </c>
      <c r="O133" s="9">
        <v>21600</v>
      </c>
      <c r="P133" s="7">
        <v>0</v>
      </c>
      <c r="Q133" s="152">
        <v>45306</v>
      </c>
    </row>
    <row r="134" spans="1:17" ht="125.25" thickBot="1" x14ac:dyDescent="0.3">
      <c r="A134" s="1">
        <v>2310</v>
      </c>
      <c r="B134" s="2" t="s">
        <v>679</v>
      </c>
      <c r="C134" s="2" t="s">
        <v>213</v>
      </c>
      <c r="D134" s="2"/>
      <c r="E134" s="3">
        <v>45223</v>
      </c>
      <c r="F134" s="3">
        <v>45323</v>
      </c>
      <c r="G134" s="168">
        <v>72</v>
      </c>
      <c r="H134" s="168">
        <v>0</v>
      </c>
      <c r="I134" s="168">
        <v>0</v>
      </c>
      <c r="J134" s="2" t="s">
        <v>443</v>
      </c>
      <c r="K134" s="7">
        <v>300000</v>
      </c>
      <c r="L134" s="7">
        <v>648000</v>
      </c>
      <c r="M134" s="21">
        <v>45000</v>
      </c>
      <c r="N134" s="9">
        <v>153000</v>
      </c>
      <c r="O134" s="9">
        <v>648000</v>
      </c>
      <c r="P134" s="7">
        <v>0</v>
      </c>
      <c r="Q134" s="152">
        <v>45306</v>
      </c>
    </row>
    <row r="135" spans="1:17" ht="35.25" thickBot="1" x14ac:dyDescent="0.3">
      <c r="A135" s="1">
        <v>2210</v>
      </c>
      <c r="B135" s="2" t="s">
        <v>257</v>
      </c>
      <c r="C135" s="2" t="s">
        <v>258</v>
      </c>
      <c r="D135" s="2"/>
      <c r="E135" s="3">
        <v>45155</v>
      </c>
      <c r="F135" s="3">
        <v>45272</v>
      </c>
      <c r="G135" s="168">
        <v>86.172839506172835</v>
      </c>
      <c r="H135" s="168">
        <v>-3.1728395061728349</v>
      </c>
      <c r="I135" s="168">
        <v>-3.1728395061728349</v>
      </c>
      <c r="J135" s="6" t="s">
        <v>680</v>
      </c>
      <c r="K135" s="10">
        <v>30000</v>
      </c>
      <c r="L135" s="10">
        <v>64800</v>
      </c>
      <c r="M135" s="8">
        <v>4050</v>
      </c>
      <c r="N135" s="9">
        <v>21700</v>
      </c>
      <c r="O135" s="9">
        <v>69800</v>
      </c>
      <c r="P135" s="7">
        <v>-5000</v>
      </c>
      <c r="Q135" s="152">
        <v>45306</v>
      </c>
    </row>
    <row r="136" spans="1:17" ht="57.75" thickBot="1" x14ac:dyDescent="0.3">
      <c r="A136" s="1">
        <v>2166</v>
      </c>
      <c r="B136" s="2" t="s">
        <v>681</v>
      </c>
      <c r="C136" s="2" t="s">
        <v>682</v>
      </c>
      <c r="D136" s="2"/>
      <c r="E136" s="3">
        <v>45125</v>
      </c>
      <c r="F136" s="3">
        <v>45279</v>
      </c>
      <c r="G136" s="168">
        <v>110</v>
      </c>
      <c r="H136" s="168">
        <v>0</v>
      </c>
      <c r="I136" s="168">
        <v>0</v>
      </c>
      <c r="J136" s="2" t="s">
        <v>611</v>
      </c>
      <c r="K136" s="10">
        <v>30000</v>
      </c>
      <c r="L136" s="10">
        <v>79200</v>
      </c>
      <c r="M136" s="21">
        <v>3600</v>
      </c>
      <c r="N136" s="9">
        <v>3600</v>
      </c>
      <c r="O136" s="9">
        <v>79200</v>
      </c>
      <c r="P136" s="7">
        <v>0</v>
      </c>
      <c r="Q136" s="152">
        <v>45306</v>
      </c>
    </row>
    <row r="137" spans="1:17" ht="24" thickBot="1" x14ac:dyDescent="0.3">
      <c r="A137" s="1">
        <v>2199</v>
      </c>
      <c r="B137" s="2" t="s">
        <v>683</v>
      </c>
      <c r="C137" s="2" t="s">
        <v>684</v>
      </c>
      <c r="D137" s="2"/>
      <c r="E137" s="3">
        <v>45147</v>
      </c>
      <c r="F137" s="3">
        <v>45247</v>
      </c>
      <c r="G137" s="168">
        <v>76.037037037037038</v>
      </c>
      <c r="H137" s="168">
        <v>-4.0370370370370381</v>
      </c>
      <c r="I137" s="168">
        <v>-4.0370370370370381</v>
      </c>
      <c r="J137" s="2" t="s">
        <v>685</v>
      </c>
      <c r="K137" s="7">
        <v>22500</v>
      </c>
      <c r="L137" s="7">
        <v>48600</v>
      </c>
      <c r="M137" s="21">
        <v>3375</v>
      </c>
      <c r="N137" s="9">
        <v>3375</v>
      </c>
      <c r="O137" s="9">
        <v>51325</v>
      </c>
      <c r="P137" s="7">
        <v>-2725</v>
      </c>
      <c r="Q137" s="152">
        <v>45306</v>
      </c>
    </row>
    <row r="138" spans="1:17" ht="57.75" thickBot="1" x14ac:dyDescent="0.3">
      <c r="A138" s="1">
        <v>2269</v>
      </c>
      <c r="B138" s="2" t="s">
        <v>686</v>
      </c>
      <c r="C138" s="2" t="s">
        <v>346</v>
      </c>
      <c r="D138" s="2"/>
      <c r="E138" s="3">
        <v>45196</v>
      </c>
      <c r="F138" s="3">
        <v>45296</v>
      </c>
      <c r="G138" s="168">
        <v>72</v>
      </c>
      <c r="H138" s="168">
        <v>0</v>
      </c>
      <c r="I138" s="168">
        <v>0</v>
      </c>
      <c r="J138" s="6" t="s">
        <v>227</v>
      </c>
      <c r="K138" s="10">
        <v>50000</v>
      </c>
      <c r="L138" s="10">
        <v>108000</v>
      </c>
      <c r="M138" s="8">
        <v>7500</v>
      </c>
      <c r="N138" s="9">
        <v>12000</v>
      </c>
      <c r="O138" s="9">
        <v>108000</v>
      </c>
      <c r="P138" s="7">
        <v>0</v>
      </c>
      <c r="Q138" s="152">
        <v>45306</v>
      </c>
    </row>
    <row r="139" spans="1:17" ht="46.5" thickBot="1" x14ac:dyDescent="0.3">
      <c r="A139" s="1">
        <v>1796</v>
      </c>
      <c r="B139" s="2" t="s">
        <v>424</v>
      </c>
      <c r="C139" s="2" t="s">
        <v>425</v>
      </c>
      <c r="D139" s="2"/>
      <c r="E139" s="3">
        <v>44824</v>
      </c>
      <c r="F139" s="3">
        <v>44924</v>
      </c>
      <c r="G139" s="168">
        <v>72.5</v>
      </c>
      <c r="H139" s="168">
        <v>-0.5</v>
      </c>
      <c r="I139" s="168">
        <v>-0.5</v>
      </c>
      <c r="J139" s="2" t="s">
        <v>182</v>
      </c>
      <c r="K139" s="7">
        <v>20000</v>
      </c>
      <c r="L139" s="7">
        <v>43200</v>
      </c>
      <c r="M139" s="21">
        <v>3000</v>
      </c>
      <c r="N139" s="9">
        <v>3000</v>
      </c>
      <c r="O139" s="9">
        <v>43500</v>
      </c>
      <c r="P139" s="7">
        <v>-300</v>
      </c>
      <c r="Q139" s="152">
        <v>45306</v>
      </c>
    </row>
    <row r="140" spans="1:17" ht="35.25" thickBot="1" x14ac:dyDescent="0.3">
      <c r="A140" s="1">
        <v>2406</v>
      </c>
      <c r="B140" s="2" t="s">
        <v>600</v>
      </c>
      <c r="C140" s="2" t="s">
        <v>687</v>
      </c>
      <c r="D140" s="2"/>
      <c r="E140" s="3">
        <v>45299</v>
      </c>
      <c r="F140" s="3">
        <v>45314</v>
      </c>
      <c r="G140" s="4">
        <v>11</v>
      </c>
      <c r="H140" s="168" t="e">
        <v>#DIV/0!</v>
      </c>
      <c r="I140" s="168" t="e">
        <v>#DIV/0!</v>
      </c>
      <c r="J140" s="6" t="s">
        <v>550</v>
      </c>
      <c r="K140" s="10">
        <v>30000</v>
      </c>
      <c r="L140" s="10">
        <v>42500</v>
      </c>
      <c r="M140" s="8"/>
      <c r="N140" s="9">
        <v>23000</v>
      </c>
      <c r="O140" s="9">
        <v>43000</v>
      </c>
      <c r="P140" s="7">
        <v>-500</v>
      </c>
      <c r="Q140" s="152">
        <v>45313</v>
      </c>
    </row>
    <row r="141" spans="1:17" ht="35.25" thickBot="1" x14ac:dyDescent="0.3">
      <c r="A141" s="17">
        <v>2433</v>
      </c>
      <c r="B141" s="2" t="s">
        <v>600</v>
      </c>
      <c r="C141" s="2" t="s">
        <v>687</v>
      </c>
      <c r="D141" s="2"/>
      <c r="E141" s="3">
        <v>45311</v>
      </c>
      <c r="F141" s="3">
        <v>45327</v>
      </c>
      <c r="G141" s="4">
        <v>11</v>
      </c>
      <c r="H141" s="168" t="e">
        <v>#DIV/0!</v>
      </c>
      <c r="I141" s="168" t="e">
        <v>#DIV/0!</v>
      </c>
      <c r="J141" s="6" t="s">
        <v>550</v>
      </c>
      <c r="K141" s="10">
        <v>10000</v>
      </c>
      <c r="L141" s="10">
        <v>13000</v>
      </c>
      <c r="M141" s="8"/>
      <c r="N141" s="9">
        <v>13000</v>
      </c>
      <c r="O141" s="9">
        <v>13000</v>
      </c>
      <c r="P141" s="7">
        <v>0</v>
      </c>
      <c r="Q141" s="152">
        <v>45313</v>
      </c>
    </row>
    <row r="142" spans="1:17" ht="35.25" thickBot="1" x14ac:dyDescent="0.3">
      <c r="A142" s="1">
        <v>2327</v>
      </c>
      <c r="B142" s="2" t="s">
        <v>242</v>
      </c>
      <c r="C142" s="2" t="s">
        <v>243</v>
      </c>
      <c r="D142" s="2"/>
      <c r="E142" s="3">
        <v>45237</v>
      </c>
      <c r="F142" s="3">
        <v>45337</v>
      </c>
      <c r="G142" s="4">
        <v>72</v>
      </c>
      <c r="H142" s="168">
        <v>70</v>
      </c>
      <c r="I142" s="168">
        <v>2</v>
      </c>
      <c r="J142" s="2" t="s">
        <v>576</v>
      </c>
      <c r="K142" s="7">
        <v>10000</v>
      </c>
      <c r="L142" s="7">
        <v>21600</v>
      </c>
      <c r="M142" s="21">
        <v>1500</v>
      </c>
      <c r="N142" s="9">
        <v>6000</v>
      </c>
      <c r="O142" s="9">
        <v>21000</v>
      </c>
      <c r="P142" s="7">
        <v>600</v>
      </c>
      <c r="Q142" s="152">
        <v>45313</v>
      </c>
    </row>
    <row r="143" spans="1:17" ht="57.75" thickBot="1" x14ac:dyDescent="0.3">
      <c r="A143" s="1">
        <v>2119</v>
      </c>
      <c r="B143" s="2" t="s">
        <v>688</v>
      </c>
      <c r="C143" s="2" t="s">
        <v>689</v>
      </c>
      <c r="D143" s="2"/>
      <c r="E143" s="3">
        <v>45096</v>
      </c>
      <c r="F143" s="3">
        <v>45250</v>
      </c>
      <c r="G143" s="4">
        <v>110</v>
      </c>
      <c r="H143" s="168">
        <v>121.94444444444444</v>
      </c>
      <c r="I143" s="168">
        <v>-11.944444444444443</v>
      </c>
      <c r="J143" s="2" t="s">
        <v>611</v>
      </c>
      <c r="K143" s="7">
        <v>30000</v>
      </c>
      <c r="L143" s="7">
        <v>87800</v>
      </c>
      <c r="M143" s="21">
        <v>3600</v>
      </c>
      <c r="N143" s="166">
        <v>10673</v>
      </c>
      <c r="O143" s="9">
        <v>87800</v>
      </c>
      <c r="P143" s="7">
        <v>0</v>
      </c>
      <c r="Q143" s="152">
        <v>45313</v>
      </c>
    </row>
    <row r="144" spans="1:17" ht="46.5" thickBot="1" x14ac:dyDescent="0.3">
      <c r="A144" s="1">
        <v>2413</v>
      </c>
      <c r="B144" s="2" t="s">
        <v>612</v>
      </c>
      <c r="C144" s="2" t="s">
        <v>559</v>
      </c>
      <c r="D144" s="2"/>
      <c r="E144" s="3">
        <v>45302</v>
      </c>
      <c r="F144" s="3">
        <v>45309</v>
      </c>
      <c r="G144" s="4">
        <v>5</v>
      </c>
      <c r="H144" s="168" t="e">
        <v>#DIV/0!</v>
      </c>
      <c r="I144" s="168" t="e">
        <v>#DIV/0!</v>
      </c>
      <c r="J144" s="6" t="s">
        <v>550</v>
      </c>
      <c r="K144" s="10">
        <v>30000</v>
      </c>
      <c r="L144" s="10">
        <v>39000</v>
      </c>
      <c r="M144" s="8"/>
      <c r="N144" s="9">
        <v>39000</v>
      </c>
      <c r="O144" s="9">
        <v>39000</v>
      </c>
      <c r="P144" s="7">
        <v>0</v>
      </c>
      <c r="Q144" s="152">
        <v>45313</v>
      </c>
    </row>
    <row r="145" spans="1:17" ht="46.5" thickBot="1" x14ac:dyDescent="0.3">
      <c r="A145" s="1">
        <v>2434</v>
      </c>
      <c r="B145" s="2" t="s">
        <v>612</v>
      </c>
      <c r="C145" s="2" t="s">
        <v>559</v>
      </c>
      <c r="D145" s="2"/>
      <c r="E145" s="3">
        <v>45312</v>
      </c>
      <c r="F145" s="3">
        <v>45317</v>
      </c>
      <c r="G145" s="4">
        <v>5</v>
      </c>
      <c r="H145" s="168" t="e">
        <v>#DIV/0!</v>
      </c>
      <c r="I145" s="168" t="e">
        <v>#DIV/0!</v>
      </c>
      <c r="J145" s="6" t="s">
        <v>550</v>
      </c>
      <c r="K145" s="7">
        <v>20000</v>
      </c>
      <c r="L145" s="7">
        <v>26000</v>
      </c>
      <c r="M145" s="21"/>
      <c r="N145" s="9">
        <v>26000</v>
      </c>
      <c r="O145" s="9">
        <v>26000</v>
      </c>
      <c r="P145" s="7">
        <v>0</v>
      </c>
      <c r="Q145" s="152">
        <v>45313</v>
      </c>
    </row>
    <row r="146" spans="1:17" ht="57.75" thickBot="1" x14ac:dyDescent="0.3">
      <c r="A146" s="1">
        <v>2275</v>
      </c>
      <c r="B146" s="2" t="s">
        <v>595</v>
      </c>
      <c r="C146" s="2" t="s">
        <v>559</v>
      </c>
      <c r="D146" s="2"/>
      <c r="E146" s="3">
        <v>45198</v>
      </c>
      <c r="F146" s="3">
        <v>45300</v>
      </c>
      <c r="G146" s="4">
        <v>72</v>
      </c>
      <c r="H146" s="168">
        <v>72</v>
      </c>
      <c r="I146" s="168">
        <v>0</v>
      </c>
      <c r="J146" s="2" t="s">
        <v>182</v>
      </c>
      <c r="K146" s="10">
        <v>20000</v>
      </c>
      <c r="L146" s="10">
        <v>43200</v>
      </c>
      <c r="M146" s="8">
        <v>3000</v>
      </c>
      <c r="N146" s="9">
        <v>4200</v>
      </c>
      <c r="O146" s="9">
        <v>43200</v>
      </c>
      <c r="P146" s="7">
        <v>0</v>
      </c>
      <c r="Q146" s="152">
        <v>45313</v>
      </c>
    </row>
    <row r="147" spans="1:17" ht="35.25" thickBot="1" x14ac:dyDescent="0.3">
      <c r="A147" s="1">
        <v>2040</v>
      </c>
      <c r="B147" s="2" t="s">
        <v>337</v>
      </c>
      <c r="C147" s="2" t="s">
        <v>690</v>
      </c>
      <c r="D147" s="2"/>
      <c r="E147" s="3">
        <v>45017</v>
      </c>
      <c r="F147" s="3">
        <v>45310</v>
      </c>
      <c r="G147" s="4">
        <v>210</v>
      </c>
      <c r="H147" s="168">
        <v>200</v>
      </c>
      <c r="I147" s="168">
        <v>10</v>
      </c>
      <c r="J147" s="16" t="s">
        <v>691</v>
      </c>
      <c r="K147" s="7">
        <v>100000</v>
      </c>
      <c r="L147" s="7">
        <v>250000</v>
      </c>
      <c r="M147" s="21">
        <v>6250</v>
      </c>
      <c r="N147" s="9"/>
      <c r="O147" s="9">
        <v>250000</v>
      </c>
      <c r="P147" s="7">
        <v>0</v>
      </c>
      <c r="Q147" s="152">
        <v>45313</v>
      </c>
    </row>
    <row r="148" spans="1:17" ht="57.75" thickBot="1" x14ac:dyDescent="0.3">
      <c r="A148" s="1">
        <v>2303</v>
      </c>
      <c r="B148" s="2" t="s">
        <v>341</v>
      </c>
      <c r="C148" s="2" t="s">
        <v>593</v>
      </c>
      <c r="D148" s="2">
        <v>29201110</v>
      </c>
      <c r="E148" s="3">
        <v>45219</v>
      </c>
      <c r="F148" s="3">
        <v>45321</v>
      </c>
      <c r="G148" s="4">
        <v>72</v>
      </c>
      <c r="H148" s="168">
        <v>72</v>
      </c>
      <c r="I148" s="168">
        <v>0</v>
      </c>
      <c r="J148" s="2" t="s">
        <v>181</v>
      </c>
      <c r="K148" s="7">
        <v>30000</v>
      </c>
      <c r="L148" s="7">
        <v>64800</v>
      </c>
      <c r="M148" s="21">
        <v>4500</v>
      </c>
      <c r="N148" s="9">
        <v>10800</v>
      </c>
      <c r="O148" s="9">
        <v>64800</v>
      </c>
      <c r="P148" s="7">
        <v>0</v>
      </c>
      <c r="Q148" s="152">
        <v>45313</v>
      </c>
    </row>
    <row r="149" spans="1:17" ht="57.75" thickBot="1" x14ac:dyDescent="0.3">
      <c r="A149" s="1">
        <v>2302</v>
      </c>
      <c r="B149" s="2" t="s">
        <v>692</v>
      </c>
      <c r="C149" s="2" t="s">
        <v>394</v>
      </c>
      <c r="D149" s="2" t="s">
        <v>395</v>
      </c>
      <c r="E149" s="3">
        <v>45218</v>
      </c>
      <c r="F149" s="156">
        <v>45320</v>
      </c>
      <c r="G149" s="4">
        <v>72</v>
      </c>
      <c r="H149" s="168">
        <v>72</v>
      </c>
      <c r="I149" s="168">
        <v>0</v>
      </c>
      <c r="J149" s="2" t="s">
        <v>181</v>
      </c>
      <c r="K149" s="7">
        <v>30000</v>
      </c>
      <c r="L149" s="7">
        <v>64800</v>
      </c>
      <c r="M149" s="21">
        <v>4500</v>
      </c>
      <c r="N149" s="9">
        <v>6300</v>
      </c>
      <c r="O149" s="9">
        <v>64800</v>
      </c>
      <c r="P149" s="7">
        <v>0</v>
      </c>
      <c r="Q149" s="152">
        <v>45313</v>
      </c>
    </row>
    <row r="150" spans="1:17" ht="57.75" thickBot="1" x14ac:dyDescent="0.3">
      <c r="A150" s="1">
        <v>2299</v>
      </c>
      <c r="B150" s="2" t="s">
        <v>404</v>
      </c>
      <c r="C150" s="2" t="s">
        <v>405</v>
      </c>
      <c r="D150" s="2">
        <v>24172612</v>
      </c>
      <c r="E150" s="3">
        <v>45216</v>
      </c>
      <c r="F150" s="3">
        <v>45316</v>
      </c>
      <c r="G150" s="4">
        <v>72</v>
      </c>
      <c r="H150" s="168">
        <v>72</v>
      </c>
      <c r="I150" s="168">
        <v>0</v>
      </c>
      <c r="J150" s="2" t="s">
        <v>182</v>
      </c>
      <c r="K150" s="7">
        <v>20000</v>
      </c>
      <c r="L150" s="7">
        <v>43200</v>
      </c>
      <c r="M150" s="21">
        <v>3000</v>
      </c>
      <c r="N150" s="9">
        <v>7200</v>
      </c>
      <c r="O150" s="9">
        <v>43200</v>
      </c>
      <c r="P150" s="7">
        <v>0</v>
      </c>
      <c r="Q150" s="152">
        <v>45313</v>
      </c>
    </row>
    <row r="151" spans="1:17" ht="57.75" thickBot="1" x14ac:dyDescent="0.3">
      <c r="A151" s="1">
        <v>2225</v>
      </c>
      <c r="B151" s="2" t="s">
        <v>693</v>
      </c>
      <c r="C151" s="2" t="s">
        <v>448</v>
      </c>
      <c r="D151" s="2"/>
      <c r="E151" s="3">
        <v>45152</v>
      </c>
      <c r="F151" s="3">
        <v>45252</v>
      </c>
      <c r="G151" s="4">
        <v>72</v>
      </c>
      <c r="H151" s="168">
        <v>72.777777777777771</v>
      </c>
      <c r="I151" s="168">
        <v>-0.77777777777777146</v>
      </c>
      <c r="J151" s="2" t="s">
        <v>181</v>
      </c>
      <c r="K151" s="10">
        <v>30000</v>
      </c>
      <c r="L151" s="10">
        <v>64800</v>
      </c>
      <c r="M151" s="21">
        <v>4500</v>
      </c>
      <c r="N151" s="9">
        <v>9000</v>
      </c>
      <c r="O151" s="9">
        <v>65500</v>
      </c>
      <c r="P151" s="7">
        <v>-700</v>
      </c>
      <c r="Q151" s="152">
        <v>45313</v>
      </c>
    </row>
    <row r="152" spans="1:17" ht="35.25" thickBot="1" x14ac:dyDescent="0.3">
      <c r="A152" s="1">
        <v>2263</v>
      </c>
      <c r="B152" s="2" t="s">
        <v>694</v>
      </c>
      <c r="C152" s="2"/>
      <c r="D152" s="2"/>
      <c r="E152" s="3">
        <v>45194</v>
      </c>
      <c r="F152" s="3">
        <v>45294</v>
      </c>
      <c r="G152" s="4">
        <v>72</v>
      </c>
      <c r="H152" s="168">
        <v>72.666666666666671</v>
      </c>
      <c r="I152" s="168">
        <v>-0.6666666666666714</v>
      </c>
      <c r="J152" s="2" t="s">
        <v>581</v>
      </c>
      <c r="K152" s="7">
        <v>25000</v>
      </c>
      <c r="L152" s="7">
        <v>54000</v>
      </c>
      <c r="M152" s="21">
        <v>3750</v>
      </c>
      <c r="N152" s="9">
        <v>9500</v>
      </c>
      <c r="O152" s="9">
        <v>54500</v>
      </c>
      <c r="P152" s="7">
        <v>-500</v>
      </c>
      <c r="Q152" s="152">
        <v>45313</v>
      </c>
    </row>
    <row r="153" spans="1:17" ht="35.25" thickBot="1" x14ac:dyDescent="0.3">
      <c r="A153" s="1">
        <v>2178</v>
      </c>
      <c r="B153" s="2" t="s">
        <v>280</v>
      </c>
      <c r="C153" s="2" t="s">
        <v>285</v>
      </c>
      <c r="D153" s="2"/>
      <c r="E153" s="3">
        <v>45133</v>
      </c>
      <c r="F153" s="3">
        <v>45331</v>
      </c>
      <c r="G153" s="4">
        <v>142</v>
      </c>
      <c r="H153" s="168">
        <v>120</v>
      </c>
      <c r="I153" s="168">
        <v>22</v>
      </c>
      <c r="J153" s="6" t="s">
        <v>695</v>
      </c>
      <c r="K153" s="10">
        <v>30000</v>
      </c>
      <c r="L153" s="10">
        <v>79200</v>
      </c>
      <c r="M153" s="21">
        <v>3300</v>
      </c>
      <c r="N153" s="9">
        <v>13200</v>
      </c>
      <c r="O153" s="9">
        <v>79200</v>
      </c>
      <c r="P153" s="7">
        <v>0</v>
      </c>
      <c r="Q153" s="152">
        <v>45320</v>
      </c>
    </row>
    <row r="154" spans="1:17" ht="24" thickBot="1" x14ac:dyDescent="0.3">
      <c r="A154" s="1">
        <v>2029</v>
      </c>
      <c r="B154" s="2" t="s">
        <v>286</v>
      </c>
      <c r="C154" s="2" t="s">
        <v>287</v>
      </c>
      <c r="D154" s="2"/>
      <c r="E154" s="3">
        <v>45007</v>
      </c>
      <c r="F154" s="3">
        <v>45231</v>
      </c>
      <c r="G154" s="4">
        <v>160</v>
      </c>
      <c r="H154" s="168">
        <v>320</v>
      </c>
      <c r="I154" s="168">
        <v>-160</v>
      </c>
      <c r="J154" s="16" t="s">
        <v>696</v>
      </c>
      <c r="K154" s="10">
        <v>30000</v>
      </c>
      <c r="L154" s="10">
        <v>87200</v>
      </c>
      <c r="M154" s="8">
        <v>1362.5</v>
      </c>
      <c r="N154" s="9">
        <v>7000</v>
      </c>
      <c r="O154" s="9">
        <v>87200</v>
      </c>
      <c r="P154" s="7">
        <v>0</v>
      </c>
      <c r="Q154" s="152">
        <v>45320</v>
      </c>
    </row>
    <row r="155" spans="1:17" ht="46.5" thickBot="1" x14ac:dyDescent="0.3">
      <c r="A155" s="1">
        <v>2445</v>
      </c>
      <c r="B155" s="2" t="s">
        <v>612</v>
      </c>
      <c r="C155" s="2" t="s">
        <v>559</v>
      </c>
      <c r="D155" s="2"/>
      <c r="E155" s="3">
        <v>45318</v>
      </c>
      <c r="F155" s="3">
        <v>45324</v>
      </c>
      <c r="G155" s="4">
        <v>5</v>
      </c>
      <c r="H155" s="168" t="e">
        <v>#DIV/0!</v>
      </c>
      <c r="I155" s="168" t="e">
        <v>#DIV/0!</v>
      </c>
      <c r="J155" s="6" t="s">
        <v>550</v>
      </c>
      <c r="K155" s="10">
        <v>30000</v>
      </c>
      <c r="L155" s="10">
        <v>39000</v>
      </c>
      <c r="M155" s="8"/>
      <c r="N155" s="9">
        <v>39000</v>
      </c>
      <c r="O155" s="9">
        <v>39000</v>
      </c>
      <c r="P155" s="7">
        <v>0</v>
      </c>
      <c r="Q155" s="152">
        <v>45320</v>
      </c>
    </row>
    <row r="156" spans="1:17" ht="24" thickBot="1" x14ac:dyDescent="0.3">
      <c r="A156" s="1">
        <v>2266</v>
      </c>
      <c r="B156" s="2" t="s">
        <v>327</v>
      </c>
      <c r="C156" s="2"/>
      <c r="D156" s="2"/>
      <c r="E156" s="3">
        <v>45195</v>
      </c>
      <c r="F156" s="3">
        <v>45295</v>
      </c>
      <c r="G156" s="4">
        <v>72</v>
      </c>
      <c r="H156" s="168">
        <v>72</v>
      </c>
      <c r="I156" s="168">
        <v>0</v>
      </c>
      <c r="J156" s="2" t="s">
        <v>581</v>
      </c>
      <c r="K156" s="7">
        <v>25000</v>
      </c>
      <c r="L156" s="7">
        <v>54000</v>
      </c>
      <c r="M156" s="21">
        <v>3750</v>
      </c>
      <c r="N156" s="166">
        <v>1500</v>
      </c>
      <c r="O156" s="9">
        <v>54000</v>
      </c>
      <c r="P156" s="7">
        <v>0</v>
      </c>
      <c r="Q156" s="152">
        <v>45320</v>
      </c>
    </row>
    <row r="157" spans="1:17" ht="57.75" thickBot="1" x14ac:dyDescent="0.3">
      <c r="A157" s="1">
        <v>2321</v>
      </c>
      <c r="B157" s="2" t="s">
        <v>345</v>
      </c>
      <c r="C157" s="2" t="s">
        <v>346</v>
      </c>
      <c r="D157" s="2"/>
      <c r="E157" s="3">
        <v>45220</v>
      </c>
      <c r="F157" s="3">
        <v>45317</v>
      </c>
      <c r="G157" s="4">
        <v>70</v>
      </c>
      <c r="H157" s="168">
        <v>70</v>
      </c>
      <c r="I157" s="168">
        <v>0</v>
      </c>
      <c r="J157" s="6" t="s">
        <v>697</v>
      </c>
      <c r="K157" s="7">
        <v>20000</v>
      </c>
      <c r="L157" s="7">
        <v>43400</v>
      </c>
      <c r="M157" s="21">
        <v>3100</v>
      </c>
      <c r="N157" s="9">
        <v>6200</v>
      </c>
      <c r="O157" s="9">
        <v>43400</v>
      </c>
      <c r="P157" s="7">
        <v>0</v>
      </c>
      <c r="Q157" s="152">
        <v>45320</v>
      </c>
    </row>
    <row r="158" spans="1:17" ht="35.25" thickBot="1" x14ac:dyDescent="0.3">
      <c r="A158" s="1">
        <v>2397</v>
      </c>
      <c r="B158" s="2" t="s">
        <v>562</v>
      </c>
      <c r="C158" s="2" t="s">
        <v>563</v>
      </c>
      <c r="D158" s="2"/>
      <c r="E158" s="3">
        <v>45293</v>
      </c>
      <c r="F158" s="3">
        <v>45321</v>
      </c>
      <c r="G158" s="4">
        <v>20</v>
      </c>
      <c r="H158" s="168" t="e">
        <v>#DIV/0!</v>
      </c>
      <c r="I158" s="168" t="e">
        <v>#DIV/0!</v>
      </c>
      <c r="J158" s="6" t="s">
        <v>550</v>
      </c>
      <c r="K158" s="7">
        <v>40000</v>
      </c>
      <c r="L158" s="7">
        <v>60000</v>
      </c>
      <c r="M158" s="21"/>
      <c r="N158" s="9">
        <v>60000</v>
      </c>
      <c r="O158" s="9">
        <v>60000</v>
      </c>
      <c r="P158" s="7">
        <v>0</v>
      </c>
      <c r="Q158" s="152">
        <v>45320</v>
      </c>
    </row>
    <row r="159" spans="1:17" ht="46.5" thickBot="1" x14ac:dyDescent="0.3">
      <c r="A159" s="1">
        <v>2296</v>
      </c>
      <c r="B159" s="2" t="s">
        <v>456</v>
      </c>
      <c r="C159" s="2" t="s">
        <v>457</v>
      </c>
      <c r="D159" s="2">
        <v>35869349</v>
      </c>
      <c r="E159" s="3">
        <v>45213</v>
      </c>
      <c r="F159" s="3">
        <v>45314</v>
      </c>
      <c r="G159" s="4">
        <v>72</v>
      </c>
      <c r="H159" s="168">
        <v>72</v>
      </c>
      <c r="I159" s="168">
        <v>0</v>
      </c>
      <c r="J159" s="2" t="s">
        <v>227</v>
      </c>
      <c r="K159" s="10">
        <v>50000</v>
      </c>
      <c r="L159" s="10">
        <v>108000</v>
      </c>
      <c r="M159" s="8">
        <v>7500</v>
      </c>
      <c r="N159" s="9">
        <v>13000</v>
      </c>
      <c r="O159" s="9">
        <v>108000</v>
      </c>
      <c r="P159" s="7">
        <v>0</v>
      </c>
      <c r="Q159" s="152">
        <v>45320</v>
      </c>
    </row>
    <row r="160" spans="1:17" ht="24" thickBot="1" x14ac:dyDescent="0.3">
      <c r="A160" s="1">
        <v>2448</v>
      </c>
      <c r="B160" s="2" t="s">
        <v>156</v>
      </c>
      <c r="C160" s="2"/>
      <c r="D160" s="2"/>
      <c r="E160" s="3">
        <v>45320</v>
      </c>
      <c r="F160" s="3">
        <v>45327</v>
      </c>
      <c r="G160" s="4">
        <v>5</v>
      </c>
      <c r="H160" s="168" t="e">
        <v>#DIV/0!</v>
      </c>
      <c r="I160" s="168" t="e">
        <v>#DIV/0!</v>
      </c>
      <c r="J160" s="6" t="s">
        <v>550</v>
      </c>
      <c r="K160" s="10">
        <v>5000</v>
      </c>
      <c r="L160" s="10">
        <v>5750</v>
      </c>
      <c r="M160" s="8"/>
      <c r="N160" s="9">
        <v>5750</v>
      </c>
      <c r="O160" s="9">
        <v>5750</v>
      </c>
      <c r="P160" s="10">
        <v>0</v>
      </c>
      <c r="Q160" s="152">
        <v>45327</v>
      </c>
    </row>
    <row r="161" spans="1:17" ht="46.5" thickBot="1" x14ac:dyDescent="0.3">
      <c r="A161" s="1">
        <v>2385</v>
      </c>
      <c r="B161" s="2" t="s">
        <v>166</v>
      </c>
      <c r="C161" s="2" t="s">
        <v>167</v>
      </c>
      <c r="D161" s="2"/>
      <c r="E161" s="3">
        <v>45282</v>
      </c>
      <c r="F161" s="3">
        <v>45324</v>
      </c>
      <c r="G161" s="4">
        <v>30</v>
      </c>
      <c r="H161" s="168" t="e">
        <v>#DIV/0!</v>
      </c>
      <c r="I161" s="168" t="e">
        <v>#DIV/0!</v>
      </c>
      <c r="J161" s="6" t="s">
        <v>698</v>
      </c>
      <c r="K161" s="10">
        <v>20000</v>
      </c>
      <c r="L161" s="10">
        <v>34000</v>
      </c>
      <c r="M161" s="8"/>
      <c r="N161" s="43">
        <v>17000</v>
      </c>
      <c r="O161" s="9">
        <v>34000</v>
      </c>
      <c r="P161" s="7">
        <v>0</v>
      </c>
      <c r="Q161" s="152">
        <v>45327</v>
      </c>
    </row>
    <row r="162" spans="1:17" ht="35.25" thickBot="1" x14ac:dyDescent="0.3">
      <c r="A162" s="1">
        <v>2444</v>
      </c>
      <c r="B162" s="2" t="s">
        <v>600</v>
      </c>
      <c r="C162" s="2" t="s">
        <v>687</v>
      </c>
      <c r="D162" s="2"/>
      <c r="E162" s="3">
        <v>45318</v>
      </c>
      <c r="F162" s="3">
        <v>45324</v>
      </c>
      <c r="G162" s="4">
        <v>5</v>
      </c>
      <c r="H162" s="168" t="e">
        <v>#DIV/0!</v>
      </c>
      <c r="I162" s="168" t="e">
        <v>#DIV/0!</v>
      </c>
      <c r="J162" s="6" t="s">
        <v>550</v>
      </c>
      <c r="K162" s="7">
        <v>50000</v>
      </c>
      <c r="L162" s="7">
        <v>75000</v>
      </c>
      <c r="M162" s="21"/>
      <c r="N162" s="170">
        <v>75000</v>
      </c>
      <c r="O162" s="9">
        <v>75000</v>
      </c>
      <c r="P162" s="7">
        <v>0</v>
      </c>
      <c r="Q162" s="152">
        <v>45327</v>
      </c>
    </row>
    <row r="163" spans="1:17" ht="46.5" thickBot="1" x14ac:dyDescent="0.3">
      <c r="A163" s="1">
        <v>2201</v>
      </c>
      <c r="B163" s="2" t="s">
        <v>572</v>
      </c>
      <c r="C163" s="2" t="s">
        <v>173</v>
      </c>
      <c r="D163" s="2" t="s">
        <v>174</v>
      </c>
      <c r="E163" s="3">
        <v>45148</v>
      </c>
      <c r="F163" s="3">
        <v>45301</v>
      </c>
      <c r="G163" s="4">
        <v>109</v>
      </c>
      <c r="H163" s="168">
        <v>100</v>
      </c>
      <c r="I163" s="168">
        <v>9</v>
      </c>
      <c r="J163" s="6" t="s">
        <v>699</v>
      </c>
      <c r="K163" s="10">
        <v>50000</v>
      </c>
      <c r="L163" s="10">
        <v>108000</v>
      </c>
      <c r="M163" s="8">
        <v>5400</v>
      </c>
      <c r="N163" s="9">
        <v>1300</v>
      </c>
      <c r="O163" s="9">
        <v>108000</v>
      </c>
      <c r="P163" s="7">
        <v>0</v>
      </c>
      <c r="Q163" s="152">
        <v>45327</v>
      </c>
    </row>
    <row r="164" spans="1:17" ht="35.25" thickBot="1" x14ac:dyDescent="0.3">
      <c r="A164" s="1">
        <v>2348</v>
      </c>
      <c r="B164" s="2" t="s">
        <v>700</v>
      </c>
      <c r="C164" s="2" t="s">
        <v>208</v>
      </c>
      <c r="D164" s="2"/>
      <c r="E164" s="3">
        <v>45255</v>
      </c>
      <c r="F164" s="3">
        <v>45356</v>
      </c>
      <c r="G164" s="4">
        <v>72</v>
      </c>
      <c r="H164" s="168">
        <v>72</v>
      </c>
      <c r="I164" s="168">
        <v>0</v>
      </c>
      <c r="J164" s="2" t="s">
        <v>181</v>
      </c>
      <c r="K164" s="10">
        <v>30000</v>
      </c>
      <c r="L164" s="10">
        <v>64800</v>
      </c>
      <c r="M164" s="8">
        <v>4500</v>
      </c>
      <c r="N164" s="9">
        <v>1800</v>
      </c>
      <c r="O164" s="9">
        <v>64800</v>
      </c>
      <c r="P164" s="7">
        <v>0</v>
      </c>
      <c r="Q164" s="152">
        <v>45327</v>
      </c>
    </row>
    <row r="165" spans="1:17" ht="35.25" thickBot="1" x14ac:dyDescent="0.3">
      <c r="A165" s="1">
        <v>2255</v>
      </c>
      <c r="B165" s="2" t="s">
        <v>233</v>
      </c>
      <c r="C165" s="2" t="s">
        <v>577</v>
      </c>
      <c r="D165" s="2"/>
      <c r="E165" s="3">
        <v>45184</v>
      </c>
      <c r="F165" s="3">
        <v>45362</v>
      </c>
      <c r="G165" s="4">
        <v>126</v>
      </c>
      <c r="H165" s="168">
        <v>120</v>
      </c>
      <c r="I165" s="168">
        <v>6</v>
      </c>
      <c r="J165" s="6" t="s">
        <v>701</v>
      </c>
      <c r="K165" s="7">
        <v>80000</v>
      </c>
      <c r="L165" s="7">
        <v>211200</v>
      </c>
      <c r="M165" s="21">
        <v>8800</v>
      </c>
      <c r="N165" s="9">
        <v>105800</v>
      </c>
      <c r="O165" s="9">
        <v>211200</v>
      </c>
      <c r="P165" s="7">
        <v>0</v>
      </c>
      <c r="Q165" s="152">
        <v>45327</v>
      </c>
    </row>
    <row r="166" spans="1:17" ht="35.25" thickBot="1" x14ac:dyDescent="0.3">
      <c r="A166" s="1">
        <v>2308</v>
      </c>
      <c r="B166" s="2" t="s">
        <v>233</v>
      </c>
      <c r="C166" s="2" t="s">
        <v>577</v>
      </c>
      <c r="D166" s="2"/>
      <c r="E166" s="3">
        <v>45223</v>
      </c>
      <c r="F166" s="3">
        <v>45393</v>
      </c>
      <c r="G166" s="4">
        <v>122</v>
      </c>
      <c r="H166" s="168">
        <v>122.01509782776152</v>
      </c>
      <c r="I166" s="168">
        <v>-1.5097827761522353E-2</v>
      </c>
      <c r="J166" s="6" t="s">
        <v>702</v>
      </c>
      <c r="K166" s="10">
        <v>60000</v>
      </c>
      <c r="L166" s="10">
        <v>158400</v>
      </c>
      <c r="M166" s="8">
        <v>6491</v>
      </c>
      <c r="N166" s="9">
        <v>79200</v>
      </c>
      <c r="O166" s="9">
        <v>158400</v>
      </c>
      <c r="P166" s="7">
        <v>0</v>
      </c>
      <c r="Q166" s="152">
        <v>45327</v>
      </c>
    </row>
    <row r="167" spans="1:17" ht="46.5" thickBot="1" x14ac:dyDescent="0.3">
      <c r="A167" s="1">
        <v>2300</v>
      </c>
      <c r="B167" s="2" t="s">
        <v>257</v>
      </c>
      <c r="C167" s="2" t="s">
        <v>258</v>
      </c>
      <c r="D167" s="2" t="s">
        <v>259</v>
      </c>
      <c r="E167" s="3">
        <v>45216</v>
      </c>
      <c r="F167" s="3">
        <v>45328</v>
      </c>
      <c r="G167" s="4">
        <v>80</v>
      </c>
      <c r="H167" s="168">
        <v>85.555555555555557</v>
      </c>
      <c r="I167" s="168">
        <v>-5.5555555555555571</v>
      </c>
      <c r="J167" s="6" t="s">
        <v>703</v>
      </c>
      <c r="K167" s="7">
        <v>20000</v>
      </c>
      <c r="L167" s="7">
        <v>46200</v>
      </c>
      <c r="M167" s="21">
        <v>2700</v>
      </c>
      <c r="N167" s="9">
        <v>10800</v>
      </c>
      <c r="O167" s="9">
        <v>46200</v>
      </c>
      <c r="P167" s="7">
        <v>0</v>
      </c>
      <c r="Q167" s="152">
        <v>45327</v>
      </c>
    </row>
    <row r="168" spans="1:17" ht="46.5" thickBot="1" x14ac:dyDescent="0.3">
      <c r="A168" s="1">
        <v>2443</v>
      </c>
      <c r="B168" s="2" t="s">
        <v>257</v>
      </c>
      <c r="C168" s="2" t="s">
        <v>258</v>
      </c>
      <c r="D168" s="2" t="s">
        <v>259</v>
      </c>
      <c r="E168" s="3">
        <v>45317</v>
      </c>
      <c r="F168" s="3">
        <v>45331</v>
      </c>
      <c r="G168" s="4">
        <v>10</v>
      </c>
      <c r="H168" s="168" t="e">
        <v>#VALUE!</v>
      </c>
      <c r="I168" s="168" t="e">
        <v>#VALUE!</v>
      </c>
      <c r="J168" s="6" t="s">
        <v>550</v>
      </c>
      <c r="K168" s="7">
        <v>20000</v>
      </c>
      <c r="L168" s="7">
        <v>29000</v>
      </c>
      <c r="M168" s="21" t="s">
        <v>143</v>
      </c>
      <c r="N168" s="9">
        <v>29000</v>
      </c>
      <c r="O168" s="9">
        <v>29000</v>
      </c>
      <c r="P168" s="7">
        <v>0</v>
      </c>
      <c r="Q168" s="152">
        <v>45327</v>
      </c>
    </row>
    <row r="169" spans="1:17" ht="46.5" thickBot="1" x14ac:dyDescent="0.3">
      <c r="A169" s="1">
        <v>2273</v>
      </c>
      <c r="B169" s="2" t="s">
        <v>316</v>
      </c>
      <c r="C169" s="2" t="s">
        <v>317</v>
      </c>
      <c r="D169" s="2"/>
      <c r="E169" s="3">
        <v>45198</v>
      </c>
      <c r="F169" s="3">
        <v>45300</v>
      </c>
      <c r="G169" s="4">
        <v>72</v>
      </c>
      <c r="H169" s="168">
        <v>72</v>
      </c>
      <c r="I169" s="168">
        <v>0</v>
      </c>
      <c r="J169" s="2" t="s">
        <v>576</v>
      </c>
      <c r="K169" s="10">
        <v>10000</v>
      </c>
      <c r="L169" s="10">
        <v>21600</v>
      </c>
      <c r="M169" s="8">
        <v>1500</v>
      </c>
      <c r="N169" s="9">
        <v>4100</v>
      </c>
      <c r="O169" s="9">
        <v>21600</v>
      </c>
      <c r="P169" s="7">
        <v>0</v>
      </c>
      <c r="Q169" s="152">
        <v>45327</v>
      </c>
    </row>
    <row r="170" spans="1:17" ht="46.5" thickBot="1" x14ac:dyDescent="0.3">
      <c r="A170" s="1">
        <v>2138</v>
      </c>
      <c r="B170" s="2" t="s">
        <v>321</v>
      </c>
      <c r="C170" s="2" t="s">
        <v>322</v>
      </c>
      <c r="D170" s="2"/>
      <c r="E170" s="3">
        <v>45103</v>
      </c>
      <c r="F170" s="3">
        <v>45355</v>
      </c>
      <c r="G170" s="4">
        <v>180</v>
      </c>
      <c r="H170" s="168">
        <v>164.62</v>
      </c>
      <c r="I170" s="168">
        <v>15.379999999999995</v>
      </c>
      <c r="J170" s="6" t="s">
        <v>704</v>
      </c>
      <c r="K170" s="7">
        <v>40000</v>
      </c>
      <c r="L170" s="7">
        <v>120000</v>
      </c>
      <c r="M170" s="21">
        <v>3750</v>
      </c>
      <c r="N170" s="9">
        <v>7835</v>
      </c>
      <c r="O170" s="9">
        <v>123465</v>
      </c>
      <c r="P170" s="7">
        <v>-3465</v>
      </c>
      <c r="Q170" s="152">
        <v>45327</v>
      </c>
    </row>
    <row r="171" spans="1:17" ht="15.75" thickBot="1" x14ac:dyDescent="0.3">
      <c r="A171" s="1">
        <v>2421</v>
      </c>
      <c r="B171" s="2" t="s">
        <v>367</v>
      </c>
      <c r="C171" s="2"/>
      <c r="D171" s="2"/>
      <c r="E171" s="3">
        <v>45305</v>
      </c>
      <c r="F171" s="3">
        <v>45331</v>
      </c>
      <c r="G171" s="4">
        <v>20</v>
      </c>
      <c r="H171" s="168"/>
      <c r="I171" s="168"/>
      <c r="J171" s="2" t="s">
        <v>550</v>
      </c>
      <c r="K171" s="7">
        <v>10000</v>
      </c>
      <c r="L171" s="7">
        <v>16000</v>
      </c>
      <c r="M171" s="21"/>
      <c r="N171" s="9">
        <v>16000</v>
      </c>
      <c r="O171" s="9">
        <v>16000</v>
      </c>
      <c r="P171" s="7">
        <v>0</v>
      </c>
      <c r="Q171" s="152">
        <v>45327</v>
      </c>
    </row>
    <row r="172" spans="1:17" ht="15.75" thickBot="1" x14ac:dyDescent="0.3">
      <c r="A172" s="1">
        <v>2427</v>
      </c>
      <c r="B172" s="2" t="s">
        <v>367</v>
      </c>
      <c r="C172" s="2"/>
      <c r="D172" s="2"/>
      <c r="E172" s="3">
        <v>45308</v>
      </c>
      <c r="F172" s="3">
        <v>45330</v>
      </c>
      <c r="G172" s="4">
        <v>16</v>
      </c>
      <c r="H172" s="168"/>
      <c r="I172" s="168"/>
      <c r="J172" s="2" t="s">
        <v>550</v>
      </c>
      <c r="K172" s="10">
        <v>5000</v>
      </c>
      <c r="L172" s="10">
        <v>8000</v>
      </c>
      <c r="M172" s="21"/>
      <c r="N172" s="9">
        <v>8000</v>
      </c>
      <c r="O172" s="9">
        <v>8000</v>
      </c>
      <c r="P172" s="7">
        <v>0</v>
      </c>
      <c r="Q172" s="152">
        <v>45327</v>
      </c>
    </row>
    <row r="173" spans="1:17" ht="15.75" thickBot="1" x14ac:dyDescent="0.3">
      <c r="A173" s="1">
        <v>2435</v>
      </c>
      <c r="B173" s="2" t="s">
        <v>367</v>
      </c>
      <c r="C173" s="2"/>
      <c r="D173" s="2"/>
      <c r="E173" s="3">
        <v>45313</v>
      </c>
      <c r="F173" s="3">
        <v>45330</v>
      </c>
      <c r="G173" s="4">
        <v>13</v>
      </c>
      <c r="H173" s="168"/>
      <c r="I173" s="168"/>
      <c r="J173" s="2" t="s">
        <v>550</v>
      </c>
      <c r="K173" s="10">
        <v>10000</v>
      </c>
      <c r="L173" s="10">
        <v>16000</v>
      </c>
      <c r="M173" s="8"/>
      <c r="N173" s="9">
        <v>16000</v>
      </c>
      <c r="O173" s="9">
        <v>16000</v>
      </c>
      <c r="P173" s="7">
        <v>0</v>
      </c>
      <c r="Q173" s="152">
        <v>45327</v>
      </c>
    </row>
    <row r="174" spans="1:17" ht="46.5" thickBot="1" x14ac:dyDescent="0.3">
      <c r="A174" s="1">
        <v>2169</v>
      </c>
      <c r="B174" s="2" t="s">
        <v>376</v>
      </c>
      <c r="C174" s="2"/>
      <c r="D174" s="2"/>
      <c r="E174" s="3">
        <v>45126</v>
      </c>
      <c r="F174" s="3">
        <v>45330</v>
      </c>
      <c r="G174" s="4">
        <v>146</v>
      </c>
      <c r="H174" s="168">
        <v>120</v>
      </c>
      <c r="I174" s="168">
        <v>26</v>
      </c>
      <c r="J174" s="6" t="s">
        <v>705</v>
      </c>
      <c r="K174" s="10">
        <v>30000</v>
      </c>
      <c r="L174" s="10">
        <v>60300</v>
      </c>
      <c r="M174" s="21">
        <v>2512.5</v>
      </c>
      <c r="N174" s="9">
        <v>10050</v>
      </c>
      <c r="O174" s="9">
        <v>60300</v>
      </c>
      <c r="P174" s="7">
        <v>0</v>
      </c>
      <c r="Q174" s="152">
        <v>45327</v>
      </c>
    </row>
    <row r="175" spans="1:17" ht="24" thickBot="1" x14ac:dyDescent="0.3">
      <c r="A175" s="1">
        <v>2398</v>
      </c>
      <c r="B175" s="2" t="s">
        <v>381</v>
      </c>
      <c r="C175" s="2"/>
      <c r="D175" s="2"/>
      <c r="E175" s="3">
        <v>45294</v>
      </c>
      <c r="F175" s="3">
        <v>45331</v>
      </c>
      <c r="G175" s="4">
        <v>27</v>
      </c>
      <c r="H175" s="168" t="e">
        <v>#VALUE!</v>
      </c>
      <c r="I175" s="168" t="e">
        <v>#VALUE!</v>
      </c>
      <c r="J175" s="6" t="s">
        <v>550</v>
      </c>
      <c r="K175" s="7">
        <v>15000</v>
      </c>
      <c r="L175" s="7">
        <v>22500</v>
      </c>
      <c r="M175" s="21" t="s">
        <v>143</v>
      </c>
      <c r="N175" s="9">
        <v>22500</v>
      </c>
      <c r="O175" s="9">
        <v>22500</v>
      </c>
      <c r="P175" s="7">
        <v>0</v>
      </c>
      <c r="Q175" s="152">
        <v>45327</v>
      </c>
    </row>
    <row r="176" spans="1:17" ht="35.25" thickBot="1" x14ac:dyDescent="0.3">
      <c r="A176" s="1">
        <v>2410</v>
      </c>
      <c r="B176" s="2" t="s">
        <v>551</v>
      </c>
      <c r="C176" s="2"/>
      <c r="D176" s="2"/>
      <c r="E176" s="3">
        <v>45301</v>
      </c>
      <c r="F176" s="3">
        <v>45323</v>
      </c>
      <c r="G176" s="4">
        <v>16</v>
      </c>
      <c r="H176" s="168" t="e">
        <v>#DIV/0!</v>
      </c>
      <c r="I176" s="168" t="e">
        <v>#DIV/0!</v>
      </c>
      <c r="J176" s="6" t="s">
        <v>550</v>
      </c>
      <c r="K176" s="10">
        <v>5000</v>
      </c>
      <c r="L176" s="10">
        <v>7500</v>
      </c>
      <c r="M176" s="8"/>
      <c r="N176" s="9">
        <v>8000</v>
      </c>
      <c r="O176" s="9">
        <v>8000</v>
      </c>
      <c r="P176" s="7">
        <v>-500</v>
      </c>
      <c r="Q176" s="152">
        <v>45327</v>
      </c>
    </row>
    <row r="177" spans="1:17" ht="46.5" thickBot="1" x14ac:dyDescent="0.3">
      <c r="A177" s="1">
        <v>2287</v>
      </c>
      <c r="B177" s="2" t="s">
        <v>151</v>
      </c>
      <c r="C177" s="2" t="s">
        <v>152</v>
      </c>
      <c r="D177" s="2" t="s">
        <v>627</v>
      </c>
      <c r="E177" s="3">
        <v>45208</v>
      </c>
      <c r="F177" s="3">
        <v>45308</v>
      </c>
      <c r="G177" s="4">
        <v>72</v>
      </c>
      <c r="H177" s="168">
        <v>72</v>
      </c>
      <c r="I177" s="168">
        <v>0</v>
      </c>
      <c r="J177" s="2" t="s">
        <v>182</v>
      </c>
      <c r="K177" s="10">
        <v>20000</v>
      </c>
      <c r="L177" s="10">
        <v>43200</v>
      </c>
      <c r="M177" s="8">
        <v>3000</v>
      </c>
      <c r="N177" s="9">
        <v>4200</v>
      </c>
      <c r="O177" s="9">
        <v>43200</v>
      </c>
      <c r="P177" s="10">
        <v>0</v>
      </c>
      <c r="Q177" s="152">
        <v>45334</v>
      </c>
    </row>
    <row r="178" spans="1:17" ht="46.5" thickBot="1" x14ac:dyDescent="0.3">
      <c r="A178" s="1">
        <v>2381</v>
      </c>
      <c r="B178" s="2" t="s">
        <v>151</v>
      </c>
      <c r="C178" s="2" t="s">
        <v>152</v>
      </c>
      <c r="D178" s="2" t="s">
        <v>627</v>
      </c>
      <c r="E178" s="3">
        <v>45280</v>
      </c>
      <c r="F178" s="3">
        <v>45380</v>
      </c>
      <c r="G178" s="4">
        <v>72</v>
      </c>
      <c r="H178" s="168">
        <v>72.028985507246375</v>
      </c>
      <c r="I178" s="168">
        <v>-2.8985507246375164E-2</v>
      </c>
      <c r="J178" s="2" t="s">
        <v>182</v>
      </c>
      <c r="K178" s="10">
        <v>23000</v>
      </c>
      <c r="L178" s="10">
        <v>49680</v>
      </c>
      <c r="M178" s="8">
        <v>3450</v>
      </c>
      <c r="N178" s="9">
        <v>29000</v>
      </c>
      <c r="O178" s="9">
        <v>49700</v>
      </c>
      <c r="P178" s="10">
        <v>-20</v>
      </c>
      <c r="Q178" s="152">
        <v>45334</v>
      </c>
    </row>
    <row r="179" spans="1:17" ht="35.25" thickBot="1" x14ac:dyDescent="0.3">
      <c r="A179" s="1">
        <v>2473</v>
      </c>
      <c r="B179" s="2" t="s">
        <v>600</v>
      </c>
      <c r="C179" s="2" t="s">
        <v>687</v>
      </c>
      <c r="D179" s="2"/>
      <c r="E179" s="3">
        <v>45336</v>
      </c>
      <c r="F179" s="3">
        <v>45338</v>
      </c>
      <c r="G179" s="4">
        <v>2</v>
      </c>
      <c r="H179" s="168" t="e">
        <v>#DIV/0!</v>
      </c>
      <c r="I179" s="168" t="e">
        <v>#DIV/0!</v>
      </c>
      <c r="J179" s="6" t="s">
        <v>550</v>
      </c>
      <c r="K179" s="10">
        <v>30000</v>
      </c>
      <c r="L179" s="10">
        <v>36000</v>
      </c>
      <c r="M179" s="8"/>
      <c r="N179" s="9">
        <v>36000</v>
      </c>
      <c r="O179" s="9">
        <v>36000</v>
      </c>
      <c r="P179" s="7">
        <v>0</v>
      </c>
      <c r="Q179" s="152">
        <v>45334</v>
      </c>
    </row>
    <row r="180" spans="1:17" ht="125.25" thickBot="1" x14ac:dyDescent="0.3">
      <c r="A180" s="1">
        <v>2342</v>
      </c>
      <c r="B180" s="2" t="s">
        <v>679</v>
      </c>
      <c r="C180" s="2" t="s">
        <v>213</v>
      </c>
      <c r="D180" s="2"/>
      <c r="E180" s="3">
        <v>45253</v>
      </c>
      <c r="F180" s="3">
        <v>45355</v>
      </c>
      <c r="G180" s="4">
        <v>72</v>
      </c>
      <c r="H180" s="168">
        <v>72</v>
      </c>
      <c r="I180" s="168">
        <v>0</v>
      </c>
      <c r="J180" s="2" t="s">
        <v>443</v>
      </c>
      <c r="K180" s="10">
        <v>300000</v>
      </c>
      <c r="L180" s="10">
        <v>648000</v>
      </c>
      <c r="M180" s="8">
        <v>45000</v>
      </c>
      <c r="N180" s="9">
        <v>153000</v>
      </c>
      <c r="O180" s="9">
        <v>648000</v>
      </c>
      <c r="P180" s="7">
        <v>0</v>
      </c>
      <c r="Q180" s="152">
        <v>45334</v>
      </c>
    </row>
    <row r="181" spans="1:17" ht="24" thickBot="1" x14ac:dyDescent="0.3">
      <c r="A181" s="1">
        <v>2129</v>
      </c>
      <c r="B181" s="2" t="s">
        <v>269</v>
      </c>
      <c r="C181" s="2"/>
      <c r="D181" s="2"/>
      <c r="E181" s="3">
        <v>45092</v>
      </c>
      <c r="F181" s="3">
        <v>45331</v>
      </c>
      <c r="G181" s="4">
        <v>171</v>
      </c>
      <c r="H181" s="168">
        <v>160</v>
      </c>
      <c r="I181" s="168">
        <v>11</v>
      </c>
      <c r="J181" s="6" t="s">
        <v>706</v>
      </c>
      <c r="K181" s="10">
        <v>50000</v>
      </c>
      <c r="L181" s="10">
        <v>135200</v>
      </c>
      <c r="M181" s="8">
        <v>4225</v>
      </c>
      <c r="N181" s="9">
        <v>16900</v>
      </c>
      <c r="O181" s="9">
        <v>135200</v>
      </c>
      <c r="P181" s="7">
        <v>0</v>
      </c>
      <c r="Q181" s="152">
        <v>45334</v>
      </c>
    </row>
    <row r="182" spans="1:17" ht="24" thickBot="1" x14ac:dyDescent="0.3">
      <c r="A182" s="1">
        <v>2446</v>
      </c>
      <c r="B182" s="2" t="s">
        <v>269</v>
      </c>
      <c r="C182" s="2"/>
      <c r="D182" s="2"/>
      <c r="E182" s="171">
        <v>45319</v>
      </c>
      <c r="F182" s="3">
        <v>45331</v>
      </c>
      <c r="G182" s="4">
        <v>10</v>
      </c>
      <c r="H182" s="168" t="e">
        <v>#VALUE!</v>
      </c>
      <c r="I182" s="168" t="e">
        <v>#VALUE!</v>
      </c>
      <c r="J182" s="6" t="s">
        <v>550</v>
      </c>
      <c r="K182" s="10">
        <v>50000</v>
      </c>
      <c r="L182" s="10">
        <v>65000</v>
      </c>
      <c r="M182" s="21" t="s">
        <v>143</v>
      </c>
      <c r="N182" s="9">
        <v>65000</v>
      </c>
      <c r="O182" s="9">
        <v>65000</v>
      </c>
      <c r="P182" s="7">
        <v>0</v>
      </c>
      <c r="Q182" s="152">
        <v>45334</v>
      </c>
    </row>
    <row r="183" spans="1:17" ht="37.5" thickBot="1" x14ac:dyDescent="0.3">
      <c r="A183" s="1">
        <v>2307</v>
      </c>
      <c r="B183" s="155" t="s">
        <v>579</v>
      </c>
      <c r="C183" s="155" t="s">
        <v>580</v>
      </c>
      <c r="D183" s="172">
        <v>12876451</v>
      </c>
      <c r="E183" s="3">
        <v>45222</v>
      </c>
      <c r="F183" s="156">
        <v>45322</v>
      </c>
      <c r="G183" s="4">
        <v>72</v>
      </c>
      <c r="H183" s="168">
        <v>72.222222222222229</v>
      </c>
      <c r="I183" s="168">
        <v>-0.22222222222222854</v>
      </c>
      <c r="J183" s="2" t="s">
        <v>318</v>
      </c>
      <c r="K183" s="10">
        <v>15000</v>
      </c>
      <c r="L183" s="10">
        <v>32400</v>
      </c>
      <c r="M183" s="8">
        <v>2250</v>
      </c>
      <c r="N183" s="9">
        <v>5000</v>
      </c>
      <c r="O183" s="9">
        <v>32500</v>
      </c>
      <c r="P183" s="7">
        <v>-100</v>
      </c>
      <c r="Q183" s="152">
        <v>45334</v>
      </c>
    </row>
    <row r="184" spans="1:17" ht="24" thickBot="1" x14ac:dyDescent="0.3">
      <c r="A184" s="1">
        <v>2465</v>
      </c>
      <c r="B184" s="2" t="s">
        <v>707</v>
      </c>
      <c r="C184" s="2"/>
      <c r="D184" s="2"/>
      <c r="E184" s="3">
        <v>45330</v>
      </c>
      <c r="F184" s="3">
        <v>45337</v>
      </c>
      <c r="G184" s="4">
        <v>5</v>
      </c>
      <c r="H184" s="168" t="e">
        <v>#DIV/0!</v>
      </c>
      <c r="I184" s="168" t="e">
        <v>#DIV/0!</v>
      </c>
      <c r="J184" s="2" t="s">
        <v>550</v>
      </c>
      <c r="K184" s="7">
        <v>20000</v>
      </c>
      <c r="L184" s="7">
        <v>26000</v>
      </c>
      <c r="M184" s="21"/>
      <c r="N184" s="9">
        <v>26000</v>
      </c>
      <c r="O184" s="9">
        <v>26000</v>
      </c>
      <c r="P184" s="7">
        <v>0</v>
      </c>
      <c r="Q184" s="152">
        <v>45334</v>
      </c>
    </row>
    <row r="185" spans="1:17" ht="57.75" thickBot="1" x14ac:dyDescent="0.3">
      <c r="A185" s="1">
        <v>2249</v>
      </c>
      <c r="B185" s="2" t="s">
        <v>708</v>
      </c>
      <c r="C185" s="2" t="s">
        <v>709</v>
      </c>
      <c r="D185" s="2"/>
      <c r="E185" s="3">
        <v>45181</v>
      </c>
      <c r="F185" s="3">
        <v>45335</v>
      </c>
      <c r="G185" s="4">
        <v>110</v>
      </c>
      <c r="H185" s="168">
        <v>110</v>
      </c>
      <c r="I185" s="168">
        <v>0</v>
      </c>
      <c r="J185" s="2" t="s">
        <v>710</v>
      </c>
      <c r="K185" s="10">
        <v>70000</v>
      </c>
      <c r="L185" s="10">
        <v>184800</v>
      </c>
      <c r="M185" s="8">
        <v>8400</v>
      </c>
      <c r="N185" s="9">
        <v>16800</v>
      </c>
      <c r="O185" s="9">
        <v>184800</v>
      </c>
      <c r="P185" s="7">
        <v>0</v>
      </c>
      <c r="Q185" s="152">
        <v>45334</v>
      </c>
    </row>
    <row r="186" spans="1:17" ht="57.75" thickBot="1" x14ac:dyDescent="0.3">
      <c r="A186" s="1">
        <v>2172</v>
      </c>
      <c r="B186" s="2" t="s">
        <v>711</v>
      </c>
      <c r="C186" s="2" t="s">
        <v>591</v>
      </c>
      <c r="D186" s="2"/>
      <c r="E186" s="3">
        <v>45129</v>
      </c>
      <c r="F186" s="3">
        <v>45230</v>
      </c>
      <c r="G186" s="29">
        <v>72</v>
      </c>
      <c r="H186" s="168">
        <v>100</v>
      </c>
      <c r="I186" s="168">
        <v>-28</v>
      </c>
      <c r="J186" s="2" t="s">
        <v>182</v>
      </c>
      <c r="K186" s="10">
        <v>20000</v>
      </c>
      <c r="L186" s="10">
        <v>60000</v>
      </c>
      <c r="M186" s="8">
        <v>3000</v>
      </c>
      <c r="N186" s="9">
        <v>20000</v>
      </c>
      <c r="O186" s="9">
        <v>60000</v>
      </c>
      <c r="P186" s="7">
        <v>0</v>
      </c>
      <c r="Q186" s="152">
        <v>45341</v>
      </c>
    </row>
    <row r="187" spans="1:17" ht="35.25" thickBot="1" x14ac:dyDescent="0.3">
      <c r="A187" s="1">
        <v>2237</v>
      </c>
      <c r="B187" s="2" t="s">
        <v>239</v>
      </c>
      <c r="C187" s="2" t="s">
        <v>712</v>
      </c>
      <c r="D187" s="2"/>
      <c r="E187" s="3">
        <v>45175</v>
      </c>
      <c r="F187" s="3">
        <v>45350</v>
      </c>
      <c r="G187" s="29">
        <v>125</v>
      </c>
      <c r="H187" s="168">
        <v>135</v>
      </c>
      <c r="I187" s="168">
        <v>-10</v>
      </c>
      <c r="J187" s="2" t="s">
        <v>713</v>
      </c>
      <c r="K187" s="10">
        <v>100000</v>
      </c>
      <c r="L187" s="10">
        <v>270000</v>
      </c>
      <c r="M187" s="8">
        <v>10000</v>
      </c>
      <c r="N187" s="9">
        <v>50000</v>
      </c>
      <c r="O187" s="9">
        <v>270000</v>
      </c>
      <c r="P187" s="7">
        <v>0</v>
      </c>
      <c r="Q187" s="152">
        <v>45341</v>
      </c>
    </row>
    <row r="188" spans="1:17" ht="35.25" thickBot="1" x14ac:dyDescent="0.3">
      <c r="A188" s="1">
        <v>2327</v>
      </c>
      <c r="B188" s="2" t="s">
        <v>242</v>
      </c>
      <c r="C188" s="2" t="s">
        <v>243</v>
      </c>
      <c r="D188" s="2"/>
      <c r="E188" s="3">
        <v>45237</v>
      </c>
      <c r="F188" s="3">
        <v>45337</v>
      </c>
      <c r="G188" s="29">
        <v>72</v>
      </c>
      <c r="H188" s="168">
        <v>72</v>
      </c>
      <c r="I188" s="168">
        <v>0</v>
      </c>
      <c r="J188" s="2" t="s">
        <v>576</v>
      </c>
      <c r="K188" s="10">
        <v>10000</v>
      </c>
      <c r="L188" s="10">
        <v>21600</v>
      </c>
      <c r="M188" s="8">
        <v>1500</v>
      </c>
      <c r="N188" s="9">
        <v>600</v>
      </c>
      <c r="O188" s="9">
        <v>21600</v>
      </c>
      <c r="P188" s="10">
        <v>0</v>
      </c>
      <c r="Q188" s="152">
        <v>45341</v>
      </c>
    </row>
    <row r="189" spans="1:17" ht="57.75" thickBot="1" x14ac:dyDescent="0.3">
      <c r="A189" s="1">
        <v>2196</v>
      </c>
      <c r="B189" s="2" t="s">
        <v>688</v>
      </c>
      <c r="C189" s="2" t="s">
        <v>689</v>
      </c>
      <c r="D189" s="2"/>
      <c r="E189" s="3">
        <v>45145</v>
      </c>
      <c r="F189" s="3">
        <v>45245</v>
      </c>
      <c r="G189" s="29">
        <v>72</v>
      </c>
      <c r="H189" s="168">
        <v>78.333333333333329</v>
      </c>
      <c r="I189" s="168">
        <v>-6.3333333333333286</v>
      </c>
      <c r="J189" s="2" t="s">
        <v>162</v>
      </c>
      <c r="K189" s="7">
        <v>60000</v>
      </c>
      <c r="L189" s="7">
        <v>141000</v>
      </c>
      <c r="M189" s="21">
        <v>9000</v>
      </c>
      <c r="N189" s="9">
        <v>29673</v>
      </c>
      <c r="O189" s="9">
        <v>141000</v>
      </c>
      <c r="P189" s="7">
        <v>0</v>
      </c>
      <c r="Q189" s="152">
        <v>45341</v>
      </c>
    </row>
    <row r="190" spans="1:17" ht="57.75" thickBot="1" x14ac:dyDescent="0.3">
      <c r="A190" s="1">
        <v>2133</v>
      </c>
      <c r="B190" s="2" t="s">
        <v>714</v>
      </c>
      <c r="C190" s="2" t="s">
        <v>715</v>
      </c>
      <c r="D190" s="2"/>
      <c r="E190" s="3">
        <v>45096</v>
      </c>
      <c r="F190" s="3">
        <v>45208</v>
      </c>
      <c r="G190" s="29">
        <v>80</v>
      </c>
      <c r="H190" s="168">
        <v>87.407407407407405</v>
      </c>
      <c r="I190" s="168">
        <v>-7.4074074074074048</v>
      </c>
      <c r="J190" s="16" t="s">
        <v>716</v>
      </c>
      <c r="K190" s="7">
        <v>20000</v>
      </c>
      <c r="L190" s="7">
        <v>47200</v>
      </c>
      <c r="M190" s="21">
        <v>2700</v>
      </c>
      <c r="N190" s="9">
        <v>15328</v>
      </c>
      <c r="O190" s="9">
        <v>47200</v>
      </c>
      <c r="P190" s="7">
        <v>0</v>
      </c>
      <c r="Q190" s="152">
        <v>45341</v>
      </c>
    </row>
    <row r="191" spans="1:17" ht="24" thickBot="1" x14ac:dyDescent="0.3">
      <c r="A191" s="1">
        <v>2476</v>
      </c>
      <c r="B191" s="2" t="s">
        <v>707</v>
      </c>
      <c r="C191" s="2"/>
      <c r="D191" s="2"/>
      <c r="E191" s="3">
        <v>45338</v>
      </c>
      <c r="F191" s="3">
        <v>45345</v>
      </c>
      <c r="G191" s="29">
        <v>5</v>
      </c>
      <c r="H191" s="168" t="e">
        <v>#DIV/0!</v>
      </c>
      <c r="I191" s="168" t="e">
        <v>#DIV/0!</v>
      </c>
      <c r="J191" s="6" t="s">
        <v>550</v>
      </c>
      <c r="K191" s="7">
        <v>20000</v>
      </c>
      <c r="L191" s="7">
        <v>26000</v>
      </c>
      <c r="M191" s="21"/>
      <c r="N191" s="9">
        <v>26000</v>
      </c>
      <c r="O191" s="9">
        <v>26000</v>
      </c>
      <c r="P191" s="7">
        <v>0</v>
      </c>
      <c r="Q191" s="152">
        <v>45341</v>
      </c>
    </row>
    <row r="192" spans="1:17" ht="46.5" thickBot="1" x14ac:dyDescent="0.3">
      <c r="A192" s="1">
        <v>2111</v>
      </c>
      <c r="B192" s="2" t="s">
        <v>321</v>
      </c>
      <c r="C192" s="2" t="s">
        <v>322</v>
      </c>
      <c r="D192" s="2"/>
      <c r="E192" s="3">
        <v>45082</v>
      </c>
      <c r="F192" s="3">
        <v>45334</v>
      </c>
      <c r="G192" s="29">
        <v>180</v>
      </c>
      <c r="H192" s="168">
        <v>160</v>
      </c>
      <c r="I192" s="168">
        <v>20</v>
      </c>
      <c r="J192" s="6" t="s">
        <v>717</v>
      </c>
      <c r="K192" s="7">
        <v>30000</v>
      </c>
      <c r="L192" s="7">
        <v>90520</v>
      </c>
      <c r="M192" s="21">
        <v>2828.75</v>
      </c>
      <c r="N192" s="9">
        <v>7235</v>
      </c>
      <c r="O192" s="9">
        <v>90520</v>
      </c>
      <c r="P192" s="7">
        <v>0</v>
      </c>
      <c r="Q192" s="152">
        <v>45341</v>
      </c>
    </row>
    <row r="193" spans="1:17" ht="46.5" thickBot="1" x14ac:dyDescent="0.3">
      <c r="A193" s="1">
        <v>2165</v>
      </c>
      <c r="B193" s="2" t="s">
        <v>321</v>
      </c>
      <c r="C193" s="2" t="s">
        <v>322</v>
      </c>
      <c r="D193" s="2"/>
      <c r="E193" s="3">
        <v>45124</v>
      </c>
      <c r="F193" s="3">
        <v>45369</v>
      </c>
      <c r="G193" s="29">
        <v>175</v>
      </c>
      <c r="H193" s="168">
        <v>160</v>
      </c>
      <c r="I193" s="168">
        <v>15</v>
      </c>
      <c r="J193" s="6" t="s">
        <v>717</v>
      </c>
      <c r="K193" s="7">
        <v>30000</v>
      </c>
      <c r="L193" s="7">
        <v>90520</v>
      </c>
      <c r="M193" s="21">
        <v>2828.75</v>
      </c>
      <c r="N193" s="9">
        <v>15740</v>
      </c>
      <c r="O193" s="9">
        <v>90520</v>
      </c>
      <c r="P193" s="7">
        <v>0</v>
      </c>
      <c r="Q193" s="152">
        <v>45341</v>
      </c>
    </row>
    <row r="194" spans="1:17" ht="46.5" thickBot="1" x14ac:dyDescent="0.3">
      <c r="A194" s="1">
        <v>2209</v>
      </c>
      <c r="B194" s="2" t="s">
        <v>321</v>
      </c>
      <c r="C194" s="2" t="s">
        <v>322</v>
      </c>
      <c r="D194" s="2"/>
      <c r="E194" s="3">
        <v>45154</v>
      </c>
      <c r="F194" s="3">
        <v>45406</v>
      </c>
      <c r="G194" s="29">
        <v>180</v>
      </c>
      <c r="H194" s="168">
        <v>160</v>
      </c>
      <c r="I194" s="168">
        <v>20</v>
      </c>
      <c r="J194" s="6" t="s">
        <v>718</v>
      </c>
      <c r="K194" s="7">
        <v>50000</v>
      </c>
      <c r="L194" s="7">
        <v>132000</v>
      </c>
      <c r="M194" s="8">
        <v>4125</v>
      </c>
      <c r="N194" s="9">
        <v>33000</v>
      </c>
      <c r="O194" s="9">
        <v>132000</v>
      </c>
      <c r="P194" s="7">
        <v>0</v>
      </c>
      <c r="Q194" s="152">
        <v>45341</v>
      </c>
    </row>
    <row r="195" spans="1:17" ht="35.25" thickBot="1" x14ac:dyDescent="0.3">
      <c r="A195" s="1">
        <v>2282</v>
      </c>
      <c r="B195" s="2" t="s">
        <v>385</v>
      </c>
      <c r="C195" s="2" t="s">
        <v>386</v>
      </c>
      <c r="D195" s="2"/>
      <c r="E195" s="3">
        <v>45206</v>
      </c>
      <c r="F195" s="3">
        <v>45307</v>
      </c>
      <c r="G195" s="29">
        <v>72</v>
      </c>
      <c r="H195" s="151">
        <v>72</v>
      </c>
      <c r="I195" s="151">
        <v>0</v>
      </c>
      <c r="J195" s="2" t="s">
        <v>182</v>
      </c>
      <c r="K195" s="7">
        <v>20000</v>
      </c>
      <c r="L195" s="7">
        <v>43200</v>
      </c>
      <c r="M195" s="21">
        <v>3000</v>
      </c>
      <c r="N195" s="9">
        <v>5200</v>
      </c>
      <c r="O195" s="9">
        <v>43200</v>
      </c>
      <c r="P195" s="7">
        <v>0</v>
      </c>
      <c r="Q195" s="152">
        <v>45341</v>
      </c>
    </row>
    <row r="196" spans="1:17" ht="24" thickBot="1" x14ac:dyDescent="0.3">
      <c r="A196" s="1">
        <v>2251</v>
      </c>
      <c r="B196" s="2" t="s">
        <v>658</v>
      </c>
      <c r="C196" s="2" t="s">
        <v>659</v>
      </c>
      <c r="D196" s="2"/>
      <c r="E196" s="3">
        <v>45182</v>
      </c>
      <c r="F196" s="3">
        <v>45282</v>
      </c>
      <c r="G196" s="29">
        <v>72</v>
      </c>
      <c r="H196" s="168">
        <v>73.083333333333329</v>
      </c>
      <c r="I196" s="168">
        <v>-1.0833333333333286</v>
      </c>
      <c r="J196" s="2" t="s">
        <v>161</v>
      </c>
      <c r="K196" s="7">
        <v>100000</v>
      </c>
      <c r="L196" s="10">
        <v>216000</v>
      </c>
      <c r="M196" s="8">
        <v>15000</v>
      </c>
      <c r="N196" s="9">
        <v>34250</v>
      </c>
      <c r="O196" s="9">
        <v>219250</v>
      </c>
      <c r="P196" s="7">
        <v>-3250</v>
      </c>
      <c r="Q196" s="152">
        <v>45348</v>
      </c>
    </row>
    <row r="197" spans="1:17" ht="35.25" thickBot="1" x14ac:dyDescent="0.3">
      <c r="A197" s="1">
        <v>2481</v>
      </c>
      <c r="B197" s="2" t="s">
        <v>600</v>
      </c>
      <c r="C197" s="2" t="s">
        <v>687</v>
      </c>
      <c r="D197" s="2"/>
      <c r="E197" s="3">
        <v>45339</v>
      </c>
      <c r="F197" s="3">
        <v>45352</v>
      </c>
      <c r="G197" s="29">
        <v>10</v>
      </c>
      <c r="H197" s="168" t="e">
        <v>#DIV/0!</v>
      </c>
      <c r="I197" s="168" t="e">
        <v>#DIV/0!</v>
      </c>
      <c r="J197" s="6" t="s">
        <v>550</v>
      </c>
      <c r="K197" s="7">
        <v>20000</v>
      </c>
      <c r="L197" s="7">
        <v>29000</v>
      </c>
      <c r="M197" s="21"/>
      <c r="N197" s="9">
        <v>29000</v>
      </c>
      <c r="O197" s="9">
        <v>29000</v>
      </c>
      <c r="P197" s="7">
        <v>0</v>
      </c>
      <c r="Q197" s="152">
        <v>45348</v>
      </c>
    </row>
    <row r="198" spans="1:17" ht="35.25" thickBot="1" x14ac:dyDescent="0.3">
      <c r="A198" s="1">
        <v>2311</v>
      </c>
      <c r="B198" s="2" t="s">
        <v>719</v>
      </c>
      <c r="C198" s="2" t="s">
        <v>208</v>
      </c>
      <c r="D198" s="2"/>
      <c r="E198" s="3">
        <v>45224</v>
      </c>
      <c r="F198" s="3">
        <v>45324</v>
      </c>
      <c r="G198" s="29">
        <v>72</v>
      </c>
      <c r="H198" s="168">
        <v>72</v>
      </c>
      <c r="I198" s="168">
        <v>0</v>
      </c>
      <c r="J198" s="2" t="s">
        <v>182</v>
      </c>
      <c r="K198" s="10">
        <v>20000</v>
      </c>
      <c r="L198" s="10">
        <v>43200</v>
      </c>
      <c r="M198" s="8">
        <v>3000</v>
      </c>
      <c r="N198" s="9">
        <v>1200</v>
      </c>
      <c r="O198" s="9">
        <v>43200</v>
      </c>
      <c r="P198" s="7">
        <v>0</v>
      </c>
      <c r="Q198" s="152">
        <v>45348</v>
      </c>
    </row>
    <row r="199" spans="1:17" ht="24" thickBot="1" x14ac:dyDescent="0.3">
      <c r="A199" s="1">
        <v>2493</v>
      </c>
      <c r="B199" s="2" t="s">
        <v>707</v>
      </c>
      <c r="C199" s="2"/>
      <c r="D199" s="2"/>
      <c r="E199" s="3">
        <v>45346</v>
      </c>
      <c r="F199" s="3">
        <v>45352</v>
      </c>
      <c r="G199" s="29">
        <v>5</v>
      </c>
      <c r="H199" s="168" t="e">
        <v>#DIV/0!</v>
      </c>
      <c r="I199" s="168" t="e">
        <v>#DIV/0!</v>
      </c>
      <c r="J199" s="2" t="s">
        <v>550</v>
      </c>
      <c r="K199" s="10">
        <v>20000</v>
      </c>
      <c r="L199" s="10">
        <v>26000</v>
      </c>
      <c r="M199" s="8"/>
      <c r="N199" s="9">
        <v>26000</v>
      </c>
      <c r="O199" s="9">
        <v>26000</v>
      </c>
      <c r="P199" s="7">
        <v>0</v>
      </c>
      <c r="Q199" s="152">
        <v>45348</v>
      </c>
    </row>
    <row r="200" spans="1:17" ht="35.25" thickBot="1" x14ac:dyDescent="0.3">
      <c r="A200" s="1">
        <v>2460</v>
      </c>
      <c r="B200" s="2" t="s">
        <v>562</v>
      </c>
      <c r="C200" s="2" t="s">
        <v>563</v>
      </c>
      <c r="D200" s="2"/>
      <c r="E200" s="3">
        <v>45328</v>
      </c>
      <c r="F200" s="3">
        <v>45335</v>
      </c>
      <c r="G200" s="29">
        <v>5</v>
      </c>
      <c r="H200" s="168" t="e">
        <v>#DIV/0!</v>
      </c>
      <c r="I200" s="168" t="e">
        <v>#DIV/0!</v>
      </c>
      <c r="J200" s="6" t="s">
        <v>550</v>
      </c>
      <c r="K200" s="10">
        <v>20000</v>
      </c>
      <c r="L200" s="10">
        <v>30000</v>
      </c>
      <c r="M200" s="21"/>
      <c r="N200" s="9">
        <v>30000</v>
      </c>
      <c r="O200" s="9">
        <v>30000</v>
      </c>
      <c r="P200" s="7">
        <v>0</v>
      </c>
      <c r="Q200" s="152">
        <v>45348</v>
      </c>
    </row>
    <row r="201" spans="1:17" ht="46.5" thickBot="1" x14ac:dyDescent="0.3">
      <c r="A201" s="1">
        <v>2346</v>
      </c>
      <c r="B201" s="2" t="s">
        <v>720</v>
      </c>
      <c r="C201" s="2" t="s">
        <v>466</v>
      </c>
      <c r="D201" s="2"/>
      <c r="E201" s="3">
        <v>45254</v>
      </c>
      <c r="F201" s="3">
        <v>45356</v>
      </c>
      <c r="G201" s="29">
        <v>72</v>
      </c>
      <c r="H201" s="151">
        <v>72</v>
      </c>
      <c r="I201" s="151">
        <v>0</v>
      </c>
      <c r="J201" s="2" t="s">
        <v>576</v>
      </c>
      <c r="K201" s="7">
        <v>10000</v>
      </c>
      <c r="L201" s="7">
        <v>21600</v>
      </c>
      <c r="M201" s="21">
        <v>1500</v>
      </c>
      <c r="N201" s="9">
        <v>2100</v>
      </c>
      <c r="O201" s="9">
        <v>21600</v>
      </c>
      <c r="P201" s="7">
        <v>0</v>
      </c>
      <c r="Q201" s="152">
        <v>45348</v>
      </c>
    </row>
    <row r="202" spans="1:17" ht="24" thickBot="1" x14ac:dyDescent="0.3">
      <c r="A202" s="1">
        <v>2233</v>
      </c>
      <c r="B202" s="2" t="s">
        <v>721</v>
      </c>
      <c r="C202" s="2"/>
      <c r="D202" s="2">
        <v>22375673</v>
      </c>
      <c r="E202" s="3">
        <v>45170</v>
      </c>
      <c r="F202" s="3">
        <v>45362</v>
      </c>
      <c r="G202" s="29">
        <v>136</v>
      </c>
      <c r="H202" s="168">
        <v>120</v>
      </c>
      <c r="I202" s="168">
        <v>16</v>
      </c>
      <c r="J202" s="6" t="s">
        <v>722</v>
      </c>
      <c r="K202" s="10">
        <v>40000</v>
      </c>
      <c r="L202" s="10">
        <v>111000</v>
      </c>
      <c r="M202" s="8">
        <v>4625</v>
      </c>
      <c r="N202" s="9">
        <v>18500</v>
      </c>
      <c r="O202" s="9">
        <v>111000</v>
      </c>
      <c r="P202" s="10">
        <v>0</v>
      </c>
      <c r="Q202" s="152">
        <v>45355</v>
      </c>
    </row>
    <row r="203" spans="1:17" ht="35.25" thickBot="1" x14ac:dyDescent="0.3">
      <c r="A203" s="1">
        <v>2458</v>
      </c>
      <c r="B203" s="2" t="s">
        <v>600</v>
      </c>
      <c r="C203" s="2" t="s">
        <v>687</v>
      </c>
      <c r="D203" s="2"/>
      <c r="E203" s="3">
        <v>45327</v>
      </c>
      <c r="F203" s="3">
        <v>45355</v>
      </c>
      <c r="G203" s="29">
        <v>20</v>
      </c>
      <c r="H203" s="168" t="e">
        <v>#DIV/0!</v>
      </c>
      <c r="I203" s="168" t="e">
        <v>#DIV/0!</v>
      </c>
      <c r="J203" s="6" t="s">
        <v>550</v>
      </c>
      <c r="K203" s="10">
        <v>100000</v>
      </c>
      <c r="L203" s="10">
        <v>140000</v>
      </c>
      <c r="M203" s="8"/>
      <c r="N203" s="9">
        <v>75000</v>
      </c>
      <c r="O203" s="9">
        <v>140000</v>
      </c>
      <c r="P203" s="7">
        <v>0</v>
      </c>
      <c r="Q203" s="152">
        <v>45355</v>
      </c>
    </row>
    <row r="204" spans="1:17" ht="80.25" thickBot="1" x14ac:dyDescent="0.3">
      <c r="A204" s="1">
        <v>2281</v>
      </c>
      <c r="B204" s="2" t="s">
        <v>191</v>
      </c>
      <c r="C204" s="2" t="s">
        <v>192</v>
      </c>
      <c r="D204" s="2" t="s">
        <v>723</v>
      </c>
      <c r="E204" s="3">
        <v>45205</v>
      </c>
      <c r="F204" s="3">
        <v>45359</v>
      </c>
      <c r="G204" s="29">
        <v>110</v>
      </c>
      <c r="H204" s="168">
        <v>110</v>
      </c>
      <c r="I204" s="168">
        <v>0</v>
      </c>
      <c r="J204" s="10" t="s">
        <v>279</v>
      </c>
      <c r="K204" s="8">
        <v>100000</v>
      </c>
      <c r="L204" s="10">
        <v>264000</v>
      </c>
      <c r="M204" s="8">
        <v>12000</v>
      </c>
      <c r="N204" s="9">
        <v>12000</v>
      </c>
      <c r="O204" s="9">
        <v>264000</v>
      </c>
      <c r="P204" s="7">
        <v>0</v>
      </c>
      <c r="Q204" s="152">
        <v>45355</v>
      </c>
    </row>
    <row r="205" spans="1:17" ht="24" thickBot="1" x14ac:dyDescent="0.3">
      <c r="A205" s="1">
        <v>2341</v>
      </c>
      <c r="B205" s="2" t="s">
        <v>230</v>
      </c>
      <c r="C205" s="2" t="s">
        <v>231</v>
      </c>
      <c r="D205" s="2">
        <v>14154231</v>
      </c>
      <c r="E205" s="3">
        <v>45253</v>
      </c>
      <c r="F205" s="3">
        <v>45355</v>
      </c>
      <c r="G205" s="29">
        <v>72</v>
      </c>
      <c r="H205" s="169">
        <v>72</v>
      </c>
      <c r="I205" s="169">
        <v>0</v>
      </c>
      <c r="J205" s="2" t="s">
        <v>318</v>
      </c>
      <c r="K205" s="10">
        <v>15000</v>
      </c>
      <c r="L205" s="10">
        <v>32400</v>
      </c>
      <c r="M205" s="8">
        <v>2250</v>
      </c>
      <c r="N205" s="9">
        <v>5400</v>
      </c>
      <c r="O205" s="9">
        <v>32400</v>
      </c>
      <c r="P205" s="7">
        <v>0</v>
      </c>
      <c r="Q205" s="152">
        <v>45355</v>
      </c>
    </row>
    <row r="206" spans="1:17" ht="24" thickBot="1" x14ac:dyDescent="0.3">
      <c r="A206" s="1">
        <v>2507</v>
      </c>
      <c r="B206" s="2" t="s">
        <v>707</v>
      </c>
      <c r="C206" s="2"/>
      <c r="D206" s="2"/>
      <c r="E206" s="3">
        <v>45353</v>
      </c>
      <c r="F206" s="3">
        <v>45359</v>
      </c>
      <c r="G206" s="29">
        <v>5</v>
      </c>
      <c r="H206" s="168" t="e">
        <v>#DIV/0!</v>
      </c>
      <c r="I206" s="168" t="e">
        <v>#DIV/0!</v>
      </c>
      <c r="J206" s="2" t="s">
        <v>550</v>
      </c>
      <c r="K206" s="7">
        <v>10000</v>
      </c>
      <c r="L206" s="7">
        <v>13000</v>
      </c>
      <c r="M206" s="21"/>
      <c r="N206" s="9">
        <v>13000</v>
      </c>
      <c r="O206" s="9">
        <v>13000</v>
      </c>
      <c r="P206" s="7">
        <v>0</v>
      </c>
      <c r="Q206" s="152">
        <v>45355</v>
      </c>
    </row>
    <row r="207" spans="1:17" ht="46.5" thickBot="1" x14ac:dyDescent="0.3">
      <c r="A207" s="1">
        <v>2319</v>
      </c>
      <c r="B207" s="2" t="s">
        <v>310</v>
      </c>
      <c r="C207" s="2" t="s">
        <v>314</v>
      </c>
      <c r="D207" s="2" t="s">
        <v>724</v>
      </c>
      <c r="E207" s="3">
        <v>45230</v>
      </c>
      <c r="F207" s="3">
        <v>45330</v>
      </c>
      <c r="G207" s="29">
        <v>72</v>
      </c>
      <c r="H207" s="5">
        <v>72</v>
      </c>
      <c r="I207" s="5">
        <v>0</v>
      </c>
      <c r="J207" s="2" t="s">
        <v>227</v>
      </c>
      <c r="K207" s="7">
        <v>50000</v>
      </c>
      <c r="L207" s="7">
        <v>108000</v>
      </c>
      <c r="M207" s="21">
        <v>7500</v>
      </c>
      <c r="N207" s="9">
        <v>4500</v>
      </c>
      <c r="O207" s="9">
        <v>108000</v>
      </c>
      <c r="P207" s="7">
        <v>0</v>
      </c>
      <c r="Q207" s="152">
        <v>45355</v>
      </c>
    </row>
    <row r="208" spans="1:17" ht="15.75" thickBot="1" x14ac:dyDescent="0.3">
      <c r="A208" s="1">
        <v>2469</v>
      </c>
      <c r="B208" s="2" t="s">
        <v>367</v>
      </c>
      <c r="C208" s="2"/>
      <c r="D208" s="2"/>
      <c r="E208" s="173">
        <v>45333</v>
      </c>
      <c r="F208" s="3">
        <v>45359</v>
      </c>
      <c r="G208" s="29">
        <v>20</v>
      </c>
      <c r="H208" s="151" t="e">
        <v>#DIV/0!</v>
      </c>
      <c r="I208" s="151" t="e">
        <v>#DIV/0!</v>
      </c>
      <c r="J208" s="2" t="s">
        <v>550</v>
      </c>
      <c r="K208" s="10">
        <v>5000</v>
      </c>
      <c r="L208" s="10">
        <v>8000</v>
      </c>
      <c r="M208" s="21"/>
      <c r="N208" s="9">
        <v>8000</v>
      </c>
      <c r="O208" s="9">
        <v>8000</v>
      </c>
      <c r="P208" s="7">
        <v>0</v>
      </c>
      <c r="Q208" s="152">
        <v>45355</v>
      </c>
    </row>
    <row r="209" spans="1:17" ht="15.75" thickBot="1" x14ac:dyDescent="0.3">
      <c r="A209" s="1">
        <v>2482</v>
      </c>
      <c r="B209" s="2" t="s">
        <v>367</v>
      </c>
      <c r="C209" s="2"/>
      <c r="D209" s="2"/>
      <c r="E209" s="173">
        <v>45341</v>
      </c>
      <c r="F209" s="3">
        <v>45359</v>
      </c>
      <c r="G209" s="29">
        <v>14</v>
      </c>
      <c r="H209" s="151" t="e">
        <v>#DIV/0!</v>
      </c>
      <c r="I209" s="151" t="e">
        <v>#DIV/0!</v>
      </c>
      <c r="J209" s="6" t="s">
        <v>550</v>
      </c>
      <c r="K209" s="10">
        <v>5000</v>
      </c>
      <c r="L209" s="10">
        <v>8000</v>
      </c>
      <c r="M209" s="8"/>
      <c r="N209" s="9">
        <v>8000</v>
      </c>
      <c r="O209" s="9">
        <v>8000</v>
      </c>
      <c r="P209" s="7">
        <v>0</v>
      </c>
      <c r="Q209" s="152">
        <v>45355</v>
      </c>
    </row>
    <row r="210" spans="1:17" ht="15.75" thickBot="1" x14ac:dyDescent="0.3">
      <c r="A210" s="1">
        <v>2494</v>
      </c>
      <c r="B210" s="2" t="s">
        <v>367</v>
      </c>
      <c r="C210" s="2"/>
      <c r="D210" s="2"/>
      <c r="E210" s="3">
        <v>45346</v>
      </c>
      <c r="F210" s="3">
        <v>45359</v>
      </c>
      <c r="G210" s="29">
        <v>10</v>
      </c>
      <c r="H210" s="168" t="e">
        <v>#DIV/0!</v>
      </c>
      <c r="I210" s="168" t="e">
        <v>#DIV/0!</v>
      </c>
      <c r="J210" s="2" t="s">
        <v>550</v>
      </c>
      <c r="K210" s="10">
        <v>5000</v>
      </c>
      <c r="L210" s="10">
        <v>8000</v>
      </c>
      <c r="M210" s="21"/>
      <c r="N210" s="9">
        <v>8000</v>
      </c>
      <c r="O210" s="9">
        <v>8000</v>
      </c>
      <c r="P210" s="7">
        <v>0</v>
      </c>
      <c r="Q210" s="152">
        <v>45355</v>
      </c>
    </row>
    <row r="211" spans="1:17" ht="46.5" thickBot="1" x14ac:dyDescent="0.3">
      <c r="A211" s="1">
        <v>2217</v>
      </c>
      <c r="B211" s="2" t="s">
        <v>376</v>
      </c>
      <c r="C211" s="2"/>
      <c r="D211" s="2"/>
      <c r="E211" s="3">
        <v>45160</v>
      </c>
      <c r="F211" s="3">
        <v>45362</v>
      </c>
      <c r="G211" s="29">
        <v>144</v>
      </c>
      <c r="H211" s="168">
        <v>120</v>
      </c>
      <c r="I211" s="168">
        <v>24</v>
      </c>
      <c r="J211" s="6" t="s">
        <v>725</v>
      </c>
      <c r="K211" s="10">
        <v>30000</v>
      </c>
      <c r="L211" s="10">
        <v>64800</v>
      </c>
      <c r="M211" s="8">
        <v>2700</v>
      </c>
      <c r="N211" s="9">
        <v>10800</v>
      </c>
      <c r="O211" s="9">
        <v>64800</v>
      </c>
      <c r="P211" s="7">
        <v>0</v>
      </c>
      <c r="Q211" s="152">
        <v>45355</v>
      </c>
    </row>
    <row r="212" spans="1:17" ht="24" thickBot="1" x14ac:dyDescent="0.3">
      <c r="A212" s="1">
        <v>2253</v>
      </c>
      <c r="B212" s="2" t="s">
        <v>381</v>
      </c>
      <c r="C212" s="2"/>
      <c r="D212" s="2"/>
      <c r="E212" s="3">
        <v>45184</v>
      </c>
      <c r="F212" s="3">
        <v>45359</v>
      </c>
      <c r="G212" s="29">
        <v>125</v>
      </c>
      <c r="H212" s="151">
        <v>120</v>
      </c>
      <c r="I212" s="151">
        <v>5</v>
      </c>
      <c r="J212" s="6" t="s">
        <v>726</v>
      </c>
      <c r="K212" s="7">
        <v>100000</v>
      </c>
      <c r="L212" s="7">
        <v>216000</v>
      </c>
      <c r="M212" s="21">
        <v>9000</v>
      </c>
      <c r="N212" s="9">
        <v>36000</v>
      </c>
      <c r="O212" s="9">
        <v>216000</v>
      </c>
      <c r="P212" s="7">
        <v>0</v>
      </c>
      <c r="Q212" s="152">
        <v>45355</v>
      </c>
    </row>
    <row r="213" spans="1:17" ht="46.5" thickBot="1" x14ac:dyDescent="0.3">
      <c r="A213" s="1">
        <v>2250</v>
      </c>
      <c r="B213" s="2" t="s">
        <v>390</v>
      </c>
      <c r="C213" s="2" t="s">
        <v>391</v>
      </c>
      <c r="D213" s="2"/>
      <c r="E213" s="3">
        <v>45182</v>
      </c>
      <c r="F213" s="3">
        <v>45364</v>
      </c>
      <c r="G213" s="29">
        <v>130</v>
      </c>
      <c r="H213" s="151">
        <v>130</v>
      </c>
      <c r="I213" s="151">
        <v>0</v>
      </c>
      <c r="J213" s="2" t="s">
        <v>652</v>
      </c>
      <c r="K213" s="7">
        <v>100000</v>
      </c>
      <c r="L213" s="7">
        <v>260000</v>
      </c>
      <c r="M213" s="21">
        <v>10000</v>
      </c>
      <c r="N213" s="9">
        <v>30000</v>
      </c>
      <c r="O213" s="9">
        <v>260000</v>
      </c>
      <c r="P213" s="7">
        <v>0</v>
      </c>
      <c r="Q213" s="152">
        <v>45355</v>
      </c>
    </row>
    <row r="214" spans="1:17" ht="57.75" thickBot="1" x14ac:dyDescent="0.3">
      <c r="A214" s="1">
        <v>2361</v>
      </c>
      <c r="B214" s="2" t="s">
        <v>692</v>
      </c>
      <c r="C214" s="2" t="s">
        <v>394</v>
      </c>
      <c r="D214" s="2" t="s">
        <v>395</v>
      </c>
      <c r="E214" s="3">
        <v>45265</v>
      </c>
      <c r="F214" s="156">
        <v>45365</v>
      </c>
      <c r="G214" s="29">
        <v>72</v>
      </c>
      <c r="H214" s="151">
        <v>72</v>
      </c>
      <c r="I214" s="151">
        <v>0</v>
      </c>
      <c r="J214" s="2" t="s">
        <v>181</v>
      </c>
      <c r="K214" s="10">
        <v>30000</v>
      </c>
      <c r="L214" s="10">
        <v>64800</v>
      </c>
      <c r="M214" s="21">
        <v>4500</v>
      </c>
      <c r="N214" s="9">
        <v>10300</v>
      </c>
      <c r="O214" s="9">
        <v>64800</v>
      </c>
      <c r="P214" s="7">
        <v>0</v>
      </c>
      <c r="Q214" s="152">
        <v>45355</v>
      </c>
    </row>
    <row r="215" spans="1:17" ht="35.25" thickBot="1" x14ac:dyDescent="0.3">
      <c r="A215" s="1">
        <v>2259</v>
      </c>
      <c r="B215" s="2" t="s">
        <v>546</v>
      </c>
      <c r="C215" s="2" t="s">
        <v>547</v>
      </c>
      <c r="D215" s="2"/>
      <c r="E215" s="3">
        <v>45188</v>
      </c>
      <c r="F215" s="3">
        <v>45362</v>
      </c>
      <c r="G215" s="29">
        <v>124</v>
      </c>
      <c r="H215" s="151">
        <v>120</v>
      </c>
      <c r="I215" s="151">
        <v>4</v>
      </c>
      <c r="J215" s="6" t="s">
        <v>588</v>
      </c>
      <c r="K215" s="10">
        <v>20000</v>
      </c>
      <c r="L215" s="10">
        <v>52800</v>
      </c>
      <c r="M215" s="8">
        <v>2200</v>
      </c>
      <c r="N215" s="9">
        <v>8800</v>
      </c>
      <c r="O215" s="9">
        <v>52800</v>
      </c>
      <c r="P215" s="7">
        <v>0</v>
      </c>
      <c r="Q215" s="152">
        <v>45355</v>
      </c>
    </row>
    <row r="216" spans="1:17" ht="15.75" thickBot="1" x14ac:dyDescent="0.3">
      <c r="A216" s="17">
        <v>2499</v>
      </c>
      <c r="B216" s="2" t="s">
        <v>727</v>
      </c>
      <c r="C216" s="2"/>
      <c r="D216" s="2"/>
      <c r="E216" s="3">
        <v>45349</v>
      </c>
      <c r="F216" s="3">
        <v>45359</v>
      </c>
      <c r="G216" s="4">
        <v>8</v>
      </c>
      <c r="H216" s="151" t="e">
        <v>#DIV/0!</v>
      </c>
      <c r="I216" s="151" t="e">
        <v>#DIV/0!</v>
      </c>
      <c r="J216" s="6" t="s">
        <v>550</v>
      </c>
      <c r="K216" s="7">
        <v>5000</v>
      </c>
      <c r="L216" s="7">
        <v>8000</v>
      </c>
      <c r="M216" s="21"/>
      <c r="N216" s="9">
        <v>8000</v>
      </c>
      <c r="O216" s="9">
        <v>8000</v>
      </c>
      <c r="P216" s="7">
        <v>0</v>
      </c>
      <c r="Q216" s="152">
        <v>45355</v>
      </c>
    </row>
    <row r="217" spans="1:17" ht="35.25" thickBot="1" x14ac:dyDescent="0.3">
      <c r="A217" s="1">
        <v>2422</v>
      </c>
      <c r="B217" s="2" t="s">
        <v>551</v>
      </c>
      <c r="C217" s="2"/>
      <c r="D217" s="2"/>
      <c r="E217" s="3">
        <v>45306</v>
      </c>
      <c r="F217" s="3">
        <v>45359</v>
      </c>
      <c r="G217" s="29">
        <v>39</v>
      </c>
      <c r="H217" s="151" t="e">
        <v>#DIV/0!</v>
      </c>
      <c r="I217" s="151" t="e">
        <v>#DIV/0!</v>
      </c>
      <c r="J217" s="6" t="s">
        <v>550</v>
      </c>
      <c r="K217" s="10">
        <v>5000</v>
      </c>
      <c r="L217" s="10">
        <v>9200</v>
      </c>
      <c r="M217" s="21"/>
      <c r="N217" s="9">
        <v>3200</v>
      </c>
      <c r="O217" s="9">
        <v>9200</v>
      </c>
      <c r="P217" s="7">
        <v>0</v>
      </c>
      <c r="Q217" s="152">
        <v>45355</v>
      </c>
    </row>
    <row r="218" spans="1:17" ht="35.25" thickBot="1" x14ac:dyDescent="0.3">
      <c r="A218" s="1">
        <v>2453</v>
      </c>
      <c r="B218" s="2" t="s">
        <v>551</v>
      </c>
      <c r="C218" s="2"/>
      <c r="D218" s="2"/>
      <c r="E218" s="3">
        <v>45301</v>
      </c>
      <c r="F218" s="3">
        <v>45359</v>
      </c>
      <c r="G218" s="29">
        <v>42</v>
      </c>
      <c r="H218" s="151" t="e">
        <v>#DIV/0!</v>
      </c>
      <c r="I218" s="151" t="e">
        <v>#DIV/0!</v>
      </c>
      <c r="J218" s="6" t="s">
        <v>550</v>
      </c>
      <c r="K218" s="7">
        <v>5000</v>
      </c>
      <c r="L218" s="7">
        <v>12800</v>
      </c>
      <c r="M218" s="21"/>
      <c r="N218" s="9">
        <v>12800</v>
      </c>
      <c r="O218" s="9">
        <v>12800</v>
      </c>
      <c r="P218" s="7">
        <v>0</v>
      </c>
      <c r="Q218" s="152">
        <v>45355</v>
      </c>
    </row>
    <row r="219" spans="1:17" ht="80.25" thickBot="1" x14ac:dyDescent="0.3">
      <c r="A219" s="1">
        <v>1958</v>
      </c>
      <c r="B219" s="2" t="s">
        <v>568</v>
      </c>
      <c r="C219" s="2" t="s">
        <v>432</v>
      </c>
      <c r="D219" s="2"/>
      <c r="E219" s="3">
        <v>44945</v>
      </c>
      <c r="F219" s="3">
        <v>45331</v>
      </c>
      <c r="G219" s="29">
        <v>276</v>
      </c>
      <c r="H219" s="151">
        <v>240</v>
      </c>
      <c r="I219" s="151">
        <v>36</v>
      </c>
      <c r="J219" s="6" t="s">
        <v>728</v>
      </c>
      <c r="K219" s="10">
        <v>130000</v>
      </c>
      <c r="L219" s="10">
        <v>390000</v>
      </c>
      <c r="M219" s="8">
        <v>8125</v>
      </c>
      <c r="N219" s="43">
        <v>32250</v>
      </c>
      <c r="O219" s="43">
        <v>390000</v>
      </c>
      <c r="P219" s="10">
        <v>0</v>
      </c>
      <c r="Q219" s="152">
        <v>45355</v>
      </c>
    </row>
    <row r="220" spans="1:17" ht="35.25" thickBot="1" x14ac:dyDescent="0.3">
      <c r="A220" s="17">
        <v>2520</v>
      </c>
      <c r="B220" s="2" t="s">
        <v>600</v>
      </c>
      <c r="C220" s="2" t="s">
        <v>687</v>
      </c>
      <c r="D220" s="2"/>
      <c r="E220" s="3">
        <v>45363</v>
      </c>
      <c r="F220" s="3">
        <v>45369</v>
      </c>
      <c r="G220" s="29">
        <v>4</v>
      </c>
      <c r="H220" s="168" t="e">
        <v>#DIV/0!</v>
      </c>
      <c r="I220" s="168" t="e">
        <v>#DIV/0!</v>
      </c>
      <c r="J220" s="6" t="s">
        <v>550</v>
      </c>
      <c r="K220" s="7">
        <v>20000</v>
      </c>
      <c r="L220" s="7">
        <v>26000</v>
      </c>
      <c r="M220" s="21"/>
      <c r="N220" s="9">
        <v>26000</v>
      </c>
      <c r="O220" s="9">
        <v>26000</v>
      </c>
      <c r="P220" s="7">
        <v>0</v>
      </c>
      <c r="Q220" s="152">
        <v>45362</v>
      </c>
    </row>
    <row r="221" spans="1:17" ht="35.25" thickBot="1" x14ac:dyDescent="0.3">
      <c r="A221" s="1">
        <v>2326</v>
      </c>
      <c r="B221" s="2" t="s">
        <v>204</v>
      </c>
      <c r="C221" s="2" t="s">
        <v>205</v>
      </c>
      <c r="D221" s="2"/>
      <c r="E221" s="3">
        <v>45237</v>
      </c>
      <c r="F221" s="3">
        <v>45356</v>
      </c>
      <c r="G221" s="29">
        <v>85</v>
      </c>
      <c r="H221" s="168">
        <v>80</v>
      </c>
      <c r="I221" s="168">
        <v>5</v>
      </c>
      <c r="J221" s="6" t="s">
        <v>729</v>
      </c>
      <c r="K221" s="10">
        <v>30000</v>
      </c>
      <c r="L221" s="10">
        <v>64800</v>
      </c>
      <c r="M221" s="8">
        <v>4050</v>
      </c>
      <c r="N221" s="9">
        <v>16200</v>
      </c>
      <c r="O221" s="9">
        <v>64800</v>
      </c>
      <c r="P221" s="7">
        <v>0</v>
      </c>
      <c r="Q221" s="152">
        <v>45362</v>
      </c>
    </row>
    <row r="222" spans="1:17" ht="46.5" thickBot="1" x14ac:dyDescent="0.3">
      <c r="A222" s="1">
        <v>2506</v>
      </c>
      <c r="B222" s="2" t="s">
        <v>257</v>
      </c>
      <c r="C222" s="2" t="s">
        <v>258</v>
      </c>
      <c r="D222" s="2" t="s">
        <v>259</v>
      </c>
      <c r="E222" s="3">
        <v>45353</v>
      </c>
      <c r="F222" s="3">
        <v>45359</v>
      </c>
      <c r="G222" s="29">
        <v>5</v>
      </c>
      <c r="H222" s="151" t="e">
        <v>#VALUE!</v>
      </c>
      <c r="I222" s="151" t="e">
        <v>#VALUE!</v>
      </c>
      <c r="J222" s="6" t="s">
        <v>550</v>
      </c>
      <c r="K222" s="7">
        <v>10000</v>
      </c>
      <c r="L222" s="7">
        <v>13000</v>
      </c>
      <c r="M222" s="21" t="s">
        <v>143</v>
      </c>
      <c r="N222" s="9">
        <v>13000</v>
      </c>
      <c r="O222" s="9">
        <v>13000</v>
      </c>
      <c r="P222" s="7">
        <v>0</v>
      </c>
      <c r="Q222" s="152">
        <v>45362</v>
      </c>
    </row>
    <row r="223" spans="1:17" ht="24" thickBot="1" x14ac:dyDescent="0.3">
      <c r="A223" s="1">
        <v>2511</v>
      </c>
      <c r="B223" s="2" t="s">
        <v>707</v>
      </c>
      <c r="C223" s="2"/>
      <c r="D223" s="2"/>
      <c r="E223" s="3">
        <v>45359</v>
      </c>
      <c r="F223" s="3">
        <v>45366</v>
      </c>
      <c r="G223" s="29">
        <v>5</v>
      </c>
      <c r="H223" s="168" t="e">
        <v>#DIV/0!</v>
      </c>
      <c r="I223" s="168" t="e">
        <v>#DIV/0!</v>
      </c>
      <c r="J223" s="2" t="s">
        <v>550</v>
      </c>
      <c r="K223" s="10">
        <v>50000</v>
      </c>
      <c r="L223" s="10">
        <v>65000</v>
      </c>
      <c r="M223" s="8"/>
      <c r="N223" s="9">
        <v>65000</v>
      </c>
      <c r="O223" s="9">
        <v>65000</v>
      </c>
      <c r="P223" s="7">
        <v>0</v>
      </c>
      <c r="Q223" s="152">
        <v>45362</v>
      </c>
    </row>
    <row r="224" spans="1:17" ht="37.5" thickBot="1" x14ac:dyDescent="0.3">
      <c r="A224" s="1">
        <v>2338</v>
      </c>
      <c r="B224" s="155" t="s">
        <v>582</v>
      </c>
      <c r="C224" s="155" t="s">
        <v>305</v>
      </c>
      <c r="D224" s="155"/>
      <c r="E224" s="3">
        <v>45246</v>
      </c>
      <c r="F224" s="156">
        <v>45362</v>
      </c>
      <c r="G224" s="29">
        <v>82</v>
      </c>
      <c r="H224" s="157">
        <v>0</v>
      </c>
      <c r="I224" s="168">
        <v>82</v>
      </c>
      <c r="J224" s="2" t="s">
        <v>730</v>
      </c>
      <c r="K224" s="2">
        <v>30000</v>
      </c>
      <c r="L224" s="10">
        <v>64800</v>
      </c>
      <c r="M224" s="8">
        <v>4050</v>
      </c>
      <c r="N224" s="9">
        <v>16200</v>
      </c>
      <c r="O224" s="9">
        <v>65400</v>
      </c>
      <c r="P224" s="7">
        <v>-600</v>
      </c>
      <c r="Q224" s="152">
        <v>45362</v>
      </c>
    </row>
    <row r="225" spans="1:17" ht="46.5" thickBot="1" x14ac:dyDescent="0.3">
      <c r="A225" s="1">
        <v>2312</v>
      </c>
      <c r="B225" s="2" t="s">
        <v>316</v>
      </c>
      <c r="C225" s="2" t="s">
        <v>317</v>
      </c>
      <c r="D225" s="2"/>
      <c r="E225" s="3">
        <v>45225</v>
      </c>
      <c r="F225" s="3">
        <v>45327</v>
      </c>
      <c r="G225" s="29">
        <v>72</v>
      </c>
      <c r="H225" s="168">
        <v>72</v>
      </c>
      <c r="I225" s="168">
        <v>0</v>
      </c>
      <c r="J225" s="2" t="s">
        <v>576</v>
      </c>
      <c r="K225" s="7">
        <v>10000</v>
      </c>
      <c r="L225" s="7">
        <v>21600</v>
      </c>
      <c r="M225" s="21">
        <v>1500</v>
      </c>
      <c r="N225" s="9">
        <v>2600</v>
      </c>
      <c r="O225" s="9">
        <v>21600</v>
      </c>
      <c r="P225" s="7">
        <v>0</v>
      </c>
      <c r="Q225" s="152">
        <v>45362</v>
      </c>
    </row>
    <row r="226" spans="1:17" ht="57.75" thickBot="1" x14ac:dyDescent="0.3">
      <c r="A226" s="1">
        <v>2295</v>
      </c>
      <c r="B226" s="2" t="s">
        <v>731</v>
      </c>
      <c r="C226" s="2" t="s">
        <v>732</v>
      </c>
      <c r="D226" s="2" t="s">
        <v>733</v>
      </c>
      <c r="E226" s="3">
        <v>45212</v>
      </c>
      <c r="F226" s="3">
        <v>45314</v>
      </c>
      <c r="G226" s="29">
        <v>72</v>
      </c>
      <c r="H226" s="168">
        <v>72</v>
      </c>
      <c r="I226" s="168">
        <v>0</v>
      </c>
      <c r="J226" s="2" t="s">
        <v>734</v>
      </c>
      <c r="K226" s="7">
        <v>45000</v>
      </c>
      <c r="L226" s="7">
        <v>97200</v>
      </c>
      <c r="M226" s="21">
        <v>6750</v>
      </c>
      <c r="N226" s="9">
        <v>24600</v>
      </c>
      <c r="O226" s="9">
        <v>97200</v>
      </c>
      <c r="P226" s="7">
        <v>0</v>
      </c>
      <c r="Q226" s="152">
        <v>45362</v>
      </c>
    </row>
    <row r="227" spans="1:17" ht="35.25" thickBot="1" x14ac:dyDescent="0.3">
      <c r="A227" s="1">
        <v>2354</v>
      </c>
      <c r="B227" s="2" t="s">
        <v>735</v>
      </c>
      <c r="C227" s="2" t="s">
        <v>466</v>
      </c>
      <c r="D227" s="2"/>
      <c r="E227" s="3">
        <v>45259</v>
      </c>
      <c r="F227" s="3">
        <v>45359</v>
      </c>
      <c r="G227" s="29">
        <v>72</v>
      </c>
      <c r="H227" s="151">
        <v>72</v>
      </c>
      <c r="I227" s="151">
        <v>0</v>
      </c>
      <c r="J227" s="2" t="s">
        <v>182</v>
      </c>
      <c r="K227" s="10">
        <v>20000</v>
      </c>
      <c r="L227" s="10">
        <v>43200</v>
      </c>
      <c r="M227" s="21">
        <v>3000</v>
      </c>
      <c r="N227" s="9">
        <v>4200</v>
      </c>
      <c r="O227" s="9">
        <v>43200</v>
      </c>
      <c r="P227" s="7">
        <v>0</v>
      </c>
      <c r="Q227" s="152">
        <v>45362</v>
      </c>
    </row>
    <row r="228" spans="1:17" ht="35.25" thickBot="1" x14ac:dyDescent="0.3">
      <c r="A228" s="1">
        <v>2317</v>
      </c>
      <c r="B228" s="2" t="s">
        <v>736</v>
      </c>
      <c r="C228" s="2" t="s">
        <v>141</v>
      </c>
      <c r="D228" s="2"/>
      <c r="E228" s="3">
        <v>45229</v>
      </c>
      <c r="F228" s="3">
        <v>45383</v>
      </c>
      <c r="G228" s="29">
        <v>110</v>
      </c>
      <c r="H228" s="168">
        <v>110</v>
      </c>
      <c r="I228" s="168">
        <v>0</v>
      </c>
      <c r="J228" s="2" t="s">
        <v>737</v>
      </c>
      <c r="K228" s="10">
        <v>50000</v>
      </c>
      <c r="L228" s="10">
        <v>132000</v>
      </c>
      <c r="M228" s="8">
        <v>6000</v>
      </c>
      <c r="N228" s="9">
        <v>24000</v>
      </c>
      <c r="O228" s="9">
        <v>132000</v>
      </c>
      <c r="P228" s="10">
        <v>0</v>
      </c>
      <c r="Q228" s="152">
        <v>45369</v>
      </c>
    </row>
    <row r="229" spans="1:17" ht="37.5" thickBot="1" x14ac:dyDescent="0.3">
      <c r="A229" s="1">
        <v>2301</v>
      </c>
      <c r="B229" s="155" t="s">
        <v>579</v>
      </c>
      <c r="C229" s="155" t="s">
        <v>580</v>
      </c>
      <c r="D229" s="155"/>
      <c r="E229" s="3">
        <v>45108</v>
      </c>
      <c r="F229" s="156">
        <v>45209</v>
      </c>
      <c r="G229" s="29">
        <v>72</v>
      </c>
      <c r="H229" s="168">
        <v>80.370370370370367</v>
      </c>
      <c r="I229" s="168">
        <v>-8.3703703703703667</v>
      </c>
      <c r="J229" s="174" t="s">
        <v>738</v>
      </c>
      <c r="K229" s="10">
        <v>30000</v>
      </c>
      <c r="L229" s="7">
        <v>64800</v>
      </c>
      <c r="M229" s="21">
        <v>4050</v>
      </c>
      <c r="N229" s="9">
        <v>4500</v>
      </c>
      <c r="O229" s="9">
        <v>65100</v>
      </c>
      <c r="P229" s="7">
        <v>-300</v>
      </c>
      <c r="Q229" s="152">
        <v>45369</v>
      </c>
    </row>
    <row r="230" spans="1:17" ht="24" thickBot="1" x14ac:dyDescent="0.3">
      <c r="A230" s="1">
        <v>2523</v>
      </c>
      <c r="B230" s="2" t="s">
        <v>707</v>
      </c>
      <c r="C230" s="2"/>
      <c r="D230" s="2"/>
      <c r="E230" s="3">
        <v>45367</v>
      </c>
      <c r="F230" s="3">
        <v>45373</v>
      </c>
      <c r="G230" s="29">
        <v>5</v>
      </c>
      <c r="H230" s="168" t="e">
        <v>#DIV/0!</v>
      </c>
      <c r="I230" s="168" t="e">
        <v>#DIV/0!</v>
      </c>
      <c r="J230" s="2" t="s">
        <v>550</v>
      </c>
      <c r="K230" s="7">
        <v>20000</v>
      </c>
      <c r="L230" s="7">
        <v>26000</v>
      </c>
      <c r="M230" s="21"/>
      <c r="N230" s="9">
        <v>39000</v>
      </c>
      <c r="O230" s="9">
        <v>39000</v>
      </c>
      <c r="P230" s="7">
        <v>-13000</v>
      </c>
      <c r="Q230" s="152">
        <v>45369</v>
      </c>
    </row>
    <row r="231" spans="1:17" ht="46.5" thickBot="1" x14ac:dyDescent="0.3">
      <c r="A231" s="1">
        <v>2353</v>
      </c>
      <c r="B231" s="2" t="s">
        <v>624</v>
      </c>
      <c r="C231" s="2" t="s">
        <v>160</v>
      </c>
      <c r="D231" s="2"/>
      <c r="E231" s="3">
        <v>45258</v>
      </c>
      <c r="F231" s="3">
        <v>45358</v>
      </c>
      <c r="G231" s="29">
        <v>72</v>
      </c>
      <c r="H231" s="168">
        <v>72.611111111111114</v>
      </c>
      <c r="I231" s="168">
        <v>-0.61111111111111427</v>
      </c>
      <c r="J231" s="2" t="s">
        <v>181</v>
      </c>
      <c r="K231" s="10">
        <v>30000</v>
      </c>
      <c r="L231" s="10">
        <v>64800</v>
      </c>
      <c r="M231" s="8">
        <v>4500</v>
      </c>
      <c r="N231" s="9">
        <v>850</v>
      </c>
      <c r="O231" s="9">
        <v>65350</v>
      </c>
      <c r="P231" s="7">
        <v>-550</v>
      </c>
      <c r="Q231" s="152">
        <v>45369</v>
      </c>
    </row>
    <row r="232" spans="1:17" ht="57.75" thickBot="1" x14ac:dyDescent="0.3">
      <c r="A232" s="1">
        <v>2359</v>
      </c>
      <c r="B232" s="2" t="s">
        <v>413</v>
      </c>
      <c r="C232" s="2" t="s">
        <v>414</v>
      </c>
      <c r="D232" s="2"/>
      <c r="E232" s="3">
        <v>45262</v>
      </c>
      <c r="F232" s="3">
        <v>45363</v>
      </c>
      <c r="G232" s="29">
        <v>72</v>
      </c>
      <c r="H232" s="151">
        <v>72</v>
      </c>
      <c r="I232" s="151">
        <v>0</v>
      </c>
      <c r="J232" s="2" t="s">
        <v>181</v>
      </c>
      <c r="K232" s="10">
        <v>30000</v>
      </c>
      <c r="L232" s="10">
        <v>64800</v>
      </c>
      <c r="M232" s="8">
        <v>4500</v>
      </c>
      <c r="N232" s="9">
        <v>5200</v>
      </c>
      <c r="O232" s="9">
        <v>64800</v>
      </c>
      <c r="P232" s="7">
        <v>0</v>
      </c>
      <c r="Q232" s="152">
        <v>45369</v>
      </c>
    </row>
    <row r="233" spans="1:17" ht="35.25" thickBot="1" x14ac:dyDescent="0.3">
      <c r="A233" s="1">
        <v>2355</v>
      </c>
      <c r="B233" s="2" t="s">
        <v>739</v>
      </c>
      <c r="C233" s="2" t="s">
        <v>740</v>
      </c>
      <c r="D233" s="2">
        <v>24324078</v>
      </c>
      <c r="E233" s="3">
        <v>45259</v>
      </c>
      <c r="F233" s="3" t="s">
        <v>143</v>
      </c>
      <c r="G233" s="29">
        <v>72</v>
      </c>
      <c r="H233" s="151">
        <v>72</v>
      </c>
      <c r="I233" s="151">
        <v>0</v>
      </c>
      <c r="J233" s="2" t="s">
        <v>741</v>
      </c>
      <c r="K233" s="10">
        <v>50000</v>
      </c>
      <c r="L233" s="10">
        <v>111096</v>
      </c>
      <c r="M233" s="8">
        <v>7715</v>
      </c>
      <c r="N233" s="9">
        <v>6096</v>
      </c>
      <c r="O233" s="9">
        <v>111096</v>
      </c>
      <c r="P233" s="7">
        <v>0</v>
      </c>
      <c r="Q233" s="152">
        <v>45369</v>
      </c>
    </row>
    <row r="234" spans="1:17" ht="24" thickBot="1" x14ac:dyDescent="0.3">
      <c r="A234" s="1">
        <v>2386</v>
      </c>
      <c r="B234" s="2" t="s">
        <v>663</v>
      </c>
      <c r="C234" s="2" t="s">
        <v>664</v>
      </c>
      <c r="D234" s="2"/>
      <c r="E234" s="3">
        <v>45282</v>
      </c>
      <c r="F234" s="3">
        <v>45384</v>
      </c>
      <c r="G234" s="29">
        <v>72</v>
      </c>
      <c r="H234" s="151">
        <v>72.222222222222229</v>
      </c>
      <c r="I234" s="151">
        <v>-0.22222222222222854</v>
      </c>
      <c r="J234" s="2" t="s">
        <v>181</v>
      </c>
      <c r="K234" s="10">
        <v>30000</v>
      </c>
      <c r="L234" s="10">
        <v>64800</v>
      </c>
      <c r="M234" s="21">
        <v>4500</v>
      </c>
      <c r="N234" s="9">
        <v>2000</v>
      </c>
      <c r="O234" s="9">
        <v>65000</v>
      </c>
      <c r="P234" s="7">
        <v>-200</v>
      </c>
      <c r="Q234" s="152">
        <v>45369</v>
      </c>
    </row>
    <row r="235" spans="1:17" ht="35.25" thickBot="1" x14ac:dyDescent="0.3">
      <c r="A235" s="1">
        <v>2239</v>
      </c>
      <c r="B235" s="2" t="s">
        <v>280</v>
      </c>
      <c r="C235" s="2" t="s">
        <v>285</v>
      </c>
      <c r="D235" s="2"/>
      <c r="E235" s="3">
        <v>45175</v>
      </c>
      <c r="F235" s="3">
        <v>45359</v>
      </c>
      <c r="G235" s="29">
        <v>132</v>
      </c>
      <c r="H235" s="168">
        <v>120</v>
      </c>
      <c r="I235" s="168">
        <v>12</v>
      </c>
      <c r="J235" s="6" t="s">
        <v>695</v>
      </c>
      <c r="K235" s="10">
        <v>30000</v>
      </c>
      <c r="L235" s="7">
        <v>79200</v>
      </c>
      <c r="M235" s="21">
        <v>3300</v>
      </c>
      <c r="N235" s="9">
        <v>13200</v>
      </c>
      <c r="O235" s="9">
        <v>79200</v>
      </c>
      <c r="P235" s="7">
        <v>0</v>
      </c>
      <c r="Q235" s="152">
        <v>45376</v>
      </c>
    </row>
    <row r="236" spans="1:17" ht="24" thickBot="1" x14ac:dyDescent="0.3">
      <c r="A236" s="1">
        <v>2541</v>
      </c>
      <c r="B236" s="2" t="s">
        <v>707</v>
      </c>
      <c r="C236" s="2"/>
      <c r="D236" s="2"/>
      <c r="E236" s="3">
        <v>45374</v>
      </c>
      <c r="F236" s="3">
        <v>45380</v>
      </c>
      <c r="G236" s="29">
        <v>5</v>
      </c>
      <c r="H236" s="168" t="e">
        <v>#DIV/0!</v>
      </c>
      <c r="I236" s="168" t="e">
        <v>#DIV/0!</v>
      </c>
      <c r="J236" s="6" t="s">
        <v>550</v>
      </c>
      <c r="K236" s="7">
        <v>30000</v>
      </c>
      <c r="L236" s="7">
        <v>39000</v>
      </c>
      <c r="M236" s="21"/>
      <c r="N236" s="9">
        <v>39000</v>
      </c>
      <c r="O236" s="9">
        <v>39000</v>
      </c>
      <c r="P236" s="7">
        <v>0</v>
      </c>
      <c r="Q236" s="152">
        <v>45376</v>
      </c>
    </row>
    <row r="237" spans="1:17" ht="46.5" thickBot="1" x14ac:dyDescent="0.3">
      <c r="A237" s="1">
        <v>2522</v>
      </c>
      <c r="B237" s="2" t="s">
        <v>742</v>
      </c>
      <c r="C237" s="2" t="s">
        <v>743</v>
      </c>
      <c r="D237" s="2" t="s">
        <v>744</v>
      </c>
      <c r="E237" s="3">
        <v>45367</v>
      </c>
      <c r="F237" s="3">
        <v>45464</v>
      </c>
      <c r="G237" s="4">
        <v>70</v>
      </c>
      <c r="H237" s="151">
        <v>70</v>
      </c>
      <c r="I237" s="151">
        <v>0</v>
      </c>
      <c r="J237" s="2" t="s">
        <v>745</v>
      </c>
      <c r="K237" s="7">
        <v>80000</v>
      </c>
      <c r="L237" s="7">
        <v>175000</v>
      </c>
      <c r="M237" s="21">
        <v>12500</v>
      </c>
      <c r="N237" s="9">
        <v>92500</v>
      </c>
      <c r="O237" s="9">
        <v>175000</v>
      </c>
      <c r="P237" s="7">
        <v>0</v>
      </c>
      <c r="Q237" s="152">
        <v>45376</v>
      </c>
    </row>
    <row r="238" spans="1:17" ht="24" thickBot="1" x14ac:dyDescent="0.3">
      <c r="A238" s="1">
        <v>2363</v>
      </c>
      <c r="B238" s="2" t="s">
        <v>327</v>
      </c>
      <c r="C238" s="2"/>
      <c r="D238" s="2"/>
      <c r="E238" s="3">
        <v>45266</v>
      </c>
      <c r="F238" s="3">
        <v>45366</v>
      </c>
      <c r="G238" s="29">
        <v>72</v>
      </c>
      <c r="H238" s="168">
        <v>72</v>
      </c>
      <c r="I238" s="168">
        <v>0</v>
      </c>
      <c r="J238" s="2" t="s">
        <v>309</v>
      </c>
      <c r="K238" s="7">
        <v>40000</v>
      </c>
      <c r="L238" s="7">
        <v>86400</v>
      </c>
      <c r="M238" s="21">
        <v>6000</v>
      </c>
      <c r="N238" s="9">
        <v>2400</v>
      </c>
      <c r="O238" s="9">
        <v>86400</v>
      </c>
      <c r="P238" s="7">
        <v>0</v>
      </c>
      <c r="Q238" s="152">
        <v>45376</v>
      </c>
    </row>
    <row r="239" spans="1:17" ht="35.25" thickBot="1" x14ac:dyDescent="0.3">
      <c r="A239" s="1">
        <v>2333</v>
      </c>
      <c r="B239" s="2" t="s">
        <v>560</v>
      </c>
      <c r="C239" s="2" t="s">
        <v>561</v>
      </c>
      <c r="D239" s="2"/>
      <c r="E239" s="3">
        <v>45239</v>
      </c>
      <c r="F239" s="3">
        <v>45341</v>
      </c>
      <c r="G239" s="29">
        <v>72</v>
      </c>
      <c r="H239" s="168">
        <v>72</v>
      </c>
      <c r="I239" s="168">
        <v>0</v>
      </c>
      <c r="J239" s="2" t="s">
        <v>181</v>
      </c>
      <c r="K239" s="10">
        <v>30000</v>
      </c>
      <c r="L239" s="10">
        <v>64800</v>
      </c>
      <c r="M239" s="21">
        <v>4500</v>
      </c>
      <c r="N239" s="9">
        <v>1800</v>
      </c>
      <c r="O239" s="9">
        <v>64800</v>
      </c>
      <c r="P239" s="7">
        <v>0</v>
      </c>
      <c r="Q239" s="152">
        <v>45376</v>
      </c>
    </row>
    <row r="240" spans="1:17" ht="46.5" thickBot="1" x14ac:dyDescent="0.3">
      <c r="A240" s="1">
        <v>2352</v>
      </c>
      <c r="B240" s="2" t="s">
        <v>746</v>
      </c>
      <c r="C240" s="2" t="s">
        <v>682</v>
      </c>
      <c r="D240" s="2"/>
      <c r="E240" s="3">
        <v>45258</v>
      </c>
      <c r="F240" s="3">
        <v>45384</v>
      </c>
      <c r="G240" s="29">
        <v>90</v>
      </c>
      <c r="H240" s="168">
        <v>80</v>
      </c>
      <c r="I240" s="168">
        <v>10</v>
      </c>
      <c r="J240" s="6" t="s">
        <v>747</v>
      </c>
      <c r="K240" s="10">
        <v>15000</v>
      </c>
      <c r="L240" s="10">
        <v>32400</v>
      </c>
      <c r="M240" s="21">
        <v>2025</v>
      </c>
      <c r="N240" s="9">
        <v>8100</v>
      </c>
      <c r="O240" s="9">
        <v>32400</v>
      </c>
      <c r="P240" s="7">
        <v>0</v>
      </c>
      <c r="Q240" s="152">
        <v>45376</v>
      </c>
    </row>
    <row r="241" spans="1:17" ht="46.5" thickBot="1" x14ac:dyDescent="0.3">
      <c r="A241" s="1">
        <v>2170</v>
      </c>
      <c r="B241" s="2" t="s">
        <v>748</v>
      </c>
      <c r="C241" s="2" t="s">
        <v>448</v>
      </c>
      <c r="D241" s="2"/>
      <c r="E241" s="3">
        <v>45122</v>
      </c>
      <c r="F241" s="3">
        <v>45275</v>
      </c>
      <c r="G241" s="29">
        <v>110</v>
      </c>
      <c r="H241" s="151">
        <v>111.66666666666667</v>
      </c>
      <c r="I241" s="151">
        <v>-1.6666666666666714</v>
      </c>
      <c r="J241" s="2" t="s">
        <v>737</v>
      </c>
      <c r="K241" s="10">
        <v>50000</v>
      </c>
      <c r="L241" s="10">
        <v>132000</v>
      </c>
      <c r="M241" s="8">
        <v>6000</v>
      </c>
      <c r="N241" s="9">
        <v>18000</v>
      </c>
      <c r="O241" s="9">
        <v>134000</v>
      </c>
      <c r="P241" s="7">
        <v>-2000</v>
      </c>
      <c r="Q241" s="152">
        <v>45376</v>
      </c>
    </row>
    <row r="242" spans="1:17" ht="35.25" thickBot="1" x14ac:dyDescent="0.3">
      <c r="A242" s="1">
        <v>2509</v>
      </c>
      <c r="B242" s="2" t="s">
        <v>600</v>
      </c>
      <c r="C242" s="2" t="s">
        <v>687</v>
      </c>
      <c r="D242" s="2"/>
      <c r="E242" s="3">
        <v>45357</v>
      </c>
      <c r="F242" s="3">
        <v>45385</v>
      </c>
      <c r="G242" s="29">
        <v>20</v>
      </c>
      <c r="H242" s="168" t="e">
        <v>#DIV/0!</v>
      </c>
      <c r="I242" s="168" t="e">
        <v>#DIV/0!</v>
      </c>
      <c r="J242" s="6" t="s">
        <v>550</v>
      </c>
      <c r="K242" s="10">
        <v>100000</v>
      </c>
      <c r="L242" s="10">
        <v>150000</v>
      </c>
      <c r="M242" s="8"/>
      <c r="N242" s="9">
        <v>25000</v>
      </c>
      <c r="O242" s="9">
        <v>150000</v>
      </c>
      <c r="P242" s="7">
        <v>0</v>
      </c>
      <c r="Q242" s="152">
        <v>45383</v>
      </c>
    </row>
    <row r="243" spans="1:17" ht="46.5" thickBot="1" x14ac:dyDescent="0.3">
      <c r="A243" s="1">
        <v>2368</v>
      </c>
      <c r="B243" s="2" t="s">
        <v>179</v>
      </c>
      <c r="C243" s="2" t="s">
        <v>180</v>
      </c>
      <c r="D243" s="2"/>
      <c r="E243" s="3">
        <v>45269</v>
      </c>
      <c r="F243" s="3">
        <v>45370</v>
      </c>
      <c r="G243" s="29">
        <v>72</v>
      </c>
      <c r="H243" s="168">
        <v>72</v>
      </c>
      <c r="I243" s="168">
        <v>0</v>
      </c>
      <c r="J243" s="2" t="s">
        <v>181</v>
      </c>
      <c r="K243" s="10">
        <v>30000</v>
      </c>
      <c r="L243" s="10">
        <v>64800</v>
      </c>
      <c r="M243" s="8">
        <v>4500</v>
      </c>
      <c r="N243" s="9">
        <v>1350</v>
      </c>
      <c r="O243" s="9">
        <v>64800</v>
      </c>
      <c r="P243" s="7">
        <v>0</v>
      </c>
      <c r="Q243" s="152">
        <v>45383</v>
      </c>
    </row>
    <row r="244" spans="1:17" ht="35.25" thickBot="1" x14ac:dyDescent="0.3">
      <c r="A244" s="1">
        <v>2415</v>
      </c>
      <c r="B244" s="2" t="s">
        <v>242</v>
      </c>
      <c r="C244" s="2" t="s">
        <v>243</v>
      </c>
      <c r="D244" s="2"/>
      <c r="E244" s="3">
        <v>45302</v>
      </c>
      <c r="F244" s="3">
        <v>45404</v>
      </c>
      <c r="G244" s="29">
        <v>72</v>
      </c>
      <c r="H244" s="168">
        <v>72</v>
      </c>
      <c r="I244" s="168">
        <v>0</v>
      </c>
      <c r="J244" s="2" t="s">
        <v>576</v>
      </c>
      <c r="K244" s="10">
        <v>10000</v>
      </c>
      <c r="L244" s="10">
        <v>21600</v>
      </c>
      <c r="M244" s="8">
        <v>1500</v>
      </c>
      <c r="N244" s="9">
        <v>2100</v>
      </c>
      <c r="O244" s="9">
        <v>21600</v>
      </c>
      <c r="P244" s="7">
        <v>0</v>
      </c>
      <c r="Q244" s="152">
        <v>45383</v>
      </c>
    </row>
    <row r="245" spans="1:17" ht="46.5" thickBot="1" x14ac:dyDescent="0.3">
      <c r="A245" s="17">
        <v>2548</v>
      </c>
      <c r="B245" s="2" t="s">
        <v>316</v>
      </c>
      <c r="C245" s="2" t="s">
        <v>317</v>
      </c>
      <c r="D245" s="2"/>
      <c r="E245" s="3">
        <v>45380</v>
      </c>
      <c r="F245" s="3">
        <v>45385</v>
      </c>
      <c r="G245" s="29">
        <v>3</v>
      </c>
      <c r="H245" s="151" t="e">
        <v>#VALUE!</v>
      </c>
      <c r="I245" s="168" t="e">
        <v>#VALUE!</v>
      </c>
      <c r="J245" s="6" t="s">
        <v>749</v>
      </c>
      <c r="K245" s="7">
        <v>10000</v>
      </c>
      <c r="L245" s="7">
        <v>13000</v>
      </c>
      <c r="M245" s="21" t="s">
        <v>143</v>
      </c>
      <c r="N245" s="9">
        <v>13000</v>
      </c>
      <c r="O245" s="9">
        <v>13000</v>
      </c>
      <c r="P245" s="7">
        <v>0</v>
      </c>
      <c r="Q245" s="152">
        <v>45383</v>
      </c>
    </row>
    <row r="246" spans="1:17" ht="46.5" thickBot="1" x14ac:dyDescent="0.3">
      <c r="A246" s="1">
        <v>2344</v>
      </c>
      <c r="B246" s="2" t="s">
        <v>350</v>
      </c>
      <c r="C246" s="2" t="s">
        <v>167</v>
      </c>
      <c r="D246" s="2"/>
      <c r="E246" s="3">
        <v>45254</v>
      </c>
      <c r="F246" s="3">
        <v>45356</v>
      </c>
      <c r="G246" s="29">
        <v>72</v>
      </c>
      <c r="H246" s="168">
        <v>72</v>
      </c>
      <c r="I246" s="168">
        <v>0</v>
      </c>
      <c r="J246" s="2" t="s">
        <v>181</v>
      </c>
      <c r="K246" s="10">
        <v>30000</v>
      </c>
      <c r="L246" s="10">
        <v>64800</v>
      </c>
      <c r="M246" s="8">
        <v>4500</v>
      </c>
      <c r="N246" s="9">
        <v>9300</v>
      </c>
      <c r="O246" s="9">
        <v>64800</v>
      </c>
      <c r="P246" s="7">
        <v>0</v>
      </c>
      <c r="Q246" s="152">
        <v>45383</v>
      </c>
    </row>
    <row r="247" spans="1:17" ht="35.25" thickBot="1" x14ac:dyDescent="0.3">
      <c r="A247" s="1">
        <v>2455</v>
      </c>
      <c r="B247" s="2" t="s">
        <v>562</v>
      </c>
      <c r="C247" s="2" t="s">
        <v>563</v>
      </c>
      <c r="D247" s="2"/>
      <c r="E247" s="3">
        <v>45324</v>
      </c>
      <c r="F247" s="3">
        <v>45352</v>
      </c>
      <c r="G247" s="29">
        <v>20</v>
      </c>
      <c r="H247" s="168" t="e">
        <v>#DIV/0!</v>
      </c>
      <c r="I247" s="168" t="e">
        <v>#DIV/0!</v>
      </c>
      <c r="J247" s="6" t="s">
        <v>550</v>
      </c>
      <c r="K247" s="7">
        <v>40000</v>
      </c>
      <c r="L247" s="7">
        <v>60000</v>
      </c>
      <c r="M247" s="21"/>
      <c r="N247" s="9">
        <v>20000</v>
      </c>
      <c r="O247" s="9">
        <v>60000</v>
      </c>
      <c r="P247" s="7">
        <v>0</v>
      </c>
      <c r="Q247" s="152">
        <v>45383</v>
      </c>
    </row>
    <row r="248" spans="1:17" ht="15.75" thickBot="1" x14ac:dyDescent="0.3">
      <c r="A248" s="1">
        <v>2513</v>
      </c>
      <c r="B248" s="2" t="s">
        <v>367</v>
      </c>
      <c r="C248" s="2"/>
      <c r="D248" s="2"/>
      <c r="E248" s="3">
        <v>45359</v>
      </c>
      <c r="F248" s="3">
        <v>45387</v>
      </c>
      <c r="G248" s="29">
        <v>20</v>
      </c>
      <c r="H248" s="168" t="e">
        <v>#DIV/0!</v>
      </c>
      <c r="I248" s="168" t="e">
        <v>#DIV/0!</v>
      </c>
      <c r="J248" s="2" t="s">
        <v>550</v>
      </c>
      <c r="K248" s="10">
        <v>10000</v>
      </c>
      <c r="L248" s="10">
        <v>16000</v>
      </c>
      <c r="M248" s="8"/>
      <c r="N248" s="9">
        <v>16000</v>
      </c>
      <c r="O248" s="9">
        <v>16000</v>
      </c>
      <c r="P248" s="7">
        <v>0</v>
      </c>
      <c r="Q248" s="152">
        <v>45383</v>
      </c>
    </row>
    <row r="249" spans="1:17" ht="15.75" thickBot="1" x14ac:dyDescent="0.3">
      <c r="A249" s="1">
        <v>2529</v>
      </c>
      <c r="B249" s="2" t="s">
        <v>367</v>
      </c>
      <c r="C249" s="2"/>
      <c r="D249" s="2"/>
      <c r="E249" s="3">
        <v>45369</v>
      </c>
      <c r="F249" s="3">
        <v>45390</v>
      </c>
      <c r="G249" s="4">
        <v>15</v>
      </c>
      <c r="H249" s="151"/>
      <c r="I249" s="151"/>
      <c r="J249" s="2" t="s">
        <v>550</v>
      </c>
      <c r="K249" s="10">
        <v>5000</v>
      </c>
      <c r="L249" s="10">
        <v>8000</v>
      </c>
      <c r="M249" s="21"/>
      <c r="N249" s="9">
        <v>8000</v>
      </c>
      <c r="O249" s="9">
        <v>8000</v>
      </c>
      <c r="P249" s="7">
        <v>0</v>
      </c>
      <c r="Q249" s="152">
        <v>45383</v>
      </c>
    </row>
    <row r="250" spans="1:17" ht="15.75" thickBot="1" x14ac:dyDescent="0.3">
      <c r="A250" s="1">
        <v>2542</v>
      </c>
      <c r="B250" s="2" t="s">
        <v>367</v>
      </c>
      <c r="C250" s="2"/>
      <c r="D250" s="2"/>
      <c r="E250" s="30">
        <v>45376</v>
      </c>
      <c r="F250" s="3">
        <v>45390</v>
      </c>
      <c r="G250" s="4">
        <v>10</v>
      </c>
      <c r="H250" s="168" t="e">
        <v>#DIV/0!</v>
      </c>
      <c r="I250" s="168" t="e">
        <v>#DIV/0!</v>
      </c>
      <c r="J250" s="6" t="s">
        <v>550</v>
      </c>
      <c r="K250" s="7">
        <v>5000</v>
      </c>
      <c r="L250" s="7">
        <v>8000</v>
      </c>
      <c r="M250" s="21"/>
      <c r="N250" s="9">
        <v>8000</v>
      </c>
      <c r="O250" s="9">
        <v>8000</v>
      </c>
      <c r="P250" s="7">
        <v>0</v>
      </c>
      <c r="Q250" s="152">
        <v>45383</v>
      </c>
    </row>
    <row r="251" spans="1:17" ht="15.75" thickBot="1" x14ac:dyDescent="0.3">
      <c r="A251" s="1">
        <v>2510</v>
      </c>
      <c r="B251" s="2" t="s">
        <v>727</v>
      </c>
      <c r="C251" s="2"/>
      <c r="D251" s="2"/>
      <c r="E251" s="3">
        <v>45359</v>
      </c>
      <c r="F251" s="3">
        <f>WORKDAY(E251,G251)</f>
        <v>45387</v>
      </c>
      <c r="G251" s="4">
        <v>20</v>
      </c>
      <c r="H251" s="168" t="e">
        <f>(CQ251* 5)/M251</f>
        <v>#DIV/0!</v>
      </c>
      <c r="I251" s="168" t="e">
        <f>G251-H251</f>
        <v>#DIV/0!</v>
      </c>
      <c r="J251" s="6" t="s">
        <v>550</v>
      </c>
      <c r="K251" s="7">
        <v>10000</v>
      </c>
      <c r="L251" s="7">
        <v>16000</v>
      </c>
      <c r="M251" s="21"/>
      <c r="N251" s="9">
        <v>16000</v>
      </c>
      <c r="O251" s="9">
        <v>16000</v>
      </c>
      <c r="P251" s="7">
        <v>0</v>
      </c>
      <c r="Q251" s="152">
        <v>45383</v>
      </c>
    </row>
    <row r="252" spans="1:17" ht="46.5" thickBot="1" x14ac:dyDescent="0.3">
      <c r="A252" s="1">
        <v>2151</v>
      </c>
      <c r="B252" s="2" t="s">
        <v>406</v>
      </c>
      <c r="C252" s="2" t="s">
        <v>407</v>
      </c>
      <c r="D252" s="2"/>
      <c r="E252" s="3">
        <v>45113</v>
      </c>
      <c r="F252" s="3">
        <v>45302</v>
      </c>
      <c r="G252" s="29">
        <v>135</v>
      </c>
      <c r="H252" s="151">
        <v>138.18181818181819</v>
      </c>
      <c r="I252" s="151">
        <v>-3.181818181818187</v>
      </c>
      <c r="J252" s="6" t="s">
        <v>750</v>
      </c>
      <c r="K252" s="10">
        <v>15000</v>
      </c>
      <c r="L252" s="10">
        <v>39600</v>
      </c>
      <c r="M252" s="21">
        <v>1650</v>
      </c>
      <c r="N252" s="9">
        <v>6600</v>
      </c>
      <c r="O252" s="9">
        <v>45600</v>
      </c>
      <c r="P252" s="7">
        <v>-6000</v>
      </c>
      <c r="Q252" s="152">
        <v>45383</v>
      </c>
    </row>
    <row r="253" spans="1:17" ht="24" thickBot="1" x14ac:dyDescent="0.3">
      <c r="A253" s="1">
        <v>2409</v>
      </c>
      <c r="B253" s="2" t="s">
        <v>751</v>
      </c>
      <c r="C253" s="2"/>
      <c r="D253" s="2"/>
      <c r="E253" s="3">
        <v>45300</v>
      </c>
      <c r="F253" s="3">
        <v>45440</v>
      </c>
      <c r="G253" s="29">
        <v>100</v>
      </c>
      <c r="H253" s="151">
        <v>72</v>
      </c>
      <c r="I253" s="151">
        <v>28</v>
      </c>
      <c r="J253" s="2" t="s">
        <v>581</v>
      </c>
      <c r="K253" s="10">
        <v>25000</v>
      </c>
      <c r="L253" s="10">
        <v>54000</v>
      </c>
      <c r="M253" s="21">
        <v>3750</v>
      </c>
      <c r="N253" s="9">
        <v>1500</v>
      </c>
      <c r="O253" s="9">
        <v>54000</v>
      </c>
      <c r="P253" s="7">
        <v>0</v>
      </c>
      <c r="Q253" s="152">
        <v>45383</v>
      </c>
    </row>
    <row r="254" spans="1:17" ht="69" thickBot="1" x14ac:dyDescent="0.3">
      <c r="A254" s="1">
        <v>2383</v>
      </c>
      <c r="B254" s="175" t="s">
        <v>144</v>
      </c>
      <c r="C254" s="2" t="s">
        <v>145</v>
      </c>
      <c r="D254" s="2"/>
      <c r="E254" s="3">
        <v>45280</v>
      </c>
      <c r="F254" s="3">
        <v>45380</v>
      </c>
      <c r="G254" s="29">
        <v>72</v>
      </c>
      <c r="H254" s="168">
        <v>80</v>
      </c>
      <c r="I254" s="168">
        <v>-8</v>
      </c>
      <c r="J254" s="6" t="s">
        <v>752</v>
      </c>
      <c r="K254" s="10">
        <v>50000</v>
      </c>
      <c r="L254" s="10">
        <v>108000</v>
      </c>
      <c r="M254" s="8">
        <v>6750</v>
      </c>
      <c r="N254" s="9">
        <v>27000</v>
      </c>
      <c r="O254" s="9">
        <v>108000</v>
      </c>
      <c r="P254" s="10">
        <v>0</v>
      </c>
      <c r="Q254" s="152">
        <v>45390</v>
      </c>
    </row>
    <row r="255" spans="1:17" ht="57.75" thickBot="1" x14ac:dyDescent="0.3">
      <c r="A255" s="1">
        <v>2396</v>
      </c>
      <c r="B255" s="175" t="s">
        <v>146</v>
      </c>
      <c r="C255" s="2" t="s">
        <v>147</v>
      </c>
      <c r="D255" s="2"/>
      <c r="E255" s="3">
        <v>45290</v>
      </c>
      <c r="F255" s="3">
        <v>45292</v>
      </c>
      <c r="G255" s="29">
        <v>72</v>
      </c>
      <c r="H255" s="168">
        <v>75</v>
      </c>
      <c r="I255" s="168">
        <v>-3</v>
      </c>
      <c r="J255" s="2" t="s">
        <v>182</v>
      </c>
      <c r="K255" s="10">
        <v>20000</v>
      </c>
      <c r="L255" s="10">
        <v>43200</v>
      </c>
      <c r="M255" s="8">
        <v>3000</v>
      </c>
      <c r="N255" s="9">
        <v>3000</v>
      </c>
      <c r="O255" s="9">
        <v>45000</v>
      </c>
      <c r="P255" s="7">
        <v>-1800</v>
      </c>
      <c r="Q255" s="152">
        <v>45390</v>
      </c>
    </row>
    <row r="256" spans="1:17" ht="24" thickBot="1" x14ac:dyDescent="0.3">
      <c r="A256" s="1">
        <v>2258</v>
      </c>
      <c r="B256" s="175" t="s">
        <v>195</v>
      </c>
      <c r="C256" s="2" t="s">
        <v>196</v>
      </c>
      <c r="D256" s="2"/>
      <c r="E256" s="3">
        <v>45188</v>
      </c>
      <c r="F256" s="3">
        <v>45370</v>
      </c>
      <c r="G256" s="29">
        <v>130</v>
      </c>
      <c r="H256" s="168">
        <v>130</v>
      </c>
      <c r="I256" s="168">
        <v>0</v>
      </c>
      <c r="J256" s="16" t="s">
        <v>753</v>
      </c>
      <c r="K256" s="10">
        <v>100000</v>
      </c>
      <c r="L256" s="10">
        <v>240110</v>
      </c>
      <c r="M256" s="8">
        <v>9235</v>
      </c>
      <c r="N256" s="9">
        <v>18470</v>
      </c>
      <c r="O256" s="9">
        <v>240110</v>
      </c>
      <c r="P256" s="7">
        <v>0</v>
      </c>
      <c r="Q256" s="152">
        <v>45390</v>
      </c>
    </row>
    <row r="257" spans="1:17" ht="125.25" thickBot="1" x14ac:dyDescent="0.3">
      <c r="A257" s="1">
        <v>2426</v>
      </c>
      <c r="B257" s="175" t="s">
        <v>679</v>
      </c>
      <c r="C257" s="2" t="s">
        <v>213</v>
      </c>
      <c r="D257" s="2"/>
      <c r="E257" s="3">
        <v>45308</v>
      </c>
      <c r="F257" s="3">
        <v>45408</v>
      </c>
      <c r="G257" s="29">
        <v>72</v>
      </c>
      <c r="H257" s="168">
        <v>72</v>
      </c>
      <c r="I257" s="168">
        <v>0</v>
      </c>
      <c r="J257" s="2" t="s">
        <v>754</v>
      </c>
      <c r="K257" s="7">
        <v>500000</v>
      </c>
      <c r="L257" s="7">
        <v>1080000</v>
      </c>
      <c r="M257" s="21">
        <v>75000</v>
      </c>
      <c r="N257" s="9">
        <v>255000</v>
      </c>
      <c r="O257" s="9">
        <v>1080000</v>
      </c>
      <c r="P257" s="7">
        <v>0</v>
      </c>
      <c r="Q257" s="152">
        <v>45390</v>
      </c>
    </row>
    <row r="258" spans="1:17" ht="15.75" thickBot="1" x14ac:dyDescent="0.3">
      <c r="A258" s="1">
        <v>2551</v>
      </c>
      <c r="B258" s="175" t="s">
        <v>707</v>
      </c>
      <c r="C258" s="2"/>
      <c r="D258" s="2"/>
      <c r="E258" s="3">
        <v>45384</v>
      </c>
      <c r="F258" s="3">
        <v>45394</v>
      </c>
      <c r="G258" s="4">
        <v>8</v>
      </c>
      <c r="H258" s="168" t="e">
        <v>#DIV/0!</v>
      </c>
      <c r="I258" s="168" t="e">
        <v>#DIV/0!</v>
      </c>
      <c r="J258" s="6" t="s">
        <v>550</v>
      </c>
      <c r="K258" s="179">
        <v>40000</v>
      </c>
      <c r="L258" s="10">
        <v>52000</v>
      </c>
      <c r="M258" s="21"/>
      <c r="N258" s="9">
        <v>22000</v>
      </c>
      <c r="O258" s="9">
        <v>52000</v>
      </c>
      <c r="P258" s="7">
        <v>0</v>
      </c>
      <c r="Q258" s="152">
        <v>45390</v>
      </c>
    </row>
    <row r="259" spans="1:17" ht="15.75" thickBot="1" x14ac:dyDescent="0.3">
      <c r="A259" s="1">
        <v>2558</v>
      </c>
      <c r="B259" s="175" t="s">
        <v>707</v>
      </c>
      <c r="C259" s="2"/>
      <c r="D259" s="2"/>
      <c r="E259" s="3">
        <v>45387</v>
      </c>
      <c r="F259" s="3">
        <v>45394</v>
      </c>
      <c r="G259" s="4">
        <v>5</v>
      </c>
      <c r="H259" s="168" t="e">
        <v>#DIV/0!</v>
      </c>
      <c r="I259" s="168" t="e">
        <v>#DIV/0!</v>
      </c>
      <c r="J259" s="6" t="s">
        <v>550</v>
      </c>
      <c r="K259" s="10">
        <v>20000</v>
      </c>
      <c r="L259" s="10">
        <v>26000</v>
      </c>
      <c r="M259" s="8"/>
      <c r="N259" s="9">
        <v>26000</v>
      </c>
      <c r="O259" s="9">
        <v>26000</v>
      </c>
      <c r="P259" s="7">
        <v>0</v>
      </c>
      <c r="Q259" s="152">
        <v>45390</v>
      </c>
    </row>
    <row r="260" spans="1:17" ht="35.25" thickBot="1" x14ac:dyDescent="0.3">
      <c r="A260" s="1">
        <v>2343</v>
      </c>
      <c r="B260" s="175" t="s">
        <v>307</v>
      </c>
      <c r="C260" s="2" t="s">
        <v>308</v>
      </c>
      <c r="D260" s="2"/>
      <c r="E260" s="3">
        <v>45253</v>
      </c>
      <c r="F260" s="3">
        <v>45355</v>
      </c>
      <c r="G260" s="29">
        <v>72</v>
      </c>
      <c r="H260" s="168">
        <v>72</v>
      </c>
      <c r="I260" s="168">
        <v>0</v>
      </c>
      <c r="J260" s="2" t="s">
        <v>309</v>
      </c>
      <c r="K260" s="10">
        <v>40000</v>
      </c>
      <c r="L260" s="7">
        <v>86400</v>
      </c>
      <c r="M260" s="21">
        <v>6000</v>
      </c>
      <c r="N260" s="9">
        <v>6400</v>
      </c>
      <c r="O260" s="9">
        <v>86400</v>
      </c>
      <c r="P260" s="7">
        <v>0</v>
      </c>
      <c r="Q260" s="152">
        <v>45390</v>
      </c>
    </row>
    <row r="261" spans="1:17" ht="46.5" thickBot="1" x14ac:dyDescent="0.3">
      <c r="A261" s="1">
        <v>2329</v>
      </c>
      <c r="B261" s="175" t="s">
        <v>613</v>
      </c>
      <c r="C261" s="2" t="s">
        <v>317</v>
      </c>
      <c r="D261" s="2"/>
      <c r="E261" s="3">
        <v>45238</v>
      </c>
      <c r="F261" s="3">
        <v>45338</v>
      </c>
      <c r="G261" s="29">
        <v>72</v>
      </c>
      <c r="H261" s="168">
        <v>72</v>
      </c>
      <c r="I261" s="168">
        <v>0</v>
      </c>
      <c r="J261" s="2" t="s">
        <v>182</v>
      </c>
      <c r="K261" s="7">
        <v>20000</v>
      </c>
      <c r="L261" s="7">
        <v>43200</v>
      </c>
      <c r="M261" s="21">
        <v>3000</v>
      </c>
      <c r="N261" s="9">
        <v>5400</v>
      </c>
      <c r="O261" s="9">
        <v>43200</v>
      </c>
      <c r="P261" s="7">
        <v>0</v>
      </c>
      <c r="Q261" s="152">
        <v>45390</v>
      </c>
    </row>
    <row r="262" spans="1:17" ht="15.75" thickBot="1" x14ac:dyDescent="0.3">
      <c r="A262" s="1">
        <v>2288</v>
      </c>
      <c r="B262" s="175" t="s">
        <v>755</v>
      </c>
      <c r="C262" s="2" t="s">
        <v>684</v>
      </c>
      <c r="D262" s="2"/>
      <c r="E262" s="3">
        <v>45209</v>
      </c>
      <c r="F262" s="3">
        <v>45309</v>
      </c>
      <c r="G262" s="29">
        <v>72</v>
      </c>
      <c r="H262" s="168">
        <v>72.291666666666671</v>
      </c>
      <c r="I262" s="168">
        <v>-0.2916666666666714</v>
      </c>
      <c r="J262" s="2" t="s">
        <v>182</v>
      </c>
      <c r="K262" s="10">
        <v>20000</v>
      </c>
      <c r="L262" s="10">
        <v>43200</v>
      </c>
      <c r="M262" s="21">
        <v>3000</v>
      </c>
      <c r="N262" s="9">
        <v>8000</v>
      </c>
      <c r="O262" s="9">
        <v>43375</v>
      </c>
      <c r="P262" s="7">
        <v>-175</v>
      </c>
      <c r="Q262" s="152">
        <v>45390</v>
      </c>
    </row>
    <row r="263" spans="1:17" ht="35.25" thickBot="1" x14ac:dyDescent="0.3">
      <c r="A263" s="1">
        <v>2298</v>
      </c>
      <c r="B263" s="175" t="s">
        <v>594</v>
      </c>
      <c r="C263" s="2" t="s">
        <v>360</v>
      </c>
      <c r="D263" s="2"/>
      <c r="E263" s="3">
        <v>45214</v>
      </c>
      <c r="F263" s="3">
        <v>45394</v>
      </c>
      <c r="G263" s="29">
        <v>130</v>
      </c>
      <c r="H263" s="168">
        <v>122.27272727272727</v>
      </c>
      <c r="I263" s="168">
        <v>7.7272727272727337</v>
      </c>
      <c r="J263" s="2" t="s">
        <v>662</v>
      </c>
      <c r="K263" s="7">
        <v>40000</v>
      </c>
      <c r="L263" s="7">
        <v>105600</v>
      </c>
      <c r="M263" s="21">
        <v>4400</v>
      </c>
      <c r="N263" s="9">
        <v>10500</v>
      </c>
      <c r="O263" s="9">
        <v>107600</v>
      </c>
      <c r="P263" s="7">
        <v>-2000</v>
      </c>
      <c r="Q263" s="152">
        <v>45390</v>
      </c>
    </row>
    <row r="264" spans="1:17" ht="24" thickBot="1" x14ac:dyDescent="0.3">
      <c r="A264" s="1">
        <v>2261</v>
      </c>
      <c r="B264" s="175" t="s">
        <v>369</v>
      </c>
      <c r="C264" s="2" t="s">
        <v>160</v>
      </c>
      <c r="D264" s="2"/>
      <c r="E264" s="3">
        <v>45065</v>
      </c>
      <c r="F264" s="3">
        <v>45272</v>
      </c>
      <c r="G264" s="29">
        <v>147</v>
      </c>
      <c r="H264" s="168">
        <v>140</v>
      </c>
      <c r="I264" s="168">
        <v>7</v>
      </c>
      <c r="J264" s="6" t="s">
        <v>565</v>
      </c>
      <c r="K264" s="7">
        <v>70000</v>
      </c>
      <c r="L264" s="7">
        <v>184800</v>
      </c>
      <c r="M264" s="21">
        <v>6600</v>
      </c>
      <c r="N264" s="9">
        <v>26400</v>
      </c>
      <c r="O264" s="9">
        <v>184800</v>
      </c>
      <c r="P264" s="7">
        <v>0</v>
      </c>
      <c r="Q264" s="152">
        <v>45390</v>
      </c>
    </row>
    <row r="265" spans="1:17" ht="15.75" thickBot="1" x14ac:dyDescent="0.3">
      <c r="A265" s="1">
        <v>2262</v>
      </c>
      <c r="B265" s="175" t="s">
        <v>376</v>
      </c>
      <c r="C265" s="2"/>
      <c r="D265" s="2"/>
      <c r="E265" s="3">
        <v>45194</v>
      </c>
      <c r="F265" s="3">
        <v>45390</v>
      </c>
      <c r="G265" s="29">
        <v>140</v>
      </c>
      <c r="H265" s="168">
        <v>120</v>
      </c>
      <c r="I265" s="168">
        <v>20</v>
      </c>
      <c r="J265" s="6" t="s">
        <v>587</v>
      </c>
      <c r="K265" s="10">
        <v>30000</v>
      </c>
      <c r="L265" s="10">
        <v>60000</v>
      </c>
      <c r="M265" s="21">
        <v>2500</v>
      </c>
      <c r="N265" s="9">
        <v>10000</v>
      </c>
      <c r="O265" s="9">
        <v>60000</v>
      </c>
      <c r="P265" s="7">
        <v>0</v>
      </c>
      <c r="Q265" s="152">
        <v>45390</v>
      </c>
    </row>
    <row r="266" spans="1:17" ht="15.75" thickBot="1" x14ac:dyDescent="0.3">
      <c r="A266" s="1">
        <v>2316</v>
      </c>
      <c r="B266" s="175" t="s">
        <v>376</v>
      </c>
      <c r="C266" s="2"/>
      <c r="D266" s="2"/>
      <c r="E266" s="3">
        <v>45228</v>
      </c>
      <c r="F266" s="3">
        <v>45405</v>
      </c>
      <c r="G266" s="29">
        <v>127</v>
      </c>
      <c r="H266" s="168">
        <v>120</v>
      </c>
      <c r="I266" s="168">
        <v>7</v>
      </c>
      <c r="J266" s="6" t="s">
        <v>756</v>
      </c>
      <c r="K266" s="7">
        <v>25000</v>
      </c>
      <c r="L266" s="7">
        <v>50250</v>
      </c>
      <c r="M266" s="21">
        <v>2093.75</v>
      </c>
      <c r="N266" s="9">
        <v>8375</v>
      </c>
      <c r="O266" s="9">
        <v>50250</v>
      </c>
      <c r="P266" s="7">
        <v>0</v>
      </c>
      <c r="Q266" s="152">
        <v>45390</v>
      </c>
    </row>
    <row r="267" spans="1:17" ht="15.75" thickBot="1" x14ac:dyDescent="0.3">
      <c r="A267" s="1">
        <v>2098</v>
      </c>
      <c r="B267" s="175" t="s">
        <v>381</v>
      </c>
      <c r="C267" s="2"/>
      <c r="D267" s="2"/>
      <c r="E267" s="3">
        <v>45066</v>
      </c>
      <c r="F267" s="3">
        <v>45392</v>
      </c>
      <c r="G267" s="29">
        <v>233</v>
      </c>
      <c r="H267" s="168">
        <v>200</v>
      </c>
      <c r="I267" s="168">
        <v>33</v>
      </c>
      <c r="J267" s="6" t="s">
        <v>757</v>
      </c>
      <c r="K267" s="10">
        <v>100000</v>
      </c>
      <c r="L267" s="10">
        <v>240000</v>
      </c>
      <c r="M267" s="8">
        <v>6000</v>
      </c>
      <c r="N267" s="9">
        <v>24000</v>
      </c>
      <c r="O267" s="9">
        <v>240000</v>
      </c>
      <c r="P267" s="7">
        <v>0</v>
      </c>
      <c r="Q267" s="152">
        <v>45390</v>
      </c>
    </row>
    <row r="268" spans="1:17" ht="35.25" thickBot="1" x14ac:dyDescent="0.3">
      <c r="A268" s="1">
        <v>2313</v>
      </c>
      <c r="B268" s="175" t="s">
        <v>381</v>
      </c>
      <c r="C268" s="2" t="s">
        <v>638</v>
      </c>
      <c r="D268" s="2"/>
      <c r="E268" s="3">
        <v>45226</v>
      </c>
      <c r="F268" s="3">
        <v>45405</v>
      </c>
      <c r="G268" s="29">
        <v>127</v>
      </c>
      <c r="H268" s="168">
        <v>120</v>
      </c>
      <c r="I268" s="168">
        <v>7</v>
      </c>
      <c r="J268" s="6" t="s">
        <v>756</v>
      </c>
      <c r="K268" s="7">
        <v>25000</v>
      </c>
      <c r="L268" s="7">
        <v>50250</v>
      </c>
      <c r="M268" s="21">
        <v>2093.75</v>
      </c>
      <c r="N268" s="9">
        <v>8375</v>
      </c>
      <c r="O268" s="9">
        <v>50250</v>
      </c>
      <c r="P268" s="7">
        <v>0</v>
      </c>
      <c r="Q268" s="152">
        <v>45390</v>
      </c>
    </row>
    <row r="269" spans="1:17" ht="35.25" thickBot="1" x14ac:dyDescent="0.3">
      <c r="A269" s="1">
        <v>2376</v>
      </c>
      <c r="B269" s="175" t="s">
        <v>385</v>
      </c>
      <c r="C269" s="2" t="s">
        <v>386</v>
      </c>
      <c r="D269" s="2"/>
      <c r="E269" s="3">
        <v>45276</v>
      </c>
      <c r="F269" s="3">
        <v>45377</v>
      </c>
      <c r="G269" s="29">
        <v>72</v>
      </c>
      <c r="H269" s="168">
        <v>72</v>
      </c>
      <c r="I269" s="168">
        <v>0</v>
      </c>
      <c r="J269" s="2" t="s">
        <v>227</v>
      </c>
      <c r="K269" s="10">
        <v>50000</v>
      </c>
      <c r="L269" s="10">
        <v>108000</v>
      </c>
      <c r="M269" s="8">
        <v>7500</v>
      </c>
      <c r="N269" s="9">
        <v>5700</v>
      </c>
      <c r="O269" s="9">
        <v>108000</v>
      </c>
      <c r="P269" s="7">
        <v>0</v>
      </c>
      <c r="Q269" s="152">
        <v>45390</v>
      </c>
    </row>
    <row r="270" spans="1:17" ht="46.5" thickBot="1" x14ac:dyDescent="0.3">
      <c r="A270" s="1">
        <v>2268</v>
      </c>
      <c r="B270" s="175" t="s">
        <v>406</v>
      </c>
      <c r="C270" s="2" t="s">
        <v>407</v>
      </c>
      <c r="D270" s="2"/>
      <c r="E270" s="3">
        <v>45195</v>
      </c>
      <c r="F270" s="3">
        <v>45300</v>
      </c>
      <c r="G270" s="29">
        <v>75</v>
      </c>
      <c r="H270" s="168">
        <v>80</v>
      </c>
      <c r="I270" s="168">
        <v>-5</v>
      </c>
      <c r="J270" s="6" t="s">
        <v>758</v>
      </c>
      <c r="K270" s="10">
        <v>5000</v>
      </c>
      <c r="L270" s="10">
        <v>10800</v>
      </c>
      <c r="M270" s="8">
        <v>675</v>
      </c>
      <c r="N270" s="9">
        <v>4300</v>
      </c>
      <c r="O270" s="9">
        <v>10800</v>
      </c>
      <c r="P270" s="7">
        <v>0</v>
      </c>
      <c r="Q270" s="152">
        <v>45390</v>
      </c>
    </row>
    <row r="271" spans="1:17" ht="46.5" thickBot="1" x14ac:dyDescent="0.3">
      <c r="A271" s="1">
        <v>2277</v>
      </c>
      <c r="B271" s="175" t="s">
        <v>426</v>
      </c>
      <c r="C271" s="2" t="s">
        <v>427</v>
      </c>
      <c r="D271" s="2" t="s">
        <v>428</v>
      </c>
      <c r="E271" s="3">
        <v>45202</v>
      </c>
      <c r="F271" s="3">
        <v>45370</v>
      </c>
      <c r="G271" s="29">
        <v>120</v>
      </c>
      <c r="H271" s="168">
        <v>120</v>
      </c>
      <c r="I271" s="168">
        <v>0</v>
      </c>
      <c r="J271" s="6" t="s">
        <v>383</v>
      </c>
      <c r="K271" s="7">
        <v>50000</v>
      </c>
      <c r="L271" s="7">
        <v>132000</v>
      </c>
      <c r="M271" s="21">
        <v>5500</v>
      </c>
      <c r="N271" s="9">
        <v>22000</v>
      </c>
      <c r="O271" s="9">
        <v>132000</v>
      </c>
      <c r="P271" s="7">
        <v>0</v>
      </c>
      <c r="Q271" s="152">
        <v>45390</v>
      </c>
    </row>
    <row r="272" spans="1:17" ht="46.5" thickBot="1" x14ac:dyDescent="0.3">
      <c r="A272" s="1">
        <v>2394</v>
      </c>
      <c r="B272" s="175" t="s">
        <v>426</v>
      </c>
      <c r="C272" s="2" t="s">
        <v>427</v>
      </c>
      <c r="D272" s="2" t="s">
        <v>428</v>
      </c>
      <c r="E272" s="3">
        <v>45289</v>
      </c>
      <c r="F272" s="3">
        <v>45401</v>
      </c>
      <c r="G272" s="29">
        <v>80</v>
      </c>
      <c r="H272" s="168">
        <v>80</v>
      </c>
      <c r="I272" s="168">
        <v>0</v>
      </c>
      <c r="J272" s="6" t="s">
        <v>759</v>
      </c>
      <c r="K272" s="10">
        <v>20000</v>
      </c>
      <c r="L272" s="10">
        <v>43200</v>
      </c>
      <c r="M272" s="8">
        <v>2700</v>
      </c>
      <c r="N272" s="9">
        <v>10800</v>
      </c>
      <c r="O272" s="9">
        <v>43200</v>
      </c>
      <c r="P272" s="7">
        <v>0</v>
      </c>
      <c r="Q272" s="152">
        <v>45390</v>
      </c>
    </row>
    <row r="273" spans="1:17" ht="46.5" thickBot="1" x14ac:dyDescent="0.3">
      <c r="A273" s="1">
        <v>2466</v>
      </c>
      <c r="B273" s="175" t="s">
        <v>166</v>
      </c>
      <c r="C273" s="2" t="s">
        <v>167</v>
      </c>
      <c r="D273" s="2"/>
      <c r="E273" s="3">
        <v>45331</v>
      </c>
      <c r="F273" s="3">
        <v>45373</v>
      </c>
      <c r="G273" s="29">
        <v>30</v>
      </c>
      <c r="H273" s="6" t="s">
        <v>698</v>
      </c>
      <c r="I273" s="10">
        <v>20000</v>
      </c>
      <c r="J273" s="10">
        <v>34000</v>
      </c>
      <c r="K273" s="8"/>
      <c r="L273" s="9">
        <v>20000</v>
      </c>
      <c r="M273" s="9">
        <v>34000</v>
      </c>
      <c r="N273" s="7">
        <v>0</v>
      </c>
      <c r="O273" s="360" t="e">
        <v>#DIV/0!</v>
      </c>
      <c r="P273" s="360" t="e">
        <v>#DIV/0!</v>
      </c>
      <c r="Q273" s="152">
        <v>45397</v>
      </c>
    </row>
    <row r="274" spans="1:17" ht="69" thickBot="1" x14ac:dyDescent="0.3">
      <c r="A274" s="1">
        <v>2411</v>
      </c>
      <c r="B274" s="175" t="s">
        <v>186</v>
      </c>
      <c r="C274" s="2" t="s">
        <v>760</v>
      </c>
      <c r="D274" s="2"/>
      <c r="E274" s="3">
        <v>45301</v>
      </c>
      <c r="F274" s="3">
        <v>45401</v>
      </c>
      <c r="G274" s="29">
        <v>72</v>
      </c>
      <c r="H274" s="2" t="s">
        <v>227</v>
      </c>
      <c r="I274" s="10">
        <v>50000</v>
      </c>
      <c r="J274" s="10">
        <v>108000</v>
      </c>
      <c r="K274" s="8">
        <v>7500</v>
      </c>
      <c r="L274" s="9">
        <v>10500</v>
      </c>
      <c r="M274" s="9">
        <v>108000</v>
      </c>
      <c r="N274" s="7">
        <v>0</v>
      </c>
      <c r="O274" s="360">
        <v>14.4</v>
      </c>
      <c r="P274" s="360">
        <v>0</v>
      </c>
      <c r="Q274" s="152">
        <v>45397</v>
      </c>
    </row>
    <row r="275" spans="1:17" ht="46.5" thickBot="1" x14ac:dyDescent="0.3">
      <c r="A275" s="1">
        <v>2533</v>
      </c>
      <c r="B275" s="175" t="s">
        <v>257</v>
      </c>
      <c r="C275" s="2" t="s">
        <v>258</v>
      </c>
      <c r="D275" s="2" t="s">
        <v>259</v>
      </c>
      <c r="E275" s="3">
        <v>45371</v>
      </c>
      <c r="F275" s="3">
        <v>45392</v>
      </c>
      <c r="G275" s="29">
        <v>15</v>
      </c>
      <c r="H275" s="6" t="s">
        <v>550</v>
      </c>
      <c r="I275" s="7">
        <v>15000</v>
      </c>
      <c r="J275" s="7">
        <v>23000</v>
      </c>
      <c r="K275" s="21" t="s">
        <v>143</v>
      </c>
      <c r="L275" s="9">
        <v>23000</v>
      </c>
      <c r="M275" s="9">
        <v>23000</v>
      </c>
      <c r="N275" s="7">
        <v>0</v>
      </c>
      <c r="O275" s="360" t="e">
        <v>#VALUE!</v>
      </c>
      <c r="P275" s="360" t="e">
        <v>#VALUE!</v>
      </c>
      <c r="Q275" s="152">
        <v>45397</v>
      </c>
    </row>
    <row r="276" spans="1:17" ht="35.25" thickBot="1" x14ac:dyDescent="0.3">
      <c r="A276" s="1">
        <v>2309</v>
      </c>
      <c r="B276" s="175" t="s">
        <v>637</v>
      </c>
      <c r="C276" s="2" t="s">
        <v>638</v>
      </c>
      <c r="D276" s="2"/>
      <c r="E276" s="3">
        <v>45223</v>
      </c>
      <c r="F276" s="3">
        <v>45400</v>
      </c>
      <c r="G276" s="29">
        <v>127</v>
      </c>
      <c r="H276" s="6" t="s">
        <v>756</v>
      </c>
      <c r="I276" s="10">
        <v>25000</v>
      </c>
      <c r="J276" s="10">
        <v>50250</v>
      </c>
      <c r="K276" s="8">
        <v>2093.75</v>
      </c>
      <c r="L276" s="9">
        <v>8375</v>
      </c>
      <c r="M276" s="9">
        <v>50250</v>
      </c>
      <c r="N276" s="7">
        <v>0</v>
      </c>
      <c r="O276" s="360">
        <v>24</v>
      </c>
      <c r="P276" s="360">
        <v>1.4</v>
      </c>
      <c r="Q276" s="152">
        <v>45397</v>
      </c>
    </row>
    <row r="277" spans="1:17" ht="15.75" thickBot="1" x14ac:dyDescent="0.3">
      <c r="A277" s="1">
        <v>2572</v>
      </c>
      <c r="B277" s="175" t="s">
        <v>707</v>
      </c>
      <c r="C277" s="2"/>
      <c r="D277" s="2"/>
      <c r="E277" s="3">
        <v>45384</v>
      </c>
      <c r="F277" s="3">
        <v>45394</v>
      </c>
      <c r="G277" s="4">
        <v>8</v>
      </c>
      <c r="H277" s="6" t="s">
        <v>550</v>
      </c>
      <c r="I277" s="20">
        <v>30000</v>
      </c>
      <c r="J277" s="7">
        <v>39000</v>
      </c>
      <c r="K277" s="21"/>
      <c r="L277" s="9">
        <v>39000</v>
      </c>
      <c r="M277" s="9">
        <v>39000</v>
      </c>
      <c r="N277" s="7">
        <v>0</v>
      </c>
      <c r="O277" s="360" t="e">
        <v>#DIV/0!</v>
      </c>
      <c r="P277" s="360" t="e">
        <v>#DIV/0!</v>
      </c>
      <c r="Q277" s="152">
        <v>45397</v>
      </c>
    </row>
    <row r="278" spans="1:17" ht="35.25" thickBot="1" x14ac:dyDescent="0.3">
      <c r="A278" s="1">
        <v>2405</v>
      </c>
      <c r="B278" s="175" t="s">
        <v>385</v>
      </c>
      <c r="C278" s="2" t="s">
        <v>386</v>
      </c>
      <c r="D278" s="2"/>
      <c r="E278" s="3">
        <v>45299</v>
      </c>
      <c r="F278" s="3">
        <v>45399</v>
      </c>
      <c r="G278" s="29">
        <v>72</v>
      </c>
      <c r="H278" s="2" t="s">
        <v>181</v>
      </c>
      <c r="I278" s="10">
        <v>30000</v>
      </c>
      <c r="J278" s="10">
        <v>64800</v>
      </c>
      <c r="K278" s="8">
        <v>4500</v>
      </c>
      <c r="L278" s="9">
        <v>15000</v>
      </c>
      <c r="M278" s="9">
        <v>64800</v>
      </c>
      <c r="N278" s="7">
        <v>0</v>
      </c>
      <c r="O278" s="360">
        <v>14.4</v>
      </c>
      <c r="P278" s="360">
        <v>0</v>
      </c>
      <c r="Q278" s="152">
        <v>45397</v>
      </c>
    </row>
    <row r="279" spans="1:17" ht="35.25" thickBot="1" x14ac:dyDescent="0.3">
      <c r="A279" s="1">
        <v>2424</v>
      </c>
      <c r="B279" s="175" t="s">
        <v>385</v>
      </c>
      <c r="C279" s="2" t="s">
        <v>386</v>
      </c>
      <c r="D279" s="2"/>
      <c r="E279" s="3">
        <v>45306</v>
      </c>
      <c r="F279" s="3">
        <v>45406</v>
      </c>
      <c r="G279" s="29">
        <v>72</v>
      </c>
      <c r="H279" s="2" t="s">
        <v>227</v>
      </c>
      <c r="I279" s="7">
        <v>50000</v>
      </c>
      <c r="J279" s="7">
        <v>108000</v>
      </c>
      <c r="K279" s="21">
        <v>7500</v>
      </c>
      <c r="L279" s="9">
        <v>18000</v>
      </c>
      <c r="M279" s="9">
        <v>108000</v>
      </c>
      <c r="N279" s="7">
        <v>0</v>
      </c>
      <c r="O279" s="360">
        <v>14.4</v>
      </c>
      <c r="P279" s="360">
        <v>0</v>
      </c>
      <c r="Q279" s="152">
        <v>45397</v>
      </c>
    </row>
    <row r="280" spans="1:17" ht="35.25" thickBot="1" x14ac:dyDescent="0.3">
      <c r="A280" s="1">
        <v>2437</v>
      </c>
      <c r="B280" s="175" t="s">
        <v>692</v>
      </c>
      <c r="C280" s="2" t="s">
        <v>394</v>
      </c>
      <c r="D280" s="2" t="s">
        <v>395</v>
      </c>
      <c r="E280" s="3">
        <v>45314</v>
      </c>
      <c r="F280" s="156">
        <v>45414</v>
      </c>
      <c r="G280" s="29">
        <v>72</v>
      </c>
      <c r="H280" s="2" t="s">
        <v>162</v>
      </c>
      <c r="I280" s="10">
        <v>60000</v>
      </c>
      <c r="J280" s="10">
        <v>129600</v>
      </c>
      <c r="K280" s="21">
        <v>9000</v>
      </c>
      <c r="L280" s="9">
        <v>34100</v>
      </c>
      <c r="M280" s="9">
        <v>129600</v>
      </c>
      <c r="N280" s="7">
        <v>0</v>
      </c>
      <c r="O280" s="360">
        <v>14.4</v>
      </c>
      <c r="P280" s="360">
        <v>0</v>
      </c>
      <c r="Q280" s="152">
        <v>45397</v>
      </c>
    </row>
    <row r="281" spans="1:17" ht="46.5" thickBot="1" x14ac:dyDescent="0.3">
      <c r="A281" s="1">
        <v>2464</v>
      </c>
      <c r="B281" s="175" t="s">
        <v>761</v>
      </c>
      <c r="C281" s="2" t="s">
        <v>216</v>
      </c>
      <c r="D281" s="2"/>
      <c r="E281" s="3">
        <v>45329</v>
      </c>
      <c r="F281" s="3">
        <v>45408</v>
      </c>
      <c r="G281" s="29">
        <v>57</v>
      </c>
      <c r="H281" s="168">
        <v>62.686567164179102</v>
      </c>
      <c r="I281" s="168">
        <v>-5.6865671641791025</v>
      </c>
      <c r="J281" s="6" t="s">
        <v>762</v>
      </c>
      <c r="K281" s="10">
        <v>50000</v>
      </c>
      <c r="L281" s="10">
        <v>105000</v>
      </c>
      <c r="M281" s="21">
        <v>8375</v>
      </c>
      <c r="N281" s="9">
        <v>34000</v>
      </c>
      <c r="O281" s="9">
        <v>105000</v>
      </c>
      <c r="P281" s="7">
        <v>0</v>
      </c>
      <c r="Q281" s="152">
        <v>45404</v>
      </c>
    </row>
    <row r="282" spans="1:17" ht="15.75" thickBot="1" x14ac:dyDescent="0.3">
      <c r="A282" s="1">
        <v>2583</v>
      </c>
      <c r="B282" s="175" t="s">
        <v>707</v>
      </c>
      <c r="C282" s="2"/>
      <c r="D282" s="2"/>
      <c r="E282" s="3">
        <v>45400</v>
      </c>
      <c r="F282" s="3">
        <v>45407</v>
      </c>
      <c r="G282" s="4">
        <v>5</v>
      </c>
      <c r="H282" s="168" t="e">
        <v>#DIV/0!</v>
      </c>
      <c r="I282" s="168" t="e">
        <v>#DIV/0!</v>
      </c>
      <c r="J282" s="6" t="s">
        <v>550</v>
      </c>
      <c r="K282" s="177">
        <v>20000</v>
      </c>
      <c r="L282" s="10">
        <v>26000</v>
      </c>
      <c r="M282" s="8"/>
      <c r="N282" s="9">
        <v>26000</v>
      </c>
      <c r="O282" s="9">
        <v>26000</v>
      </c>
      <c r="P282" s="7">
        <v>0</v>
      </c>
      <c r="Q282" s="152">
        <v>45404</v>
      </c>
    </row>
    <row r="283" spans="1:17" ht="46.5" thickBot="1" x14ac:dyDescent="0.3">
      <c r="A283" s="1">
        <v>2370</v>
      </c>
      <c r="B283" s="175" t="s">
        <v>316</v>
      </c>
      <c r="C283" s="2" t="s">
        <v>317</v>
      </c>
      <c r="D283" s="2"/>
      <c r="E283" s="3">
        <v>45273</v>
      </c>
      <c r="F283" s="3">
        <v>45373</v>
      </c>
      <c r="G283" s="29">
        <v>72</v>
      </c>
      <c r="H283" s="168">
        <v>72</v>
      </c>
      <c r="I283" s="168">
        <v>0</v>
      </c>
      <c r="J283" s="2" t="s">
        <v>576</v>
      </c>
      <c r="K283" s="10">
        <v>10000</v>
      </c>
      <c r="L283" s="10">
        <v>21600</v>
      </c>
      <c r="M283" s="21">
        <v>1500</v>
      </c>
      <c r="N283" s="9">
        <v>3600</v>
      </c>
      <c r="O283" s="9">
        <v>21600</v>
      </c>
      <c r="P283" s="7">
        <v>0</v>
      </c>
      <c r="Q283" s="152">
        <v>45404</v>
      </c>
    </row>
    <row r="284" spans="1:17" ht="46.5" thickBot="1" x14ac:dyDescent="0.3">
      <c r="A284" s="1">
        <v>2586</v>
      </c>
      <c r="B284" s="175" t="s">
        <v>316</v>
      </c>
      <c r="C284" s="2" t="s">
        <v>317</v>
      </c>
      <c r="D284" s="2"/>
      <c r="E284" s="3">
        <v>45402</v>
      </c>
      <c r="F284" s="3">
        <v>45503</v>
      </c>
      <c r="G284" s="29">
        <v>72</v>
      </c>
      <c r="H284" s="168" t="e">
        <v>#VALUE!</v>
      </c>
      <c r="I284" s="168" t="e">
        <v>#VALUE!</v>
      </c>
      <c r="J284" s="2" t="s">
        <v>576</v>
      </c>
      <c r="K284" s="7">
        <v>10000</v>
      </c>
      <c r="L284" s="7">
        <v>11500</v>
      </c>
      <c r="M284" s="21" t="s">
        <v>143</v>
      </c>
      <c r="N284" s="9">
        <v>11500</v>
      </c>
      <c r="O284" s="9">
        <v>11500</v>
      </c>
      <c r="P284" s="7">
        <v>0</v>
      </c>
      <c r="Q284" s="152">
        <v>45404</v>
      </c>
    </row>
    <row r="285" spans="1:17" ht="46.5" thickBot="1" x14ac:dyDescent="0.3">
      <c r="A285" s="1">
        <v>2264</v>
      </c>
      <c r="B285" s="175" t="s">
        <v>321</v>
      </c>
      <c r="C285" s="2" t="s">
        <v>322</v>
      </c>
      <c r="D285" s="2"/>
      <c r="E285" s="3">
        <v>45194</v>
      </c>
      <c r="F285" s="3">
        <v>45446</v>
      </c>
      <c r="G285" s="29">
        <v>180</v>
      </c>
      <c r="H285" s="168">
        <v>160</v>
      </c>
      <c r="I285" s="168">
        <v>20</v>
      </c>
      <c r="J285" s="6" t="s">
        <v>704</v>
      </c>
      <c r="K285" s="7">
        <v>40000</v>
      </c>
      <c r="L285" s="7">
        <v>120000</v>
      </c>
      <c r="M285" s="21">
        <v>3750</v>
      </c>
      <c r="N285" s="9">
        <v>1450</v>
      </c>
      <c r="O285" s="9">
        <v>120000</v>
      </c>
      <c r="P285" s="7">
        <v>0</v>
      </c>
      <c r="Q285" s="152">
        <v>45404</v>
      </c>
    </row>
    <row r="286" spans="1:17" ht="15.75" thickBot="1" x14ac:dyDescent="0.3">
      <c r="A286" s="1">
        <v>2452</v>
      </c>
      <c r="B286" s="175" t="s">
        <v>341</v>
      </c>
      <c r="C286" s="2" t="s">
        <v>342</v>
      </c>
      <c r="D286" s="2"/>
      <c r="E286" s="3">
        <v>45322</v>
      </c>
      <c r="F286" s="3">
        <v>45422</v>
      </c>
      <c r="G286" s="29">
        <v>72</v>
      </c>
      <c r="H286" s="168">
        <v>72</v>
      </c>
      <c r="I286" s="168">
        <v>0</v>
      </c>
      <c r="J286" s="2" t="s">
        <v>227</v>
      </c>
      <c r="K286" s="7">
        <v>50000</v>
      </c>
      <c r="L286" s="7">
        <v>108000</v>
      </c>
      <c r="M286" s="21">
        <v>7500</v>
      </c>
      <c r="N286" s="9">
        <v>25500</v>
      </c>
      <c r="O286" s="9">
        <v>108000</v>
      </c>
      <c r="P286" s="7">
        <v>0</v>
      </c>
      <c r="Q286" s="152">
        <v>45404</v>
      </c>
    </row>
    <row r="287" spans="1:17" ht="15.75" thickBot="1" x14ac:dyDescent="0.3">
      <c r="A287" s="1">
        <v>2528</v>
      </c>
      <c r="B287" s="175" t="s">
        <v>551</v>
      </c>
      <c r="C287" s="2"/>
      <c r="D287" s="2"/>
      <c r="E287" s="3">
        <v>45369</v>
      </c>
      <c r="F287" s="3">
        <v>45390</v>
      </c>
      <c r="G287" s="4">
        <v>15</v>
      </c>
      <c r="H287" s="168" t="e">
        <v>#DIV/0!</v>
      </c>
      <c r="I287" s="168" t="e">
        <v>#DIV/0!</v>
      </c>
      <c r="J287" s="6" t="s">
        <v>550</v>
      </c>
      <c r="K287" s="10">
        <v>10000</v>
      </c>
      <c r="L287" s="10">
        <v>16000</v>
      </c>
      <c r="M287" s="21"/>
      <c r="N287" s="9">
        <v>2000</v>
      </c>
      <c r="O287" s="9">
        <v>16000</v>
      </c>
      <c r="P287" s="7">
        <v>0</v>
      </c>
      <c r="Q287" s="152">
        <v>45404</v>
      </c>
    </row>
    <row r="288" spans="1:17" ht="35.25" thickBot="1" x14ac:dyDescent="0.3">
      <c r="A288" s="1">
        <v>2536</v>
      </c>
      <c r="B288" s="175" t="s">
        <v>551</v>
      </c>
      <c r="C288" s="2" t="s">
        <v>763</v>
      </c>
      <c r="D288" s="2"/>
      <c r="E288" s="3">
        <v>45372</v>
      </c>
      <c r="F288" s="3">
        <v>45390</v>
      </c>
      <c r="G288" s="4">
        <v>12</v>
      </c>
      <c r="H288" s="168" t="e">
        <v>#DIV/0!</v>
      </c>
      <c r="I288" s="168" t="e">
        <v>#DIV/0!</v>
      </c>
      <c r="J288" s="6" t="s">
        <v>550</v>
      </c>
      <c r="K288" s="7">
        <v>25000</v>
      </c>
      <c r="L288" s="7">
        <v>40000</v>
      </c>
      <c r="M288" s="21"/>
      <c r="N288" s="9">
        <v>44900</v>
      </c>
      <c r="O288" s="9">
        <v>44900</v>
      </c>
      <c r="P288" s="7">
        <v>-4900</v>
      </c>
      <c r="Q288" s="152">
        <v>45404</v>
      </c>
    </row>
    <row r="289" spans="1:17" ht="24" thickBot="1" x14ac:dyDescent="0.3">
      <c r="A289" s="1">
        <v>2439</v>
      </c>
      <c r="B289" s="2" t="s">
        <v>230</v>
      </c>
      <c r="C289" s="2" t="s">
        <v>231</v>
      </c>
      <c r="D289" s="2">
        <v>14154231</v>
      </c>
      <c r="E289" s="3">
        <v>44950</v>
      </c>
      <c r="F289" s="3">
        <v>45050</v>
      </c>
      <c r="G289" s="29">
        <v>72</v>
      </c>
      <c r="H289" s="168">
        <v>72</v>
      </c>
      <c r="I289" s="168">
        <v>0</v>
      </c>
      <c r="J289" s="2" t="s">
        <v>181</v>
      </c>
      <c r="K289" s="7">
        <v>30000</v>
      </c>
      <c r="L289" s="7">
        <v>64800</v>
      </c>
      <c r="M289" s="21">
        <v>4500</v>
      </c>
      <c r="N289" s="9"/>
      <c r="O289" s="9">
        <v>64800</v>
      </c>
      <c r="P289" s="7">
        <v>0</v>
      </c>
      <c r="Q289" s="152">
        <v>45411</v>
      </c>
    </row>
    <row r="290" spans="1:17" ht="69" thickBot="1" x14ac:dyDescent="0.3">
      <c r="A290" s="1">
        <v>2417</v>
      </c>
      <c r="B290" s="2" t="s">
        <v>251</v>
      </c>
      <c r="C290" s="2" t="s">
        <v>252</v>
      </c>
      <c r="D290" s="2">
        <v>27313552360</v>
      </c>
      <c r="E290" s="3">
        <v>45303</v>
      </c>
      <c r="F290" s="3">
        <v>45405</v>
      </c>
      <c r="G290" s="29">
        <v>72</v>
      </c>
      <c r="H290" s="168">
        <v>80</v>
      </c>
      <c r="I290" s="168">
        <v>-8</v>
      </c>
      <c r="J290" s="6" t="s">
        <v>764</v>
      </c>
      <c r="K290" s="10">
        <v>100000</v>
      </c>
      <c r="L290" s="10">
        <v>216000</v>
      </c>
      <c r="M290" s="21">
        <v>13500</v>
      </c>
      <c r="N290" s="9"/>
      <c r="O290" s="9">
        <v>216000</v>
      </c>
      <c r="P290" s="7">
        <v>0</v>
      </c>
      <c r="Q290" s="152">
        <v>45411</v>
      </c>
    </row>
    <row r="291" spans="1:17" ht="46.5" thickBot="1" x14ac:dyDescent="0.3">
      <c r="A291" s="1">
        <v>2349</v>
      </c>
      <c r="B291" s="2" t="s">
        <v>765</v>
      </c>
      <c r="C291" s="2" t="s">
        <v>208</v>
      </c>
      <c r="D291" s="2"/>
      <c r="E291" s="3">
        <v>45255</v>
      </c>
      <c r="F291" s="3">
        <v>45408</v>
      </c>
      <c r="G291" s="29">
        <v>110</v>
      </c>
      <c r="H291" s="168">
        <v>110</v>
      </c>
      <c r="I291" s="168">
        <v>0</v>
      </c>
      <c r="J291" s="2" t="s">
        <v>766</v>
      </c>
      <c r="K291" s="7">
        <v>60000</v>
      </c>
      <c r="L291" s="7">
        <v>158400</v>
      </c>
      <c r="M291" s="21">
        <v>7200</v>
      </c>
      <c r="N291" s="9"/>
      <c r="O291" s="9">
        <v>158400</v>
      </c>
      <c r="P291" s="7">
        <v>0</v>
      </c>
      <c r="Q291" s="152">
        <v>45411</v>
      </c>
    </row>
    <row r="292" spans="1:17" ht="35.25" thickBot="1" x14ac:dyDescent="0.3">
      <c r="A292" s="1">
        <v>2304</v>
      </c>
      <c r="B292" s="2" t="s">
        <v>280</v>
      </c>
      <c r="C292" s="2" t="s">
        <v>285</v>
      </c>
      <c r="D292" s="2"/>
      <c r="E292" s="3">
        <v>45219</v>
      </c>
      <c r="F292" s="3">
        <v>45380</v>
      </c>
      <c r="G292" s="29">
        <v>115</v>
      </c>
      <c r="H292" s="168">
        <v>110</v>
      </c>
      <c r="I292" s="168">
        <v>5</v>
      </c>
      <c r="J292" s="6" t="s">
        <v>602</v>
      </c>
      <c r="K292" s="10">
        <v>15000</v>
      </c>
      <c r="L292" s="10">
        <v>39600</v>
      </c>
      <c r="M292" s="8">
        <v>1800</v>
      </c>
      <c r="N292" s="9"/>
      <c r="O292" s="9">
        <v>39600</v>
      </c>
      <c r="P292" s="7">
        <v>0</v>
      </c>
      <c r="Q292" s="152">
        <v>45411</v>
      </c>
    </row>
    <row r="293" spans="1:17" ht="35.25" thickBot="1" x14ac:dyDescent="0.3">
      <c r="A293" s="1">
        <v>2365</v>
      </c>
      <c r="B293" s="2" t="s">
        <v>280</v>
      </c>
      <c r="C293" s="2" t="s">
        <v>285</v>
      </c>
      <c r="D293" s="2"/>
      <c r="E293" s="3">
        <v>45268</v>
      </c>
      <c r="F293" s="3">
        <v>45454</v>
      </c>
      <c r="G293" s="29">
        <v>132</v>
      </c>
      <c r="H293" s="168">
        <v>80</v>
      </c>
      <c r="I293" s="168">
        <v>52</v>
      </c>
      <c r="J293" s="6" t="s">
        <v>767</v>
      </c>
      <c r="K293" s="10">
        <v>20000</v>
      </c>
      <c r="L293" s="10">
        <v>43200</v>
      </c>
      <c r="M293" s="8">
        <v>2700</v>
      </c>
      <c r="N293" s="9"/>
      <c r="O293" s="9">
        <v>43200</v>
      </c>
      <c r="P293" s="7">
        <v>0</v>
      </c>
      <c r="Q293" s="152">
        <v>45411</v>
      </c>
    </row>
    <row r="294" spans="1:17" ht="24" thickBot="1" x14ac:dyDescent="0.3">
      <c r="A294" s="1">
        <v>2596</v>
      </c>
      <c r="B294" s="2" t="s">
        <v>707</v>
      </c>
      <c r="C294" s="2"/>
      <c r="D294" s="2"/>
      <c r="E294" s="3">
        <v>45408</v>
      </c>
      <c r="F294" s="3">
        <v>45415</v>
      </c>
      <c r="G294" s="4">
        <v>5</v>
      </c>
      <c r="H294" s="168" t="e">
        <v>#DIV/0!</v>
      </c>
      <c r="I294" s="168" t="e">
        <v>#DIV/0!</v>
      </c>
      <c r="J294" s="6" t="s">
        <v>550</v>
      </c>
      <c r="K294" s="177">
        <v>30000</v>
      </c>
      <c r="L294" s="10">
        <v>39000</v>
      </c>
      <c r="M294" s="8"/>
      <c r="N294" s="9"/>
      <c r="O294" s="9">
        <v>39000</v>
      </c>
      <c r="P294" s="7">
        <v>0</v>
      </c>
      <c r="Q294" s="152">
        <v>45411</v>
      </c>
    </row>
    <row r="295" spans="1:17" ht="46.5" thickBot="1" x14ac:dyDescent="0.3">
      <c r="A295" s="1">
        <v>2276</v>
      </c>
      <c r="B295" s="2" t="s">
        <v>321</v>
      </c>
      <c r="C295" s="2" t="s">
        <v>322</v>
      </c>
      <c r="D295" s="2"/>
      <c r="E295" s="3">
        <v>45201</v>
      </c>
      <c r="F295" s="3">
        <v>45453</v>
      </c>
      <c r="G295" s="29">
        <v>180</v>
      </c>
      <c r="H295" s="168">
        <v>177.74666666666667</v>
      </c>
      <c r="I295" s="168">
        <v>2.2533333333333303</v>
      </c>
      <c r="J295" s="6" t="s">
        <v>704</v>
      </c>
      <c r="K295" s="7">
        <v>40000</v>
      </c>
      <c r="L295" s="7">
        <v>120000</v>
      </c>
      <c r="M295" s="21">
        <v>3750</v>
      </c>
      <c r="N295" s="9"/>
      <c r="O295" s="9">
        <v>133310</v>
      </c>
      <c r="P295" s="7">
        <v>-13310</v>
      </c>
      <c r="Q295" s="152">
        <v>45411</v>
      </c>
    </row>
    <row r="296" spans="1:17" ht="35.25" thickBot="1" x14ac:dyDescent="0.3">
      <c r="A296" s="1">
        <v>2555</v>
      </c>
      <c r="B296" s="2" t="s">
        <v>562</v>
      </c>
      <c r="C296" s="2" t="s">
        <v>563</v>
      </c>
      <c r="D296" s="2"/>
      <c r="E296" s="3">
        <v>45386</v>
      </c>
      <c r="F296" s="3">
        <v>45414</v>
      </c>
      <c r="G296" s="29">
        <v>20</v>
      </c>
      <c r="H296" s="168" t="e">
        <v>#DIV/0!</v>
      </c>
      <c r="I296" s="168" t="e">
        <v>#DIV/0!</v>
      </c>
      <c r="J296" s="6" t="s">
        <v>550</v>
      </c>
      <c r="K296" s="7">
        <v>40000</v>
      </c>
      <c r="L296" s="7">
        <v>60000</v>
      </c>
      <c r="M296" s="21"/>
      <c r="N296" s="9"/>
      <c r="O296" s="9">
        <v>60000</v>
      </c>
      <c r="P296" s="7">
        <v>0</v>
      </c>
      <c r="Q296" s="152">
        <v>45411</v>
      </c>
    </row>
    <row r="297" spans="1:17" ht="35.25" thickBot="1" x14ac:dyDescent="0.3">
      <c r="A297" s="1">
        <v>2560</v>
      </c>
      <c r="B297" s="2" t="s">
        <v>562</v>
      </c>
      <c r="C297" s="2" t="s">
        <v>563</v>
      </c>
      <c r="D297" s="2"/>
      <c r="E297" s="3">
        <v>45388</v>
      </c>
      <c r="F297" s="3">
        <v>45394</v>
      </c>
      <c r="G297" s="29">
        <v>5</v>
      </c>
      <c r="H297" s="168" t="e">
        <v>#DIV/0!</v>
      </c>
      <c r="I297" s="168" t="e">
        <v>#DIV/0!</v>
      </c>
      <c r="J297" s="6" t="s">
        <v>550</v>
      </c>
      <c r="K297" s="7">
        <v>40000</v>
      </c>
      <c r="L297" s="7">
        <v>47000</v>
      </c>
      <c r="M297" s="21"/>
      <c r="N297" s="9"/>
      <c r="O297" s="9">
        <v>47000</v>
      </c>
      <c r="P297" s="7">
        <v>0</v>
      </c>
      <c r="Q297" s="152">
        <v>45411</v>
      </c>
    </row>
    <row r="298" spans="1:17" ht="35.25" thickBot="1" x14ac:dyDescent="0.3">
      <c r="A298" s="1">
        <v>2451</v>
      </c>
      <c r="B298" s="2" t="s">
        <v>385</v>
      </c>
      <c r="C298" s="2" t="s">
        <v>386</v>
      </c>
      <c r="D298" s="2"/>
      <c r="E298" s="3">
        <v>45322</v>
      </c>
      <c r="F298" s="3">
        <v>45422</v>
      </c>
      <c r="G298" s="29">
        <v>72</v>
      </c>
      <c r="H298" s="168">
        <v>72</v>
      </c>
      <c r="I298" s="168">
        <v>0</v>
      </c>
      <c r="J298" s="2" t="s">
        <v>227</v>
      </c>
      <c r="K298" s="7">
        <v>50000</v>
      </c>
      <c r="L298" s="7">
        <v>108000</v>
      </c>
      <c r="M298" s="21">
        <v>7500</v>
      </c>
      <c r="N298" s="9"/>
      <c r="O298" s="9">
        <v>108000</v>
      </c>
      <c r="P298" s="7">
        <v>0</v>
      </c>
      <c r="Q298" s="152">
        <v>45411</v>
      </c>
    </row>
    <row r="299" spans="1:17" ht="57.75" thickBot="1" x14ac:dyDescent="0.3">
      <c r="A299" s="1">
        <v>2372</v>
      </c>
      <c r="B299" s="2" t="s">
        <v>404</v>
      </c>
      <c r="C299" s="2" t="s">
        <v>405</v>
      </c>
      <c r="D299" s="2">
        <v>24172612</v>
      </c>
      <c r="E299" s="3">
        <v>45275</v>
      </c>
      <c r="F299" s="3">
        <v>45377</v>
      </c>
      <c r="G299" s="29">
        <v>72</v>
      </c>
      <c r="H299" s="168">
        <v>72</v>
      </c>
      <c r="I299" s="168">
        <v>0</v>
      </c>
      <c r="J299" s="2" t="s">
        <v>309</v>
      </c>
      <c r="K299" s="10">
        <v>40000</v>
      </c>
      <c r="L299" s="10">
        <v>86400</v>
      </c>
      <c r="M299" s="21">
        <v>6000</v>
      </c>
      <c r="N299" s="9"/>
      <c r="O299" s="9">
        <v>86400</v>
      </c>
      <c r="P299" s="7">
        <v>0</v>
      </c>
      <c r="Q299" s="152">
        <v>45411</v>
      </c>
    </row>
    <row r="300" spans="1:17" ht="35.25" thickBot="1" x14ac:dyDescent="0.3">
      <c r="A300" s="178">
        <v>2559</v>
      </c>
      <c r="B300" s="2" t="s">
        <v>600</v>
      </c>
      <c r="C300" s="2" t="s">
        <v>687</v>
      </c>
      <c r="D300" s="2"/>
      <c r="E300" s="3">
        <v>45388</v>
      </c>
      <c r="F300" s="3">
        <v>45415</v>
      </c>
      <c r="G300" s="29">
        <v>20</v>
      </c>
      <c r="H300" s="151" t="e">
        <v>#DIV/0!</v>
      </c>
      <c r="I300" s="151" t="e">
        <v>#DIV/0!</v>
      </c>
      <c r="J300" s="6" t="s">
        <v>550</v>
      </c>
      <c r="K300" s="10">
        <v>50000</v>
      </c>
      <c r="L300" s="10">
        <v>75000</v>
      </c>
      <c r="M300" s="8"/>
      <c r="N300" s="9">
        <v>40000</v>
      </c>
      <c r="O300" s="9">
        <v>75000</v>
      </c>
      <c r="P300" s="7">
        <v>0</v>
      </c>
      <c r="Q300" s="152">
        <v>45418</v>
      </c>
    </row>
    <row r="301" spans="1:17" ht="46.5" thickBot="1" x14ac:dyDescent="0.3">
      <c r="A301" s="178">
        <v>2581</v>
      </c>
      <c r="B301" s="2" t="s">
        <v>172</v>
      </c>
      <c r="C301" s="2" t="s">
        <v>173</v>
      </c>
      <c r="D301" s="2" t="s">
        <v>174</v>
      </c>
      <c r="E301" s="3">
        <v>45400</v>
      </c>
      <c r="F301" s="3">
        <v>45422</v>
      </c>
      <c r="G301" s="29">
        <v>16</v>
      </c>
      <c r="H301" s="151" t="e">
        <v>#DIV/0!</v>
      </c>
      <c r="I301" s="151" t="e">
        <v>#DIV/0!</v>
      </c>
      <c r="J301" s="6" t="s">
        <v>550</v>
      </c>
      <c r="K301" s="10">
        <v>20000</v>
      </c>
      <c r="L301" s="10">
        <v>30000</v>
      </c>
      <c r="M301" s="8"/>
      <c r="N301" s="9">
        <v>30000</v>
      </c>
      <c r="O301" s="9">
        <v>30000</v>
      </c>
      <c r="P301" s="7">
        <v>0</v>
      </c>
      <c r="Q301" s="152">
        <v>45418</v>
      </c>
    </row>
    <row r="302" spans="1:17" ht="46.5" thickBot="1" x14ac:dyDescent="0.3">
      <c r="A302" s="178">
        <v>2607</v>
      </c>
      <c r="B302" s="2" t="s">
        <v>172</v>
      </c>
      <c r="C302" s="2" t="s">
        <v>173</v>
      </c>
      <c r="D302" s="2" t="s">
        <v>174</v>
      </c>
      <c r="E302" s="3">
        <v>45409</v>
      </c>
      <c r="F302" s="3">
        <v>45422</v>
      </c>
      <c r="G302" s="29">
        <v>10</v>
      </c>
      <c r="H302" s="151" t="e">
        <v>#DIV/0!</v>
      </c>
      <c r="I302" s="151" t="e">
        <v>#DIV/0!</v>
      </c>
      <c r="J302" s="6" t="s">
        <v>550</v>
      </c>
      <c r="K302" s="7">
        <v>10000</v>
      </c>
      <c r="L302" s="7">
        <v>16000</v>
      </c>
      <c r="M302" s="21"/>
      <c r="N302" s="9">
        <v>16000</v>
      </c>
      <c r="O302" s="9">
        <v>16000</v>
      </c>
      <c r="P302" s="7">
        <v>0</v>
      </c>
      <c r="Q302" s="152">
        <v>45418</v>
      </c>
    </row>
    <row r="303" spans="1:17" ht="46.5" thickBot="1" x14ac:dyDescent="0.3">
      <c r="A303" s="178">
        <v>2364</v>
      </c>
      <c r="B303" s="2" t="s">
        <v>215</v>
      </c>
      <c r="C303" s="2" t="s">
        <v>216</v>
      </c>
      <c r="D303" s="2"/>
      <c r="E303" s="3">
        <v>45267</v>
      </c>
      <c r="F303" s="3">
        <v>45428</v>
      </c>
      <c r="G303" s="29">
        <v>115</v>
      </c>
      <c r="H303" s="151">
        <v>109.25925925925925</v>
      </c>
      <c r="I303" s="151">
        <v>5.7407407407407476</v>
      </c>
      <c r="J303" s="6" t="s">
        <v>768</v>
      </c>
      <c r="K303" s="7">
        <v>100000</v>
      </c>
      <c r="L303" s="7">
        <v>216000</v>
      </c>
      <c r="M303" s="21">
        <v>10800</v>
      </c>
      <c r="N303" s="9">
        <v>43200</v>
      </c>
      <c r="O303" s="9">
        <v>236000</v>
      </c>
      <c r="P303" s="7">
        <v>-20000</v>
      </c>
      <c r="Q303" s="152">
        <v>45418</v>
      </c>
    </row>
    <row r="304" spans="1:17" ht="24" thickBot="1" x14ac:dyDescent="0.3">
      <c r="A304" s="178">
        <v>2598</v>
      </c>
      <c r="B304" s="2" t="s">
        <v>707</v>
      </c>
      <c r="C304" s="2"/>
      <c r="D304" s="2"/>
      <c r="E304" s="3">
        <v>45409</v>
      </c>
      <c r="F304" s="3">
        <v>45415</v>
      </c>
      <c r="G304" s="29">
        <v>5</v>
      </c>
      <c r="H304" s="151" t="e">
        <v>#DIV/0!</v>
      </c>
      <c r="I304" s="151" t="e">
        <v>#DIV/0!</v>
      </c>
      <c r="J304" s="6" t="s">
        <v>550</v>
      </c>
      <c r="K304" s="20">
        <v>50000</v>
      </c>
      <c r="L304" s="7">
        <v>65000</v>
      </c>
      <c r="M304" s="21"/>
      <c r="N304" s="9">
        <v>68000</v>
      </c>
      <c r="O304" s="9">
        <v>68000</v>
      </c>
      <c r="P304" s="7">
        <v>-3000</v>
      </c>
      <c r="Q304" s="152">
        <v>45418</v>
      </c>
    </row>
    <row r="305" spans="1:17" ht="57.75" thickBot="1" x14ac:dyDescent="0.3">
      <c r="A305" s="178">
        <v>2412</v>
      </c>
      <c r="B305" s="2" t="s">
        <v>681</v>
      </c>
      <c r="C305" s="2" t="s">
        <v>682</v>
      </c>
      <c r="D305" s="2"/>
      <c r="E305" s="3">
        <v>45302</v>
      </c>
      <c r="F305" s="3">
        <v>45400</v>
      </c>
      <c r="G305" s="29">
        <v>70</v>
      </c>
      <c r="H305" s="151">
        <v>70</v>
      </c>
      <c r="I305" s="151">
        <v>0</v>
      </c>
      <c r="J305" s="2" t="s">
        <v>769</v>
      </c>
      <c r="K305" s="10">
        <v>50000</v>
      </c>
      <c r="L305" s="10">
        <v>122500</v>
      </c>
      <c r="M305" s="8">
        <v>8750</v>
      </c>
      <c r="N305" s="9">
        <v>70000</v>
      </c>
      <c r="O305" s="9">
        <v>122500</v>
      </c>
      <c r="P305" s="7">
        <v>0</v>
      </c>
      <c r="Q305" s="152">
        <v>45418</v>
      </c>
    </row>
    <row r="306" spans="1:17" ht="46.5" thickBot="1" x14ac:dyDescent="0.3">
      <c r="A306" s="178">
        <v>2335</v>
      </c>
      <c r="B306" s="2" t="s">
        <v>770</v>
      </c>
      <c r="C306" s="2" t="s">
        <v>771</v>
      </c>
      <c r="D306" s="2" t="s">
        <v>772</v>
      </c>
      <c r="E306" s="3">
        <v>45241</v>
      </c>
      <c r="F306" s="3">
        <v>45342</v>
      </c>
      <c r="G306" s="29">
        <v>72</v>
      </c>
      <c r="H306" s="151">
        <v>80.166666666666671</v>
      </c>
      <c r="I306" s="151">
        <v>-8.1666666666666714</v>
      </c>
      <c r="J306" s="2" t="s">
        <v>318</v>
      </c>
      <c r="K306" s="7">
        <v>15000</v>
      </c>
      <c r="L306" s="7">
        <v>32400</v>
      </c>
      <c r="M306" s="21">
        <v>2250</v>
      </c>
      <c r="N306" s="9">
        <v>10000</v>
      </c>
      <c r="O306" s="9">
        <v>36075</v>
      </c>
      <c r="P306" s="7">
        <v>-3675</v>
      </c>
      <c r="Q306" s="152">
        <v>45418</v>
      </c>
    </row>
    <row r="307" spans="1:17" ht="24" thickBot="1" x14ac:dyDescent="0.3">
      <c r="A307" s="178">
        <v>2430</v>
      </c>
      <c r="B307" s="2" t="s">
        <v>327</v>
      </c>
      <c r="C307" s="2"/>
      <c r="D307" s="2"/>
      <c r="E307" s="3">
        <v>45309</v>
      </c>
      <c r="F307" s="3">
        <v>45411</v>
      </c>
      <c r="G307" s="29">
        <v>72</v>
      </c>
      <c r="H307" s="151">
        <v>72</v>
      </c>
      <c r="I307" s="151">
        <v>0</v>
      </c>
      <c r="J307" s="2" t="s">
        <v>181</v>
      </c>
      <c r="K307" s="7">
        <v>30000</v>
      </c>
      <c r="L307" s="7">
        <v>64800</v>
      </c>
      <c r="M307" s="21">
        <v>4500</v>
      </c>
      <c r="N307" s="9">
        <v>10800</v>
      </c>
      <c r="O307" s="9">
        <v>64800</v>
      </c>
      <c r="P307" s="7">
        <v>0</v>
      </c>
      <c r="Q307" s="152">
        <v>45418</v>
      </c>
    </row>
    <row r="308" spans="1:17" ht="46.5" thickBot="1" x14ac:dyDescent="0.3">
      <c r="A308" s="178">
        <v>2314</v>
      </c>
      <c r="B308" s="2" t="s">
        <v>337</v>
      </c>
      <c r="C308" s="2" t="s">
        <v>338</v>
      </c>
      <c r="D308" s="2"/>
      <c r="E308" s="3">
        <v>45226</v>
      </c>
      <c r="F308" s="3">
        <v>45394</v>
      </c>
      <c r="G308" s="29">
        <v>120</v>
      </c>
      <c r="H308" s="151">
        <v>120</v>
      </c>
      <c r="I308" s="151">
        <v>0</v>
      </c>
      <c r="J308" s="16" t="s">
        <v>773</v>
      </c>
      <c r="K308" s="7">
        <v>50000</v>
      </c>
      <c r="L308" s="7">
        <v>110400</v>
      </c>
      <c r="M308" s="21">
        <v>4600</v>
      </c>
      <c r="N308" s="9">
        <v>9200</v>
      </c>
      <c r="O308" s="9">
        <v>110400</v>
      </c>
      <c r="P308" s="7">
        <v>0</v>
      </c>
      <c r="Q308" s="152">
        <v>45418</v>
      </c>
    </row>
    <row r="309" spans="1:17" ht="57.75" thickBot="1" x14ac:dyDescent="0.3">
      <c r="A309" s="178">
        <v>2387</v>
      </c>
      <c r="B309" s="2" t="s">
        <v>774</v>
      </c>
      <c r="C309" s="2" t="s">
        <v>775</v>
      </c>
      <c r="D309" s="2"/>
      <c r="E309" s="3">
        <v>45282</v>
      </c>
      <c r="F309" s="3">
        <v>45384</v>
      </c>
      <c r="G309" s="29">
        <v>72</v>
      </c>
      <c r="H309" s="151">
        <v>72</v>
      </c>
      <c r="I309" s="151">
        <v>0</v>
      </c>
      <c r="J309" s="2" t="s">
        <v>182</v>
      </c>
      <c r="K309" s="10">
        <v>20000</v>
      </c>
      <c r="L309" s="10">
        <v>43200</v>
      </c>
      <c r="M309" s="21">
        <v>3000</v>
      </c>
      <c r="N309" s="9">
        <v>7200</v>
      </c>
      <c r="O309" s="9">
        <v>43200</v>
      </c>
      <c r="P309" s="7">
        <v>0</v>
      </c>
      <c r="Q309" s="152">
        <v>45418</v>
      </c>
    </row>
    <row r="310" spans="1:17" ht="69" thickBot="1" x14ac:dyDescent="0.3">
      <c r="A310" s="178">
        <v>2545</v>
      </c>
      <c r="B310" s="2" t="s">
        <v>362</v>
      </c>
      <c r="C310" s="2" t="s">
        <v>363</v>
      </c>
      <c r="D310" s="2">
        <v>27242809519</v>
      </c>
      <c r="E310" s="3">
        <v>45378</v>
      </c>
      <c r="F310" s="3">
        <v>45422</v>
      </c>
      <c r="G310" s="29">
        <v>32</v>
      </c>
      <c r="H310" s="151">
        <v>20.666666666666668</v>
      </c>
      <c r="I310" s="151">
        <v>11.333333333333332</v>
      </c>
      <c r="J310" s="6" t="s">
        <v>776</v>
      </c>
      <c r="K310" s="10">
        <v>25000</v>
      </c>
      <c r="L310" s="10">
        <v>37500</v>
      </c>
      <c r="M310" s="8">
        <v>9375</v>
      </c>
      <c r="N310" s="9">
        <v>18750</v>
      </c>
      <c r="O310" s="9">
        <v>38750</v>
      </c>
      <c r="P310" s="7">
        <v>-1250</v>
      </c>
      <c r="Q310" s="152">
        <v>45418</v>
      </c>
    </row>
    <row r="311" spans="1:17" ht="46.5" thickBot="1" x14ac:dyDescent="0.3">
      <c r="A311" s="178">
        <v>2339</v>
      </c>
      <c r="B311" s="2" t="s">
        <v>376</v>
      </c>
      <c r="C311" s="2"/>
      <c r="D311" s="2"/>
      <c r="E311" s="3">
        <v>45251</v>
      </c>
      <c r="F311" s="3">
        <v>45422</v>
      </c>
      <c r="G311" s="29">
        <v>123</v>
      </c>
      <c r="H311" s="151">
        <v>120</v>
      </c>
      <c r="I311" s="151">
        <v>3</v>
      </c>
      <c r="J311" s="6" t="s">
        <v>725</v>
      </c>
      <c r="K311" s="7">
        <v>30000</v>
      </c>
      <c r="L311" s="7">
        <v>64800</v>
      </c>
      <c r="M311" s="21">
        <v>2700</v>
      </c>
      <c r="N311" s="9">
        <v>10800</v>
      </c>
      <c r="O311" s="9">
        <v>64800</v>
      </c>
      <c r="P311" s="7">
        <v>0</v>
      </c>
      <c r="Q311" s="152">
        <v>45418</v>
      </c>
    </row>
    <row r="312" spans="1:17" ht="24" thickBot="1" x14ac:dyDescent="0.3">
      <c r="A312" s="178">
        <v>2340</v>
      </c>
      <c r="B312" s="2" t="s">
        <v>381</v>
      </c>
      <c r="C312" s="2"/>
      <c r="D312" s="2"/>
      <c r="E312" s="3">
        <v>45251</v>
      </c>
      <c r="F312" s="3">
        <v>45422</v>
      </c>
      <c r="G312" s="29">
        <v>123</v>
      </c>
      <c r="H312" s="151">
        <v>120</v>
      </c>
      <c r="I312" s="151">
        <v>3</v>
      </c>
      <c r="J312" s="6" t="s">
        <v>777</v>
      </c>
      <c r="K312" s="10">
        <v>50000</v>
      </c>
      <c r="L312" s="10">
        <v>108000</v>
      </c>
      <c r="M312" s="8">
        <v>4500</v>
      </c>
      <c r="N312" s="9">
        <v>18000</v>
      </c>
      <c r="O312" s="9">
        <v>108000</v>
      </c>
      <c r="P312" s="7">
        <v>0</v>
      </c>
      <c r="Q312" s="152">
        <v>45418</v>
      </c>
    </row>
    <row r="313" spans="1:17" ht="35.25" thickBot="1" x14ac:dyDescent="0.3">
      <c r="A313" s="178">
        <v>2280</v>
      </c>
      <c r="B313" s="2" t="s">
        <v>546</v>
      </c>
      <c r="C313" s="2" t="s">
        <v>547</v>
      </c>
      <c r="D313" s="2"/>
      <c r="E313" s="3">
        <v>45204</v>
      </c>
      <c r="F313" s="3">
        <v>45378</v>
      </c>
      <c r="G313" s="29">
        <v>124</v>
      </c>
      <c r="H313" s="151">
        <v>139.05681818181819</v>
      </c>
      <c r="I313" s="151">
        <v>-15.056818181818187</v>
      </c>
      <c r="J313" s="6" t="s">
        <v>588</v>
      </c>
      <c r="K313" s="7">
        <v>20000</v>
      </c>
      <c r="L313" s="7">
        <v>52800</v>
      </c>
      <c r="M313" s="21">
        <v>2200</v>
      </c>
      <c r="N313" s="9">
        <v>8800</v>
      </c>
      <c r="O313" s="9">
        <v>61185</v>
      </c>
      <c r="P313" s="7">
        <v>-8385</v>
      </c>
      <c r="Q313" s="152">
        <v>45418</v>
      </c>
    </row>
    <row r="314" spans="1:17" ht="35.25" thickBot="1" x14ac:dyDescent="0.3">
      <c r="A314" s="178">
        <v>2418</v>
      </c>
      <c r="B314" s="2" t="s">
        <v>546</v>
      </c>
      <c r="C314" s="2" t="s">
        <v>547</v>
      </c>
      <c r="D314" s="2"/>
      <c r="E314" s="3">
        <v>45303</v>
      </c>
      <c r="F314" s="3">
        <v>45415</v>
      </c>
      <c r="G314" s="29">
        <v>80</v>
      </c>
      <c r="H314" s="151">
        <v>80</v>
      </c>
      <c r="I314" s="151">
        <v>0</v>
      </c>
      <c r="J314" s="6" t="s">
        <v>778</v>
      </c>
      <c r="K314" s="7">
        <v>25000</v>
      </c>
      <c r="L314" s="7">
        <v>54000</v>
      </c>
      <c r="M314" s="21">
        <v>3375</v>
      </c>
      <c r="N314" s="9">
        <v>13500</v>
      </c>
      <c r="O314" s="9">
        <v>54000</v>
      </c>
      <c r="P314" s="7">
        <v>0</v>
      </c>
      <c r="Q314" s="152">
        <v>45418</v>
      </c>
    </row>
    <row r="315" spans="1:17" ht="35.25" thickBot="1" x14ac:dyDescent="0.3">
      <c r="A315" s="178">
        <v>2431</v>
      </c>
      <c r="B315" s="2" t="s">
        <v>546</v>
      </c>
      <c r="C315" s="2" t="s">
        <v>547</v>
      </c>
      <c r="D315" s="2"/>
      <c r="E315" s="3">
        <v>45309</v>
      </c>
      <c r="F315" s="3">
        <v>45421</v>
      </c>
      <c r="G315" s="29">
        <v>80</v>
      </c>
      <c r="H315" s="151">
        <v>80</v>
      </c>
      <c r="I315" s="151">
        <v>0</v>
      </c>
      <c r="J315" s="6" t="s">
        <v>779</v>
      </c>
      <c r="K315" s="7">
        <v>30000</v>
      </c>
      <c r="L315" s="7">
        <v>64800</v>
      </c>
      <c r="M315" s="21">
        <v>4050</v>
      </c>
      <c r="N315" s="9">
        <v>16200</v>
      </c>
      <c r="O315" s="9">
        <v>64800</v>
      </c>
      <c r="P315" s="7">
        <v>0</v>
      </c>
      <c r="Q315" s="152">
        <v>45418</v>
      </c>
    </row>
    <row r="316" spans="1:17" ht="57.75" thickBot="1" x14ac:dyDescent="0.3">
      <c r="A316" s="178">
        <v>2399</v>
      </c>
      <c r="B316" s="2" t="s">
        <v>413</v>
      </c>
      <c r="C316" s="2" t="s">
        <v>414</v>
      </c>
      <c r="D316" s="2"/>
      <c r="E316" s="3">
        <v>45295</v>
      </c>
      <c r="F316" s="3">
        <v>45397</v>
      </c>
      <c r="G316" s="29">
        <v>72</v>
      </c>
      <c r="H316" s="151">
        <v>72</v>
      </c>
      <c r="I316" s="151">
        <v>0</v>
      </c>
      <c r="J316" s="2" t="s">
        <v>227</v>
      </c>
      <c r="K316" s="7">
        <v>50000</v>
      </c>
      <c r="L316" s="7">
        <v>108000</v>
      </c>
      <c r="M316" s="21">
        <v>7500</v>
      </c>
      <c r="N316" s="9">
        <v>2400</v>
      </c>
      <c r="O316" s="9">
        <v>108000</v>
      </c>
      <c r="P316" s="7">
        <v>0</v>
      </c>
      <c r="Q316" s="152">
        <v>45418</v>
      </c>
    </row>
    <row r="317" spans="1:17" ht="57.75" thickBot="1" x14ac:dyDescent="0.3">
      <c r="A317" s="178">
        <v>2407</v>
      </c>
      <c r="B317" s="2" t="s">
        <v>413</v>
      </c>
      <c r="C317" s="2" t="s">
        <v>414</v>
      </c>
      <c r="D317" s="2"/>
      <c r="E317" s="3">
        <v>45300</v>
      </c>
      <c r="F317" s="3">
        <v>45400</v>
      </c>
      <c r="G317" s="29">
        <v>72</v>
      </c>
      <c r="H317" s="151">
        <v>72</v>
      </c>
      <c r="I317" s="151">
        <v>0</v>
      </c>
      <c r="J317" s="2" t="s">
        <v>227</v>
      </c>
      <c r="K317" s="7">
        <v>50000</v>
      </c>
      <c r="L317" s="7">
        <v>108000</v>
      </c>
      <c r="M317" s="21">
        <v>7500</v>
      </c>
      <c r="N317" s="9">
        <v>3000</v>
      </c>
      <c r="O317" s="9">
        <v>108000</v>
      </c>
      <c r="P317" s="7">
        <v>0</v>
      </c>
      <c r="Q317" s="152">
        <v>45418</v>
      </c>
    </row>
    <row r="318" spans="1:17" ht="46.5" thickBot="1" x14ac:dyDescent="0.3">
      <c r="A318" s="178">
        <v>1913</v>
      </c>
      <c r="B318" s="2" t="s">
        <v>780</v>
      </c>
      <c r="C318" s="2" t="s">
        <v>314</v>
      </c>
      <c r="D318" s="2"/>
      <c r="E318" s="3">
        <v>44914</v>
      </c>
      <c r="F318" s="3">
        <v>45148</v>
      </c>
      <c r="G318" s="29">
        <v>168</v>
      </c>
      <c r="H318" s="151">
        <v>119.48717948717949</v>
      </c>
      <c r="I318" s="151">
        <v>48.512820512820511</v>
      </c>
      <c r="J318" s="6" t="s">
        <v>781</v>
      </c>
      <c r="K318" s="10">
        <v>50000</v>
      </c>
      <c r="L318" s="10">
        <v>116000</v>
      </c>
      <c r="M318" s="8">
        <v>4875</v>
      </c>
      <c r="N318" s="9">
        <v>32000</v>
      </c>
      <c r="O318" s="9">
        <v>116500</v>
      </c>
      <c r="P318" s="7">
        <v>-500</v>
      </c>
      <c r="Q318" s="152">
        <v>45418</v>
      </c>
    </row>
    <row r="319" spans="1:17" ht="57.75" thickBot="1" x14ac:dyDescent="0.3">
      <c r="A319" s="178">
        <v>2588</v>
      </c>
      <c r="B319" s="2" t="s">
        <v>290</v>
      </c>
      <c r="C319" s="2" t="s">
        <v>291</v>
      </c>
      <c r="D319" s="2"/>
      <c r="E319" s="3">
        <v>45404</v>
      </c>
      <c r="F319" s="3">
        <v>45432</v>
      </c>
      <c r="G319" s="29">
        <v>20</v>
      </c>
      <c r="H319" s="151" t="e">
        <v>#VALUE!</v>
      </c>
      <c r="I319" s="151" t="e">
        <v>#VALUE!</v>
      </c>
      <c r="J319" s="6" t="s">
        <v>550</v>
      </c>
      <c r="K319" s="18">
        <v>30000</v>
      </c>
      <c r="L319" s="7">
        <v>45000</v>
      </c>
      <c r="M319" s="21" t="s">
        <v>143</v>
      </c>
      <c r="N319" s="9">
        <v>45000</v>
      </c>
      <c r="O319" s="9">
        <v>45000</v>
      </c>
      <c r="P319" s="7">
        <v>0</v>
      </c>
      <c r="Q319" s="152">
        <v>45425</v>
      </c>
    </row>
    <row r="320" spans="1:17" ht="24" thickBot="1" x14ac:dyDescent="0.3">
      <c r="A320" s="178">
        <v>2613</v>
      </c>
      <c r="B320" s="2" t="s">
        <v>707</v>
      </c>
      <c r="C320" s="2"/>
      <c r="D320" s="2"/>
      <c r="E320" s="3">
        <v>45421</v>
      </c>
      <c r="F320" s="3">
        <v>45428</v>
      </c>
      <c r="G320" s="29">
        <v>5</v>
      </c>
      <c r="H320" s="151" t="e">
        <v>#DIV/0!</v>
      </c>
      <c r="I320" s="151" t="e">
        <v>#DIV/0!</v>
      </c>
      <c r="J320" s="6" t="s">
        <v>550</v>
      </c>
      <c r="K320" s="20">
        <v>20000</v>
      </c>
      <c r="L320" s="7">
        <v>26000</v>
      </c>
      <c r="M320" s="21"/>
      <c r="N320" s="9">
        <v>26000</v>
      </c>
      <c r="O320" s="9">
        <v>26000</v>
      </c>
      <c r="P320" s="7">
        <v>0</v>
      </c>
      <c r="Q320" s="152">
        <v>45425</v>
      </c>
    </row>
    <row r="321" spans="1:17" ht="46.5" thickBot="1" x14ac:dyDescent="0.3">
      <c r="A321" s="178">
        <v>2468</v>
      </c>
      <c r="B321" s="2" t="s">
        <v>782</v>
      </c>
      <c r="C321" s="2" t="s">
        <v>783</v>
      </c>
      <c r="D321" s="2" t="s">
        <v>784</v>
      </c>
      <c r="E321" s="3">
        <v>45332</v>
      </c>
      <c r="F321" s="3">
        <v>45429</v>
      </c>
      <c r="G321" s="29">
        <v>70</v>
      </c>
      <c r="H321" s="151">
        <v>70</v>
      </c>
      <c r="I321" s="151">
        <v>0</v>
      </c>
      <c r="J321" s="2" t="s">
        <v>769</v>
      </c>
      <c r="K321" s="10">
        <v>50000</v>
      </c>
      <c r="L321" s="10">
        <v>122500</v>
      </c>
      <c r="M321" s="8">
        <v>8750</v>
      </c>
      <c r="N321" s="9"/>
      <c r="O321" s="9">
        <v>122500</v>
      </c>
      <c r="P321" s="7">
        <v>0</v>
      </c>
      <c r="Q321" s="152">
        <v>45425</v>
      </c>
    </row>
    <row r="322" spans="1:17" ht="57.75" thickBot="1" x14ac:dyDescent="0.3">
      <c r="A322" s="178">
        <v>2432</v>
      </c>
      <c r="B322" s="2" t="s">
        <v>686</v>
      </c>
      <c r="C322" s="2" t="s">
        <v>346</v>
      </c>
      <c r="D322" s="2"/>
      <c r="E322" s="3">
        <v>45309</v>
      </c>
      <c r="F322" s="3">
        <v>45411</v>
      </c>
      <c r="G322" s="29">
        <v>72</v>
      </c>
      <c r="H322" s="151">
        <v>72</v>
      </c>
      <c r="I322" s="151">
        <v>0</v>
      </c>
      <c r="J322" s="6" t="s">
        <v>162</v>
      </c>
      <c r="K322" s="7">
        <v>50000</v>
      </c>
      <c r="L322" s="7">
        <v>129600</v>
      </c>
      <c r="M322" s="21">
        <v>9000</v>
      </c>
      <c r="N322" s="9">
        <v>4600</v>
      </c>
      <c r="O322" s="9">
        <v>129600</v>
      </c>
      <c r="P322" s="7">
        <v>0</v>
      </c>
      <c r="Q322" s="152">
        <v>45425</v>
      </c>
    </row>
    <row r="323" spans="1:17" ht="15.75" thickBot="1" x14ac:dyDescent="0.3">
      <c r="A323" s="178">
        <v>2561</v>
      </c>
      <c r="B323" s="2" t="s">
        <v>367</v>
      </c>
      <c r="C323" s="2"/>
      <c r="D323" s="2"/>
      <c r="E323" s="3">
        <v>45388</v>
      </c>
      <c r="F323" s="3">
        <v>45419</v>
      </c>
      <c r="G323" s="29">
        <v>22</v>
      </c>
      <c r="H323" s="151" t="e">
        <v>#DIV/0!</v>
      </c>
      <c r="I323" s="151" t="e">
        <v>#DIV/0!</v>
      </c>
      <c r="J323" s="6" t="s">
        <v>550</v>
      </c>
      <c r="K323" s="7">
        <v>16000</v>
      </c>
      <c r="L323" s="7">
        <v>24000</v>
      </c>
      <c r="M323" s="21"/>
      <c r="N323" s="9">
        <v>24000</v>
      </c>
      <c r="O323" s="9">
        <v>24000</v>
      </c>
      <c r="P323" s="7">
        <v>0</v>
      </c>
      <c r="Q323" s="152">
        <v>45425</v>
      </c>
    </row>
    <row r="324" spans="1:17" ht="15.75" thickBot="1" x14ac:dyDescent="0.3">
      <c r="A324" s="178">
        <v>2565</v>
      </c>
      <c r="B324" s="2" t="s">
        <v>367</v>
      </c>
      <c r="C324" s="2"/>
      <c r="D324" s="2"/>
      <c r="E324" s="3">
        <v>45391</v>
      </c>
      <c r="F324" s="3">
        <v>45421</v>
      </c>
      <c r="G324" s="29">
        <v>22</v>
      </c>
      <c r="H324" s="151" t="e">
        <v>#DIV/0!</v>
      </c>
      <c r="I324" s="151" t="e">
        <v>#DIV/0!</v>
      </c>
      <c r="J324" s="6" t="s">
        <v>550</v>
      </c>
      <c r="K324" s="7">
        <v>30000</v>
      </c>
      <c r="L324" s="7">
        <v>48000</v>
      </c>
      <c r="M324" s="21"/>
      <c r="N324" s="9">
        <v>48000</v>
      </c>
      <c r="O324" s="9">
        <v>48000</v>
      </c>
      <c r="P324" s="7">
        <v>0</v>
      </c>
      <c r="Q324" s="152">
        <v>45425</v>
      </c>
    </row>
    <row r="325" spans="1:17" ht="15.75" thickBot="1" x14ac:dyDescent="0.3">
      <c r="A325" s="178">
        <v>2593</v>
      </c>
      <c r="B325" s="2" t="s">
        <v>367</v>
      </c>
      <c r="C325" s="2"/>
      <c r="D325" s="2"/>
      <c r="E325" s="3">
        <v>45406</v>
      </c>
      <c r="F325" s="3">
        <v>45436</v>
      </c>
      <c r="G325" s="29">
        <v>22</v>
      </c>
      <c r="H325" s="151" t="e">
        <v>#DIV/0!</v>
      </c>
      <c r="I325" s="151" t="e">
        <v>#DIV/0!</v>
      </c>
      <c r="J325" s="6" t="s">
        <v>550</v>
      </c>
      <c r="K325" s="10">
        <v>30000</v>
      </c>
      <c r="L325" s="10">
        <v>45000</v>
      </c>
      <c r="M325" s="21"/>
      <c r="N325" s="9">
        <v>45000</v>
      </c>
      <c r="O325" s="9">
        <v>45000</v>
      </c>
      <c r="P325" s="7">
        <v>0</v>
      </c>
      <c r="Q325" s="152">
        <v>45425</v>
      </c>
    </row>
    <row r="326" spans="1:17" ht="35.25" thickBot="1" x14ac:dyDescent="0.3">
      <c r="A326" s="178">
        <v>2597</v>
      </c>
      <c r="B326" s="2" t="s">
        <v>551</v>
      </c>
      <c r="C326" s="2"/>
      <c r="D326" s="2"/>
      <c r="E326" s="3">
        <v>45409</v>
      </c>
      <c r="F326" s="3">
        <v>45425</v>
      </c>
      <c r="G326" s="29">
        <v>11</v>
      </c>
      <c r="H326" s="151" t="e">
        <v>#DIV/0!</v>
      </c>
      <c r="I326" s="151" t="e">
        <v>#DIV/0!</v>
      </c>
      <c r="J326" s="6" t="s">
        <v>550</v>
      </c>
      <c r="K326" s="7">
        <v>15000</v>
      </c>
      <c r="L326" s="7">
        <v>22000</v>
      </c>
      <c r="M326" s="21"/>
      <c r="N326" s="9">
        <v>22000</v>
      </c>
      <c r="O326" s="9">
        <v>22000</v>
      </c>
      <c r="P326" s="7">
        <v>0</v>
      </c>
      <c r="Q326" s="152">
        <v>45425</v>
      </c>
    </row>
    <row r="327" spans="1:17" ht="24" thickBot="1" x14ac:dyDescent="0.3">
      <c r="A327" s="178">
        <v>2571</v>
      </c>
      <c r="B327" s="2" t="s">
        <v>402</v>
      </c>
      <c r="C327" s="2"/>
      <c r="D327" s="2"/>
      <c r="E327" s="3">
        <v>45394</v>
      </c>
      <c r="F327" s="3">
        <v>45422</v>
      </c>
      <c r="G327" s="29">
        <v>20</v>
      </c>
      <c r="H327" s="151" t="e">
        <v>#DIV/0!</v>
      </c>
      <c r="I327" s="151" t="e">
        <v>#DIV/0!</v>
      </c>
      <c r="J327" s="6" t="s">
        <v>550</v>
      </c>
      <c r="K327" s="10">
        <v>16000</v>
      </c>
      <c r="L327" s="10">
        <v>24000</v>
      </c>
      <c r="M327" s="8"/>
      <c r="N327" s="9">
        <v>24000</v>
      </c>
      <c r="O327" s="9">
        <v>24000</v>
      </c>
      <c r="P327" s="7">
        <v>0</v>
      </c>
      <c r="Q327" s="152">
        <v>45425</v>
      </c>
    </row>
    <row r="328" spans="1:17" ht="80.25" thickBot="1" x14ac:dyDescent="0.3">
      <c r="A328" s="178">
        <v>2074</v>
      </c>
      <c r="B328" s="2" t="s">
        <v>431</v>
      </c>
      <c r="C328" s="2" t="s">
        <v>432</v>
      </c>
      <c r="D328" s="2"/>
      <c r="E328" s="3">
        <v>45043</v>
      </c>
      <c r="F328" s="3">
        <v>45379</v>
      </c>
      <c r="G328" s="29">
        <v>240</v>
      </c>
      <c r="H328" s="151">
        <v>243.58854166666666</v>
      </c>
      <c r="I328" s="151">
        <v>-3.5885416666666572</v>
      </c>
      <c r="J328" s="2" t="s">
        <v>785</v>
      </c>
      <c r="K328" s="10">
        <v>200000</v>
      </c>
      <c r="L328" s="10">
        <v>460800</v>
      </c>
      <c r="M328" s="21">
        <v>9600</v>
      </c>
      <c r="N328" s="9">
        <v>9600</v>
      </c>
      <c r="O328" s="9">
        <v>467690</v>
      </c>
      <c r="P328" s="7">
        <v>-6890</v>
      </c>
      <c r="Q328" s="152">
        <v>45425</v>
      </c>
    </row>
    <row r="329" spans="1:17" ht="35.25" thickBot="1" x14ac:dyDescent="0.3">
      <c r="A329" s="178">
        <v>2356</v>
      </c>
      <c r="B329" s="2" t="s">
        <v>242</v>
      </c>
      <c r="C329" s="2" t="s">
        <v>243</v>
      </c>
      <c r="D329" s="2"/>
      <c r="E329" s="3">
        <v>45261</v>
      </c>
      <c r="F329" s="3">
        <v>45485</v>
      </c>
      <c r="G329" s="29">
        <v>160</v>
      </c>
      <c r="H329" s="151">
        <v>120</v>
      </c>
      <c r="I329" s="151">
        <v>40</v>
      </c>
      <c r="J329" s="6" t="s">
        <v>786</v>
      </c>
      <c r="K329" s="10">
        <v>41530</v>
      </c>
      <c r="L329" s="10">
        <v>109620</v>
      </c>
      <c r="M329" s="8">
        <v>4567.5</v>
      </c>
      <c r="N329" s="9">
        <v>18810</v>
      </c>
      <c r="O329" s="9">
        <v>109620</v>
      </c>
      <c r="P329" s="7">
        <v>0</v>
      </c>
      <c r="Q329" s="152">
        <v>45432</v>
      </c>
    </row>
    <row r="330" spans="1:17" ht="35.25" thickBot="1" x14ac:dyDescent="0.3">
      <c r="A330" s="178">
        <v>2470</v>
      </c>
      <c r="B330" s="2" t="s">
        <v>242</v>
      </c>
      <c r="C330" s="2" t="s">
        <v>243</v>
      </c>
      <c r="D330" s="2"/>
      <c r="E330" s="3">
        <v>45335</v>
      </c>
      <c r="F330" s="3">
        <v>45435</v>
      </c>
      <c r="G330" s="29">
        <v>72</v>
      </c>
      <c r="H330" s="151">
        <v>72</v>
      </c>
      <c r="I330" s="151">
        <v>0</v>
      </c>
      <c r="J330" s="2" t="s">
        <v>182</v>
      </c>
      <c r="K330" s="10">
        <v>20000</v>
      </c>
      <c r="L330" s="10">
        <v>43200</v>
      </c>
      <c r="M330" s="8">
        <v>3000</v>
      </c>
      <c r="N330" s="9">
        <v>19740</v>
      </c>
      <c r="O330" s="9">
        <v>43200</v>
      </c>
      <c r="P330" s="7">
        <v>0</v>
      </c>
      <c r="Q330" s="152">
        <v>45432</v>
      </c>
    </row>
    <row r="331" spans="1:17" ht="24" thickBot="1" x14ac:dyDescent="0.3">
      <c r="A331" s="180">
        <v>2153</v>
      </c>
      <c r="B331" s="2" t="s">
        <v>269</v>
      </c>
      <c r="C331" s="2"/>
      <c r="D331" s="2"/>
      <c r="E331" s="3">
        <v>45117</v>
      </c>
      <c r="F331" s="3">
        <v>45397</v>
      </c>
      <c r="G331" s="29">
        <v>200</v>
      </c>
      <c r="H331" s="151">
        <v>200</v>
      </c>
      <c r="I331" s="151">
        <v>0</v>
      </c>
      <c r="J331" s="6" t="s">
        <v>787</v>
      </c>
      <c r="K331" s="10">
        <v>100000</v>
      </c>
      <c r="L331" s="10">
        <v>270000</v>
      </c>
      <c r="M331" s="8">
        <v>6750</v>
      </c>
      <c r="N331" s="9">
        <v>27000</v>
      </c>
      <c r="O331" s="9">
        <v>270000</v>
      </c>
      <c r="P331" s="7">
        <v>0</v>
      </c>
      <c r="Q331" s="152">
        <v>45432</v>
      </c>
    </row>
    <row r="332" spans="1:17" ht="57.75" thickBot="1" x14ac:dyDescent="0.3">
      <c r="A332" s="178">
        <v>2198</v>
      </c>
      <c r="B332" s="2" t="s">
        <v>294</v>
      </c>
      <c r="C332" s="2" t="s">
        <v>291</v>
      </c>
      <c r="D332" s="2"/>
      <c r="E332" s="3">
        <v>45146</v>
      </c>
      <c r="F332" s="3">
        <v>45300</v>
      </c>
      <c r="G332" s="29">
        <v>110</v>
      </c>
      <c r="H332" s="151">
        <v>119.6969696969697</v>
      </c>
      <c r="I332" s="151">
        <v>-9.6969696969697026</v>
      </c>
      <c r="J332" s="16" t="s">
        <v>788</v>
      </c>
      <c r="K332" s="7">
        <v>30000</v>
      </c>
      <c r="L332" s="7">
        <v>79200</v>
      </c>
      <c r="M332" s="21">
        <v>3300</v>
      </c>
      <c r="N332" s="9">
        <v>32000</v>
      </c>
      <c r="O332" s="9">
        <v>79000</v>
      </c>
      <c r="P332" s="7">
        <v>200</v>
      </c>
      <c r="Q332" s="152">
        <v>45432</v>
      </c>
    </row>
    <row r="333" spans="1:17" ht="57.75" thickBot="1" x14ac:dyDescent="0.3">
      <c r="A333" s="178">
        <v>2322</v>
      </c>
      <c r="B333" s="2" t="s">
        <v>294</v>
      </c>
      <c r="C333" s="2" t="s">
        <v>291</v>
      </c>
      <c r="D333" s="2"/>
      <c r="E333" s="3">
        <v>45233</v>
      </c>
      <c r="F333" s="3">
        <v>45387</v>
      </c>
      <c r="G333" s="29">
        <v>110</v>
      </c>
      <c r="H333" s="151">
        <v>112.8125</v>
      </c>
      <c r="I333" s="151">
        <v>-2.8125</v>
      </c>
      <c r="J333" s="16" t="s">
        <v>193</v>
      </c>
      <c r="K333" s="10">
        <v>200000</v>
      </c>
      <c r="L333" s="10">
        <v>528000</v>
      </c>
      <c r="M333" s="21">
        <v>24000</v>
      </c>
      <c r="N333" s="9">
        <v>20500</v>
      </c>
      <c r="O333" s="9">
        <v>541500</v>
      </c>
      <c r="P333" s="7">
        <v>-13500</v>
      </c>
      <c r="Q333" s="152">
        <v>45432</v>
      </c>
    </row>
    <row r="334" spans="1:17" ht="24" thickBot="1" x14ac:dyDescent="0.3">
      <c r="A334" s="178">
        <v>2630</v>
      </c>
      <c r="B334" s="2" t="s">
        <v>707</v>
      </c>
      <c r="C334" s="2"/>
      <c r="D334" s="2"/>
      <c r="E334" s="3">
        <v>45429</v>
      </c>
      <c r="F334" s="3">
        <v>45436</v>
      </c>
      <c r="G334" s="29">
        <v>5</v>
      </c>
      <c r="H334" s="151" t="e">
        <v>#DIV/0!</v>
      </c>
      <c r="I334" s="151" t="e">
        <v>#DIV/0!</v>
      </c>
      <c r="J334" s="6" t="s">
        <v>550</v>
      </c>
      <c r="K334" s="177">
        <v>50000</v>
      </c>
      <c r="L334" s="10">
        <v>65000</v>
      </c>
      <c r="M334" s="8"/>
      <c r="N334" s="9">
        <v>65000</v>
      </c>
      <c r="O334" s="9">
        <v>65000</v>
      </c>
      <c r="P334" s="7">
        <v>0</v>
      </c>
      <c r="Q334" s="152">
        <v>45432</v>
      </c>
    </row>
    <row r="335" spans="1:17" ht="46.5" thickBot="1" x14ac:dyDescent="0.3">
      <c r="A335" s="178">
        <v>2377</v>
      </c>
      <c r="B335" s="2" t="s">
        <v>594</v>
      </c>
      <c r="C335" s="2" t="s">
        <v>360</v>
      </c>
      <c r="D335" s="2"/>
      <c r="E335" s="3">
        <v>45279</v>
      </c>
      <c r="F335" s="3">
        <v>45461</v>
      </c>
      <c r="G335" s="29">
        <v>130</v>
      </c>
      <c r="H335" s="151">
        <v>130.01083423618635</v>
      </c>
      <c r="I335" s="151">
        <v>-1.0834236186354929E-2</v>
      </c>
      <c r="J335" s="2" t="s">
        <v>789</v>
      </c>
      <c r="K335" s="7">
        <v>100000</v>
      </c>
      <c r="L335" s="7">
        <v>264000</v>
      </c>
      <c r="M335" s="21">
        <v>10153</v>
      </c>
      <c r="N335" s="9">
        <v>61000</v>
      </c>
      <c r="O335" s="9">
        <v>264000</v>
      </c>
      <c r="P335" s="7">
        <v>0</v>
      </c>
      <c r="Q335" s="152">
        <v>45432</v>
      </c>
    </row>
    <row r="336" spans="1:17" ht="24" thickBot="1" x14ac:dyDescent="0.3">
      <c r="A336" s="178">
        <v>2501</v>
      </c>
      <c r="B336" s="2" t="s">
        <v>751</v>
      </c>
      <c r="C336" s="2"/>
      <c r="D336" s="2"/>
      <c r="E336" s="3">
        <v>45350</v>
      </c>
      <c r="F336" s="3">
        <v>45450</v>
      </c>
      <c r="G336" s="29">
        <v>72</v>
      </c>
      <c r="H336" s="151">
        <v>72</v>
      </c>
      <c r="I336" s="151">
        <v>0</v>
      </c>
      <c r="J336" s="2" t="s">
        <v>581</v>
      </c>
      <c r="K336" s="7">
        <v>25000</v>
      </c>
      <c r="L336" s="7">
        <v>54000</v>
      </c>
      <c r="M336" s="21">
        <v>3750</v>
      </c>
      <c r="N336" s="9">
        <v>9000</v>
      </c>
      <c r="O336" s="9">
        <v>54000</v>
      </c>
      <c r="P336" s="7">
        <v>0</v>
      </c>
      <c r="Q336" s="152">
        <v>45432</v>
      </c>
    </row>
    <row r="337" spans="1:17" ht="24" thickBot="1" x14ac:dyDescent="0.3">
      <c r="A337" s="178">
        <v>2637</v>
      </c>
      <c r="B337" s="2" t="s">
        <v>707</v>
      </c>
      <c r="C337" s="2"/>
      <c r="D337" s="2"/>
      <c r="E337" s="3">
        <v>45437</v>
      </c>
      <c r="F337" s="3">
        <v>45443</v>
      </c>
      <c r="G337" s="29">
        <v>5</v>
      </c>
      <c r="H337" s="151" t="e">
        <v>#DIV/0!</v>
      </c>
      <c r="I337" s="151" t="e">
        <v>#DIV/0!</v>
      </c>
      <c r="J337" s="6" t="s">
        <v>550</v>
      </c>
      <c r="K337" s="20">
        <v>50000</v>
      </c>
      <c r="L337" s="7">
        <v>65000</v>
      </c>
      <c r="M337" s="21"/>
      <c r="N337" s="9">
        <v>65000</v>
      </c>
      <c r="O337" s="9">
        <v>65000</v>
      </c>
      <c r="P337" s="7">
        <v>0</v>
      </c>
      <c r="Q337" s="152">
        <v>45439</v>
      </c>
    </row>
    <row r="338" spans="1:17" ht="57.75" thickBot="1" x14ac:dyDescent="0.3">
      <c r="A338" s="178">
        <v>2480</v>
      </c>
      <c r="B338" s="2" t="s">
        <v>299</v>
      </c>
      <c r="C338" s="2" t="s">
        <v>300</v>
      </c>
      <c r="D338" s="2"/>
      <c r="E338" s="3">
        <v>45339</v>
      </c>
      <c r="F338" s="3">
        <v>45450</v>
      </c>
      <c r="G338" s="29">
        <v>80</v>
      </c>
      <c r="H338" s="151">
        <v>80</v>
      </c>
      <c r="I338" s="151">
        <v>0</v>
      </c>
      <c r="J338" s="24" t="s">
        <v>738</v>
      </c>
      <c r="K338" s="7">
        <v>30000</v>
      </c>
      <c r="L338" s="7">
        <v>64800</v>
      </c>
      <c r="M338" s="21">
        <v>4050</v>
      </c>
      <c r="N338" s="9">
        <v>16200</v>
      </c>
      <c r="O338" s="9">
        <v>64800</v>
      </c>
      <c r="P338" s="7">
        <v>0</v>
      </c>
      <c r="Q338" s="152">
        <v>45439</v>
      </c>
    </row>
    <row r="339" spans="1:17" ht="57.75" thickBot="1" x14ac:dyDescent="0.3">
      <c r="A339" s="178">
        <v>2495</v>
      </c>
      <c r="B339" s="2" t="s">
        <v>299</v>
      </c>
      <c r="C339" s="2" t="s">
        <v>300</v>
      </c>
      <c r="D339" s="2"/>
      <c r="E339" s="181">
        <v>45347</v>
      </c>
      <c r="F339" s="3">
        <v>45454</v>
      </c>
      <c r="G339" s="29">
        <v>77</v>
      </c>
      <c r="H339" s="151">
        <v>80</v>
      </c>
      <c r="I339" s="151">
        <v>-3</v>
      </c>
      <c r="J339" s="24" t="s">
        <v>790</v>
      </c>
      <c r="K339" s="10">
        <v>20000</v>
      </c>
      <c r="L339" s="10">
        <v>43200</v>
      </c>
      <c r="M339" s="21">
        <v>2700</v>
      </c>
      <c r="N339" s="9">
        <v>10800</v>
      </c>
      <c r="O339" s="9">
        <v>43200</v>
      </c>
      <c r="P339" s="7">
        <v>0</v>
      </c>
      <c r="Q339" s="152">
        <v>45439</v>
      </c>
    </row>
    <row r="340" spans="1:17" ht="46.5" thickBot="1" x14ac:dyDescent="0.3">
      <c r="A340" s="178">
        <v>2447</v>
      </c>
      <c r="B340" s="2" t="s">
        <v>316</v>
      </c>
      <c r="C340" s="2" t="s">
        <v>317</v>
      </c>
      <c r="D340" s="2"/>
      <c r="E340" s="3">
        <v>45320</v>
      </c>
      <c r="F340" s="3">
        <v>45420</v>
      </c>
      <c r="G340" s="29">
        <v>72</v>
      </c>
      <c r="H340" s="151">
        <v>72</v>
      </c>
      <c r="I340" s="151">
        <v>0</v>
      </c>
      <c r="J340" s="2" t="s">
        <v>576</v>
      </c>
      <c r="K340" s="7">
        <v>10000</v>
      </c>
      <c r="L340" s="7">
        <v>21600</v>
      </c>
      <c r="M340" s="21">
        <v>1500</v>
      </c>
      <c r="N340" s="9">
        <v>2600</v>
      </c>
      <c r="O340" s="9">
        <v>21600</v>
      </c>
      <c r="P340" s="7">
        <v>0</v>
      </c>
      <c r="Q340" s="152">
        <v>45439</v>
      </c>
    </row>
    <row r="341" spans="1:17" ht="35.25" thickBot="1" x14ac:dyDescent="0.3">
      <c r="A341" s="178">
        <v>2471</v>
      </c>
      <c r="B341" s="2" t="s">
        <v>791</v>
      </c>
      <c r="C341" s="2" t="s">
        <v>208</v>
      </c>
      <c r="D341" s="2"/>
      <c r="E341" s="3">
        <v>45335</v>
      </c>
      <c r="F341" s="3">
        <v>45435</v>
      </c>
      <c r="G341" s="29">
        <v>72</v>
      </c>
      <c r="H341" s="151">
        <v>72</v>
      </c>
      <c r="I341" s="151">
        <v>0</v>
      </c>
      <c r="J341" s="2" t="s">
        <v>309</v>
      </c>
      <c r="K341" s="7">
        <v>40000</v>
      </c>
      <c r="L341" s="7">
        <v>86400</v>
      </c>
      <c r="M341" s="21">
        <v>6000</v>
      </c>
      <c r="N341" s="9">
        <v>6000</v>
      </c>
      <c r="O341" s="9">
        <v>86400</v>
      </c>
      <c r="P341" s="7">
        <v>0</v>
      </c>
      <c r="Q341" s="152">
        <v>45439</v>
      </c>
    </row>
    <row r="342" spans="1:17" ht="35.25" thickBot="1" x14ac:dyDescent="0.3">
      <c r="A342" s="150">
        <v>2614</v>
      </c>
      <c r="B342" s="2" t="s">
        <v>600</v>
      </c>
      <c r="C342" s="2" t="s">
        <v>687</v>
      </c>
      <c r="D342" s="2"/>
      <c r="E342" s="3">
        <v>45421</v>
      </c>
      <c r="F342" s="3">
        <v>45449</v>
      </c>
      <c r="G342" s="182">
        <v>20</v>
      </c>
      <c r="H342" s="151" t="e">
        <v>#DIV/0!</v>
      </c>
      <c r="I342" s="151" t="e">
        <v>#DIV/0!</v>
      </c>
      <c r="J342" s="6" t="s">
        <v>550</v>
      </c>
      <c r="K342" s="10">
        <v>50000</v>
      </c>
      <c r="L342" s="10">
        <v>85000</v>
      </c>
      <c r="M342" s="8"/>
      <c r="N342" s="9"/>
      <c r="O342" s="9">
        <v>85000</v>
      </c>
      <c r="P342" s="7">
        <v>0</v>
      </c>
      <c r="Q342" s="152">
        <v>45446</v>
      </c>
    </row>
    <row r="343" spans="1:17" ht="24" thickBot="1" x14ac:dyDescent="0.3">
      <c r="A343" s="150">
        <v>2257</v>
      </c>
      <c r="B343" s="2" t="s">
        <v>286</v>
      </c>
      <c r="C343" s="2" t="s">
        <v>287</v>
      </c>
      <c r="D343" s="2"/>
      <c r="E343" s="3">
        <v>45187</v>
      </c>
      <c r="F343" s="3">
        <v>45411</v>
      </c>
      <c r="G343" s="182">
        <v>160</v>
      </c>
      <c r="H343" s="151">
        <v>160</v>
      </c>
      <c r="I343" s="151">
        <v>0</v>
      </c>
      <c r="J343" s="16" t="s">
        <v>792</v>
      </c>
      <c r="K343" s="10">
        <v>40000</v>
      </c>
      <c r="L343" s="10">
        <v>124800</v>
      </c>
      <c r="M343" s="8">
        <v>3900</v>
      </c>
      <c r="N343" s="9"/>
      <c r="O343" s="9">
        <v>124800</v>
      </c>
      <c r="P343" s="7">
        <v>0</v>
      </c>
      <c r="Q343" s="152">
        <v>45446</v>
      </c>
    </row>
    <row r="344" spans="1:17" ht="24" thickBot="1" x14ac:dyDescent="0.3">
      <c r="A344" s="150">
        <v>2650</v>
      </c>
      <c r="B344" s="2" t="s">
        <v>707</v>
      </c>
      <c r="C344" s="2"/>
      <c r="D344" s="2"/>
      <c r="E344" s="3">
        <v>45443</v>
      </c>
      <c r="F344" s="3">
        <v>45450</v>
      </c>
      <c r="G344" s="182">
        <v>5</v>
      </c>
      <c r="H344" s="151" t="e">
        <v>#VALUE!</v>
      </c>
      <c r="I344" s="151" t="e">
        <v>#VALUE!</v>
      </c>
      <c r="J344" s="6" t="s">
        <v>793</v>
      </c>
      <c r="K344" s="177">
        <v>20000</v>
      </c>
      <c r="L344" s="10">
        <v>26000</v>
      </c>
      <c r="M344" s="8" t="s">
        <v>143</v>
      </c>
      <c r="N344" s="9"/>
      <c r="O344" s="9">
        <v>26000</v>
      </c>
      <c r="P344" s="7">
        <v>0</v>
      </c>
      <c r="Q344" s="152">
        <v>45446</v>
      </c>
    </row>
    <row r="345" spans="1:17" ht="46.5" thickBot="1" x14ac:dyDescent="0.3">
      <c r="A345" s="150">
        <v>2367</v>
      </c>
      <c r="B345" s="2" t="s">
        <v>313</v>
      </c>
      <c r="C345" s="2" t="s">
        <v>314</v>
      </c>
      <c r="D345" s="2"/>
      <c r="E345" s="3">
        <v>45268</v>
      </c>
      <c r="F345" s="3">
        <v>45429</v>
      </c>
      <c r="G345" s="182">
        <v>115</v>
      </c>
      <c r="H345" s="151">
        <v>115</v>
      </c>
      <c r="I345" s="151">
        <v>0</v>
      </c>
      <c r="J345" s="2" t="s">
        <v>794</v>
      </c>
      <c r="K345" s="7">
        <v>100000</v>
      </c>
      <c r="L345" s="7">
        <v>264500</v>
      </c>
      <c r="M345" s="8">
        <v>11500</v>
      </c>
      <c r="N345" s="9"/>
      <c r="O345" s="9">
        <v>264500</v>
      </c>
      <c r="P345" s="7">
        <v>0</v>
      </c>
      <c r="Q345" s="152">
        <v>45446</v>
      </c>
    </row>
    <row r="346" spans="1:17" ht="46.5" thickBot="1" x14ac:dyDescent="0.3">
      <c r="A346" s="150">
        <v>2378</v>
      </c>
      <c r="B346" s="2" t="s">
        <v>321</v>
      </c>
      <c r="C346" s="2" t="s">
        <v>322</v>
      </c>
      <c r="D346" s="2"/>
      <c r="E346" s="3">
        <v>45279</v>
      </c>
      <c r="F346" s="3">
        <v>45461</v>
      </c>
      <c r="G346" s="182">
        <v>130</v>
      </c>
      <c r="H346" s="151">
        <v>130.00013000012999</v>
      </c>
      <c r="I346" s="151">
        <v>-1.3000012998531929E-4</v>
      </c>
      <c r="J346" s="6" t="s">
        <v>795</v>
      </c>
      <c r="K346" s="7">
        <v>40000</v>
      </c>
      <c r="L346" s="7">
        <v>120000</v>
      </c>
      <c r="M346" s="21">
        <v>4615.38</v>
      </c>
      <c r="N346" s="9"/>
      <c r="O346" s="9">
        <v>120000</v>
      </c>
      <c r="P346" s="7">
        <v>0</v>
      </c>
      <c r="Q346" s="152">
        <v>45446</v>
      </c>
    </row>
    <row r="347" spans="1:17" ht="35.25" thickBot="1" x14ac:dyDescent="0.3">
      <c r="A347" s="150">
        <v>2606</v>
      </c>
      <c r="B347" s="2" t="s">
        <v>562</v>
      </c>
      <c r="C347" s="2" t="s">
        <v>563</v>
      </c>
      <c r="D347" s="2"/>
      <c r="E347" s="3">
        <v>45415</v>
      </c>
      <c r="F347" s="3">
        <v>45443</v>
      </c>
      <c r="G347" s="182">
        <v>20</v>
      </c>
      <c r="H347" s="151" t="e">
        <v>#DIV/0!</v>
      </c>
      <c r="I347" s="151" t="e">
        <v>#DIV/0!</v>
      </c>
      <c r="J347" s="6" t="s">
        <v>550</v>
      </c>
      <c r="K347" s="7">
        <v>40000</v>
      </c>
      <c r="L347" s="7">
        <v>60000</v>
      </c>
      <c r="M347" s="21"/>
      <c r="N347" s="9"/>
      <c r="O347" s="9">
        <v>60000</v>
      </c>
      <c r="P347" s="7">
        <v>0</v>
      </c>
      <c r="Q347" s="152">
        <v>45446</v>
      </c>
    </row>
    <row r="348" spans="1:17" ht="46.5" thickBot="1" x14ac:dyDescent="0.3">
      <c r="A348" s="150">
        <v>2500</v>
      </c>
      <c r="B348" s="2" t="s">
        <v>624</v>
      </c>
      <c r="C348" s="2" t="s">
        <v>160</v>
      </c>
      <c r="D348" s="2"/>
      <c r="E348" s="3">
        <v>45350</v>
      </c>
      <c r="F348" s="3">
        <v>45450</v>
      </c>
      <c r="G348" s="182">
        <v>72</v>
      </c>
      <c r="H348" s="151">
        <v>72</v>
      </c>
      <c r="I348" s="151">
        <v>0</v>
      </c>
      <c r="J348" s="2" t="s">
        <v>464</v>
      </c>
      <c r="K348" s="10">
        <v>70000</v>
      </c>
      <c r="L348" s="10">
        <v>151200</v>
      </c>
      <c r="M348" s="8">
        <v>10500</v>
      </c>
      <c r="N348" s="9"/>
      <c r="O348" s="9">
        <v>151200</v>
      </c>
      <c r="P348" s="7">
        <v>0</v>
      </c>
      <c r="Q348" s="152">
        <v>45446</v>
      </c>
    </row>
    <row r="349" spans="1:17" ht="35.25" thickBot="1" x14ac:dyDescent="0.3">
      <c r="A349" s="150">
        <v>2347</v>
      </c>
      <c r="B349" s="2" t="s">
        <v>369</v>
      </c>
      <c r="C349" s="2" t="s">
        <v>160</v>
      </c>
      <c r="D349" s="2"/>
      <c r="E349" s="3">
        <v>45254</v>
      </c>
      <c r="F349" s="3">
        <v>45450</v>
      </c>
      <c r="G349" s="182">
        <v>140</v>
      </c>
      <c r="H349" s="151">
        <v>140</v>
      </c>
      <c r="I349" s="151">
        <v>0</v>
      </c>
      <c r="J349" s="6" t="s">
        <v>796</v>
      </c>
      <c r="K349" s="7">
        <v>100000</v>
      </c>
      <c r="L349" s="7">
        <v>264005</v>
      </c>
      <c r="M349" s="8">
        <v>9428.75</v>
      </c>
      <c r="N349" s="9"/>
      <c r="O349" s="9">
        <v>264005</v>
      </c>
      <c r="P349" s="7">
        <v>0</v>
      </c>
      <c r="Q349" s="152">
        <v>45446</v>
      </c>
    </row>
    <row r="350" spans="1:17" ht="46.5" thickBot="1" x14ac:dyDescent="0.3">
      <c r="A350" s="150">
        <v>2389</v>
      </c>
      <c r="B350" s="2" t="s">
        <v>172</v>
      </c>
      <c r="C350" s="2" t="s">
        <v>173</v>
      </c>
      <c r="D350" s="2" t="s">
        <v>174</v>
      </c>
      <c r="E350" s="3">
        <v>45288</v>
      </c>
      <c r="F350" s="3">
        <v>45428</v>
      </c>
      <c r="G350" s="182">
        <v>100</v>
      </c>
      <c r="H350" s="151">
        <v>100</v>
      </c>
      <c r="I350" s="151">
        <v>0</v>
      </c>
      <c r="J350" s="6" t="s">
        <v>797</v>
      </c>
      <c r="K350" s="10">
        <v>50000</v>
      </c>
      <c r="L350" s="10">
        <v>110000</v>
      </c>
      <c r="M350" s="8">
        <v>5500</v>
      </c>
      <c r="N350" s="9">
        <v>22000</v>
      </c>
      <c r="O350" s="9">
        <v>110000</v>
      </c>
      <c r="P350" s="7">
        <v>0</v>
      </c>
      <c r="Q350" s="152">
        <v>45453</v>
      </c>
    </row>
    <row r="351" spans="1:17" ht="46.5" thickBot="1" x14ac:dyDescent="0.3">
      <c r="A351" s="150">
        <v>2369</v>
      </c>
      <c r="B351" s="2" t="s">
        <v>215</v>
      </c>
      <c r="C351" s="2" t="s">
        <v>216</v>
      </c>
      <c r="D351" s="2"/>
      <c r="E351" s="3">
        <v>45267</v>
      </c>
      <c r="F351" s="3">
        <v>45407</v>
      </c>
      <c r="G351" s="182">
        <v>100</v>
      </c>
      <c r="H351" s="151">
        <v>100</v>
      </c>
      <c r="I351" s="151">
        <v>0</v>
      </c>
      <c r="J351" s="6" t="s">
        <v>798</v>
      </c>
      <c r="K351" s="10">
        <v>200000</v>
      </c>
      <c r="L351" s="10">
        <v>432000</v>
      </c>
      <c r="M351" s="8">
        <v>21600</v>
      </c>
      <c r="N351" s="9"/>
      <c r="O351" s="9">
        <v>432000</v>
      </c>
      <c r="P351" s="7">
        <v>0</v>
      </c>
      <c r="Q351" s="152">
        <v>45453</v>
      </c>
    </row>
    <row r="352" spans="1:17" ht="24" thickBot="1" x14ac:dyDescent="0.3">
      <c r="A352" s="150">
        <v>2658</v>
      </c>
      <c r="B352" s="2" t="s">
        <v>707</v>
      </c>
      <c r="C352" s="2"/>
      <c r="D352" s="2"/>
      <c r="E352" s="3">
        <v>45451</v>
      </c>
      <c r="F352" s="3">
        <v>45457</v>
      </c>
      <c r="G352" s="182">
        <v>5</v>
      </c>
      <c r="H352" s="151" t="e">
        <v>#DIV/0!</v>
      </c>
      <c r="I352" s="151" t="e">
        <v>#DIV/0!</v>
      </c>
      <c r="J352" s="6" t="s">
        <v>799</v>
      </c>
      <c r="K352" s="177">
        <v>30000</v>
      </c>
      <c r="L352" s="10">
        <v>39000</v>
      </c>
      <c r="M352" s="8"/>
      <c r="N352" s="9">
        <v>39000</v>
      </c>
      <c r="O352" s="9">
        <v>39000</v>
      </c>
      <c r="P352" s="7">
        <v>0</v>
      </c>
      <c r="Q352" s="152">
        <v>45453</v>
      </c>
    </row>
    <row r="353" spans="1:17" ht="46.5" thickBot="1" x14ac:dyDescent="0.3">
      <c r="A353" s="150">
        <v>2318</v>
      </c>
      <c r="B353" s="2" t="s">
        <v>321</v>
      </c>
      <c r="C353" s="2" t="s">
        <v>322</v>
      </c>
      <c r="D353" s="2"/>
      <c r="E353" s="3">
        <v>45229</v>
      </c>
      <c r="F353" s="3">
        <v>45453</v>
      </c>
      <c r="G353" s="182">
        <v>160</v>
      </c>
      <c r="H353" s="151">
        <v>160</v>
      </c>
      <c r="I353" s="151">
        <v>0</v>
      </c>
      <c r="J353" s="6" t="s">
        <v>718</v>
      </c>
      <c r="K353" s="10">
        <v>50000</v>
      </c>
      <c r="L353" s="10">
        <v>132000</v>
      </c>
      <c r="M353" s="8">
        <v>4125</v>
      </c>
      <c r="N353" s="9">
        <v>16500</v>
      </c>
      <c r="O353" s="9">
        <v>132000</v>
      </c>
      <c r="P353" s="7">
        <v>0</v>
      </c>
      <c r="Q353" s="152">
        <v>45453</v>
      </c>
    </row>
    <row r="354" spans="1:17" ht="46.5" thickBot="1" x14ac:dyDescent="0.3">
      <c r="A354" s="150">
        <v>2436</v>
      </c>
      <c r="B354" s="2" t="s">
        <v>321</v>
      </c>
      <c r="C354" s="2" t="s">
        <v>322</v>
      </c>
      <c r="D354" s="2"/>
      <c r="E354" s="3">
        <v>45314</v>
      </c>
      <c r="F354" s="3">
        <v>45426</v>
      </c>
      <c r="G354" s="182">
        <v>80</v>
      </c>
      <c r="H354" s="151">
        <v>80</v>
      </c>
      <c r="I354" s="151">
        <v>0</v>
      </c>
      <c r="J354" s="6" t="s">
        <v>800</v>
      </c>
      <c r="K354" s="10">
        <v>50000</v>
      </c>
      <c r="L354" s="10">
        <v>108000</v>
      </c>
      <c r="M354" s="21">
        <v>6750</v>
      </c>
      <c r="N354" s="9">
        <v>14750</v>
      </c>
      <c r="O354" s="9">
        <v>108000</v>
      </c>
      <c r="P354" s="7">
        <v>0</v>
      </c>
      <c r="Q354" s="152">
        <v>45453</v>
      </c>
    </row>
    <row r="355" spans="1:17" ht="15.75" thickBot="1" x14ac:dyDescent="0.3">
      <c r="A355" s="150">
        <v>2640</v>
      </c>
      <c r="B355" s="2" t="s">
        <v>367</v>
      </c>
      <c r="C355" s="2"/>
      <c r="D355" s="2"/>
      <c r="E355" s="3">
        <v>45439</v>
      </c>
      <c r="F355" s="3">
        <v>45456</v>
      </c>
      <c r="G355" s="182">
        <v>13</v>
      </c>
      <c r="H355" s="151" t="e">
        <v>#DIV/0!</v>
      </c>
      <c r="I355" s="151" t="e">
        <v>#DIV/0!</v>
      </c>
      <c r="J355" s="6" t="s">
        <v>550</v>
      </c>
      <c r="K355" s="7">
        <v>15000</v>
      </c>
      <c r="L355" s="7">
        <v>22500</v>
      </c>
      <c r="M355" s="21"/>
      <c r="N355" s="9">
        <v>22500</v>
      </c>
      <c r="O355" s="9">
        <v>22500</v>
      </c>
      <c r="P355" s="7">
        <v>0</v>
      </c>
      <c r="Q355" s="152">
        <v>45453</v>
      </c>
    </row>
    <row r="356" spans="1:17" ht="15.75" thickBot="1" x14ac:dyDescent="0.3">
      <c r="A356" s="150">
        <v>2651</v>
      </c>
      <c r="B356" s="2" t="s">
        <v>367</v>
      </c>
      <c r="C356" s="2"/>
      <c r="D356" s="2"/>
      <c r="E356" s="3">
        <v>45443</v>
      </c>
      <c r="F356" s="3">
        <v>45450</v>
      </c>
      <c r="G356" s="182">
        <v>5</v>
      </c>
      <c r="H356" s="151" t="e">
        <v>#DIV/0!</v>
      </c>
      <c r="I356" s="151" t="e">
        <v>#DIV/0!</v>
      </c>
      <c r="J356" s="6" t="s">
        <v>550</v>
      </c>
      <c r="K356" s="10">
        <v>20000</v>
      </c>
      <c r="L356" s="10">
        <v>32000</v>
      </c>
      <c r="M356" s="8"/>
      <c r="N356" s="9">
        <v>32000</v>
      </c>
      <c r="O356" s="9">
        <v>32000</v>
      </c>
      <c r="P356" s="7">
        <v>0</v>
      </c>
      <c r="Q356" s="152">
        <v>45453</v>
      </c>
    </row>
    <row r="357" spans="1:17" ht="24" thickBot="1" x14ac:dyDescent="0.3">
      <c r="A357" s="150">
        <v>2454</v>
      </c>
      <c r="B357" s="2" t="s">
        <v>381</v>
      </c>
      <c r="C357" s="2"/>
      <c r="D357" s="2"/>
      <c r="E357" s="3">
        <v>45323</v>
      </c>
      <c r="F357" s="3">
        <v>45435</v>
      </c>
      <c r="G357" s="182">
        <v>80</v>
      </c>
      <c r="H357" s="151">
        <v>80</v>
      </c>
      <c r="I357" s="151">
        <v>0</v>
      </c>
      <c r="J357" s="6" t="s">
        <v>273</v>
      </c>
      <c r="K357" s="10">
        <v>100000</v>
      </c>
      <c r="L357" s="10">
        <v>216000</v>
      </c>
      <c r="M357" s="8">
        <v>13500</v>
      </c>
      <c r="N357" s="9">
        <v>54000</v>
      </c>
      <c r="O357" s="9">
        <v>216000</v>
      </c>
      <c r="P357" s="7">
        <v>0</v>
      </c>
      <c r="Q357" s="152">
        <v>45453</v>
      </c>
    </row>
    <row r="358" spans="1:17" ht="57.75" thickBot="1" x14ac:dyDescent="0.3">
      <c r="A358" s="150">
        <v>2508</v>
      </c>
      <c r="B358" s="2" t="s">
        <v>692</v>
      </c>
      <c r="C358" s="2" t="s">
        <v>394</v>
      </c>
      <c r="D358" s="2" t="s">
        <v>395</v>
      </c>
      <c r="E358" s="3">
        <v>45355</v>
      </c>
      <c r="F358" s="3">
        <v>45455</v>
      </c>
      <c r="G358" s="182">
        <v>72</v>
      </c>
      <c r="H358" s="151">
        <v>72</v>
      </c>
      <c r="I358" s="151">
        <v>0</v>
      </c>
      <c r="J358" s="2" t="s">
        <v>161</v>
      </c>
      <c r="K358" s="7">
        <v>100000</v>
      </c>
      <c r="L358" s="7">
        <v>216000</v>
      </c>
      <c r="M358" s="8">
        <v>15000</v>
      </c>
      <c r="N358" s="9">
        <v>21000</v>
      </c>
      <c r="O358" s="9">
        <v>216000</v>
      </c>
      <c r="P358" s="7">
        <v>0</v>
      </c>
      <c r="Q358" s="152">
        <v>45453</v>
      </c>
    </row>
    <row r="359" spans="1:17" ht="57.75" thickBot="1" x14ac:dyDescent="0.3">
      <c r="A359" s="150">
        <v>2577</v>
      </c>
      <c r="B359" s="2" t="s">
        <v>692</v>
      </c>
      <c r="C359" s="2" t="s">
        <v>394</v>
      </c>
      <c r="D359" s="2" t="s">
        <v>395</v>
      </c>
      <c r="E359" s="3">
        <v>45398</v>
      </c>
      <c r="F359" s="3">
        <v>45498</v>
      </c>
      <c r="G359" s="182">
        <v>72</v>
      </c>
      <c r="H359" s="151">
        <v>72</v>
      </c>
      <c r="I359" s="151">
        <v>0</v>
      </c>
      <c r="J359" s="2" t="s">
        <v>161</v>
      </c>
      <c r="K359" s="7">
        <v>100000</v>
      </c>
      <c r="L359" s="7">
        <v>216000</v>
      </c>
      <c r="M359" s="8">
        <v>15000</v>
      </c>
      <c r="N359" s="9">
        <v>111000</v>
      </c>
      <c r="O359" s="9">
        <v>216000</v>
      </c>
      <c r="P359" s="7">
        <v>0</v>
      </c>
      <c r="Q359" s="152">
        <v>45453</v>
      </c>
    </row>
    <row r="360" spans="1:17" ht="35.25" thickBot="1" x14ac:dyDescent="0.3">
      <c r="A360" s="150">
        <v>2496</v>
      </c>
      <c r="B360" s="2" t="s">
        <v>546</v>
      </c>
      <c r="C360" s="2" t="s">
        <v>547</v>
      </c>
      <c r="D360" s="2"/>
      <c r="E360" s="30">
        <v>45348</v>
      </c>
      <c r="F360" s="3">
        <v>45460</v>
      </c>
      <c r="G360" s="182">
        <v>80</v>
      </c>
      <c r="H360" s="151">
        <v>80</v>
      </c>
      <c r="I360" s="151">
        <v>0</v>
      </c>
      <c r="J360" s="6" t="s">
        <v>779</v>
      </c>
      <c r="K360" s="7">
        <v>30000</v>
      </c>
      <c r="L360" s="7">
        <v>64800</v>
      </c>
      <c r="M360" s="21">
        <v>4050</v>
      </c>
      <c r="N360" s="9">
        <v>16200</v>
      </c>
      <c r="O360" s="9">
        <v>64800</v>
      </c>
      <c r="P360" s="7">
        <v>0</v>
      </c>
      <c r="Q360" s="152">
        <v>45453</v>
      </c>
    </row>
    <row r="361" spans="1:17" ht="24" thickBot="1" x14ac:dyDescent="0.3">
      <c r="A361" s="150">
        <v>2643</v>
      </c>
      <c r="B361" s="2" t="s">
        <v>402</v>
      </c>
      <c r="C361" s="2"/>
      <c r="D361" s="2"/>
      <c r="E361" s="3">
        <v>45439</v>
      </c>
      <c r="F361" s="3">
        <v>45456</v>
      </c>
      <c r="G361" s="182">
        <v>13</v>
      </c>
      <c r="H361" s="151" t="e">
        <v>#DIV/0!</v>
      </c>
      <c r="I361" s="151" t="e">
        <v>#DIV/0!</v>
      </c>
      <c r="J361" s="6" t="s">
        <v>801</v>
      </c>
      <c r="K361" s="7">
        <v>10000</v>
      </c>
      <c r="L361" s="7">
        <v>15000</v>
      </c>
      <c r="M361" s="8"/>
      <c r="N361" s="9">
        <v>15000</v>
      </c>
      <c r="O361" s="9">
        <v>15000</v>
      </c>
      <c r="P361" s="7">
        <v>0</v>
      </c>
      <c r="Q361" s="152">
        <v>45453</v>
      </c>
    </row>
    <row r="362" spans="1:17" ht="24" thickBot="1" x14ac:dyDescent="0.3">
      <c r="A362" s="150">
        <v>2663</v>
      </c>
      <c r="B362" s="2" t="s">
        <v>402</v>
      </c>
      <c r="C362" s="2"/>
      <c r="D362" s="2"/>
      <c r="E362" s="3">
        <v>45455</v>
      </c>
      <c r="F362" s="3">
        <v>45457</v>
      </c>
      <c r="G362" s="182">
        <v>2</v>
      </c>
      <c r="H362" s="151" t="e">
        <v>#VALUE!</v>
      </c>
      <c r="I362" s="151" t="e">
        <v>#VALUE!</v>
      </c>
      <c r="J362" s="6" t="s">
        <v>801</v>
      </c>
      <c r="K362" s="7">
        <v>10000</v>
      </c>
      <c r="L362" s="7">
        <v>15000</v>
      </c>
      <c r="M362" s="8" t="s">
        <v>143</v>
      </c>
      <c r="N362" s="9">
        <v>15000</v>
      </c>
      <c r="O362" s="9">
        <v>15000</v>
      </c>
      <c r="P362" s="7">
        <v>0</v>
      </c>
      <c r="Q362" s="152">
        <v>45453</v>
      </c>
    </row>
    <row r="363" spans="1:17" ht="24" thickBot="1" x14ac:dyDescent="0.3">
      <c r="A363" s="150">
        <v>2392</v>
      </c>
      <c r="B363" s="2" t="s">
        <v>471</v>
      </c>
      <c r="C363" s="2" t="s">
        <v>655</v>
      </c>
      <c r="D363" s="2"/>
      <c r="E363" s="3">
        <v>45289</v>
      </c>
      <c r="F363" s="3">
        <v>45391</v>
      </c>
      <c r="G363" s="182">
        <v>72</v>
      </c>
      <c r="H363" s="151">
        <v>74.666666666666671</v>
      </c>
      <c r="I363" s="151">
        <v>-2.6666666666666714</v>
      </c>
      <c r="J363" s="2" t="s">
        <v>227</v>
      </c>
      <c r="K363" s="10">
        <v>50000</v>
      </c>
      <c r="L363" s="10">
        <v>108000</v>
      </c>
      <c r="M363" s="8">
        <v>7500</v>
      </c>
      <c r="N363" s="9">
        <v>7500</v>
      </c>
      <c r="O363" s="9">
        <v>112000</v>
      </c>
      <c r="P363" s="7">
        <v>-4000</v>
      </c>
      <c r="Q363" s="152">
        <v>45453</v>
      </c>
    </row>
    <row r="364" spans="1:17" ht="57.75" thickBot="1" x14ac:dyDescent="0.3">
      <c r="A364" s="150">
        <v>2505</v>
      </c>
      <c r="B364" s="2" t="s">
        <v>146</v>
      </c>
      <c r="C364" s="2" t="s">
        <v>147</v>
      </c>
      <c r="D364" s="3">
        <v>45353</v>
      </c>
      <c r="E364" s="3">
        <v>45454</v>
      </c>
      <c r="F364" s="183">
        <f t="shared" ref="F364:F373" si="0">WORKDAY(E364,G364)</f>
        <v>45554</v>
      </c>
      <c r="G364" s="182">
        <v>72</v>
      </c>
      <c r="H364" s="151">
        <v>75</v>
      </c>
      <c r="I364" s="151">
        <v>-3</v>
      </c>
      <c r="J364" s="2" t="s">
        <v>162</v>
      </c>
      <c r="K364" s="7">
        <v>60000</v>
      </c>
      <c r="L364" s="7">
        <v>129600</v>
      </c>
      <c r="M364" s="21">
        <v>9000</v>
      </c>
      <c r="N364" s="9">
        <v>9000</v>
      </c>
      <c r="O364" s="9">
        <v>135000</v>
      </c>
      <c r="P364" s="7">
        <v>-5400</v>
      </c>
      <c r="Q364" s="152">
        <v>45460</v>
      </c>
    </row>
    <row r="365" spans="1:17" ht="35.25" thickBot="1" x14ac:dyDescent="0.3">
      <c r="A365" s="150">
        <v>2655</v>
      </c>
      <c r="B365" s="2" t="s">
        <v>600</v>
      </c>
      <c r="C365" s="2" t="s">
        <v>687</v>
      </c>
      <c r="D365" s="3">
        <v>45450</v>
      </c>
      <c r="E365" s="3">
        <v>45463</v>
      </c>
      <c r="F365" s="183">
        <f t="shared" si="0"/>
        <v>45476</v>
      </c>
      <c r="G365" s="182">
        <v>9</v>
      </c>
      <c r="H365" s="151" t="e">
        <v>#DIV/0!</v>
      </c>
      <c r="I365" s="151" t="e">
        <v>#DIV/0!</v>
      </c>
      <c r="J365" s="6" t="s">
        <v>550</v>
      </c>
      <c r="K365" s="10">
        <v>50000</v>
      </c>
      <c r="L365" s="10">
        <v>75000</v>
      </c>
      <c r="M365" s="8"/>
      <c r="N365" s="9">
        <v>75000</v>
      </c>
      <c r="O365" s="9">
        <v>75000</v>
      </c>
      <c r="P365" s="7">
        <v>0</v>
      </c>
      <c r="Q365" s="152">
        <v>45460</v>
      </c>
    </row>
    <row r="366" spans="1:17" ht="46.5" thickBot="1" x14ac:dyDescent="0.3">
      <c r="A366" s="150">
        <v>2488</v>
      </c>
      <c r="B366" s="2" t="s">
        <v>179</v>
      </c>
      <c r="C366" s="2" t="s">
        <v>180</v>
      </c>
      <c r="D366" s="3">
        <v>45343</v>
      </c>
      <c r="E366" s="3">
        <v>45443</v>
      </c>
      <c r="F366" s="183">
        <f t="shared" si="0"/>
        <v>45545</v>
      </c>
      <c r="G366" s="182">
        <v>72</v>
      </c>
      <c r="H366" s="151">
        <v>72</v>
      </c>
      <c r="I366" s="151">
        <v>0</v>
      </c>
      <c r="J366" s="2" t="s">
        <v>581</v>
      </c>
      <c r="K366" s="7">
        <v>25000</v>
      </c>
      <c r="L366" s="7">
        <v>54000</v>
      </c>
      <c r="M366" s="8">
        <v>3750</v>
      </c>
      <c r="N366" s="9">
        <v>1450</v>
      </c>
      <c r="O366" s="9">
        <v>54000</v>
      </c>
      <c r="P366" s="7">
        <v>0</v>
      </c>
      <c r="Q366" s="152">
        <v>45460</v>
      </c>
    </row>
    <row r="367" spans="1:17" ht="35.25" thickBot="1" x14ac:dyDescent="0.3">
      <c r="A367" s="150">
        <v>2547</v>
      </c>
      <c r="B367" s="2" t="s">
        <v>204</v>
      </c>
      <c r="C367" s="2" t="s">
        <v>205</v>
      </c>
      <c r="D367" s="3">
        <v>45379</v>
      </c>
      <c r="E367" s="3">
        <v>45463</v>
      </c>
      <c r="F367" s="183">
        <f t="shared" si="0"/>
        <v>45547</v>
      </c>
      <c r="G367" s="182">
        <v>60</v>
      </c>
      <c r="H367" s="151">
        <v>60</v>
      </c>
      <c r="I367" s="151">
        <v>0</v>
      </c>
      <c r="J367" s="6" t="s">
        <v>802</v>
      </c>
      <c r="K367" s="7">
        <v>30000</v>
      </c>
      <c r="L367" s="7">
        <v>64800</v>
      </c>
      <c r="M367" s="21">
        <v>5400</v>
      </c>
      <c r="N367" s="9"/>
      <c r="O367" s="9">
        <v>64800</v>
      </c>
      <c r="P367" s="7">
        <v>0</v>
      </c>
      <c r="Q367" s="152">
        <v>45460</v>
      </c>
    </row>
    <row r="368" spans="1:17" ht="125.25" thickBot="1" x14ac:dyDescent="0.3">
      <c r="A368" s="150">
        <v>2474</v>
      </c>
      <c r="B368" s="2" t="s">
        <v>803</v>
      </c>
      <c r="C368" s="2" t="s">
        <v>213</v>
      </c>
      <c r="D368" s="3">
        <v>45337</v>
      </c>
      <c r="E368" s="3">
        <v>45439</v>
      </c>
      <c r="F368" s="183">
        <f t="shared" si="0"/>
        <v>45539</v>
      </c>
      <c r="G368" s="182">
        <v>72</v>
      </c>
      <c r="H368" s="151">
        <v>72.331797235023046</v>
      </c>
      <c r="I368" s="151">
        <v>-0.33179723502304626</v>
      </c>
      <c r="J368" s="2" t="s">
        <v>754</v>
      </c>
      <c r="K368" s="7">
        <v>500000</v>
      </c>
      <c r="L368" s="7">
        <v>1085000</v>
      </c>
      <c r="M368" s="21">
        <v>75347.222222222219</v>
      </c>
      <c r="N368" s="9">
        <v>30000</v>
      </c>
      <c r="O368" s="9">
        <v>1090000</v>
      </c>
      <c r="P368" s="7">
        <v>-5000</v>
      </c>
      <c r="Q368" s="152">
        <v>45460</v>
      </c>
    </row>
    <row r="369" spans="1:17" ht="24" thickBot="1" x14ac:dyDescent="0.3">
      <c r="A369" s="150">
        <v>2461</v>
      </c>
      <c r="B369" s="2" t="s">
        <v>327</v>
      </c>
      <c r="C369" s="2"/>
      <c r="D369" s="3">
        <v>45328</v>
      </c>
      <c r="E369" s="3">
        <v>45428</v>
      </c>
      <c r="F369" s="183">
        <f t="shared" si="0"/>
        <v>45530</v>
      </c>
      <c r="G369" s="182">
        <v>72</v>
      </c>
      <c r="H369" s="151">
        <v>72</v>
      </c>
      <c r="I369" s="151">
        <v>0</v>
      </c>
      <c r="J369" s="2" t="s">
        <v>581</v>
      </c>
      <c r="K369" s="7">
        <v>25000</v>
      </c>
      <c r="L369" s="7">
        <v>54000</v>
      </c>
      <c r="M369" s="8">
        <v>3750</v>
      </c>
      <c r="N369" s="9">
        <v>700</v>
      </c>
      <c r="O369" s="9">
        <v>54000</v>
      </c>
      <c r="P369" s="7">
        <v>0</v>
      </c>
      <c r="Q369" s="152">
        <v>45460</v>
      </c>
    </row>
    <row r="370" spans="1:17" ht="91.5" thickBot="1" x14ac:dyDescent="0.3">
      <c r="A370" s="150">
        <v>2503</v>
      </c>
      <c r="B370" s="2" t="s">
        <v>334</v>
      </c>
      <c r="C370" s="2" t="s">
        <v>335</v>
      </c>
      <c r="D370" s="3">
        <v>45351</v>
      </c>
      <c r="E370" s="3">
        <v>45453</v>
      </c>
      <c r="F370" s="183">
        <f t="shared" si="0"/>
        <v>45553</v>
      </c>
      <c r="G370" s="182">
        <v>72</v>
      </c>
      <c r="H370" s="151">
        <v>72.388888888888886</v>
      </c>
      <c r="I370" s="151">
        <v>-0.38888888888888573</v>
      </c>
      <c r="J370" s="2" t="s">
        <v>181</v>
      </c>
      <c r="K370" s="7">
        <v>30000</v>
      </c>
      <c r="L370" s="7">
        <v>64800</v>
      </c>
      <c r="M370" s="8">
        <v>4500</v>
      </c>
      <c r="N370" s="9">
        <v>24500</v>
      </c>
      <c r="O370" s="9">
        <v>65150</v>
      </c>
      <c r="P370" s="7">
        <v>-350</v>
      </c>
      <c r="Q370" s="152">
        <v>45460</v>
      </c>
    </row>
    <row r="371" spans="1:17" ht="35.25" thickBot="1" x14ac:dyDescent="0.3">
      <c r="A371" s="150">
        <v>2631</v>
      </c>
      <c r="B371" s="2" t="s">
        <v>551</v>
      </c>
      <c r="C371" s="2"/>
      <c r="D371" s="3">
        <v>45430</v>
      </c>
      <c r="E371" s="3">
        <v>45457</v>
      </c>
      <c r="F371" s="183">
        <f t="shared" si="0"/>
        <v>45485</v>
      </c>
      <c r="G371" s="182">
        <v>20</v>
      </c>
      <c r="H371" s="151" t="e">
        <v>#DIV/0!</v>
      </c>
      <c r="I371" s="151" t="e">
        <v>#DIV/0!</v>
      </c>
      <c r="J371" s="2" t="s">
        <v>550</v>
      </c>
      <c r="K371" s="7">
        <v>20000</v>
      </c>
      <c r="L371" s="7">
        <v>32000</v>
      </c>
      <c r="M371" s="8"/>
      <c r="N371" s="9">
        <v>32000</v>
      </c>
      <c r="O371" s="9">
        <v>32000</v>
      </c>
      <c r="P371" s="7">
        <v>0</v>
      </c>
      <c r="Q371" s="152">
        <v>45460</v>
      </c>
    </row>
    <row r="372" spans="1:17" ht="35.25" thickBot="1" x14ac:dyDescent="0.3">
      <c r="A372" s="150">
        <v>2639</v>
      </c>
      <c r="B372" s="2" t="s">
        <v>551</v>
      </c>
      <c r="C372" s="2"/>
      <c r="D372" s="3">
        <v>45439</v>
      </c>
      <c r="E372" s="3">
        <v>45456</v>
      </c>
      <c r="F372" s="183">
        <f t="shared" si="0"/>
        <v>45475</v>
      </c>
      <c r="G372" s="182">
        <v>13</v>
      </c>
      <c r="H372" s="151" t="e">
        <v>#DIV/0!</v>
      </c>
      <c r="I372" s="151" t="e">
        <v>#DIV/0!</v>
      </c>
      <c r="J372" s="6" t="s">
        <v>550</v>
      </c>
      <c r="K372" s="7">
        <v>15000</v>
      </c>
      <c r="L372" s="7">
        <v>22500</v>
      </c>
      <c r="M372" s="8"/>
      <c r="N372" s="9">
        <v>22500</v>
      </c>
      <c r="O372" s="9">
        <v>22500</v>
      </c>
      <c r="P372" s="7">
        <v>0</v>
      </c>
      <c r="Q372" s="152">
        <v>45460</v>
      </c>
    </row>
    <row r="373" spans="1:17" ht="35.25" thickBot="1" x14ac:dyDescent="0.3">
      <c r="A373" s="150">
        <v>2652</v>
      </c>
      <c r="B373" s="2" t="s">
        <v>551</v>
      </c>
      <c r="C373" s="2"/>
      <c r="D373" s="3">
        <v>45446</v>
      </c>
      <c r="E373" s="3">
        <v>45460</v>
      </c>
      <c r="F373" s="183">
        <f t="shared" si="0"/>
        <v>45474</v>
      </c>
      <c r="G373" s="182">
        <v>10</v>
      </c>
      <c r="H373" s="151" t="e">
        <v>#DIV/0!</v>
      </c>
      <c r="I373" s="484" t="e">
        <v>#DIV/0!</v>
      </c>
      <c r="J373" s="6" t="s">
        <v>550</v>
      </c>
      <c r="K373" s="26">
        <v>15000</v>
      </c>
      <c r="L373" s="7">
        <v>22500</v>
      </c>
      <c r="M373" s="8"/>
      <c r="N373" s="9">
        <v>10500</v>
      </c>
      <c r="O373" s="9">
        <v>22500</v>
      </c>
      <c r="P373" s="7">
        <v>0</v>
      </c>
      <c r="Q373" s="152">
        <v>45460</v>
      </c>
    </row>
    <row r="374" spans="1:17" ht="35.25" thickBot="1" x14ac:dyDescent="0.3">
      <c r="A374" s="150">
        <v>2484</v>
      </c>
      <c r="B374" s="2" t="s">
        <v>739</v>
      </c>
      <c r="C374" s="2" t="s">
        <v>740</v>
      </c>
      <c r="D374" s="3">
        <v>45342</v>
      </c>
      <c r="E374" s="3">
        <v>45442</v>
      </c>
      <c r="F374" s="182">
        <v>72</v>
      </c>
      <c r="G374" s="151">
        <v>74.815294880103693</v>
      </c>
      <c r="H374" s="151">
        <v>-2.8152948801036928</v>
      </c>
      <c r="I374" s="358"/>
      <c r="J374" s="2" t="s">
        <v>741</v>
      </c>
      <c r="K374" s="7">
        <v>50000</v>
      </c>
      <c r="L374" s="7">
        <v>111096</v>
      </c>
      <c r="M374" s="8">
        <v>7715</v>
      </c>
      <c r="N374" s="9">
        <v>30860</v>
      </c>
      <c r="O374" s="9">
        <v>115440</v>
      </c>
      <c r="P374" s="7">
        <v>-4344</v>
      </c>
      <c r="Q374" s="152">
        <v>45460</v>
      </c>
    </row>
    <row r="375" spans="1:17" ht="35.25" thickBot="1" x14ac:dyDescent="0.3">
      <c r="A375" s="150">
        <v>2425</v>
      </c>
      <c r="B375" s="2" t="s">
        <v>426</v>
      </c>
      <c r="C375" s="2" t="s">
        <v>427</v>
      </c>
      <c r="D375" s="3">
        <v>45307</v>
      </c>
      <c r="E375" s="3">
        <v>45475</v>
      </c>
      <c r="F375" s="182">
        <v>120</v>
      </c>
      <c r="G375" s="151">
        <v>120</v>
      </c>
      <c r="H375" s="151">
        <v>0</v>
      </c>
      <c r="I375" s="44"/>
      <c r="J375" s="6" t="s">
        <v>383</v>
      </c>
      <c r="K375" s="7">
        <v>50000</v>
      </c>
      <c r="L375" s="7">
        <v>132000</v>
      </c>
      <c r="M375" s="8">
        <v>5500</v>
      </c>
      <c r="N375" s="9">
        <v>66000</v>
      </c>
      <c r="O375" s="9">
        <v>132000</v>
      </c>
      <c r="P375" s="7">
        <v>0</v>
      </c>
      <c r="Q375" s="152">
        <v>45460</v>
      </c>
    </row>
    <row r="376" spans="1:17" ht="35.25" thickBot="1" x14ac:dyDescent="0.3">
      <c r="A376" s="150">
        <v>2450</v>
      </c>
      <c r="B376" s="2" t="s">
        <v>156</v>
      </c>
      <c r="C376" s="2" t="s">
        <v>157</v>
      </c>
      <c r="D376" s="3">
        <v>45320</v>
      </c>
      <c r="E376" s="3">
        <v>45432</v>
      </c>
      <c r="F376" s="3">
        <v>45432</v>
      </c>
      <c r="G376" s="182">
        <v>80</v>
      </c>
      <c r="H376" s="151">
        <v>80.026455026455025</v>
      </c>
      <c r="I376" s="151">
        <v>-2.6455026455025177E-2</v>
      </c>
      <c r="J376" s="16" t="s">
        <v>804</v>
      </c>
      <c r="K376" s="7">
        <v>70000</v>
      </c>
      <c r="L376" s="7">
        <v>151200</v>
      </c>
      <c r="M376" s="21">
        <v>9450</v>
      </c>
      <c r="N376" s="9">
        <v>24000</v>
      </c>
      <c r="O376" s="9">
        <v>151250</v>
      </c>
      <c r="P376" s="7">
        <v>-50</v>
      </c>
      <c r="Q376" s="152">
        <v>45467</v>
      </c>
    </row>
    <row r="377" spans="1:17" ht="24" thickBot="1" x14ac:dyDescent="0.3">
      <c r="A377" s="150">
        <v>2462</v>
      </c>
      <c r="B377" s="2" t="s">
        <v>805</v>
      </c>
      <c r="C377" s="2" t="s">
        <v>806</v>
      </c>
      <c r="D377" s="3">
        <v>45329</v>
      </c>
      <c r="E377" s="3">
        <v>45429</v>
      </c>
      <c r="F377" s="3">
        <v>45429</v>
      </c>
      <c r="G377" s="182">
        <v>72</v>
      </c>
      <c r="H377" s="151">
        <v>72</v>
      </c>
      <c r="I377" s="151">
        <v>0</v>
      </c>
      <c r="J377" s="2" t="s">
        <v>161</v>
      </c>
      <c r="K377" s="10">
        <v>100000</v>
      </c>
      <c r="L377" s="10">
        <v>216000</v>
      </c>
      <c r="M377" s="8">
        <v>15000</v>
      </c>
      <c r="N377" s="9">
        <v>26000</v>
      </c>
      <c r="O377" s="9">
        <v>216000</v>
      </c>
      <c r="P377" s="7">
        <v>0</v>
      </c>
      <c r="Q377" s="152">
        <v>45467</v>
      </c>
    </row>
    <row r="378" spans="1:17" ht="80.25" thickBot="1" x14ac:dyDescent="0.3">
      <c r="A378" s="150">
        <v>2537</v>
      </c>
      <c r="B378" s="2" t="s">
        <v>191</v>
      </c>
      <c r="C378" s="2" t="s">
        <v>192</v>
      </c>
      <c r="D378" s="3">
        <v>45372</v>
      </c>
      <c r="E378" s="3">
        <v>45474</v>
      </c>
      <c r="F378" s="3">
        <v>45474</v>
      </c>
      <c r="G378" s="182">
        <v>72</v>
      </c>
      <c r="H378" s="151">
        <v>72</v>
      </c>
      <c r="I378" s="151">
        <v>0</v>
      </c>
      <c r="J378" s="10" t="s">
        <v>464</v>
      </c>
      <c r="K378" s="21">
        <v>70000</v>
      </c>
      <c r="L378" s="7">
        <v>151200</v>
      </c>
      <c r="M378" s="21">
        <v>10500</v>
      </c>
      <c r="N378" s="9">
        <v>25200</v>
      </c>
      <c r="O378" s="9">
        <v>151200</v>
      </c>
      <c r="P378" s="7">
        <v>0</v>
      </c>
      <c r="Q378" s="152">
        <v>45467</v>
      </c>
    </row>
    <row r="379" spans="1:17" ht="57.75" thickBot="1" x14ac:dyDescent="0.3">
      <c r="A379" s="150">
        <v>2360</v>
      </c>
      <c r="B379" s="2" t="s">
        <v>222</v>
      </c>
      <c r="C379" s="4" t="s">
        <v>223</v>
      </c>
      <c r="D379" s="3">
        <v>45264</v>
      </c>
      <c r="E379" s="3">
        <v>45488</v>
      </c>
      <c r="F379" s="3">
        <v>45488</v>
      </c>
      <c r="G379" s="182">
        <v>160</v>
      </c>
      <c r="H379" s="151">
        <v>160</v>
      </c>
      <c r="I379" s="151">
        <v>0</v>
      </c>
      <c r="J379" s="6" t="s">
        <v>807</v>
      </c>
      <c r="K379" s="7">
        <v>120000</v>
      </c>
      <c r="L379" s="7">
        <v>321600</v>
      </c>
      <c r="M379" s="8">
        <v>10050</v>
      </c>
      <c r="N379" s="9">
        <v>80400</v>
      </c>
      <c r="O379" s="9">
        <v>321600</v>
      </c>
      <c r="P379" s="7">
        <v>0</v>
      </c>
      <c r="Q379" s="152">
        <v>45467</v>
      </c>
    </row>
    <row r="380" spans="1:17" ht="35.25" thickBot="1" x14ac:dyDescent="0.3">
      <c r="A380" s="150">
        <v>2486</v>
      </c>
      <c r="B380" s="2" t="s">
        <v>257</v>
      </c>
      <c r="C380" s="2" t="s">
        <v>258</v>
      </c>
      <c r="D380" s="3">
        <v>45342</v>
      </c>
      <c r="E380" s="3">
        <v>45426</v>
      </c>
      <c r="F380" s="3">
        <v>45426</v>
      </c>
      <c r="G380" s="182">
        <v>60</v>
      </c>
      <c r="H380" s="151">
        <v>60</v>
      </c>
      <c r="I380" s="151">
        <v>0</v>
      </c>
      <c r="J380" s="6" t="s">
        <v>808</v>
      </c>
      <c r="K380" s="7">
        <v>50000</v>
      </c>
      <c r="L380" s="7">
        <v>100050</v>
      </c>
      <c r="M380" s="8">
        <v>8337.5</v>
      </c>
      <c r="N380" s="9">
        <v>33250</v>
      </c>
      <c r="O380" s="9">
        <v>100050</v>
      </c>
      <c r="P380" s="7">
        <v>0</v>
      </c>
      <c r="Q380" s="152">
        <v>45467</v>
      </c>
    </row>
    <row r="381" spans="1:17" ht="35.25" thickBot="1" x14ac:dyDescent="0.3">
      <c r="A381" s="150">
        <v>2463</v>
      </c>
      <c r="B381" s="2" t="s">
        <v>809</v>
      </c>
      <c r="C381" s="2" t="s">
        <v>810</v>
      </c>
      <c r="D381" s="3">
        <v>45329</v>
      </c>
      <c r="E381" s="3">
        <v>45429</v>
      </c>
      <c r="F381" s="3">
        <v>45429</v>
      </c>
      <c r="G381" s="182">
        <v>72</v>
      </c>
      <c r="H381" s="151">
        <v>72</v>
      </c>
      <c r="I381" s="151">
        <v>0</v>
      </c>
      <c r="J381" s="2" t="s">
        <v>227</v>
      </c>
      <c r="K381" s="7">
        <v>50000</v>
      </c>
      <c r="L381" s="7">
        <v>108000</v>
      </c>
      <c r="M381" s="8">
        <v>7500</v>
      </c>
      <c r="N381" s="9">
        <v>3000</v>
      </c>
      <c r="O381" s="9">
        <v>108000</v>
      </c>
      <c r="P381" s="7">
        <v>0</v>
      </c>
      <c r="Q381" s="152">
        <v>45467</v>
      </c>
    </row>
    <row r="382" spans="1:17" ht="35.25" thickBot="1" x14ac:dyDescent="0.3">
      <c r="A382" s="150">
        <v>2292</v>
      </c>
      <c r="B382" s="2" t="s">
        <v>296</v>
      </c>
      <c r="C382" s="2" t="s">
        <v>297</v>
      </c>
      <c r="D382" s="3">
        <v>45211</v>
      </c>
      <c r="E382" s="3">
        <v>45491</v>
      </c>
      <c r="F382" s="3">
        <v>45491</v>
      </c>
      <c r="G382" s="182">
        <v>200</v>
      </c>
      <c r="H382" s="151">
        <v>200</v>
      </c>
      <c r="I382" s="151">
        <v>0</v>
      </c>
      <c r="J382" s="6" t="s">
        <v>811</v>
      </c>
      <c r="K382" s="7">
        <v>100000</v>
      </c>
      <c r="L382" s="7">
        <v>305000</v>
      </c>
      <c r="M382" s="21">
        <v>7625</v>
      </c>
      <c r="N382" s="9">
        <v>61000</v>
      </c>
      <c r="O382" s="9">
        <v>305000</v>
      </c>
      <c r="P382" s="7">
        <v>0</v>
      </c>
      <c r="Q382" s="152">
        <v>45467</v>
      </c>
    </row>
    <row r="383" spans="1:17" ht="24" thickBot="1" x14ac:dyDescent="0.3">
      <c r="A383" s="150">
        <v>2675</v>
      </c>
      <c r="B383" s="2" t="s">
        <v>707</v>
      </c>
      <c r="C383" s="2"/>
      <c r="D383" s="3">
        <v>45462</v>
      </c>
      <c r="E383" s="3">
        <v>45469</v>
      </c>
      <c r="F383" s="3">
        <v>45469</v>
      </c>
      <c r="G383" s="182">
        <v>5</v>
      </c>
      <c r="H383" s="151" t="e">
        <v>#VALUE!</v>
      </c>
      <c r="I383" s="151" t="e">
        <v>#VALUE!</v>
      </c>
      <c r="J383" s="6" t="s">
        <v>550</v>
      </c>
      <c r="K383" s="20">
        <v>40000</v>
      </c>
      <c r="L383" s="7">
        <v>52000</v>
      </c>
      <c r="M383" s="8" t="s">
        <v>143</v>
      </c>
      <c r="N383" s="9">
        <v>52000</v>
      </c>
      <c r="O383" s="9">
        <v>52000</v>
      </c>
      <c r="P383" s="7">
        <v>0</v>
      </c>
      <c r="Q383" s="152">
        <v>45467</v>
      </c>
    </row>
    <row r="384" spans="1:17" ht="57.75" thickBot="1" x14ac:dyDescent="0.3">
      <c r="A384" s="150">
        <v>2477</v>
      </c>
      <c r="B384" s="2" t="s">
        <v>345</v>
      </c>
      <c r="C384" s="2" t="s">
        <v>346</v>
      </c>
      <c r="D384" s="3" t="s">
        <v>812</v>
      </c>
      <c r="E384" s="3" t="e">
        <v>#VALUE!</v>
      </c>
      <c r="F384" s="3" t="e">
        <v>#VALUE!</v>
      </c>
      <c r="G384" s="182">
        <v>70</v>
      </c>
      <c r="H384" s="151">
        <v>70</v>
      </c>
      <c r="I384" s="151">
        <v>0</v>
      </c>
      <c r="J384" s="16" t="s">
        <v>813</v>
      </c>
      <c r="K384" s="7">
        <v>30000</v>
      </c>
      <c r="L384" s="7">
        <v>65100</v>
      </c>
      <c r="M384" s="8">
        <v>4650</v>
      </c>
      <c r="N384" s="9">
        <v>900</v>
      </c>
      <c r="O384" s="9">
        <v>65100</v>
      </c>
      <c r="P384" s="7">
        <v>0</v>
      </c>
      <c r="Q384" s="152">
        <v>45467</v>
      </c>
    </row>
    <row r="385" spans="1:17" ht="24" thickBot="1" x14ac:dyDescent="0.3">
      <c r="A385" s="150">
        <v>2519</v>
      </c>
      <c r="B385" s="2" t="s">
        <v>663</v>
      </c>
      <c r="C385" s="2" t="s">
        <v>664</v>
      </c>
      <c r="D385" s="3">
        <v>45363</v>
      </c>
      <c r="E385" s="3">
        <v>45463</v>
      </c>
      <c r="F385" s="3">
        <v>45463</v>
      </c>
      <c r="G385" s="182">
        <v>72</v>
      </c>
      <c r="H385" s="151">
        <v>72</v>
      </c>
      <c r="I385" s="151">
        <v>0</v>
      </c>
      <c r="J385" s="2" t="s">
        <v>309</v>
      </c>
      <c r="K385" s="7">
        <v>40000</v>
      </c>
      <c r="L385" s="7">
        <v>86400</v>
      </c>
      <c r="M385" s="8">
        <v>6000</v>
      </c>
      <c r="N385" s="9">
        <v>2400</v>
      </c>
      <c r="O385" s="9">
        <v>86400</v>
      </c>
      <c r="P385" s="7">
        <v>0</v>
      </c>
      <c r="Q385" s="152">
        <v>45467</v>
      </c>
    </row>
    <row r="386" spans="1:17" ht="46.5" thickBot="1" x14ac:dyDescent="0.3">
      <c r="A386" s="150">
        <v>2456</v>
      </c>
      <c r="B386" s="2" t="s">
        <v>456</v>
      </c>
      <c r="C386" s="2" t="s">
        <v>457</v>
      </c>
      <c r="D386" s="3">
        <v>45325</v>
      </c>
      <c r="E386" s="3">
        <v>45426</v>
      </c>
      <c r="F386" s="3">
        <v>45426</v>
      </c>
      <c r="G386" s="182">
        <v>72</v>
      </c>
      <c r="H386" s="151">
        <v>75</v>
      </c>
      <c r="I386" s="151">
        <v>-3</v>
      </c>
      <c r="J386" s="2" t="s">
        <v>464</v>
      </c>
      <c r="K386" s="10">
        <v>70000</v>
      </c>
      <c r="L386" s="10">
        <v>151200</v>
      </c>
      <c r="M386" s="8">
        <v>10500</v>
      </c>
      <c r="N386" s="184">
        <v>21000</v>
      </c>
      <c r="O386" s="9">
        <v>157500</v>
      </c>
      <c r="P386" s="7">
        <v>-6300</v>
      </c>
      <c r="Q386" s="152">
        <v>45467</v>
      </c>
    </row>
    <row r="387" spans="1:17" ht="24" thickBot="1" x14ac:dyDescent="0.3">
      <c r="A387" s="150">
        <v>2408</v>
      </c>
      <c r="B387" s="2" t="s">
        <v>721</v>
      </c>
      <c r="C387" s="2"/>
      <c r="D387" s="44"/>
      <c r="E387" s="3">
        <v>45300</v>
      </c>
      <c r="F387" s="3">
        <v>45468</v>
      </c>
      <c r="G387" s="182">
        <v>120</v>
      </c>
      <c r="H387" s="151">
        <v>120.34557235421167</v>
      </c>
      <c r="I387" s="151">
        <v>-0.34557235421166865</v>
      </c>
      <c r="J387" s="6" t="s">
        <v>814</v>
      </c>
      <c r="K387" s="10">
        <v>50000</v>
      </c>
      <c r="L387" s="10">
        <v>138900</v>
      </c>
      <c r="M387" s="21">
        <v>5787.5</v>
      </c>
      <c r="N387" s="184">
        <v>23150</v>
      </c>
      <c r="O387" s="9">
        <v>139300</v>
      </c>
      <c r="P387" s="7">
        <v>-400</v>
      </c>
      <c r="Q387" s="152">
        <v>45474</v>
      </c>
    </row>
    <row r="388" spans="1:17" ht="57.75" thickBot="1" x14ac:dyDescent="0.3">
      <c r="A388" s="150">
        <v>2550</v>
      </c>
      <c r="B388" s="2" t="s">
        <v>146</v>
      </c>
      <c r="C388" s="2" t="s">
        <v>147</v>
      </c>
      <c r="D388" s="44"/>
      <c r="E388" s="3">
        <v>45382</v>
      </c>
      <c r="F388" s="3">
        <v>45482</v>
      </c>
      <c r="G388" s="182">
        <v>72</v>
      </c>
      <c r="H388" s="151">
        <v>72</v>
      </c>
      <c r="I388" s="151">
        <v>0</v>
      </c>
      <c r="J388" s="2" t="s">
        <v>227</v>
      </c>
      <c r="K388" s="7">
        <v>10000</v>
      </c>
      <c r="L388" s="7">
        <v>21600</v>
      </c>
      <c r="M388" s="8">
        <v>1500</v>
      </c>
      <c r="N388" s="9">
        <v>5600</v>
      </c>
      <c r="O388" s="9">
        <v>21600</v>
      </c>
      <c r="P388" s="7">
        <v>0</v>
      </c>
      <c r="Q388" s="152">
        <v>45474</v>
      </c>
    </row>
    <row r="389" spans="1:17" ht="35.25" thickBot="1" x14ac:dyDescent="0.3">
      <c r="A389" s="150">
        <v>2677</v>
      </c>
      <c r="B389" s="2" t="s">
        <v>600</v>
      </c>
      <c r="C389" s="2" t="s">
        <v>687</v>
      </c>
      <c r="D389" s="44"/>
      <c r="E389" s="3">
        <v>45463</v>
      </c>
      <c r="F389" s="3">
        <v>45478</v>
      </c>
      <c r="G389" s="182">
        <v>11</v>
      </c>
      <c r="H389" s="151" t="e">
        <v>#DIV/0!</v>
      </c>
      <c r="I389" s="151" t="e">
        <v>#DIV/0!</v>
      </c>
      <c r="J389" s="6" t="s">
        <v>550</v>
      </c>
      <c r="K389" s="7">
        <v>25000</v>
      </c>
      <c r="L389" s="7">
        <v>38000</v>
      </c>
      <c r="M389" s="8"/>
      <c r="N389" s="9">
        <v>38000</v>
      </c>
      <c r="O389" s="9">
        <v>38000</v>
      </c>
      <c r="P389" s="7">
        <v>0</v>
      </c>
      <c r="Q389" s="152">
        <v>45474</v>
      </c>
    </row>
    <row r="390" spans="1:17" ht="125.25" thickBot="1" x14ac:dyDescent="0.3">
      <c r="A390" s="150">
        <v>2535</v>
      </c>
      <c r="B390" s="2" t="s">
        <v>815</v>
      </c>
      <c r="C390" s="2" t="s">
        <v>213</v>
      </c>
      <c r="D390" s="2"/>
      <c r="E390" s="3">
        <v>45372</v>
      </c>
      <c r="F390" s="3">
        <f>WORKDAY(E390,G390)</f>
        <v>45474</v>
      </c>
      <c r="G390" s="182">
        <v>72</v>
      </c>
      <c r="H390" s="151">
        <f>(CX390* 5)/M390</f>
        <v>0</v>
      </c>
      <c r="I390" s="151">
        <f>G390-H390</f>
        <v>72</v>
      </c>
      <c r="J390" s="2" t="s">
        <v>754</v>
      </c>
      <c r="K390" s="7">
        <v>500000</v>
      </c>
      <c r="L390" s="7">
        <v>1080000</v>
      </c>
      <c r="M390" s="8">
        <f>(L390/G390)*5</f>
        <v>75000</v>
      </c>
      <c r="N390" s="153" t="s">
        <v>816</v>
      </c>
      <c r="O390" s="9">
        <v>405000</v>
      </c>
      <c r="P390" s="7">
        <v>675000</v>
      </c>
      <c r="Q390" s="152">
        <v>45474</v>
      </c>
    </row>
    <row r="391" spans="1:17" ht="125.25" thickBot="1" x14ac:dyDescent="0.3">
      <c r="A391" s="150">
        <v>2566</v>
      </c>
      <c r="B391" s="2" t="s">
        <v>817</v>
      </c>
      <c r="C391" s="2" t="s">
        <v>213</v>
      </c>
      <c r="D391" s="2"/>
      <c r="E391" s="3">
        <v>45392</v>
      </c>
      <c r="F391" s="3">
        <f>WORKDAY(E391,G391)</f>
        <v>45492</v>
      </c>
      <c r="G391" s="182">
        <v>72</v>
      </c>
      <c r="H391" s="151">
        <f>(CX391* 5)/M391</f>
        <v>0</v>
      </c>
      <c r="I391" s="151">
        <f>G391-H391</f>
        <v>72</v>
      </c>
      <c r="J391" s="2" t="s">
        <v>818</v>
      </c>
      <c r="K391" s="10">
        <v>700000</v>
      </c>
      <c r="L391" s="10">
        <v>1512000</v>
      </c>
      <c r="M391" s="8">
        <f>(L391/G391)*5</f>
        <v>105000</v>
      </c>
      <c r="N391" s="153" t="s">
        <v>816</v>
      </c>
      <c r="O391" s="9">
        <v>105000</v>
      </c>
      <c r="P391" s="7">
        <v>1407000</v>
      </c>
      <c r="Q391" s="152">
        <v>45474</v>
      </c>
    </row>
    <row r="392" spans="1:17" ht="35.25" thickBot="1" x14ac:dyDescent="0.3">
      <c r="A392" s="150">
        <v>2438</v>
      </c>
      <c r="B392" s="2" t="s">
        <v>239</v>
      </c>
      <c r="C392" s="2" t="s">
        <v>712</v>
      </c>
      <c r="D392" s="44"/>
      <c r="E392" s="3">
        <v>45314</v>
      </c>
      <c r="F392" s="3">
        <v>45468</v>
      </c>
      <c r="G392" s="182">
        <v>110</v>
      </c>
      <c r="H392" s="151">
        <v>110</v>
      </c>
      <c r="I392" s="151">
        <v>0</v>
      </c>
      <c r="J392" s="2" t="s">
        <v>279</v>
      </c>
      <c r="K392" s="10">
        <v>100000</v>
      </c>
      <c r="L392" s="10">
        <v>264000</v>
      </c>
      <c r="M392" s="8">
        <v>12000</v>
      </c>
      <c r="N392" s="9">
        <v>12000</v>
      </c>
      <c r="O392" s="9">
        <v>264000</v>
      </c>
      <c r="P392" s="7">
        <v>0</v>
      </c>
      <c r="Q392" s="152">
        <v>45474</v>
      </c>
    </row>
    <row r="393" spans="1:17" ht="57.75" thickBot="1" x14ac:dyDescent="0.3">
      <c r="A393" s="150">
        <v>2487</v>
      </c>
      <c r="B393" s="2" t="s">
        <v>688</v>
      </c>
      <c r="C393" s="2" t="s">
        <v>689</v>
      </c>
      <c r="D393" s="44"/>
      <c r="E393" s="3">
        <v>45343</v>
      </c>
      <c r="F393" s="3">
        <v>45441</v>
      </c>
      <c r="G393" s="182">
        <v>70</v>
      </c>
      <c r="H393" s="151">
        <v>70</v>
      </c>
      <c r="I393" s="151">
        <v>0</v>
      </c>
      <c r="J393" s="2" t="s">
        <v>769</v>
      </c>
      <c r="K393" s="7">
        <v>50000</v>
      </c>
      <c r="L393" s="7">
        <v>122500</v>
      </c>
      <c r="M393" s="8">
        <v>8750</v>
      </c>
      <c r="N393" s="9">
        <v>33000</v>
      </c>
      <c r="O393" s="9">
        <v>122500</v>
      </c>
      <c r="P393" s="7">
        <v>0</v>
      </c>
      <c r="Q393" s="152">
        <v>45474</v>
      </c>
    </row>
    <row r="394" spans="1:17" ht="35.25" thickBot="1" x14ac:dyDescent="0.3">
      <c r="A394" s="150">
        <v>2428</v>
      </c>
      <c r="B394" s="2" t="s">
        <v>560</v>
      </c>
      <c r="C394" s="2" t="s">
        <v>561</v>
      </c>
      <c r="D394" s="44"/>
      <c r="E394" s="3">
        <v>45308</v>
      </c>
      <c r="F394" s="3">
        <v>45408</v>
      </c>
      <c r="G394" s="182">
        <v>72</v>
      </c>
      <c r="H394" s="151">
        <v>72</v>
      </c>
      <c r="I394" s="151">
        <v>0</v>
      </c>
      <c r="J394" s="2" t="s">
        <v>181</v>
      </c>
      <c r="K394" s="10">
        <v>30000</v>
      </c>
      <c r="L394" s="10">
        <v>64800</v>
      </c>
      <c r="M394" s="8">
        <v>4500</v>
      </c>
      <c r="N394" s="9">
        <v>300</v>
      </c>
      <c r="O394" s="9">
        <v>64800</v>
      </c>
      <c r="P394" s="7">
        <v>0</v>
      </c>
      <c r="Q394" s="152">
        <v>45474</v>
      </c>
    </row>
    <row r="395" spans="1:17" ht="35.25" thickBot="1" x14ac:dyDescent="0.3">
      <c r="A395" s="150">
        <v>2625</v>
      </c>
      <c r="B395" s="2" t="s">
        <v>562</v>
      </c>
      <c r="C395" s="2" t="s">
        <v>563</v>
      </c>
      <c r="D395" s="44"/>
      <c r="E395" s="3">
        <v>45427</v>
      </c>
      <c r="F395" s="3">
        <v>45455</v>
      </c>
      <c r="G395" s="182">
        <v>20</v>
      </c>
      <c r="H395" s="151" t="e">
        <v>#DIV/0!</v>
      </c>
      <c r="I395" s="151" t="e">
        <v>#DIV/0!</v>
      </c>
      <c r="J395" s="6" t="s">
        <v>550</v>
      </c>
      <c r="K395" s="7">
        <v>40000</v>
      </c>
      <c r="L395" s="7">
        <v>60000</v>
      </c>
      <c r="M395" s="8"/>
      <c r="N395" s="9">
        <v>60000</v>
      </c>
      <c r="O395" s="9">
        <v>60000</v>
      </c>
      <c r="P395" s="7">
        <v>0</v>
      </c>
      <c r="Q395" s="152">
        <v>45474</v>
      </c>
    </row>
    <row r="396" spans="1:17" ht="46.5" thickBot="1" x14ac:dyDescent="0.3">
      <c r="A396" s="150">
        <v>2402</v>
      </c>
      <c r="B396" s="2" t="s">
        <v>376</v>
      </c>
      <c r="C396" s="2"/>
      <c r="D396" s="44"/>
      <c r="E396" s="3">
        <v>45263</v>
      </c>
      <c r="F396" s="3">
        <v>45457</v>
      </c>
      <c r="G396" s="182">
        <v>140</v>
      </c>
      <c r="H396" s="151">
        <v>140</v>
      </c>
      <c r="I396" s="151">
        <v>0</v>
      </c>
      <c r="J396" s="6" t="s">
        <v>819</v>
      </c>
      <c r="K396" s="7">
        <v>30000</v>
      </c>
      <c r="L396" s="7">
        <v>79240</v>
      </c>
      <c r="M396" s="8">
        <v>2830</v>
      </c>
      <c r="N396" s="9">
        <v>11320</v>
      </c>
      <c r="O396" s="9">
        <v>79240</v>
      </c>
      <c r="P396" s="7">
        <v>0</v>
      </c>
      <c r="Q396" s="152">
        <v>45474</v>
      </c>
    </row>
    <row r="397" spans="1:17" ht="46.5" thickBot="1" x14ac:dyDescent="0.3">
      <c r="A397" s="150">
        <v>2676</v>
      </c>
      <c r="B397" s="2" t="s">
        <v>376</v>
      </c>
      <c r="C397" s="2"/>
      <c r="D397" s="44"/>
      <c r="E397" s="3">
        <v>45462</v>
      </c>
      <c r="F397" s="3">
        <v>45483</v>
      </c>
      <c r="G397" s="182">
        <v>15</v>
      </c>
      <c r="H397" s="151" t="e">
        <v>#DIV/0!</v>
      </c>
      <c r="I397" s="151" t="e">
        <v>#DIV/0!</v>
      </c>
      <c r="J397" s="6" t="s">
        <v>550</v>
      </c>
      <c r="K397" s="7">
        <v>20000</v>
      </c>
      <c r="L397" s="7">
        <v>30000</v>
      </c>
      <c r="M397" s="8"/>
      <c r="N397" s="9">
        <v>30000</v>
      </c>
      <c r="O397" s="9">
        <v>30000</v>
      </c>
      <c r="P397" s="7">
        <v>0</v>
      </c>
      <c r="Q397" s="152">
        <v>45474</v>
      </c>
    </row>
    <row r="398" spans="1:17" ht="35.25" thickBot="1" x14ac:dyDescent="0.3">
      <c r="A398" s="150">
        <v>2518</v>
      </c>
      <c r="B398" s="2" t="s">
        <v>385</v>
      </c>
      <c r="C398" s="2" t="s">
        <v>386</v>
      </c>
      <c r="D398" s="44"/>
      <c r="E398" s="3">
        <v>45363</v>
      </c>
      <c r="F398" s="3">
        <v>45463</v>
      </c>
      <c r="G398" s="182">
        <v>72</v>
      </c>
      <c r="H398" s="151">
        <v>72</v>
      </c>
      <c r="I398" s="151">
        <v>0</v>
      </c>
      <c r="J398" s="2" t="s">
        <v>227</v>
      </c>
      <c r="K398" s="10">
        <v>50000</v>
      </c>
      <c r="L398" s="10">
        <v>108000</v>
      </c>
      <c r="M398" s="8">
        <v>7500</v>
      </c>
      <c r="N398" s="9">
        <v>13000</v>
      </c>
      <c r="O398" s="9">
        <v>108000</v>
      </c>
      <c r="P398" s="10">
        <v>0</v>
      </c>
      <c r="Q398" s="152">
        <v>45474</v>
      </c>
    </row>
    <row r="399" spans="1:17" ht="69" thickBot="1" x14ac:dyDescent="0.3">
      <c r="A399" s="150">
        <v>2515</v>
      </c>
      <c r="B399" s="2" t="s">
        <v>144</v>
      </c>
      <c r="C399" s="2" t="s">
        <v>145</v>
      </c>
      <c r="D399" s="2"/>
      <c r="E399" s="30">
        <v>45362</v>
      </c>
      <c r="F399" s="3">
        <v>45474</v>
      </c>
      <c r="G399" s="29">
        <v>80</v>
      </c>
      <c r="H399" s="151">
        <v>80</v>
      </c>
      <c r="I399" s="151">
        <v>0</v>
      </c>
      <c r="J399" s="6" t="s">
        <v>752</v>
      </c>
      <c r="K399" s="10">
        <v>50000</v>
      </c>
      <c r="L399" s="10">
        <v>108000</v>
      </c>
      <c r="M399" s="8">
        <v>6750</v>
      </c>
      <c r="N399" s="9">
        <v>27000</v>
      </c>
      <c r="O399" s="9">
        <v>108000</v>
      </c>
      <c r="P399" s="7">
        <v>0</v>
      </c>
      <c r="Q399" s="152">
        <v>45481</v>
      </c>
    </row>
    <row r="400" spans="1:17" ht="46.5" thickBot="1" x14ac:dyDescent="0.3">
      <c r="A400" s="150">
        <v>2146</v>
      </c>
      <c r="B400" s="2" t="s">
        <v>172</v>
      </c>
      <c r="C400" s="2" t="s">
        <v>173</v>
      </c>
      <c r="D400" s="2" t="s">
        <v>174</v>
      </c>
      <c r="E400" s="3">
        <v>45112</v>
      </c>
      <c r="F400" s="3">
        <v>45448</v>
      </c>
      <c r="G400" s="29">
        <v>240</v>
      </c>
      <c r="H400" s="151">
        <v>240.25</v>
      </c>
      <c r="I400" s="151">
        <v>-0.25</v>
      </c>
      <c r="J400" s="6" t="s">
        <v>820</v>
      </c>
      <c r="K400" s="10">
        <v>100000</v>
      </c>
      <c r="L400" s="10">
        <v>240000</v>
      </c>
      <c r="M400" s="8">
        <v>5000</v>
      </c>
      <c r="N400" s="9">
        <v>20000</v>
      </c>
      <c r="O400" s="9">
        <v>240250</v>
      </c>
      <c r="P400" s="7">
        <v>-250</v>
      </c>
      <c r="Q400" s="152">
        <v>45481</v>
      </c>
    </row>
    <row r="401" spans="1:17" ht="35.25" thickBot="1" x14ac:dyDescent="0.3">
      <c r="A401" s="150">
        <v>2393</v>
      </c>
      <c r="B401" s="2" t="s">
        <v>637</v>
      </c>
      <c r="C401" s="2" t="s">
        <v>638</v>
      </c>
      <c r="D401" s="2"/>
      <c r="E401" s="3">
        <v>45289</v>
      </c>
      <c r="F401" s="3">
        <v>45468</v>
      </c>
      <c r="G401" s="29">
        <v>127</v>
      </c>
      <c r="H401" s="151">
        <v>140</v>
      </c>
      <c r="I401" s="151">
        <v>-13</v>
      </c>
      <c r="J401" s="6" t="s">
        <v>821</v>
      </c>
      <c r="K401" s="7">
        <v>40000</v>
      </c>
      <c r="L401" s="7">
        <v>105700</v>
      </c>
      <c r="M401" s="8">
        <v>3775</v>
      </c>
      <c r="N401" s="9">
        <v>15100</v>
      </c>
      <c r="O401" s="9">
        <v>105700</v>
      </c>
      <c r="P401" s="7">
        <v>0</v>
      </c>
      <c r="Q401" s="152">
        <v>45481</v>
      </c>
    </row>
    <row r="402" spans="1:17" ht="37.5" thickBot="1" x14ac:dyDescent="0.3">
      <c r="A402" s="150">
        <v>2489</v>
      </c>
      <c r="B402" s="155" t="s">
        <v>582</v>
      </c>
      <c r="C402" s="155" t="s">
        <v>305</v>
      </c>
      <c r="D402" s="155"/>
      <c r="E402" s="3">
        <v>45344</v>
      </c>
      <c r="F402" s="3">
        <v>45484</v>
      </c>
      <c r="G402" s="29">
        <v>100</v>
      </c>
      <c r="H402" s="151">
        <v>80</v>
      </c>
      <c r="I402" s="151">
        <v>20</v>
      </c>
      <c r="J402" s="6" t="s">
        <v>730</v>
      </c>
      <c r="K402" s="2">
        <v>30000</v>
      </c>
      <c r="L402" s="10">
        <v>64800</v>
      </c>
      <c r="M402" s="8">
        <v>4050</v>
      </c>
      <c r="N402" s="9">
        <v>16200</v>
      </c>
      <c r="O402" s="9">
        <v>64800</v>
      </c>
      <c r="P402" s="7">
        <v>0</v>
      </c>
      <c r="Q402" s="152">
        <v>45481</v>
      </c>
    </row>
    <row r="403" spans="1:17" ht="15.75" thickBot="1" x14ac:dyDescent="0.3">
      <c r="A403" s="150">
        <v>2690</v>
      </c>
      <c r="B403" s="2" t="s">
        <v>367</v>
      </c>
      <c r="C403" s="2"/>
      <c r="D403" s="2"/>
      <c r="E403" s="3">
        <v>45474</v>
      </c>
      <c r="F403" s="3">
        <v>45484</v>
      </c>
      <c r="G403" s="29">
        <v>8</v>
      </c>
      <c r="H403" s="151" t="e">
        <v>#VALUE!</v>
      </c>
      <c r="I403" s="151" t="e">
        <v>#VALUE!</v>
      </c>
      <c r="J403" s="6" t="s">
        <v>550</v>
      </c>
      <c r="K403" s="18">
        <v>25000</v>
      </c>
      <c r="L403" s="7">
        <v>32500</v>
      </c>
      <c r="M403" s="8" t="s">
        <v>143</v>
      </c>
      <c r="N403" s="9">
        <v>32500</v>
      </c>
      <c r="O403" s="9">
        <v>32500</v>
      </c>
      <c r="P403" s="7">
        <v>0</v>
      </c>
      <c r="Q403" s="152">
        <v>45481</v>
      </c>
    </row>
    <row r="404" spans="1:17" ht="15.75" thickBot="1" x14ac:dyDescent="0.3">
      <c r="A404" s="185">
        <v>2704</v>
      </c>
      <c r="B404" s="2" t="s">
        <v>367</v>
      </c>
      <c r="C404" s="2"/>
      <c r="D404" s="2"/>
      <c r="E404" s="3">
        <v>45482</v>
      </c>
      <c r="F404" s="3">
        <v>45489</v>
      </c>
      <c r="G404" s="29">
        <v>5</v>
      </c>
      <c r="H404" s="151" t="e">
        <v>#VALUE!</v>
      </c>
      <c r="I404" s="151" t="e">
        <v>#VALUE!</v>
      </c>
      <c r="J404" s="6" t="s">
        <v>550</v>
      </c>
      <c r="K404" s="20">
        <v>10000</v>
      </c>
      <c r="L404" s="7">
        <v>16000</v>
      </c>
      <c r="M404" s="8" t="s">
        <v>143</v>
      </c>
      <c r="N404" s="9">
        <v>16000</v>
      </c>
      <c r="O404" s="9">
        <v>16000</v>
      </c>
      <c r="P404" s="7">
        <v>0</v>
      </c>
      <c r="Q404" s="152">
        <v>45481</v>
      </c>
    </row>
    <row r="405" spans="1:17" ht="35.25" thickBot="1" x14ac:dyDescent="0.3">
      <c r="A405" s="150">
        <v>2391</v>
      </c>
      <c r="B405" s="2" t="s">
        <v>546</v>
      </c>
      <c r="C405" s="2" t="s">
        <v>547</v>
      </c>
      <c r="D405" s="2"/>
      <c r="E405" s="3">
        <v>45289</v>
      </c>
      <c r="F405" s="3">
        <v>45457</v>
      </c>
      <c r="G405" s="29">
        <v>120</v>
      </c>
      <c r="H405" s="151">
        <v>120</v>
      </c>
      <c r="I405" s="151">
        <v>0</v>
      </c>
      <c r="J405" s="6" t="s">
        <v>822</v>
      </c>
      <c r="K405" s="10">
        <v>40000</v>
      </c>
      <c r="L405" s="10">
        <v>105600</v>
      </c>
      <c r="M405" s="8">
        <v>4400</v>
      </c>
      <c r="N405" s="9">
        <v>17600</v>
      </c>
      <c r="O405" s="9">
        <v>105600</v>
      </c>
      <c r="P405" s="7">
        <v>0</v>
      </c>
      <c r="Q405" s="152">
        <v>45481</v>
      </c>
    </row>
    <row r="406" spans="1:17" ht="15.75" thickBot="1" x14ac:dyDescent="0.3">
      <c r="A406" s="150">
        <v>2669</v>
      </c>
      <c r="B406" s="2" t="s">
        <v>549</v>
      </c>
      <c r="C406" s="2"/>
      <c r="D406" s="2"/>
      <c r="E406" s="3">
        <v>45461</v>
      </c>
      <c r="F406" s="3">
        <v>45489</v>
      </c>
      <c r="G406" s="29">
        <v>20</v>
      </c>
      <c r="H406" s="151" t="e">
        <v>#VALUE!</v>
      </c>
      <c r="I406" s="151" t="e">
        <v>#VALUE!</v>
      </c>
      <c r="J406" s="2" t="s">
        <v>550</v>
      </c>
      <c r="K406" s="7">
        <v>30000</v>
      </c>
      <c r="L406" s="7">
        <v>45000</v>
      </c>
      <c r="M406" s="21" t="s">
        <v>143</v>
      </c>
      <c r="N406" s="9">
        <v>45000</v>
      </c>
      <c r="O406" s="9">
        <v>45000</v>
      </c>
      <c r="P406" s="7">
        <v>0</v>
      </c>
      <c r="Q406" s="152">
        <v>45481</v>
      </c>
    </row>
    <row r="407" spans="1:17" ht="35.25" thickBot="1" x14ac:dyDescent="0.3">
      <c r="A407" s="150">
        <v>2440</v>
      </c>
      <c r="B407" s="2" t="s">
        <v>467</v>
      </c>
      <c r="C407" s="2" t="s">
        <v>468</v>
      </c>
      <c r="D407" s="2"/>
      <c r="E407" s="3">
        <v>45316</v>
      </c>
      <c r="F407" s="3">
        <v>45470</v>
      </c>
      <c r="G407" s="29">
        <v>110</v>
      </c>
      <c r="H407" s="151">
        <v>118.75</v>
      </c>
      <c r="I407" s="151">
        <v>-8.75</v>
      </c>
      <c r="J407" s="2" t="s">
        <v>279</v>
      </c>
      <c r="K407" s="7">
        <v>100000</v>
      </c>
      <c r="L407" s="7">
        <v>264000</v>
      </c>
      <c r="M407" s="21">
        <v>12000</v>
      </c>
      <c r="N407" s="9">
        <v>12000</v>
      </c>
      <c r="O407" s="9">
        <v>285000</v>
      </c>
      <c r="P407" s="7">
        <v>-21000</v>
      </c>
      <c r="Q407" s="152">
        <v>45481</v>
      </c>
    </row>
    <row r="408" spans="1:17" ht="35.25" thickBot="1" x14ac:dyDescent="0.3">
      <c r="A408" s="150">
        <v>2544</v>
      </c>
      <c r="B408" s="2" t="s">
        <v>467</v>
      </c>
      <c r="C408" s="2" t="s">
        <v>468</v>
      </c>
      <c r="D408" s="2"/>
      <c r="E408" s="3">
        <v>45377</v>
      </c>
      <c r="F408" s="3">
        <v>45475</v>
      </c>
      <c r="G408" s="29">
        <v>70</v>
      </c>
      <c r="H408" s="151">
        <v>70.006480881399867</v>
      </c>
      <c r="I408" s="151">
        <v>-6.4808813998666892E-3</v>
      </c>
      <c r="J408" s="16" t="s">
        <v>823</v>
      </c>
      <c r="K408" s="10">
        <v>100000</v>
      </c>
      <c r="L408" s="10">
        <v>216020</v>
      </c>
      <c r="M408" s="8">
        <v>15430</v>
      </c>
      <c r="N408" s="9">
        <v>12600</v>
      </c>
      <c r="O408" s="9">
        <v>216040</v>
      </c>
      <c r="P408" s="7">
        <v>-20</v>
      </c>
      <c r="Q408" s="152">
        <v>45481</v>
      </c>
    </row>
    <row r="409" spans="1:17" ht="35.25" thickBot="1" x14ac:dyDescent="0.3">
      <c r="A409" s="185">
        <v>2699</v>
      </c>
      <c r="B409" s="2" t="s">
        <v>169</v>
      </c>
      <c r="C409" s="2"/>
      <c r="D409" s="2">
        <v>27252034574</v>
      </c>
      <c r="E409" s="3">
        <v>45481</v>
      </c>
      <c r="F409" s="3">
        <v>45495</v>
      </c>
      <c r="G409" s="29">
        <v>10</v>
      </c>
      <c r="H409" s="151" t="e">
        <v>#VALUE!</v>
      </c>
      <c r="I409" s="151" t="e">
        <v>#VALUE!</v>
      </c>
      <c r="J409" s="6" t="s">
        <v>550</v>
      </c>
      <c r="K409" s="179">
        <v>50000</v>
      </c>
      <c r="L409" s="10">
        <v>70000</v>
      </c>
      <c r="M409" s="8" t="s">
        <v>143</v>
      </c>
      <c r="N409" s="9">
        <v>70000</v>
      </c>
      <c r="O409" s="9">
        <v>70000</v>
      </c>
      <c r="P409" s="7">
        <v>0</v>
      </c>
      <c r="Q409" s="152">
        <v>45488</v>
      </c>
    </row>
    <row r="410" spans="1:17" ht="24" thickBot="1" x14ac:dyDescent="0.3">
      <c r="A410" s="150">
        <v>2362</v>
      </c>
      <c r="B410" s="2" t="s">
        <v>195</v>
      </c>
      <c r="C410" s="2" t="s">
        <v>196</v>
      </c>
      <c r="D410" s="2"/>
      <c r="E410" s="3">
        <v>45265</v>
      </c>
      <c r="F410" s="3">
        <v>45461</v>
      </c>
      <c r="G410" s="29">
        <v>140</v>
      </c>
      <c r="H410" s="151">
        <v>280</v>
      </c>
      <c r="I410" s="151">
        <v>-140</v>
      </c>
      <c r="J410" s="16" t="s">
        <v>198</v>
      </c>
      <c r="K410" s="7">
        <v>150000</v>
      </c>
      <c r="L410" s="7">
        <v>360220</v>
      </c>
      <c r="M410" s="8">
        <v>6432.5</v>
      </c>
      <c r="N410" s="9">
        <v>51460</v>
      </c>
      <c r="O410" s="9">
        <v>360220</v>
      </c>
      <c r="P410" s="7">
        <v>0</v>
      </c>
      <c r="Q410" s="152">
        <v>45488</v>
      </c>
    </row>
    <row r="411" spans="1:17" ht="46.5" thickBot="1" x14ac:dyDescent="0.3">
      <c r="A411" s="150">
        <v>2592</v>
      </c>
      <c r="B411" s="2" t="s">
        <v>761</v>
      </c>
      <c r="C411" s="2" t="s">
        <v>216</v>
      </c>
      <c r="D411" s="2"/>
      <c r="E411" s="3">
        <v>45405</v>
      </c>
      <c r="F411" s="3">
        <v>45489</v>
      </c>
      <c r="G411" s="29">
        <v>60</v>
      </c>
      <c r="H411" s="151">
        <v>60</v>
      </c>
      <c r="I411" s="151">
        <v>0</v>
      </c>
      <c r="J411" s="6" t="s">
        <v>824</v>
      </c>
      <c r="K411" s="10">
        <v>80000</v>
      </c>
      <c r="L411" s="10">
        <v>163500</v>
      </c>
      <c r="M411" s="21">
        <v>13625</v>
      </c>
      <c r="N411" s="9">
        <v>54500</v>
      </c>
      <c r="O411" s="9">
        <v>163500</v>
      </c>
      <c r="P411" s="7">
        <v>0</v>
      </c>
      <c r="Q411" s="152">
        <v>45488</v>
      </c>
    </row>
    <row r="412" spans="1:17" ht="57.75" thickBot="1" x14ac:dyDescent="0.3">
      <c r="A412" s="150">
        <v>2416</v>
      </c>
      <c r="B412" s="2" t="s">
        <v>290</v>
      </c>
      <c r="C412" s="2" t="s">
        <v>291</v>
      </c>
      <c r="D412" s="2"/>
      <c r="E412" s="3">
        <v>45302</v>
      </c>
      <c r="F412" s="3">
        <v>45484</v>
      </c>
      <c r="G412" s="29">
        <v>130</v>
      </c>
      <c r="H412" s="151">
        <v>120</v>
      </c>
      <c r="I412" s="151">
        <v>10</v>
      </c>
      <c r="J412" s="6" t="s">
        <v>825</v>
      </c>
      <c r="K412" s="7">
        <v>30000</v>
      </c>
      <c r="L412" s="7">
        <v>79200</v>
      </c>
      <c r="M412" s="21">
        <v>3300</v>
      </c>
      <c r="N412" s="9">
        <v>13600</v>
      </c>
      <c r="O412" s="9">
        <v>79200</v>
      </c>
      <c r="P412" s="7">
        <v>0</v>
      </c>
      <c r="Q412" s="152">
        <v>45488</v>
      </c>
    </row>
    <row r="413" spans="1:17" ht="46.5" thickBot="1" x14ac:dyDescent="0.3">
      <c r="A413" s="150">
        <v>2490</v>
      </c>
      <c r="B413" s="2" t="s">
        <v>321</v>
      </c>
      <c r="C413" s="2" t="s">
        <v>322</v>
      </c>
      <c r="D413" s="2"/>
      <c r="E413" s="3">
        <v>45345</v>
      </c>
      <c r="F413" s="3">
        <v>45513</v>
      </c>
      <c r="G413" s="29">
        <v>120</v>
      </c>
      <c r="H413" s="151">
        <v>110</v>
      </c>
      <c r="I413" s="151">
        <v>10</v>
      </c>
      <c r="J413" s="6" t="s">
        <v>826</v>
      </c>
      <c r="K413" s="7">
        <v>120000</v>
      </c>
      <c r="L413" s="7">
        <v>316800</v>
      </c>
      <c r="M413" s="21">
        <v>14400</v>
      </c>
      <c r="N413" s="9">
        <v>22620</v>
      </c>
      <c r="O413" s="9">
        <v>316800</v>
      </c>
      <c r="P413" s="7">
        <v>0</v>
      </c>
      <c r="Q413" s="152">
        <v>45488</v>
      </c>
    </row>
    <row r="414" spans="1:17" ht="35.25" thickBot="1" x14ac:dyDescent="0.3">
      <c r="A414" s="150">
        <v>2267</v>
      </c>
      <c r="B414" s="2" t="s">
        <v>755</v>
      </c>
      <c r="C414" s="2" t="s">
        <v>684</v>
      </c>
      <c r="D414" s="2"/>
      <c r="E414" s="3">
        <v>45195</v>
      </c>
      <c r="F414" s="3">
        <v>45295</v>
      </c>
      <c r="G414" s="29">
        <v>72</v>
      </c>
      <c r="H414" s="151">
        <v>72</v>
      </c>
      <c r="I414" s="151">
        <v>0</v>
      </c>
      <c r="J414" s="2" t="s">
        <v>581</v>
      </c>
      <c r="K414" s="7">
        <v>25000</v>
      </c>
      <c r="L414" s="7">
        <v>54000</v>
      </c>
      <c r="M414" s="8">
        <v>3750</v>
      </c>
      <c r="N414" s="9">
        <v>3220</v>
      </c>
      <c r="O414" s="9">
        <v>54000</v>
      </c>
      <c r="P414" s="7">
        <v>0</v>
      </c>
      <c r="Q414" s="152">
        <v>45488</v>
      </c>
    </row>
    <row r="415" spans="1:17" ht="35.25" thickBot="1" x14ac:dyDescent="0.3">
      <c r="A415" s="150">
        <v>2576</v>
      </c>
      <c r="B415" s="2" t="s">
        <v>385</v>
      </c>
      <c r="C415" s="2" t="s">
        <v>386</v>
      </c>
      <c r="D415" s="2"/>
      <c r="E415" s="3">
        <v>45397</v>
      </c>
      <c r="F415" s="3">
        <v>45497</v>
      </c>
      <c r="G415" s="29">
        <v>72</v>
      </c>
      <c r="H415" s="151">
        <v>72</v>
      </c>
      <c r="I415" s="151">
        <v>0</v>
      </c>
      <c r="J415" s="2" t="s">
        <v>227</v>
      </c>
      <c r="K415" s="7">
        <v>50000</v>
      </c>
      <c r="L415" s="7">
        <v>108000</v>
      </c>
      <c r="M415" s="8">
        <v>7500</v>
      </c>
      <c r="N415" s="9">
        <v>19500</v>
      </c>
      <c r="O415" s="9">
        <v>108000</v>
      </c>
      <c r="P415" s="7">
        <v>0</v>
      </c>
      <c r="Q415" s="152">
        <v>45488</v>
      </c>
    </row>
    <row r="416" spans="1:17" ht="35.25" thickBot="1" x14ac:dyDescent="0.3">
      <c r="A416" s="150">
        <v>2673</v>
      </c>
      <c r="B416" s="2" t="s">
        <v>551</v>
      </c>
      <c r="C416" s="2"/>
      <c r="D416" s="2"/>
      <c r="E416" s="3">
        <v>45462</v>
      </c>
      <c r="F416" s="3">
        <v>45490</v>
      </c>
      <c r="G416" s="29">
        <v>20</v>
      </c>
      <c r="H416" s="151" t="e">
        <v>#DIV/0!</v>
      </c>
      <c r="I416" s="151" t="e">
        <v>#DIV/0!</v>
      </c>
      <c r="J416" s="6" t="s">
        <v>550</v>
      </c>
      <c r="K416" s="7">
        <v>20000</v>
      </c>
      <c r="L416" s="7">
        <v>30000</v>
      </c>
      <c r="M416" s="21"/>
      <c r="N416" s="9">
        <v>30000</v>
      </c>
      <c r="O416" s="9">
        <v>30000</v>
      </c>
      <c r="P416" s="7">
        <v>0</v>
      </c>
      <c r="Q416" s="152">
        <v>45488</v>
      </c>
    </row>
    <row r="417" spans="1:17" ht="35.25" thickBot="1" x14ac:dyDescent="0.3">
      <c r="A417" s="150">
        <v>2684</v>
      </c>
      <c r="B417" s="2" t="s">
        <v>551</v>
      </c>
      <c r="C417" s="2"/>
      <c r="D417" s="2"/>
      <c r="E417" s="3">
        <v>45469</v>
      </c>
      <c r="F417" s="3">
        <v>45490</v>
      </c>
      <c r="G417" s="29">
        <v>15</v>
      </c>
      <c r="H417" s="151" t="e">
        <v>#DIV/0!</v>
      </c>
      <c r="I417" s="151" t="e">
        <v>#DIV/0!</v>
      </c>
      <c r="J417" s="6" t="s">
        <v>550</v>
      </c>
      <c r="K417" s="7">
        <v>20000</v>
      </c>
      <c r="L417" s="7">
        <v>32000</v>
      </c>
      <c r="M417" s="21"/>
      <c r="N417" s="9">
        <v>32000</v>
      </c>
      <c r="O417" s="9">
        <v>32000</v>
      </c>
      <c r="P417" s="7">
        <v>0</v>
      </c>
      <c r="Q417" s="152">
        <v>45488</v>
      </c>
    </row>
    <row r="418" spans="1:17" ht="35.25" thickBot="1" x14ac:dyDescent="0.3">
      <c r="A418" s="150">
        <v>2686</v>
      </c>
      <c r="B418" s="2" t="s">
        <v>551</v>
      </c>
      <c r="C418" s="2"/>
      <c r="D418" s="2"/>
      <c r="E418" s="3">
        <v>45472</v>
      </c>
      <c r="F418" s="3">
        <v>45489</v>
      </c>
      <c r="G418" s="29">
        <v>12</v>
      </c>
      <c r="H418" s="151" t="e">
        <v>#DIV/0!</v>
      </c>
      <c r="I418" s="151" t="e">
        <v>#DIV/0!</v>
      </c>
      <c r="J418" s="6" t="s">
        <v>550</v>
      </c>
      <c r="K418" s="7">
        <v>10000</v>
      </c>
      <c r="L418" s="7">
        <v>16000</v>
      </c>
      <c r="M418" s="21"/>
      <c r="N418" s="9">
        <v>16000</v>
      </c>
      <c r="O418" s="9">
        <v>16000</v>
      </c>
      <c r="P418" s="7">
        <v>0</v>
      </c>
      <c r="Q418" s="152">
        <v>45488</v>
      </c>
    </row>
    <row r="419" spans="1:17" ht="35.25" thickBot="1" x14ac:dyDescent="0.3">
      <c r="A419" s="150">
        <v>2705</v>
      </c>
      <c r="B419" s="2" t="s">
        <v>551</v>
      </c>
      <c r="C419" s="2"/>
      <c r="D419" s="2"/>
      <c r="E419" s="3">
        <v>45482</v>
      </c>
      <c r="F419" s="3">
        <v>45489</v>
      </c>
      <c r="G419" s="29">
        <v>5</v>
      </c>
      <c r="H419" s="151" t="e">
        <v>#DIV/0!</v>
      </c>
      <c r="I419" s="151" t="e">
        <v>#DIV/0!</v>
      </c>
      <c r="J419" s="6" t="s">
        <v>550</v>
      </c>
      <c r="K419" s="7">
        <v>10000</v>
      </c>
      <c r="L419" s="7">
        <v>16000</v>
      </c>
      <c r="M419" s="8"/>
      <c r="N419" s="9">
        <v>16000</v>
      </c>
      <c r="O419" s="9">
        <v>16000</v>
      </c>
      <c r="P419" s="7">
        <v>0</v>
      </c>
      <c r="Q419" s="152">
        <v>45488</v>
      </c>
    </row>
    <row r="420" spans="1:17" ht="35.25" thickBot="1" x14ac:dyDescent="0.3">
      <c r="A420" s="150">
        <v>2449</v>
      </c>
      <c r="B420" s="2" t="s">
        <v>419</v>
      </c>
      <c r="C420" s="2" t="s">
        <v>420</v>
      </c>
      <c r="D420" s="2"/>
      <c r="E420" s="3">
        <v>45320</v>
      </c>
      <c r="F420" s="3">
        <v>45488</v>
      </c>
      <c r="G420" s="29">
        <v>120</v>
      </c>
      <c r="H420" s="151">
        <v>120</v>
      </c>
      <c r="I420" s="151">
        <v>0</v>
      </c>
      <c r="J420" s="6" t="s">
        <v>827</v>
      </c>
      <c r="K420" s="7">
        <v>70000</v>
      </c>
      <c r="L420" s="7">
        <v>184800</v>
      </c>
      <c r="M420" s="8">
        <v>7700</v>
      </c>
      <c r="N420" s="9">
        <v>30800</v>
      </c>
      <c r="O420" s="9">
        <v>184800</v>
      </c>
      <c r="P420" s="7">
        <v>0</v>
      </c>
      <c r="Q420" s="152">
        <v>45488</v>
      </c>
    </row>
    <row r="421" spans="1:17" ht="57.75" thickBot="1" x14ac:dyDescent="0.3">
      <c r="A421" s="150">
        <v>2538</v>
      </c>
      <c r="B421" s="2" t="s">
        <v>828</v>
      </c>
      <c r="C421" s="2" t="s">
        <v>829</v>
      </c>
      <c r="D421" s="2" t="s">
        <v>830</v>
      </c>
      <c r="E421" s="3">
        <v>45372</v>
      </c>
      <c r="F421" s="3">
        <v>45474</v>
      </c>
      <c r="G421" s="29">
        <v>72</v>
      </c>
      <c r="H421" s="151">
        <v>72</v>
      </c>
      <c r="I421" s="151">
        <v>0</v>
      </c>
      <c r="J421" s="2" t="s">
        <v>182</v>
      </c>
      <c r="K421" s="7">
        <v>20000</v>
      </c>
      <c r="L421" s="7">
        <v>43200</v>
      </c>
      <c r="M421" s="8">
        <v>3000</v>
      </c>
      <c r="N421" s="9">
        <v>1200</v>
      </c>
      <c r="O421" s="9">
        <v>43200</v>
      </c>
      <c r="P421" s="7">
        <v>0</v>
      </c>
      <c r="Q421" s="152">
        <v>45495</v>
      </c>
    </row>
    <row r="422" spans="1:17" ht="57.75" thickBot="1" x14ac:dyDescent="0.3">
      <c r="A422" s="150">
        <v>2562</v>
      </c>
      <c r="B422" s="2" t="s">
        <v>828</v>
      </c>
      <c r="C422" s="2" t="s">
        <v>829</v>
      </c>
      <c r="D422" s="2" t="s">
        <v>830</v>
      </c>
      <c r="E422" s="3">
        <v>45381</v>
      </c>
      <c r="F422" s="3">
        <v>45482</v>
      </c>
      <c r="G422" s="29">
        <v>72</v>
      </c>
      <c r="H422" s="151">
        <v>72</v>
      </c>
      <c r="I422" s="151">
        <v>0</v>
      </c>
      <c r="J422" s="2" t="s">
        <v>182</v>
      </c>
      <c r="K422" s="10">
        <v>10000</v>
      </c>
      <c r="L422" s="10">
        <v>21600</v>
      </c>
      <c r="M422" s="8">
        <v>1500</v>
      </c>
      <c r="N422" s="9">
        <v>3200</v>
      </c>
      <c r="O422" s="9">
        <v>21600</v>
      </c>
      <c r="P422" s="7">
        <v>0</v>
      </c>
      <c r="Q422" s="152">
        <v>45495</v>
      </c>
    </row>
    <row r="423" spans="1:17" ht="35.25" thickBot="1" x14ac:dyDescent="0.3">
      <c r="A423" s="150">
        <v>2708</v>
      </c>
      <c r="B423" s="2" t="s">
        <v>169</v>
      </c>
      <c r="C423" s="2"/>
      <c r="D423" s="2">
        <v>27252034574</v>
      </c>
      <c r="E423" s="3">
        <v>45485</v>
      </c>
      <c r="F423" s="3">
        <v>45492</v>
      </c>
      <c r="G423" s="29">
        <v>5</v>
      </c>
      <c r="H423" s="151" t="e">
        <v>#DIV/0!</v>
      </c>
      <c r="I423" s="151" t="e">
        <v>#DIV/0!</v>
      </c>
      <c r="J423" s="6" t="s">
        <v>550</v>
      </c>
      <c r="K423" s="7">
        <v>20000</v>
      </c>
      <c r="L423" s="7">
        <v>26000</v>
      </c>
      <c r="M423" s="8"/>
      <c r="N423" s="9">
        <v>26000</v>
      </c>
      <c r="O423" s="9">
        <v>26000</v>
      </c>
      <c r="P423" s="7">
        <v>0</v>
      </c>
      <c r="Q423" s="152">
        <v>45495</v>
      </c>
    </row>
    <row r="424" spans="1:17" ht="35.25" thickBot="1" x14ac:dyDescent="0.3">
      <c r="A424" s="150">
        <v>2553</v>
      </c>
      <c r="B424" s="2" t="s">
        <v>280</v>
      </c>
      <c r="C424" s="2" t="s">
        <v>285</v>
      </c>
      <c r="D424" s="2"/>
      <c r="E424" s="3">
        <v>45384</v>
      </c>
      <c r="F424" s="3">
        <v>45496</v>
      </c>
      <c r="G424" s="29">
        <v>80</v>
      </c>
      <c r="H424" s="151">
        <v>80</v>
      </c>
      <c r="I424" s="151">
        <v>0</v>
      </c>
      <c r="J424" s="6" t="s">
        <v>831</v>
      </c>
      <c r="K424" s="10">
        <v>20000</v>
      </c>
      <c r="L424" s="10">
        <v>43200</v>
      </c>
      <c r="M424" s="8">
        <v>2700</v>
      </c>
      <c r="N424" s="9">
        <v>10800</v>
      </c>
      <c r="O424" s="9">
        <v>43200</v>
      </c>
      <c r="P424" s="7">
        <v>0</v>
      </c>
      <c r="Q424" s="152">
        <v>45502</v>
      </c>
    </row>
    <row r="425" spans="1:17" ht="24" thickBot="1" x14ac:dyDescent="0.3">
      <c r="A425" s="150">
        <v>2731</v>
      </c>
      <c r="B425" s="2" t="s">
        <v>707</v>
      </c>
      <c r="C425" s="2"/>
      <c r="D425" s="2"/>
      <c r="E425" s="3">
        <v>45499</v>
      </c>
      <c r="F425" s="3">
        <v>45601</v>
      </c>
      <c r="G425" s="29">
        <v>72</v>
      </c>
      <c r="H425" s="151" t="e">
        <v>#VALUE!</v>
      </c>
      <c r="I425" s="151" t="e">
        <v>#VALUE!</v>
      </c>
      <c r="J425" s="2" t="s">
        <v>403</v>
      </c>
      <c r="K425" s="177">
        <v>30000</v>
      </c>
      <c r="L425" s="10">
        <v>39000</v>
      </c>
      <c r="M425" s="8" t="s">
        <v>143</v>
      </c>
      <c r="N425" s="9">
        <v>39000</v>
      </c>
      <c r="O425" s="9">
        <v>39000</v>
      </c>
      <c r="P425" s="7">
        <v>0</v>
      </c>
      <c r="Q425" s="152">
        <v>45502</v>
      </c>
    </row>
    <row r="426" spans="1:17" ht="35.25" thickBot="1" x14ac:dyDescent="0.3">
      <c r="A426" s="150">
        <v>2514</v>
      </c>
      <c r="B426" s="2" t="s">
        <v>307</v>
      </c>
      <c r="C426" s="2" t="s">
        <v>308</v>
      </c>
      <c r="D426" s="2"/>
      <c r="E426" s="3">
        <v>45360</v>
      </c>
      <c r="F426" s="3">
        <v>45461</v>
      </c>
      <c r="G426" s="29">
        <v>72</v>
      </c>
      <c r="H426" s="151">
        <v>72</v>
      </c>
      <c r="I426" s="151">
        <v>0</v>
      </c>
      <c r="J426" s="2" t="s">
        <v>181</v>
      </c>
      <c r="K426" s="7">
        <v>30000</v>
      </c>
      <c r="L426" s="7">
        <v>64800</v>
      </c>
      <c r="M426" s="8">
        <v>4500</v>
      </c>
      <c r="N426" s="9">
        <v>6200</v>
      </c>
      <c r="O426" s="9">
        <v>64800</v>
      </c>
      <c r="P426" s="7">
        <v>0</v>
      </c>
      <c r="Q426" s="152">
        <v>45502</v>
      </c>
    </row>
    <row r="427" spans="1:17" ht="35.25" thickBot="1" x14ac:dyDescent="0.3">
      <c r="A427" s="150">
        <v>2665</v>
      </c>
      <c r="B427" s="2" t="s">
        <v>562</v>
      </c>
      <c r="C427" s="2" t="s">
        <v>563</v>
      </c>
      <c r="D427" s="2"/>
      <c r="E427" s="3">
        <v>45456</v>
      </c>
      <c r="F427" s="3">
        <v>45474</v>
      </c>
      <c r="G427" s="29">
        <v>12</v>
      </c>
      <c r="H427" s="151" t="e">
        <v>#DIV/0!</v>
      </c>
      <c r="I427" s="151" t="e">
        <v>#DIV/0!</v>
      </c>
      <c r="J427" s="6" t="s">
        <v>550</v>
      </c>
      <c r="K427" s="7">
        <v>40000</v>
      </c>
      <c r="L427" s="7">
        <v>60000</v>
      </c>
      <c r="M427" s="21"/>
      <c r="N427" s="9">
        <v>60000</v>
      </c>
      <c r="O427" s="9">
        <v>80000</v>
      </c>
      <c r="P427" s="7">
        <v>-20000</v>
      </c>
      <c r="Q427" s="152">
        <v>45502</v>
      </c>
    </row>
    <row r="428" spans="1:17" ht="57.75" thickBot="1" x14ac:dyDescent="0.3">
      <c r="A428" s="150">
        <v>2546</v>
      </c>
      <c r="B428" s="2" t="s">
        <v>404</v>
      </c>
      <c r="C428" s="2" t="s">
        <v>405</v>
      </c>
      <c r="D428" s="2">
        <v>24172612</v>
      </c>
      <c r="E428" s="3">
        <v>45379</v>
      </c>
      <c r="F428" s="3">
        <v>45481</v>
      </c>
      <c r="G428" s="29">
        <v>72</v>
      </c>
      <c r="H428" s="151">
        <v>72.037037037037038</v>
      </c>
      <c r="I428" s="151">
        <v>-3.703703703703809E-2</v>
      </c>
      <c r="J428" s="2" t="s">
        <v>832</v>
      </c>
      <c r="K428" s="7">
        <v>45000</v>
      </c>
      <c r="L428" s="7">
        <v>97200</v>
      </c>
      <c r="M428" s="8">
        <v>6750</v>
      </c>
      <c r="N428" s="9">
        <v>3500</v>
      </c>
      <c r="O428" s="9">
        <v>97250</v>
      </c>
      <c r="P428" s="7">
        <v>-50</v>
      </c>
      <c r="Q428" s="152">
        <v>45502</v>
      </c>
    </row>
    <row r="429" spans="1:17" ht="24" thickBot="1" x14ac:dyDescent="0.3">
      <c r="A429" s="150">
        <v>2604</v>
      </c>
      <c r="B429" s="2" t="s">
        <v>751</v>
      </c>
      <c r="C429" s="2"/>
      <c r="D429" s="2"/>
      <c r="E429" s="3">
        <v>45412</v>
      </c>
      <c r="F429" s="3">
        <v>45512</v>
      </c>
      <c r="G429" s="29">
        <v>72</v>
      </c>
      <c r="H429" s="151">
        <v>72.084000000000003</v>
      </c>
      <c r="I429" s="151">
        <v>-8.4000000000003183E-2</v>
      </c>
      <c r="J429" s="2" t="s">
        <v>581</v>
      </c>
      <c r="K429" s="7">
        <v>25000</v>
      </c>
      <c r="L429" s="7">
        <v>54000</v>
      </c>
      <c r="M429" s="8">
        <v>3750</v>
      </c>
      <c r="N429" s="9">
        <v>16563</v>
      </c>
      <c r="O429" s="9">
        <v>54063</v>
      </c>
      <c r="P429" s="10">
        <v>-63</v>
      </c>
      <c r="Q429" s="152">
        <v>45502</v>
      </c>
    </row>
    <row r="430" spans="1:17" ht="57.75" thickBot="1" x14ac:dyDescent="0.3">
      <c r="A430" s="150">
        <v>2738</v>
      </c>
      <c r="B430" s="2" t="s">
        <v>828</v>
      </c>
      <c r="C430" s="2" t="s">
        <v>147</v>
      </c>
      <c r="D430" s="2"/>
      <c r="E430" s="3">
        <v>45504</v>
      </c>
      <c r="F430" s="3">
        <v>45511</v>
      </c>
      <c r="G430" s="29">
        <v>5</v>
      </c>
      <c r="H430" s="151" t="e">
        <v>#DIV/0!</v>
      </c>
      <c r="I430" s="151" t="e">
        <v>#DIV/0!</v>
      </c>
      <c r="J430" s="6" t="s">
        <v>833</v>
      </c>
      <c r="K430" s="7">
        <v>20000</v>
      </c>
      <c r="L430" s="7">
        <v>26000</v>
      </c>
      <c r="M430" s="8"/>
      <c r="N430" s="9">
        <v>26000</v>
      </c>
      <c r="O430" s="9">
        <v>26000</v>
      </c>
      <c r="P430" s="10">
        <v>0</v>
      </c>
      <c r="Q430" s="152">
        <v>45509</v>
      </c>
    </row>
    <row r="431" spans="1:17" ht="24" thickBot="1" x14ac:dyDescent="0.3">
      <c r="A431" s="150">
        <v>2687</v>
      </c>
      <c r="B431" s="2" t="s">
        <v>166</v>
      </c>
      <c r="C431" s="2"/>
      <c r="D431" s="2"/>
      <c r="E431" s="3">
        <v>45472</v>
      </c>
      <c r="F431" s="3">
        <v>45489</v>
      </c>
      <c r="G431" s="29">
        <v>12</v>
      </c>
      <c r="H431" s="151" t="e">
        <v>#VALUE!</v>
      </c>
      <c r="I431" s="151" t="e">
        <v>#VALUE!</v>
      </c>
      <c r="J431" s="6" t="s">
        <v>834</v>
      </c>
      <c r="K431" s="7">
        <v>10000</v>
      </c>
      <c r="L431" s="7">
        <v>15000</v>
      </c>
      <c r="M431" s="8" t="s">
        <v>143</v>
      </c>
      <c r="N431" s="9">
        <v>11500</v>
      </c>
      <c r="O431" s="9">
        <v>21500</v>
      </c>
      <c r="P431" s="10">
        <v>-6500</v>
      </c>
      <c r="Q431" s="152">
        <v>45509</v>
      </c>
    </row>
    <row r="432" spans="1:17" ht="35.25" thickBot="1" x14ac:dyDescent="0.3">
      <c r="A432" s="150">
        <v>2732</v>
      </c>
      <c r="B432" s="2" t="s">
        <v>169</v>
      </c>
      <c r="C432" s="2"/>
      <c r="D432" s="2">
        <v>27252034574</v>
      </c>
      <c r="E432" s="3">
        <v>45499</v>
      </c>
      <c r="F432" s="3">
        <v>45506</v>
      </c>
      <c r="G432" s="29">
        <v>5</v>
      </c>
      <c r="H432" s="151" t="e">
        <v>#DIV/0!</v>
      </c>
      <c r="I432" s="151" t="e">
        <v>#DIV/0!</v>
      </c>
      <c r="J432" s="6" t="s">
        <v>550</v>
      </c>
      <c r="K432" s="10">
        <v>30000</v>
      </c>
      <c r="L432" s="10">
        <v>50700</v>
      </c>
      <c r="M432" s="8"/>
      <c r="N432" s="9">
        <v>50700</v>
      </c>
      <c r="O432" s="9">
        <v>50700</v>
      </c>
      <c r="P432" s="10">
        <v>0</v>
      </c>
      <c r="Q432" s="152">
        <v>45509</v>
      </c>
    </row>
    <row r="433" spans="1:17" ht="46.5" thickBot="1" x14ac:dyDescent="0.3">
      <c r="A433" s="150">
        <v>2475</v>
      </c>
      <c r="B433" s="2" t="s">
        <v>172</v>
      </c>
      <c r="C433" s="2" t="s">
        <v>173</v>
      </c>
      <c r="D433" s="2" t="s">
        <v>174</v>
      </c>
      <c r="E433" s="3">
        <v>45337</v>
      </c>
      <c r="F433" s="3">
        <v>45477</v>
      </c>
      <c r="G433" s="29">
        <v>100</v>
      </c>
      <c r="H433" s="151">
        <v>100</v>
      </c>
      <c r="I433" s="151">
        <v>0</v>
      </c>
      <c r="J433" s="6" t="s">
        <v>835</v>
      </c>
      <c r="K433" s="7">
        <v>150000</v>
      </c>
      <c r="L433" s="7">
        <v>324000</v>
      </c>
      <c r="M433" s="21">
        <v>16200</v>
      </c>
      <c r="N433" s="9">
        <v>4000</v>
      </c>
      <c r="O433" s="9">
        <v>324000</v>
      </c>
      <c r="P433" s="10">
        <v>0</v>
      </c>
      <c r="Q433" s="152">
        <v>45509</v>
      </c>
    </row>
    <row r="434" spans="1:17" ht="69" thickBot="1" x14ac:dyDescent="0.3">
      <c r="A434" s="150">
        <v>1950</v>
      </c>
      <c r="B434" s="2" t="s">
        <v>836</v>
      </c>
      <c r="C434" s="2" t="s">
        <v>837</v>
      </c>
      <c r="D434" s="2"/>
      <c r="E434" s="3">
        <v>44939</v>
      </c>
      <c r="F434" s="3">
        <v>45112</v>
      </c>
      <c r="G434" s="29">
        <v>123</v>
      </c>
      <c r="H434" s="151">
        <v>120</v>
      </c>
      <c r="I434" s="151">
        <v>3</v>
      </c>
      <c r="J434" s="6" t="s">
        <v>838</v>
      </c>
      <c r="K434" s="10">
        <v>100000</v>
      </c>
      <c r="L434" s="10">
        <v>264000</v>
      </c>
      <c r="M434" s="21">
        <v>11000</v>
      </c>
      <c r="N434" s="9">
        <v>15000</v>
      </c>
      <c r="O434" s="9">
        <v>264000</v>
      </c>
      <c r="P434" s="10">
        <v>0</v>
      </c>
      <c r="Q434" s="152">
        <v>45509</v>
      </c>
    </row>
    <row r="435" spans="1:17" ht="24" thickBot="1" x14ac:dyDescent="0.3">
      <c r="A435" s="150">
        <v>2590</v>
      </c>
      <c r="B435" s="2" t="s">
        <v>230</v>
      </c>
      <c r="C435" s="2" t="s">
        <v>231</v>
      </c>
      <c r="D435" s="2">
        <v>14154231</v>
      </c>
      <c r="E435" s="3">
        <v>45404</v>
      </c>
      <c r="F435" s="3">
        <v>45504</v>
      </c>
      <c r="G435" s="29">
        <v>72</v>
      </c>
      <c r="H435" s="151">
        <v>71.777777777777771</v>
      </c>
      <c r="I435" s="151">
        <v>0.22222222222222854</v>
      </c>
      <c r="J435" s="2" t="s">
        <v>839</v>
      </c>
      <c r="K435" s="7">
        <v>15000</v>
      </c>
      <c r="L435" s="7">
        <v>32400</v>
      </c>
      <c r="M435" s="8">
        <v>2250</v>
      </c>
      <c r="N435" s="9">
        <v>8000</v>
      </c>
      <c r="O435" s="9">
        <v>32300</v>
      </c>
      <c r="P435" s="10">
        <v>100</v>
      </c>
      <c r="Q435" s="152">
        <v>45509</v>
      </c>
    </row>
    <row r="436" spans="1:17" ht="35.25" thickBot="1" x14ac:dyDescent="0.3">
      <c r="A436" s="150">
        <v>2192</v>
      </c>
      <c r="B436" s="2" t="s">
        <v>246</v>
      </c>
      <c r="C436" s="2" t="s">
        <v>247</v>
      </c>
      <c r="D436" s="2">
        <v>27212523</v>
      </c>
      <c r="E436" s="3">
        <v>45143</v>
      </c>
      <c r="F436" s="3">
        <v>45296</v>
      </c>
      <c r="G436" s="29">
        <v>110</v>
      </c>
      <c r="H436" s="151">
        <v>110</v>
      </c>
      <c r="I436" s="151">
        <v>0</v>
      </c>
      <c r="J436" s="2" t="s">
        <v>737</v>
      </c>
      <c r="K436" s="7">
        <v>50000</v>
      </c>
      <c r="L436" s="7">
        <v>132000</v>
      </c>
      <c r="M436" s="8">
        <v>6000</v>
      </c>
      <c r="N436" s="9">
        <v>6750</v>
      </c>
      <c r="O436" s="9">
        <v>132000</v>
      </c>
      <c r="P436" s="10">
        <v>0</v>
      </c>
      <c r="Q436" s="152">
        <v>45509</v>
      </c>
    </row>
    <row r="437" spans="1:17" ht="24" thickBot="1" x14ac:dyDescent="0.3">
      <c r="A437" s="150">
        <v>2429</v>
      </c>
      <c r="B437" s="2" t="s">
        <v>286</v>
      </c>
      <c r="C437" s="2" t="s">
        <v>287</v>
      </c>
      <c r="D437" s="2"/>
      <c r="E437" s="3">
        <v>45308</v>
      </c>
      <c r="F437" s="3">
        <v>45490</v>
      </c>
      <c r="G437" s="29">
        <v>130</v>
      </c>
      <c r="H437" s="151">
        <v>120</v>
      </c>
      <c r="I437" s="151">
        <v>10</v>
      </c>
      <c r="J437" s="16" t="s">
        <v>840</v>
      </c>
      <c r="K437" s="10">
        <v>40000</v>
      </c>
      <c r="L437" s="10">
        <v>108000</v>
      </c>
      <c r="M437" s="8">
        <v>4500</v>
      </c>
      <c r="N437" s="9">
        <v>12650</v>
      </c>
      <c r="O437" s="9">
        <v>108000</v>
      </c>
      <c r="P437" s="10">
        <v>0</v>
      </c>
      <c r="Q437" s="152">
        <v>45509</v>
      </c>
    </row>
    <row r="438" spans="1:17" ht="24" thickBot="1" x14ac:dyDescent="0.3">
      <c r="A438" s="185">
        <v>2743</v>
      </c>
      <c r="B438" s="2" t="s">
        <v>707</v>
      </c>
      <c r="C438" s="2"/>
      <c r="D438" s="2"/>
      <c r="E438" s="3">
        <v>45507</v>
      </c>
      <c r="F438" s="3">
        <v>45513</v>
      </c>
      <c r="G438" s="29">
        <v>5</v>
      </c>
      <c r="H438" s="151" t="e">
        <v>#DIV/0!</v>
      </c>
      <c r="I438" s="151" t="e">
        <v>#DIV/0!</v>
      </c>
      <c r="J438" s="2" t="s">
        <v>403</v>
      </c>
      <c r="K438" s="20">
        <v>30000</v>
      </c>
      <c r="L438" s="7">
        <v>39000</v>
      </c>
      <c r="M438" s="8"/>
      <c r="N438" s="9">
        <v>39000</v>
      </c>
      <c r="O438" s="9">
        <v>39000</v>
      </c>
      <c r="P438" s="10">
        <v>0</v>
      </c>
      <c r="Q438" s="152">
        <v>45509</v>
      </c>
    </row>
    <row r="439" spans="1:17" ht="46.5" thickBot="1" x14ac:dyDescent="0.3">
      <c r="A439" s="150">
        <v>2603</v>
      </c>
      <c r="B439" s="2" t="s">
        <v>316</v>
      </c>
      <c r="C439" s="2" t="s">
        <v>317</v>
      </c>
      <c r="D439" s="28"/>
      <c r="E439" s="3">
        <v>45411</v>
      </c>
      <c r="F439" s="3">
        <v>45511</v>
      </c>
      <c r="G439" s="29">
        <v>72</v>
      </c>
      <c r="H439" s="151">
        <v>72</v>
      </c>
      <c r="I439" s="151">
        <v>0</v>
      </c>
      <c r="J439" s="2" t="s">
        <v>318</v>
      </c>
      <c r="K439" s="10">
        <v>15000</v>
      </c>
      <c r="L439" s="10">
        <v>32400</v>
      </c>
      <c r="M439" s="8">
        <v>2250</v>
      </c>
      <c r="N439" s="9">
        <v>3150</v>
      </c>
      <c r="O439" s="9">
        <v>32400</v>
      </c>
      <c r="P439" s="10">
        <v>0</v>
      </c>
      <c r="Q439" s="152">
        <v>45509</v>
      </c>
    </row>
    <row r="440" spans="1:17" ht="46.5" thickBot="1" x14ac:dyDescent="0.3">
      <c r="A440" s="150">
        <v>2557</v>
      </c>
      <c r="B440" s="2" t="s">
        <v>841</v>
      </c>
      <c r="C440" s="2" t="s">
        <v>317</v>
      </c>
      <c r="D440" s="2"/>
      <c r="E440" s="3">
        <v>45386</v>
      </c>
      <c r="F440" s="3">
        <v>45488</v>
      </c>
      <c r="G440" s="29">
        <v>72</v>
      </c>
      <c r="H440" s="151">
        <v>72</v>
      </c>
      <c r="I440" s="151">
        <v>0</v>
      </c>
      <c r="J440" s="2" t="s">
        <v>576</v>
      </c>
      <c r="K440" s="7">
        <v>10000</v>
      </c>
      <c r="L440" s="7">
        <v>21600</v>
      </c>
      <c r="M440" s="8">
        <v>1500</v>
      </c>
      <c r="N440" s="9">
        <v>600</v>
      </c>
      <c r="O440" s="9">
        <v>21600</v>
      </c>
      <c r="P440" s="10">
        <v>0</v>
      </c>
      <c r="Q440" s="152">
        <v>45509</v>
      </c>
    </row>
    <row r="441" spans="1:17" ht="46.5" thickBot="1" x14ac:dyDescent="0.3">
      <c r="A441" s="150">
        <v>2568</v>
      </c>
      <c r="B441" s="2" t="s">
        <v>613</v>
      </c>
      <c r="C441" s="2" t="s">
        <v>317</v>
      </c>
      <c r="D441" s="2"/>
      <c r="E441" s="3">
        <v>45392</v>
      </c>
      <c r="F441" s="3">
        <v>45492</v>
      </c>
      <c r="G441" s="29">
        <v>72</v>
      </c>
      <c r="H441" s="151">
        <v>72</v>
      </c>
      <c r="I441" s="151">
        <v>0</v>
      </c>
      <c r="J441" s="2" t="s">
        <v>576</v>
      </c>
      <c r="K441" s="7">
        <v>10000</v>
      </c>
      <c r="L441" s="7">
        <v>21600</v>
      </c>
      <c r="M441" s="8">
        <v>1500</v>
      </c>
      <c r="N441" s="9">
        <v>3000</v>
      </c>
      <c r="O441" s="9">
        <v>21600</v>
      </c>
      <c r="P441" s="10">
        <v>0</v>
      </c>
      <c r="Q441" s="152">
        <v>45509</v>
      </c>
    </row>
    <row r="442" spans="1:17" ht="35.25" thickBot="1" x14ac:dyDescent="0.3">
      <c r="A442" s="150">
        <v>2320</v>
      </c>
      <c r="B442" s="2" t="s">
        <v>755</v>
      </c>
      <c r="C442" s="2" t="s">
        <v>684</v>
      </c>
      <c r="D442" s="2"/>
      <c r="E442" s="3">
        <v>45147</v>
      </c>
      <c r="F442" s="3">
        <v>45247</v>
      </c>
      <c r="G442" s="29">
        <v>72</v>
      </c>
      <c r="H442" s="151">
        <v>80.62222222222222</v>
      </c>
      <c r="I442" s="151">
        <v>-8.62222222222222</v>
      </c>
      <c r="J442" s="2" t="s">
        <v>318</v>
      </c>
      <c r="K442" s="7">
        <v>15000</v>
      </c>
      <c r="L442" s="7">
        <v>32400</v>
      </c>
      <c r="M442" s="8">
        <v>2250</v>
      </c>
      <c r="N442" s="9">
        <v>10000</v>
      </c>
      <c r="O442" s="9">
        <v>36280</v>
      </c>
      <c r="P442" s="10">
        <v>-3880</v>
      </c>
      <c r="Q442" s="152">
        <v>45509</v>
      </c>
    </row>
    <row r="443" spans="1:17" ht="24" thickBot="1" x14ac:dyDescent="0.3">
      <c r="A443" s="150">
        <v>2516</v>
      </c>
      <c r="B443" s="2" t="s">
        <v>327</v>
      </c>
      <c r="C443" s="2"/>
      <c r="D443" s="2"/>
      <c r="E443" s="3">
        <v>45362</v>
      </c>
      <c r="F443" s="3">
        <v>45462</v>
      </c>
      <c r="G443" s="29">
        <v>72</v>
      </c>
      <c r="H443" s="151">
        <v>72</v>
      </c>
      <c r="I443" s="151">
        <v>0</v>
      </c>
      <c r="J443" s="2" t="s">
        <v>227</v>
      </c>
      <c r="K443" s="7">
        <v>50000</v>
      </c>
      <c r="L443" s="7">
        <v>108000</v>
      </c>
      <c r="M443" s="8">
        <v>7500</v>
      </c>
      <c r="N443" s="9">
        <v>10500</v>
      </c>
      <c r="O443" s="9">
        <v>108000</v>
      </c>
      <c r="P443" s="10">
        <v>0</v>
      </c>
      <c r="Q443" s="152">
        <v>45509</v>
      </c>
    </row>
    <row r="444" spans="1:17" ht="24" thickBot="1" x14ac:dyDescent="0.3">
      <c r="A444" s="150">
        <v>2228</v>
      </c>
      <c r="B444" s="2" t="s">
        <v>343</v>
      </c>
      <c r="C444" s="2"/>
      <c r="D444" s="2"/>
      <c r="E444" s="3">
        <v>45163</v>
      </c>
      <c r="F444" s="3">
        <v>45499</v>
      </c>
      <c r="G444" s="29">
        <v>240</v>
      </c>
      <c r="H444" s="151">
        <v>240</v>
      </c>
      <c r="I444" s="151">
        <v>0</v>
      </c>
      <c r="J444" s="6" t="s">
        <v>842</v>
      </c>
      <c r="K444" s="10">
        <v>100000</v>
      </c>
      <c r="L444" s="10">
        <v>289200</v>
      </c>
      <c r="M444" s="8">
        <v>6025</v>
      </c>
      <c r="N444" s="9">
        <v>24100</v>
      </c>
      <c r="O444" s="9">
        <v>289200</v>
      </c>
      <c r="P444" s="10">
        <v>0</v>
      </c>
      <c r="Q444" s="152">
        <v>45509</v>
      </c>
    </row>
    <row r="445" spans="1:17" ht="46.5" thickBot="1" x14ac:dyDescent="0.3">
      <c r="A445" s="150">
        <v>2554</v>
      </c>
      <c r="B445" s="2" t="s">
        <v>350</v>
      </c>
      <c r="C445" s="2" t="s">
        <v>167</v>
      </c>
      <c r="D445" s="2"/>
      <c r="E445" s="3">
        <v>45385</v>
      </c>
      <c r="F445" s="3">
        <v>45485</v>
      </c>
      <c r="G445" s="29">
        <v>72</v>
      </c>
      <c r="H445" s="151">
        <v>75</v>
      </c>
      <c r="I445" s="151">
        <v>-3</v>
      </c>
      <c r="J445" s="2" t="s">
        <v>581</v>
      </c>
      <c r="K445" s="10">
        <v>25000</v>
      </c>
      <c r="L445" s="10">
        <v>54000</v>
      </c>
      <c r="M445" s="8">
        <v>3750</v>
      </c>
      <c r="N445" s="9">
        <v>3750</v>
      </c>
      <c r="O445" s="9">
        <v>56250</v>
      </c>
      <c r="P445" s="10">
        <v>-2250</v>
      </c>
      <c r="Q445" s="152">
        <v>45509</v>
      </c>
    </row>
    <row r="446" spans="1:17" ht="24" thickBot="1" x14ac:dyDescent="0.3">
      <c r="A446" s="150">
        <v>2573</v>
      </c>
      <c r="B446" s="2" t="s">
        <v>357</v>
      </c>
      <c r="C446" s="2" t="s">
        <v>358</v>
      </c>
      <c r="D446" s="2">
        <v>27329256826</v>
      </c>
      <c r="E446" s="3">
        <v>45395</v>
      </c>
      <c r="F446" s="3">
        <v>45506</v>
      </c>
      <c r="G446" s="29">
        <v>80</v>
      </c>
      <c r="H446" s="151">
        <v>80</v>
      </c>
      <c r="I446" s="151">
        <v>0</v>
      </c>
      <c r="J446" s="6" t="s">
        <v>843</v>
      </c>
      <c r="K446" s="7">
        <v>40000</v>
      </c>
      <c r="L446" s="7">
        <v>86400</v>
      </c>
      <c r="M446" s="8">
        <v>5400</v>
      </c>
      <c r="N446" s="9">
        <v>21600</v>
      </c>
      <c r="O446" s="9">
        <v>86400</v>
      </c>
      <c r="P446" s="10">
        <v>0</v>
      </c>
      <c r="Q446" s="152">
        <v>45509</v>
      </c>
    </row>
    <row r="447" spans="1:17" ht="46.5" thickBot="1" x14ac:dyDescent="0.3">
      <c r="A447" s="150">
        <v>2414</v>
      </c>
      <c r="B447" s="2" t="s">
        <v>376</v>
      </c>
      <c r="C447" s="2"/>
      <c r="D447" s="2"/>
      <c r="E447" s="3">
        <v>45302</v>
      </c>
      <c r="F447" s="3">
        <v>45498</v>
      </c>
      <c r="G447" s="29">
        <v>140</v>
      </c>
      <c r="H447" s="151">
        <v>140</v>
      </c>
      <c r="I447" s="151">
        <v>0</v>
      </c>
      <c r="J447" s="6" t="s">
        <v>819</v>
      </c>
      <c r="K447" s="7">
        <v>30000</v>
      </c>
      <c r="L447" s="7">
        <v>79240</v>
      </c>
      <c r="M447" s="8">
        <v>2830</v>
      </c>
      <c r="N447" s="9">
        <v>11320</v>
      </c>
      <c r="O447" s="9">
        <v>79240</v>
      </c>
      <c r="P447" s="10">
        <v>0</v>
      </c>
      <c r="Q447" s="152">
        <v>45509</v>
      </c>
    </row>
    <row r="448" spans="1:17" ht="46.5" thickBot="1" x14ac:dyDescent="0.3">
      <c r="A448" s="150">
        <v>2485</v>
      </c>
      <c r="B448" s="2" t="s">
        <v>376</v>
      </c>
      <c r="C448" s="2"/>
      <c r="D448" s="2"/>
      <c r="E448" s="3">
        <v>45342</v>
      </c>
      <c r="F448" s="3">
        <v>45510</v>
      </c>
      <c r="G448" s="29">
        <v>120</v>
      </c>
      <c r="H448" s="151">
        <v>120</v>
      </c>
      <c r="I448" s="151">
        <v>0</v>
      </c>
      <c r="J448" s="6" t="s">
        <v>844</v>
      </c>
      <c r="K448" s="7">
        <v>40000</v>
      </c>
      <c r="L448" s="7">
        <v>105600</v>
      </c>
      <c r="M448" s="21">
        <v>4400</v>
      </c>
      <c r="N448" s="9">
        <v>17600</v>
      </c>
      <c r="O448" s="9">
        <v>105600</v>
      </c>
      <c r="P448" s="10">
        <v>0</v>
      </c>
      <c r="Q448" s="152">
        <v>45509</v>
      </c>
    </row>
    <row r="449" spans="1:17" ht="24" thickBot="1" x14ac:dyDescent="0.3">
      <c r="A449" s="150">
        <v>2478</v>
      </c>
      <c r="B449" s="2" t="s">
        <v>381</v>
      </c>
      <c r="C449" s="2"/>
      <c r="D449" s="2"/>
      <c r="E449" s="3">
        <v>45338</v>
      </c>
      <c r="F449" s="3">
        <v>45506</v>
      </c>
      <c r="G449" s="29">
        <v>120</v>
      </c>
      <c r="H449" s="151">
        <v>120</v>
      </c>
      <c r="I449" s="151">
        <v>0</v>
      </c>
      <c r="J449" s="6" t="s">
        <v>845</v>
      </c>
      <c r="K449" s="7">
        <v>50000</v>
      </c>
      <c r="L449" s="7">
        <v>120000</v>
      </c>
      <c r="M449" s="21">
        <v>5000</v>
      </c>
      <c r="N449" s="9">
        <v>20000</v>
      </c>
      <c r="O449" s="9">
        <v>120000</v>
      </c>
      <c r="P449" s="10">
        <v>0</v>
      </c>
      <c r="Q449" s="152">
        <v>45509</v>
      </c>
    </row>
    <row r="450" spans="1:17" ht="80.25" thickBot="1" x14ac:dyDescent="0.3">
      <c r="A450" s="150">
        <v>2459</v>
      </c>
      <c r="B450" s="2" t="s">
        <v>431</v>
      </c>
      <c r="C450" s="2" t="s">
        <v>432</v>
      </c>
      <c r="D450" s="2"/>
      <c r="E450" s="3">
        <v>45328</v>
      </c>
      <c r="F450" s="3">
        <v>45482</v>
      </c>
      <c r="G450" s="29">
        <v>110</v>
      </c>
      <c r="H450" s="151">
        <v>110</v>
      </c>
      <c r="I450" s="151">
        <v>0</v>
      </c>
      <c r="J450" s="2" t="s">
        <v>193</v>
      </c>
      <c r="K450" s="7">
        <v>200000</v>
      </c>
      <c r="L450" s="7">
        <v>528000</v>
      </c>
      <c r="M450" s="21">
        <v>24000</v>
      </c>
      <c r="N450" s="9">
        <v>9500</v>
      </c>
      <c r="O450" s="9">
        <v>528000</v>
      </c>
      <c r="P450" s="10">
        <v>0</v>
      </c>
      <c r="Q450" s="152">
        <v>45509</v>
      </c>
    </row>
    <row r="451" spans="1:17" ht="57.75" thickBot="1" x14ac:dyDescent="0.3">
      <c r="A451" s="150">
        <v>2611</v>
      </c>
      <c r="B451" s="2" t="s">
        <v>599</v>
      </c>
      <c r="C451" s="2" t="s">
        <v>466</v>
      </c>
      <c r="D451" s="2"/>
      <c r="E451" s="3">
        <v>45418</v>
      </c>
      <c r="F451" s="3">
        <v>45518</v>
      </c>
      <c r="G451" s="29">
        <v>72</v>
      </c>
      <c r="H451" s="151">
        <v>72</v>
      </c>
      <c r="I451" s="151">
        <v>0</v>
      </c>
      <c r="J451" s="2" t="s">
        <v>576</v>
      </c>
      <c r="K451" s="10">
        <v>10000</v>
      </c>
      <c r="L451" s="10">
        <v>21600</v>
      </c>
      <c r="M451" s="8">
        <v>1500</v>
      </c>
      <c r="N451" s="9">
        <v>2100</v>
      </c>
      <c r="O451" s="9">
        <v>21600</v>
      </c>
      <c r="P451" s="10">
        <v>0</v>
      </c>
      <c r="Q451" s="152">
        <v>45509</v>
      </c>
    </row>
    <row r="452" spans="1:17" ht="24" thickBot="1" x14ac:dyDescent="0.3">
      <c r="A452" s="150">
        <v>2420</v>
      </c>
      <c r="B452" s="2" t="s">
        <v>471</v>
      </c>
      <c r="C452" s="2" t="s">
        <v>655</v>
      </c>
      <c r="D452" s="2"/>
      <c r="E452" s="3">
        <v>45305</v>
      </c>
      <c r="F452" s="3">
        <v>45405</v>
      </c>
      <c r="G452" s="29">
        <v>72</v>
      </c>
      <c r="H452" s="151">
        <v>72</v>
      </c>
      <c r="I452" s="151">
        <v>0</v>
      </c>
      <c r="J452" s="2" t="s">
        <v>227</v>
      </c>
      <c r="K452" s="10">
        <v>50000</v>
      </c>
      <c r="L452" s="10">
        <v>123000</v>
      </c>
      <c r="M452" s="8">
        <v>8541.6666666666661</v>
      </c>
      <c r="N452" s="9">
        <v>10000</v>
      </c>
      <c r="O452" s="9">
        <v>123000</v>
      </c>
      <c r="P452" s="10">
        <v>0</v>
      </c>
      <c r="Q452" s="152">
        <v>45509</v>
      </c>
    </row>
    <row r="453" spans="1:17" ht="35.25" thickBot="1" x14ac:dyDescent="0.3">
      <c r="A453" s="150">
        <v>2442</v>
      </c>
      <c r="B453" s="2" t="s">
        <v>736</v>
      </c>
      <c r="C453" s="2" t="s">
        <v>141</v>
      </c>
      <c r="D453" s="28"/>
      <c r="E453" s="3">
        <v>45317</v>
      </c>
      <c r="F453" s="3">
        <v>45513</v>
      </c>
      <c r="G453" s="29">
        <v>140</v>
      </c>
      <c r="H453" s="151">
        <v>140</v>
      </c>
      <c r="I453" s="151">
        <v>0</v>
      </c>
      <c r="J453" s="6" t="s">
        <v>846</v>
      </c>
      <c r="K453" s="7">
        <v>100000</v>
      </c>
      <c r="L453" s="7">
        <v>264600</v>
      </c>
      <c r="M453" s="21">
        <v>9450</v>
      </c>
      <c r="N453" s="9">
        <v>37800</v>
      </c>
      <c r="O453" s="9">
        <v>264600</v>
      </c>
      <c r="P453" s="10">
        <v>0</v>
      </c>
      <c r="Q453" s="152">
        <v>45516</v>
      </c>
    </row>
    <row r="454" spans="1:17" ht="35.25" thickBot="1" x14ac:dyDescent="0.3">
      <c r="A454" s="150">
        <v>2539</v>
      </c>
      <c r="B454" s="2" t="s">
        <v>847</v>
      </c>
      <c r="C454" s="2" t="s">
        <v>141</v>
      </c>
      <c r="D454" s="28"/>
      <c r="E454" s="3">
        <v>45373</v>
      </c>
      <c r="F454" s="3">
        <v>45541</v>
      </c>
      <c r="G454" s="29">
        <v>120</v>
      </c>
      <c r="H454" s="151">
        <v>120</v>
      </c>
      <c r="I454" s="151">
        <v>0</v>
      </c>
      <c r="J454" s="6" t="s">
        <v>848</v>
      </c>
      <c r="K454" s="7">
        <v>100000</v>
      </c>
      <c r="L454" s="7">
        <v>264000</v>
      </c>
      <c r="M454" s="8">
        <v>11000</v>
      </c>
      <c r="N454" s="9">
        <v>88000</v>
      </c>
      <c r="O454" s="9">
        <v>264000</v>
      </c>
      <c r="P454" s="10">
        <v>0</v>
      </c>
      <c r="Q454" s="152">
        <v>45516</v>
      </c>
    </row>
    <row r="455" spans="1:17" ht="69" thickBot="1" x14ac:dyDescent="0.3">
      <c r="A455" s="150">
        <v>2492</v>
      </c>
      <c r="B455" s="2" t="s">
        <v>233</v>
      </c>
      <c r="C455" s="2" t="s">
        <v>234</v>
      </c>
      <c r="D455" s="28" t="s">
        <v>235</v>
      </c>
      <c r="E455" s="3">
        <v>45346</v>
      </c>
      <c r="F455" s="3">
        <v>45513</v>
      </c>
      <c r="G455" s="29">
        <v>120</v>
      </c>
      <c r="H455" s="151">
        <v>120</v>
      </c>
      <c r="I455" s="151">
        <v>0</v>
      </c>
      <c r="J455" s="6" t="s">
        <v>849</v>
      </c>
      <c r="K455" s="7">
        <v>100000</v>
      </c>
      <c r="L455" s="7">
        <v>264000</v>
      </c>
      <c r="M455" s="8">
        <v>11000</v>
      </c>
      <c r="N455" s="9">
        <v>44000</v>
      </c>
      <c r="O455" s="9">
        <v>264000</v>
      </c>
      <c r="P455" s="10">
        <v>0</v>
      </c>
      <c r="Q455" s="152">
        <v>45516</v>
      </c>
    </row>
    <row r="456" spans="1:17" ht="46.5" thickBot="1" x14ac:dyDescent="0.3">
      <c r="A456" s="150">
        <v>2564</v>
      </c>
      <c r="B456" s="2" t="s">
        <v>284</v>
      </c>
      <c r="C456" s="2" t="s">
        <v>285</v>
      </c>
      <c r="D456" s="28"/>
      <c r="E456" s="3">
        <v>45389</v>
      </c>
      <c r="F456" s="3">
        <v>45499</v>
      </c>
      <c r="G456" s="29">
        <v>80</v>
      </c>
      <c r="H456" s="151">
        <v>80</v>
      </c>
      <c r="I456" s="151">
        <v>0</v>
      </c>
      <c r="J456" s="6" t="s">
        <v>831</v>
      </c>
      <c r="K456" s="10">
        <v>20000</v>
      </c>
      <c r="L456" s="10">
        <v>43200</v>
      </c>
      <c r="M456" s="8">
        <v>2700</v>
      </c>
      <c r="N456" s="9">
        <v>10800</v>
      </c>
      <c r="O456" s="9">
        <v>43200</v>
      </c>
      <c r="P456" s="10">
        <v>0</v>
      </c>
      <c r="Q456" s="152">
        <v>45516</v>
      </c>
    </row>
    <row r="457" spans="1:17" ht="57.75" thickBot="1" x14ac:dyDescent="0.3">
      <c r="A457" s="150">
        <v>2188</v>
      </c>
      <c r="B457" s="2" t="s">
        <v>290</v>
      </c>
      <c r="C457" s="2" t="s">
        <v>291</v>
      </c>
      <c r="D457" s="28"/>
      <c r="E457" s="3">
        <v>45141</v>
      </c>
      <c r="F457" s="3">
        <v>45477</v>
      </c>
      <c r="G457" s="29">
        <v>240</v>
      </c>
      <c r="H457" s="151">
        <v>240.47619047619048</v>
      </c>
      <c r="I457" s="151">
        <v>-0.4761904761904816</v>
      </c>
      <c r="J457" s="6" t="s">
        <v>850</v>
      </c>
      <c r="K457" s="7">
        <v>100000</v>
      </c>
      <c r="L457" s="7">
        <v>252000</v>
      </c>
      <c r="M457" s="8">
        <v>5250</v>
      </c>
      <c r="N457" s="9">
        <v>21000</v>
      </c>
      <c r="O457" s="9">
        <v>252500</v>
      </c>
      <c r="P457" s="10">
        <v>-500</v>
      </c>
      <c r="Q457" s="152">
        <v>45516</v>
      </c>
    </row>
    <row r="458" spans="1:17" ht="57.75" thickBot="1" x14ac:dyDescent="0.3">
      <c r="A458" s="150">
        <v>2270</v>
      </c>
      <c r="B458" s="2" t="s">
        <v>290</v>
      </c>
      <c r="C458" s="2" t="s">
        <v>291</v>
      </c>
      <c r="D458" s="28"/>
      <c r="E458" s="3">
        <v>45198</v>
      </c>
      <c r="F458" s="3">
        <v>45506</v>
      </c>
      <c r="G458" s="29">
        <v>220</v>
      </c>
      <c r="H458" s="151">
        <v>223.66666666666666</v>
      </c>
      <c r="I458" s="151">
        <v>-3.6666666666666572</v>
      </c>
      <c r="J458" s="6" t="s">
        <v>851</v>
      </c>
      <c r="K458" s="7">
        <v>150000</v>
      </c>
      <c r="L458" s="7">
        <v>390000</v>
      </c>
      <c r="M458" s="8">
        <v>8863.636363636364</v>
      </c>
      <c r="N458" s="9">
        <v>36000</v>
      </c>
      <c r="O458" s="9">
        <v>396500</v>
      </c>
      <c r="P458" s="10">
        <v>-6500</v>
      </c>
      <c r="Q458" s="152">
        <v>45516</v>
      </c>
    </row>
    <row r="459" spans="1:17" ht="24" thickBot="1" x14ac:dyDescent="0.3">
      <c r="A459" s="150">
        <v>2753</v>
      </c>
      <c r="B459" s="2" t="s">
        <v>707</v>
      </c>
      <c r="C459" s="2"/>
      <c r="D459" s="28"/>
      <c r="E459" s="3">
        <v>45514</v>
      </c>
      <c r="F459" s="3">
        <v>45520</v>
      </c>
      <c r="G459" s="29">
        <v>5</v>
      </c>
      <c r="H459" s="151" t="e">
        <v>#DIV/0!</v>
      </c>
      <c r="I459" s="151" t="e">
        <v>#DIV/0!</v>
      </c>
      <c r="J459" s="6" t="s">
        <v>403</v>
      </c>
      <c r="K459" s="177">
        <v>30000</v>
      </c>
      <c r="L459" s="10">
        <v>39000</v>
      </c>
      <c r="M459" s="8"/>
      <c r="N459" s="9">
        <v>39000</v>
      </c>
      <c r="O459" s="9">
        <v>39000</v>
      </c>
      <c r="P459" s="10">
        <v>0</v>
      </c>
      <c r="Q459" s="152">
        <v>45516</v>
      </c>
    </row>
    <row r="460" spans="1:17" ht="80.25" thickBot="1" x14ac:dyDescent="0.3">
      <c r="A460" s="150">
        <v>2479</v>
      </c>
      <c r="B460" s="2" t="s">
        <v>331</v>
      </c>
      <c r="C460" s="2" t="s">
        <v>330</v>
      </c>
      <c r="D460" s="28"/>
      <c r="E460" s="3">
        <v>45338</v>
      </c>
      <c r="F460" s="3">
        <v>45506</v>
      </c>
      <c r="G460" s="29">
        <v>120</v>
      </c>
      <c r="H460" s="151">
        <v>120</v>
      </c>
      <c r="I460" s="151">
        <v>0</v>
      </c>
      <c r="J460" s="16" t="s">
        <v>852</v>
      </c>
      <c r="K460" s="7">
        <v>100000</v>
      </c>
      <c r="L460" s="7">
        <v>264000</v>
      </c>
      <c r="M460" s="8">
        <v>11000</v>
      </c>
      <c r="N460" s="9">
        <v>22000</v>
      </c>
      <c r="O460" s="9">
        <v>264000</v>
      </c>
      <c r="P460" s="10">
        <v>0</v>
      </c>
      <c r="Q460" s="152">
        <v>45516</v>
      </c>
    </row>
    <row r="461" spans="1:17" ht="46.5" thickBot="1" x14ac:dyDescent="0.3">
      <c r="A461" s="150">
        <v>2467</v>
      </c>
      <c r="B461" s="2" t="s">
        <v>337</v>
      </c>
      <c r="C461" s="2" t="s">
        <v>338</v>
      </c>
      <c r="D461" s="28"/>
      <c r="E461" s="3">
        <v>45331</v>
      </c>
      <c r="F461" s="3">
        <v>45499</v>
      </c>
      <c r="G461" s="29">
        <v>120</v>
      </c>
      <c r="H461" s="151">
        <v>120</v>
      </c>
      <c r="I461" s="151">
        <v>0</v>
      </c>
      <c r="J461" s="16" t="s">
        <v>853</v>
      </c>
      <c r="K461" s="7">
        <v>200000</v>
      </c>
      <c r="L461" s="7">
        <v>528000</v>
      </c>
      <c r="M461" s="21">
        <v>22000</v>
      </c>
      <c r="N461" s="9">
        <v>44000</v>
      </c>
      <c r="O461" s="9">
        <v>528000</v>
      </c>
      <c r="P461" s="10">
        <v>0</v>
      </c>
      <c r="Q461" s="152">
        <v>45516</v>
      </c>
    </row>
    <row r="462" spans="1:17" ht="35.25" thickBot="1" x14ac:dyDescent="0.3">
      <c r="A462" s="150">
        <v>2595</v>
      </c>
      <c r="B462" s="2" t="s">
        <v>341</v>
      </c>
      <c r="C462" s="2" t="s">
        <v>342</v>
      </c>
      <c r="D462" s="28"/>
      <c r="E462" s="3">
        <v>45408</v>
      </c>
      <c r="F462" s="3">
        <v>45510</v>
      </c>
      <c r="G462" s="29">
        <v>72</v>
      </c>
      <c r="H462" s="151">
        <v>72</v>
      </c>
      <c r="I462" s="151">
        <v>0</v>
      </c>
      <c r="J462" s="2" t="s">
        <v>161</v>
      </c>
      <c r="K462" s="7">
        <v>100000</v>
      </c>
      <c r="L462" s="7">
        <v>216000</v>
      </c>
      <c r="M462" s="21">
        <v>15000</v>
      </c>
      <c r="N462" s="9">
        <v>21000</v>
      </c>
      <c r="O462" s="9">
        <v>216000</v>
      </c>
      <c r="P462" s="10">
        <v>0</v>
      </c>
      <c r="Q462" s="152">
        <v>45516</v>
      </c>
    </row>
    <row r="463" spans="1:17" ht="69" thickBot="1" x14ac:dyDescent="0.3">
      <c r="A463" s="150">
        <v>2623</v>
      </c>
      <c r="B463" s="2" t="s">
        <v>362</v>
      </c>
      <c r="C463" s="2" t="s">
        <v>363</v>
      </c>
      <c r="D463" s="28">
        <v>27242809519</v>
      </c>
      <c r="E463" s="3">
        <v>45426</v>
      </c>
      <c r="F463" s="3">
        <v>45538</v>
      </c>
      <c r="G463" s="29">
        <v>80</v>
      </c>
      <c r="H463" s="151">
        <v>80</v>
      </c>
      <c r="I463" s="151">
        <v>0</v>
      </c>
      <c r="J463" s="6" t="s">
        <v>843</v>
      </c>
      <c r="K463" s="7">
        <v>40000</v>
      </c>
      <c r="L463" s="7">
        <v>86400</v>
      </c>
      <c r="M463" s="21">
        <v>5400</v>
      </c>
      <c r="N463" s="9">
        <v>21600</v>
      </c>
      <c r="O463" s="9">
        <v>86400</v>
      </c>
      <c r="P463" s="10">
        <v>0</v>
      </c>
      <c r="Q463" s="152">
        <v>45516</v>
      </c>
    </row>
    <row r="464" spans="1:17" ht="15.75" thickBot="1" x14ac:dyDescent="0.3">
      <c r="A464" s="150">
        <v>2724</v>
      </c>
      <c r="B464" s="2" t="s">
        <v>367</v>
      </c>
      <c r="C464" s="2"/>
      <c r="D464" s="28"/>
      <c r="E464" s="3">
        <v>45497</v>
      </c>
      <c r="F464" s="3">
        <v>45516</v>
      </c>
      <c r="G464" s="182">
        <v>13</v>
      </c>
      <c r="H464" s="151" t="e">
        <v>#DIV/0!</v>
      </c>
      <c r="I464" s="151" t="e">
        <v>#DIV/0!</v>
      </c>
      <c r="J464" s="6" t="s">
        <v>854</v>
      </c>
      <c r="K464" s="7">
        <v>25000</v>
      </c>
      <c r="L464" s="7">
        <v>38000</v>
      </c>
      <c r="M464" s="21"/>
      <c r="N464" s="9">
        <v>38000</v>
      </c>
      <c r="O464" s="9">
        <v>38000</v>
      </c>
      <c r="P464" s="10">
        <v>0</v>
      </c>
      <c r="Q464" s="152">
        <v>45516</v>
      </c>
    </row>
    <row r="465" spans="1:17" ht="15.75" thickBot="1" x14ac:dyDescent="0.3">
      <c r="A465" s="150">
        <v>2742</v>
      </c>
      <c r="B465" s="2" t="s">
        <v>367</v>
      </c>
      <c r="C465" s="2"/>
      <c r="D465" s="28"/>
      <c r="E465" s="3">
        <v>45507</v>
      </c>
      <c r="F465" s="3">
        <v>45516</v>
      </c>
      <c r="G465" s="182">
        <v>6</v>
      </c>
      <c r="H465" s="151" t="e">
        <v>#DIV/0!</v>
      </c>
      <c r="I465" s="151" t="e">
        <v>#DIV/0!</v>
      </c>
      <c r="J465" s="6" t="s">
        <v>854</v>
      </c>
      <c r="K465" s="7">
        <v>25000</v>
      </c>
      <c r="L465" s="7">
        <v>38000</v>
      </c>
      <c r="M465" s="21"/>
      <c r="N465" s="9">
        <v>38000</v>
      </c>
      <c r="O465" s="9">
        <v>38000</v>
      </c>
      <c r="P465" s="10">
        <v>0</v>
      </c>
      <c r="Q465" s="152">
        <v>45516</v>
      </c>
    </row>
    <row r="466" spans="1:17" ht="35.25" thickBot="1" x14ac:dyDescent="0.3">
      <c r="A466" s="150">
        <v>2585</v>
      </c>
      <c r="B466" s="2" t="s">
        <v>385</v>
      </c>
      <c r="C466" s="2" t="s">
        <v>386</v>
      </c>
      <c r="D466" s="28"/>
      <c r="E466" s="3">
        <v>45401</v>
      </c>
      <c r="F466" s="3">
        <v>45503</v>
      </c>
      <c r="G466" s="29">
        <v>72</v>
      </c>
      <c r="H466" s="151">
        <v>72</v>
      </c>
      <c r="I466" s="151">
        <v>0</v>
      </c>
      <c r="J466" s="2" t="s">
        <v>161</v>
      </c>
      <c r="K466" s="7">
        <v>100000</v>
      </c>
      <c r="L466" s="7">
        <v>216000</v>
      </c>
      <c r="M466" s="8">
        <v>15000</v>
      </c>
      <c r="N466" s="9">
        <v>20500</v>
      </c>
      <c r="O466" s="9">
        <v>216000</v>
      </c>
      <c r="P466" s="10">
        <v>0</v>
      </c>
      <c r="Q466" s="152">
        <v>45516</v>
      </c>
    </row>
    <row r="467" spans="1:17" ht="46.5" thickBot="1" x14ac:dyDescent="0.3">
      <c r="A467" s="150">
        <v>2401</v>
      </c>
      <c r="B467" s="2" t="s">
        <v>390</v>
      </c>
      <c r="C467" s="2" t="s">
        <v>391</v>
      </c>
      <c r="D467" s="28"/>
      <c r="E467" s="3">
        <v>45296</v>
      </c>
      <c r="F467" s="3">
        <v>45478</v>
      </c>
      <c r="G467" s="29">
        <v>130</v>
      </c>
      <c r="H467" s="151">
        <v>131.45454545454547</v>
      </c>
      <c r="I467" s="151">
        <v>-1.4545454545454675</v>
      </c>
      <c r="J467" s="2" t="s">
        <v>855</v>
      </c>
      <c r="K467" s="7">
        <v>200000</v>
      </c>
      <c r="L467" s="7">
        <v>572000</v>
      </c>
      <c r="M467" s="21">
        <v>22000</v>
      </c>
      <c r="N467" s="9">
        <v>22000</v>
      </c>
      <c r="O467" s="9">
        <v>578400</v>
      </c>
      <c r="P467" s="10">
        <v>-6400</v>
      </c>
      <c r="Q467" s="152">
        <v>45516</v>
      </c>
    </row>
    <row r="468" spans="1:17" ht="57.75" thickBot="1" x14ac:dyDescent="0.3">
      <c r="A468" s="150">
        <v>2358</v>
      </c>
      <c r="B468" s="2" t="s">
        <v>398</v>
      </c>
      <c r="C468" s="2" t="s">
        <v>399</v>
      </c>
      <c r="D468" s="28"/>
      <c r="E468" s="3">
        <v>45261</v>
      </c>
      <c r="F468" s="3">
        <v>45485</v>
      </c>
      <c r="G468" s="29">
        <v>160</v>
      </c>
      <c r="H468" s="151">
        <v>160.72727272727272</v>
      </c>
      <c r="I468" s="151">
        <v>-0.72727272727271952</v>
      </c>
      <c r="J468" s="6" t="s">
        <v>400</v>
      </c>
      <c r="K468" s="7">
        <v>300000</v>
      </c>
      <c r="L468" s="7">
        <v>792000</v>
      </c>
      <c r="M468" s="8">
        <v>24750</v>
      </c>
      <c r="N468" s="9">
        <v>99000</v>
      </c>
      <c r="O468" s="9">
        <v>795600</v>
      </c>
      <c r="P468" s="10">
        <v>-3600</v>
      </c>
      <c r="Q468" s="152">
        <v>45516</v>
      </c>
    </row>
    <row r="469" spans="1:17" ht="35.25" thickBot="1" x14ac:dyDescent="0.3">
      <c r="A469" s="150">
        <v>2556</v>
      </c>
      <c r="B469" s="2" t="s">
        <v>546</v>
      </c>
      <c r="C469" s="2" t="s">
        <v>547</v>
      </c>
      <c r="D469" s="28"/>
      <c r="E469" s="3">
        <v>45386</v>
      </c>
      <c r="F469" s="3">
        <v>45554</v>
      </c>
      <c r="G469" s="29">
        <v>120</v>
      </c>
      <c r="H469" s="151">
        <v>120</v>
      </c>
      <c r="I469" s="151">
        <v>0</v>
      </c>
      <c r="J469" s="6" t="s">
        <v>588</v>
      </c>
      <c r="K469" s="10">
        <v>20000</v>
      </c>
      <c r="L469" s="10">
        <v>52800</v>
      </c>
      <c r="M469" s="8">
        <v>2200</v>
      </c>
      <c r="N469" s="9">
        <v>26400</v>
      </c>
      <c r="O469" s="9">
        <v>52800</v>
      </c>
      <c r="P469" s="10">
        <v>0</v>
      </c>
      <c r="Q469" s="152">
        <v>45516</v>
      </c>
    </row>
    <row r="470" spans="1:17" ht="15.75" thickBot="1" x14ac:dyDescent="0.3">
      <c r="A470" s="150">
        <v>2698</v>
      </c>
      <c r="B470" s="2" t="s">
        <v>549</v>
      </c>
      <c r="C470" s="2"/>
      <c r="D470" s="28"/>
      <c r="E470" s="3">
        <v>45479</v>
      </c>
      <c r="F470" s="3">
        <v>45513</v>
      </c>
      <c r="G470" s="29">
        <v>25</v>
      </c>
      <c r="H470" s="151" t="e">
        <v>#DIV/0!</v>
      </c>
      <c r="I470" s="151" t="e">
        <v>#DIV/0!</v>
      </c>
      <c r="J470" s="2" t="s">
        <v>550</v>
      </c>
      <c r="K470" s="7">
        <v>30000</v>
      </c>
      <c r="L470" s="7">
        <v>45000</v>
      </c>
      <c r="M470" s="8"/>
      <c r="N470" s="9">
        <v>45000</v>
      </c>
      <c r="O470" s="9">
        <v>45000</v>
      </c>
      <c r="P470" s="10">
        <v>0</v>
      </c>
      <c r="Q470" s="152">
        <v>45516</v>
      </c>
    </row>
    <row r="471" spans="1:17" ht="15.75" thickBot="1" x14ac:dyDescent="0.3">
      <c r="A471" s="150">
        <v>2727</v>
      </c>
      <c r="B471" s="2" t="s">
        <v>549</v>
      </c>
      <c r="C471" s="2"/>
      <c r="D471" s="28"/>
      <c r="E471" s="3">
        <v>45498</v>
      </c>
      <c r="F471" s="3">
        <v>45517</v>
      </c>
      <c r="G471" s="29">
        <v>13</v>
      </c>
      <c r="H471" s="151" t="e">
        <v>#DIV/0!</v>
      </c>
      <c r="I471" s="151" t="e">
        <v>#DIV/0!</v>
      </c>
      <c r="J471" s="2" t="s">
        <v>550</v>
      </c>
      <c r="K471" s="7">
        <v>30000</v>
      </c>
      <c r="L471" s="7">
        <v>45000</v>
      </c>
      <c r="M471" s="8"/>
      <c r="N471" s="9">
        <v>45000</v>
      </c>
      <c r="O471" s="9">
        <v>45000</v>
      </c>
      <c r="P471" s="10">
        <v>0</v>
      </c>
      <c r="Q471" s="152">
        <v>45516</v>
      </c>
    </row>
    <row r="472" spans="1:17" ht="46.5" thickBot="1" x14ac:dyDescent="0.3">
      <c r="A472" s="150">
        <v>1879</v>
      </c>
      <c r="B472" s="2" t="s">
        <v>424</v>
      </c>
      <c r="C472" s="2" t="s">
        <v>425</v>
      </c>
      <c r="D472" s="28"/>
      <c r="E472" s="3">
        <v>44893</v>
      </c>
      <c r="F472" s="3">
        <v>44993</v>
      </c>
      <c r="G472" s="29">
        <v>72</v>
      </c>
      <c r="H472" s="151">
        <v>73.333333333333329</v>
      </c>
      <c r="I472" s="151">
        <v>-1.3333333333333286</v>
      </c>
      <c r="J472" s="2" t="s">
        <v>576</v>
      </c>
      <c r="K472" s="10">
        <v>10000</v>
      </c>
      <c r="L472" s="10">
        <v>21600</v>
      </c>
      <c r="M472" s="21">
        <v>1500</v>
      </c>
      <c r="N472" s="9">
        <v>1500</v>
      </c>
      <c r="O472" s="9">
        <v>22000</v>
      </c>
      <c r="P472" s="10">
        <v>-400</v>
      </c>
      <c r="Q472" s="152">
        <v>45516</v>
      </c>
    </row>
    <row r="473" spans="1:17" ht="80.25" thickBot="1" x14ac:dyDescent="0.3">
      <c r="A473" s="150">
        <v>2441</v>
      </c>
      <c r="B473" s="2" t="s">
        <v>431</v>
      </c>
      <c r="C473" s="2" t="s">
        <v>432</v>
      </c>
      <c r="D473" s="28"/>
      <c r="E473" s="3">
        <v>45316</v>
      </c>
      <c r="F473" s="3">
        <v>45491</v>
      </c>
      <c r="G473" s="29">
        <v>125</v>
      </c>
      <c r="H473" s="151">
        <v>125</v>
      </c>
      <c r="I473" s="151">
        <v>0</v>
      </c>
      <c r="J473" s="2" t="s">
        <v>856</v>
      </c>
      <c r="K473" s="7">
        <v>400000</v>
      </c>
      <c r="L473" s="7">
        <v>1056000</v>
      </c>
      <c r="M473" s="21">
        <v>42240</v>
      </c>
      <c r="N473" s="9">
        <v>80240</v>
      </c>
      <c r="O473" s="9">
        <v>1056000</v>
      </c>
      <c r="P473" s="10">
        <v>0</v>
      </c>
      <c r="Q473" s="152">
        <v>45516</v>
      </c>
    </row>
    <row r="474" spans="1:17" ht="46.5" thickBot="1" x14ac:dyDescent="0.3">
      <c r="A474" s="150">
        <v>2400</v>
      </c>
      <c r="B474" s="2" t="s">
        <v>447</v>
      </c>
      <c r="C474" s="2" t="s">
        <v>448</v>
      </c>
      <c r="D474" s="28"/>
      <c r="E474" s="3">
        <v>45296</v>
      </c>
      <c r="F474" s="3">
        <v>45520</v>
      </c>
      <c r="G474" s="29">
        <v>160</v>
      </c>
      <c r="H474" s="151">
        <v>160</v>
      </c>
      <c r="I474" s="151">
        <v>0</v>
      </c>
      <c r="J474" s="6" t="s">
        <v>857</v>
      </c>
      <c r="K474" s="7">
        <v>60000</v>
      </c>
      <c r="L474" s="7">
        <v>180000</v>
      </c>
      <c r="M474" s="8">
        <v>5625</v>
      </c>
      <c r="N474" s="9">
        <v>45500</v>
      </c>
      <c r="O474" s="9">
        <v>180000</v>
      </c>
      <c r="P474" s="10">
        <v>0</v>
      </c>
      <c r="Q474" s="152">
        <v>45516</v>
      </c>
    </row>
    <row r="475" spans="1:17" ht="24" thickBot="1" x14ac:dyDescent="0.3">
      <c r="A475" s="150">
        <v>2615</v>
      </c>
      <c r="B475" s="2" t="s">
        <v>186</v>
      </c>
      <c r="C475" s="2" t="s">
        <v>187</v>
      </c>
      <c r="D475" s="28"/>
      <c r="E475" s="3">
        <v>45421</v>
      </c>
      <c r="F475" s="3">
        <v>45523</v>
      </c>
      <c r="G475" s="29">
        <v>72</v>
      </c>
      <c r="H475" s="151">
        <v>72</v>
      </c>
      <c r="I475" s="151">
        <v>0</v>
      </c>
      <c r="J475" s="2" t="s">
        <v>161</v>
      </c>
      <c r="K475" s="7">
        <v>100000</v>
      </c>
      <c r="L475" s="7">
        <v>216000</v>
      </c>
      <c r="M475" s="8">
        <v>15000</v>
      </c>
      <c r="N475" s="9">
        <v>6000</v>
      </c>
      <c r="O475" s="9">
        <v>216000</v>
      </c>
      <c r="P475" s="10">
        <v>0</v>
      </c>
      <c r="Q475" s="152">
        <v>45523</v>
      </c>
    </row>
    <row r="476" spans="1:17" ht="24" thickBot="1" x14ac:dyDescent="0.3">
      <c r="A476" s="150">
        <v>2768</v>
      </c>
      <c r="B476" s="2" t="s">
        <v>707</v>
      </c>
      <c r="C476" s="2"/>
      <c r="D476" s="28"/>
      <c r="E476" s="3">
        <v>45521</v>
      </c>
      <c r="F476" s="3">
        <v>45527</v>
      </c>
      <c r="G476" s="29">
        <v>5</v>
      </c>
      <c r="H476" s="151" t="e">
        <v>#DIV/0!</v>
      </c>
      <c r="I476" s="151" t="e">
        <v>#DIV/0!</v>
      </c>
      <c r="J476" s="6" t="s">
        <v>403</v>
      </c>
      <c r="K476" s="20">
        <v>30000</v>
      </c>
      <c r="L476" s="7">
        <v>39000</v>
      </c>
      <c r="M476" s="8"/>
      <c r="N476" s="9">
        <v>39000</v>
      </c>
      <c r="O476" s="9">
        <v>39000</v>
      </c>
      <c r="P476" s="10">
        <v>0</v>
      </c>
      <c r="Q476" s="152">
        <v>45523</v>
      </c>
    </row>
    <row r="477" spans="1:17" ht="57.75" thickBot="1" x14ac:dyDescent="0.3">
      <c r="A477" s="150">
        <v>2580</v>
      </c>
      <c r="B477" s="2" t="s">
        <v>410</v>
      </c>
      <c r="C477" s="2" t="s">
        <v>411</v>
      </c>
      <c r="D477" s="28">
        <v>20317686979</v>
      </c>
      <c r="E477" s="3">
        <v>45400</v>
      </c>
      <c r="F477" s="3">
        <v>45540</v>
      </c>
      <c r="G477" s="29">
        <v>100</v>
      </c>
      <c r="H477" s="151">
        <v>100</v>
      </c>
      <c r="I477" s="151">
        <v>0</v>
      </c>
      <c r="J477" s="6" t="s">
        <v>372</v>
      </c>
      <c r="K477" s="10">
        <v>200000</v>
      </c>
      <c r="L477" s="10">
        <v>432000</v>
      </c>
      <c r="M477" s="8">
        <v>21600</v>
      </c>
      <c r="N477" s="9">
        <v>86400</v>
      </c>
      <c r="O477" s="9">
        <v>432000</v>
      </c>
      <c r="P477" s="10">
        <v>0</v>
      </c>
      <c r="Q477" s="152">
        <v>45523</v>
      </c>
    </row>
    <row r="478" spans="1:17" ht="24" thickBot="1" x14ac:dyDescent="0.3">
      <c r="A478" s="150">
        <v>2656</v>
      </c>
      <c r="B478" s="2" t="s">
        <v>858</v>
      </c>
      <c r="C478" s="2"/>
      <c r="D478" s="28"/>
      <c r="E478" s="3">
        <v>45450</v>
      </c>
      <c r="F478" s="3">
        <v>45548</v>
      </c>
      <c r="G478" s="29">
        <v>70</v>
      </c>
      <c r="H478" s="151">
        <v>70</v>
      </c>
      <c r="I478" s="151">
        <v>0</v>
      </c>
      <c r="J478" s="16" t="s">
        <v>859</v>
      </c>
      <c r="K478" s="7">
        <v>30000</v>
      </c>
      <c r="L478" s="7">
        <v>65100</v>
      </c>
      <c r="M478" s="8">
        <v>4650</v>
      </c>
      <c r="N478" s="9">
        <v>27900</v>
      </c>
      <c r="O478" s="9">
        <v>65100</v>
      </c>
      <c r="P478" s="10">
        <v>0</v>
      </c>
      <c r="Q478" s="152">
        <v>45523</v>
      </c>
    </row>
    <row r="479" spans="1:17" ht="35.25" thickBot="1" x14ac:dyDescent="0.3">
      <c r="A479" s="150">
        <v>2491</v>
      </c>
      <c r="B479" s="2" t="s">
        <v>239</v>
      </c>
      <c r="C479" s="2" t="s">
        <v>712</v>
      </c>
      <c r="D479" s="28"/>
      <c r="E479" s="3">
        <v>45345</v>
      </c>
      <c r="F479" s="3">
        <v>45513</v>
      </c>
      <c r="G479" s="29">
        <v>120</v>
      </c>
      <c r="H479" s="151">
        <v>120</v>
      </c>
      <c r="I479" s="151">
        <v>0</v>
      </c>
      <c r="J479" s="2" t="s">
        <v>860</v>
      </c>
      <c r="K479" s="7">
        <v>150000</v>
      </c>
      <c r="L479" s="7">
        <v>396000</v>
      </c>
      <c r="M479" s="8">
        <v>16500</v>
      </c>
      <c r="N479" s="9">
        <v>25000</v>
      </c>
      <c r="O479" s="9">
        <v>396000</v>
      </c>
      <c r="P479" s="10">
        <v>0</v>
      </c>
      <c r="Q479" s="152">
        <v>45530</v>
      </c>
    </row>
    <row r="480" spans="1:17" ht="69" thickBot="1" x14ac:dyDescent="0.3">
      <c r="A480" s="150">
        <v>2624</v>
      </c>
      <c r="B480" s="2" t="s">
        <v>251</v>
      </c>
      <c r="C480" s="2" t="s">
        <v>861</v>
      </c>
      <c r="D480" s="28">
        <v>27313552360</v>
      </c>
      <c r="E480" s="3">
        <v>45426</v>
      </c>
      <c r="F480" s="3">
        <v>45526</v>
      </c>
      <c r="G480" s="29">
        <v>72</v>
      </c>
      <c r="H480" s="151">
        <v>72</v>
      </c>
      <c r="I480" s="151">
        <v>0</v>
      </c>
      <c r="J480" s="6" t="s">
        <v>862</v>
      </c>
      <c r="K480" s="7">
        <v>150000</v>
      </c>
      <c r="L480" s="7">
        <v>324000</v>
      </c>
      <c r="M480" s="21">
        <v>22500</v>
      </c>
      <c r="N480" s="9">
        <v>81000</v>
      </c>
      <c r="O480" s="9">
        <v>324000</v>
      </c>
      <c r="P480" s="10">
        <v>0</v>
      </c>
      <c r="Q480" s="152">
        <v>45530</v>
      </c>
    </row>
    <row r="481" spans="1:17" ht="24" thickBot="1" x14ac:dyDescent="0.3">
      <c r="A481" s="150">
        <v>2599</v>
      </c>
      <c r="B481" s="2" t="s">
        <v>269</v>
      </c>
      <c r="C481" s="2"/>
      <c r="D481" s="28"/>
      <c r="E481" s="3">
        <v>45409</v>
      </c>
      <c r="F481" s="3">
        <v>45520</v>
      </c>
      <c r="G481" s="29">
        <v>80</v>
      </c>
      <c r="H481" s="151">
        <v>80</v>
      </c>
      <c r="I481" s="151">
        <v>0</v>
      </c>
      <c r="J481" s="6" t="s">
        <v>863</v>
      </c>
      <c r="K481" s="7">
        <v>50000</v>
      </c>
      <c r="L481" s="7">
        <v>108000</v>
      </c>
      <c r="M481" s="8">
        <v>6750</v>
      </c>
      <c r="N481" s="9">
        <v>27000</v>
      </c>
      <c r="O481" s="9">
        <v>108000</v>
      </c>
      <c r="P481" s="10">
        <v>0</v>
      </c>
      <c r="Q481" s="152">
        <v>45530</v>
      </c>
    </row>
    <row r="482" spans="1:17" ht="24" thickBot="1" x14ac:dyDescent="0.3">
      <c r="A482" s="150">
        <v>2776</v>
      </c>
      <c r="B482" s="2" t="s">
        <v>707</v>
      </c>
      <c r="C482" s="2"/>
      <c r="D482" s="28"/>
      <c r="E482" s="3">
        <v>45526</v>
      </c>
      <c r="F482" s="3">
        <f>WORKDAY(E482,G482)</f>
        <v>45533</v>
      </c>
      <c r="G482" s="29">
        <v>5</v>
      </c>
      <c r="H482" s="151" t="e">
        <f>(DF482* 5)/M482</f>
        <v>#DIV/0!</v>
      </c>
      <c r="I482" s="151" t="e">
        <f>G482-H482</f>
        <v>#DIV/0!</v>
      </c>
      <c r="J482" s="6" t="s">
        <v>403</v>
      </c>
      <c r="K482" s="20">
        <v>30000</v>
      </c>
      <c r="L482" s="7">
        <v>39000</v>
      </c>
      <c r="M482" s="8"/>
      <c r="N482" s="9">
        <v>39000</v>
      </c>
      <c r="O482" s="9">
        <v>39000</v>
      </c>
      <c r="P482" s="10">
        <v>0</v>
      </c>
      <c r="Q482" s="152">
        <v>45530</v>
      </c>
    </row>
    <row r="483" spans="1:17" ht="46.5" thickBot="1" x14ac:dyDescent="0.3">
      <c r="A483" s="150">
        <v>2584</v>
      </c>
      <c r="B483" s="2" t="s">
        <v>320</v>
      </c>
      <c r="C483" s="2" t="s">
        <v>317</v>
      </c>
      <c r="D483" s="28"/>
      <c r="E483" s="3">
        <v>45401</v>
      </c>
      <c r="F483" s="3">
        <v>45503</v>
      </c>
      <c r="G483" s="29">
        <v>72</v>
      </c>
      <c r="H483" s="151">
        <v>72</v>
      </c>
      <c r="I483" s="151">
        <v>0</v>
      </c>
      <c r="J483" s="2" t="s">
        <v>576</v>
      </c>
      <c r="K483" s="10">
        <v>10000</v>
      </c>
      <c r="L483" s="10">
        <v>21600</v>
      </c>
      <c r="M483" s="8">
        <v>1500</v>
      </c>
      <c r="N483" s="9">
        <v>600</v>
      </c>
      <c r="O483" s="9">
        <v>21600</v>
      </c>
      <c r="P483" s="10">
        <v>0</v>
      </c>
      <c r="Q483" s="152">
        <v>45530</v>
      </c>
    </row>
    <row r="484" spans="1:17" ht="57.75" thickBot="1" x14ac:dyDescent="0.3">
      <c r="A484" s="150">
        <v>2621</v>
      </c>
      <c r="B484" s="2" t="s">
        <v>686</v>
      </c>
      <c r="C484" s="2" t="s">
        <v>346</v>
      </c>
      <c r="D484" s="28"/>
      <c r="E484" s="3">
        <v>45425</v>
      </c>
      <c r="F484" s="3">
        <v>45525</v>
      </c>
      <c r="G484" s="29">
        <v>72</v>
      </c>
      <c r="H484" s="151">
        <v>71.857142857142861</v>
      </c>
      <c r="I484" s="151">
        <v>0.1428571428571388</v>
      </c>
      <c r="J484" s="6" t="s">
        <v>464</v>
      </c>
      <c r="K484" s="19">
        <v>70000</v>
      </c>
      <c r="L484" s="7">
        <v>151200</v>
      </c>
      <c r="M484" s="8">
        <v>10500</v>
      </c>
      <c r="N484" s="9">
        <v>10500</v>
      </c>
      <c r="O484" s="9">
        <v>150900</v>
      </c>
      <c r="P484" s="10">
        <v>300</v>
      </c>
      <c r="Q484" s="152">
        <v>45530</v>
      </c>
    </row>
    <row r="485" spans="1:17" ht="35.25" thickBot="1" x14ac:dyDescent="0.3">
      <c r="A485" s="150">
        <v>2390</v>
      </c>
      <c r="B485" s="2" t="s">
        <v>296</v>
      </c>
      <c r="C485" s="2" t="s">
        <v>297</v>
      </c>
      <c r="D485" s="28">
        <v>13589728</v>
      </c>
      <c r="E485" s="3">
        <v>45289</v>
      </c>
      <c r="F485" s="3">
        <v>45541</v>
      </c>
      <c r="G485" s="29">
        <v>180</v>
      </c>
      <c r="H485" s="151">
        <v>180</v>
      </c>
      <c r="I485" s="151">
        <v>0</v>
      </c>
      <c r="J485" s="6" t="s">
        <v>864</v>
      </c>
      <c r="K485" s="7">
        <v>150000</v>
      </c>
      <c r="L485" s="7">
        <v>600300</v>
      </c>
      <c r="M485" s="21">
        <v>16675</v>
      </c>
      <c r="N485" s="9">
        <v>66700</v>
      </c>
      <c r="O485" s="9">
        <v>600300</v>
      </c>
      <c r="P485" s="10">
        <v>0</v>
      </c>
      <c r="Q485" s="152">
        <v>45537</v>
      </c>
    </row>
    <row r="486" spans="1:17" ht="24" thickBot="1" x14ac:dyDescent="0.3">
      <c r="A486" s="150">
        <v>2788</v>
      </c>
      <c r="B486" s="2" t="s">
        <v>707</v>
      </c>
      <c r="C486" s="2"/>
      <c r="D486" s="28"/>
      <c r="E486" s="3">
        <v>45535</v>
      </c>
      <c r="F486" s="3">
        <v>45541</v>
      </c>
      <c r="G486" s="29">
        <v>5</v>
      </c>
      <c r="H486" s="151" t="e">
        <v>#DIV/0!</v>
      </c>
      <c r="I486" s="151" t="e">
        <v>#DIV/0!</v>
      </c>
      <c r="J486" s="6" t="s">
        <v>403</v>
      </c>
      <c r="K486" s="20">
        <v>30000</v>
      </c>
      <c r="L486" s="7">
        <v>39000</v>
      </c>
      <c r="M486" s="8"/>
      <c r="N486" s="9">
        <v>39000</v>
      </c>
      <c r="O486" s="9">
        <v>39000</v>
      </c>
      <c r="P486" s="10">
        <v>0</v>
      </c>
      <c r="Q486" s="152">
        <v>45537</v>
      </c>
    </row>
    <row r="487" spans="1:17" ht="35.25" thickBot="1" x14ac:dyDescent="0.3">
      <c r="A487" s="150">
        <v>2382</v>
      </c>
      <c r="B487" s="2" t="s">
        <v>337</v>
      </c>
      <c r="C487" s="2" t="s">
        <v>690</v>
      </c>
      <c r="D487" s="28"/>
      <c r="E487" s="3">
        <v>45280</v>
      </c>
      <c r="F487" s="3">
        <v>45532</v>
      </c>
      <c r="G487" s="29">
        <v>180</v>
      </c>
      <c r="H487" s="151">
        <v>180</v>
      </c>
      <c r="I487" s="151">
        <v>0</v>
      </c>
      <c r="J487" s="16" t="s">
        <v>865</v>
      </c>
      <c r="K487" s="10">
        <v>100000</v>
      </c>
      <c r="L487" s="10">
        <v>250200</v>
      </c>
      <c r="M487" s="21">
        <v>6950</v>
      </c>
      <c r="N487" s="9">
        <v>27800</v>
      </c>
      <c r="O487" s="9">
        <v>250200</v>
      </c>
      <c r="P487" s="10">
        <v>0</v>
      </c>
      <c r="Q487" s="152">
        <v>45537</v>
      </c>
    </row>
    <row r="488" spans="1:17" ht="46.5" thickBot="1" x14ac:dyDescent="0.3">
      <c r="A488" s="150">
        <v>2530</v>
      </c>
      <c r="B488" s="2" t="s">
        <v>337</v>
      </c>
      <c r="C488" s="2" t="s">
        <v>338</v>
      </c>
      <c r="D488" s="28"/>
      <c r="E488" s="3">
        <v>45369</v>
      </c>
      <c r="F488" s="3">
        <v>45537</v>
      </c>
      <c r="G488" s="29">
        <v>120</v>
      </c>
      <c r="H488" s="151">
        <v>120</v>
      </c>
      <c r="I488" s="151">
        <v>0</v>
      </c>
      <c r="J488" s="16" t="s">
        <v>866</v>
      </c>
      <c r="K488" s="7">
        <v>50000</v>
      </c>
      <c r="L488" s="7">
        <v>132000</v>
      </c>
      <c r="M488" s="8">
        <v>5500</v>
      </c>
      <c r="N488" s="9">
        <v>22000</v>
      </c>
      <c r="O488" s="9">
        <v>132000</v>
      </c>
      <c r="P488" s="10">
        <v>0</v>
      </c>
      <c r="Q488" s="152">
        <v>45537</v>
      </c>
    </row>
    <row r="489" spans="1:17" ht="35.25" thickBot="1" x14ac:dyDescent="0.3">
      <c r="A489" s="150">
        <v>2693</v>
      </c>
      <c r="B489" s="2" t="s">
        <v>562</v>
      </c>
      <c r="C489" s="2" t="s">
        <v>563</v>
      </c>
      <c r="D489" s="28"/>
      <c r="E489" s="3">
        <v>45477</v>
      </c>
      <c r="F489" s="3">
        <v>45505</v>
      </c>
      <c r="G489" s="29">
        <v>20</v>
      </c>
      <c r="H489" s="151" t="e">
        <v>#DIV/0!</v>
      </c>
      <c r="I489" s="151" t="e">
        <v>#DIV/0!</v>
      </c>
      <c r="J489" s="6" t="s">
        <v>550</v>
      </c>
      <c r="K489" s="7">
        <v>40000</v>
      </c>
      <c r="L489" s="7">
        <v>75000</v>
      </c>
      <c r="M489" s="21"/>
      <c r="N489" s="9">
        <v>50000</v>
      </c>
      <c r="O489" s="9">
        <v>80000</v>
      </c>
      <c r="P489" s="10">
        <v>-5000</v>
      </c>
      <c r="Q489" s="152">
        <v>45537</v>
      </c>
    </row>
    <row r="490" spans="1:17" ht="46.5" thickBot="1" x14ac:dyDescent="0.3">
      <c r="A490" s="150">
        <v>2534</v>
      </c>
      <c r="B490" s="2" t="s">
        <v>376</v>
      </c>
      <c r="C490" s="2"/>
      <c r="D490" s="28"/>
      <c r="E490" s="3">
        <v>45371</v>
      </c>
      <c r="F490" s="3">
        <v>45539</v>
      </c>
      <c r="G490" s="29">
        <v>120</v>
      </c>
      <c r="H490" s="151">
        <v>120</v>
      </c>
      <c r="I490" s="151">
        <v>0</v>
      </c>
      <c r="J490" s="6" t="s">
        <v>153</v>
      </c>
      <c r="K490" s="10">
        <v>100000</v>
      </c>
      <c r="L490" s="10">
        <v>264000</v>
      </c>
      <c r="M490" s="8">
        <v>11000</v>
      </c>
      <c r="N490" s="9">
        <v>44000</v>
      </c>
      <c r="O490" s="9">
        <v>264000</v>
      </c>
      <c r="P490" s="10">
        <v>0</v>
      </c>
      <c r="Q490" s="152">
        <v>45537</v>
      </c>
    </row>
    <row r="491" spans="1:17" ht="35.25" thickBot="1" x14ac:dyDescent="0.3">
      <c r="A491" s="150">
        <v>2612</v>
      </c>
      <c r="B491" s="2" t="s">
        <v>469</v>
      </c>
      <c r="C491" s="2" t="s">
        <v>470</v>
      </c>
      <c r="D491" s="28"/>
      <c r="E491" s="3">
        <v>45421</v>
      </c>
      <c r="F491" s="3">
        <v>45533</v>
      </c>
      <c r="G491" s="29">
        <v>80</v>
      </c>
      <c r="H491" s="151">
        <v>80</v>
      </c>
      <c r="I491" s="151">
        <v>0</v>
      </c>
      <c r="J491" s="6" t="s">
        <v>867</v>
      </c>
      <c r="K491" s="7">
        <v>100000</v>
      </c>
      <c r="L491" s="7">
        <v>216000</v>
      </c>
      <c r="M491" s="8">
        <v>13500</v>
      </c>
      <c r="N491" s="9">
        <v>54000</v>
      </c>
      <c r="O491" s="9">
        <v>216000</v>
      </c>
      <c r="P491" s="10">
        <v>0</v>
      </c>
      <c r="Q491" s="152">
        <v>45537</v>
      </c>
    </row>
    <row r="492" spans="1:17" ht="35.25" thickBot="1" x14ac:dyDescent="0.3">
      <c r="A492" s="150">
        <v>2760</v>
      </c>
      <c r="B492" s="2" t="s">
        <v>172</v>
      </c>
      <c r="C492" s="2" t="s">
        <v>173</v>
      </c>
      <c r="D492" s="28" t="s">
        <v>174</v>
      </c>
      <c r="E492" s="3">
        <v>45415</v>
      </c>
      <c r="F492" s="3">
        <v>45555</v>
      </c>
      <c r="G492" s="29">
        <v>100</v>
      </c>
      <c r="H492" s="151" t="e">
        <v>#DIV/0!</v>
      </c>
      <c r="I492" s="151" t="e">
        <v>#DIV/0!</v>
      </c>
      <c r="J492" s="6" t="s">
        <v>368</v>
      </c>
      <c r="K492" s="7">
        <v>20000</v>
      </c>
      <c r="L492" s="7">
        <v>30000</v>
      </c>
      <c r="M492" s="21"/>
      <c r="N492" s="9">
        <v>30000</v>
      </c>
      <c r="O492" s="9">
        <v>30000</v>
      </c>
      <c r="P492" s="10">
        <v>0</v>
      </c>
      <c r="Q492" s="152">
        <v>45545</v>
      </c>
    </row>
    <row r="493" spans="1:17" ht="46.5" thickBot="1" x14ac:dyDescent="0.3">
      <c r="A493" s="150">
        <v>2646</v>
      </c>
      <c r="B493" s="2" t="s">
        <v>179</v>
      </c>
      <c r="C493" s="2" t="s">
        <v>180</v>
      </c>
      <c r="D493" s="28"/>
      <c r="E493" s="3">
        <v>45436</v>
      </c>
      <c r="F493" s="3">
        <v>45538</v>
      </c>
      <c r="G493" s="29">
        <v>72</v>
      </c>
      <c r="H493" s="151">
        <v>72</v>
      </c>
      <c r="I493" s="151">
        <v>0</v>
      </c>
      <c r="J493" s="2" t="s">
        <v>318</v>
      </c>
      <c r="K493" s="7">
        <v>15000</v>
      </c>
      <c r="L493" s="7">
        <v>32400</v>
      </c>
      <c r="M493" s="8">
        <v>2250</v>
      </c>
      <c r="N493" s="9">
        <v>1250</v>
      </c>
      <c r="O493" s="9">
        <v>32400</v>
      </c>
      <c r="P493" s="10">
        <v>0</v>
      </c>
      <c r="Q493" s="152">
        <v>45545</v>
      </c>
    </row>
    <row r="494" spans="1:17" ht="35.25" thickBot="1" x14ac:dyDescent="0.3">
      <c r="A494" s="150">
        <v>2667</v>
      </c>
      <c r="B494" s="2" t="s">
        <v>204</v>
      </c>
      <c r="C494" s="2" t="s">
        <v>205</v>
      </c>
      <c r="D494" s="28"/>
      <c r="E494" s="3">
        <v>45461</v>
      </c>
      <c r="F494" s="3">
        <v>45545</v>
      </c>
      <c r="G494" s="29">
        <v>60</v>
      </c>
      <c r="H494" s="151">
        <v>60</v>
      </c>
      <c r="I494" s="151">
        <v>0</v>
      </c>
      <c r="J494" s="6" t="s">
        <v>868</v>
      </c>
      <c r="K494" s="19">
        <v>50000</v>
      </c>
      <c r="L494" s="7">
        <v>96000</v>
      </c>
      <c r="M494" s="21">
        <v>8000</v>
      </c>
      <c r="N494" s="9">
        <v>32000</v>
      </c>
      <c r="O494" s="9">
        <v>96000</v>
      </c>
      <c r="P494" s="10">
        <v>0</v>
      </c>
      <c r="Q494" s="152">
        <v>45545</v>
      </c>
    </row>
    <row r="495" spans="1:17" ht="24" thickBot="1" x14ac:dyDescent="0.3">
      <c r="A495" s="150">
        <v>2620</v>
      </c>
      <c r="B495" s="2" t="s">
        <v>327</v>
      </c>
      <c r="C495" s="2"/>
      <c r="D495" s="28"/>
      <c r="E495" s="3">
        <v>45423</v>
      </c>
      <c r="F495" s="3">
        <v>45524</v>
      </c>
      <c r="G495" s="29">
        <v>72</v>
      </c>
      <c r="H495" s="151">
        <v>72</v>
      </c>
      <c r="I495" s="151">
        <v>0</v>
      </c>
      <c r="J495" s="2" t="s">
        <v>309</v>
      </c>
      <c r="K495" s="7">
        <v>40000</v>
      </c>
      <c r="L495" s="7">
        <v>86400</v>
      </c>
      <c r="M495" s="21">
        <v>6000</v>
      </c>
      <c r="N495" s="9">
        <v>7650</v>
      </c>
      <c r="O495" s="9">
        <v>86400</v>
      </c>
      <c r="P495" s="10">
        <v>0</v>
      </c>
      <c r="Q495" s="152">
        <v>45545</v>
      </c>
    </row>
    <row r="496" spans="1:17" ht="35.25" thickBot="1" x14ac:dyDescent="0.3">
      <c r="A496" s="150">
        <v>2552</v>
      </c>
      <c r="B496" s="2" t="s">
        <v>560</v>
      </c>
      <c r="C496" s="2" t="s">
        <v>561</v>
      </c>
      <c r="D496" s="28"/>
      <c r="E496" s="3">
        <v>45384</v>
      </c>
      <c r="F496" s="3">
        <v>45484</v>
      </c>
      <c r="G496" s="29">
        <v>72</v>
      </c>
      <c r="H496" s="151">
        <v>72</v>
      </c>
      <c r="I496" s="151">
        <v>0</v>
      </c>
      <c r="J496" s="2" t="s">
        <v>309</v>
      </c>
      <c r="K496" s="7">
        <v>40000</v>
      </c>
      <c r="L496" s="7">
        <v>86400</v>
      </c>
      <c r="M496" s="8">
        <v>6000</v>
      </c>
      <c r="N496" s="9">
        <v>8700</v>
      </c>
      <c r="O496" s="9">
        <v>86400</v>
      </c>
      <c r="P496" s="10">
        <v>0</v>
      </c>
      <c r="Q496" s="152">
        <v>45545</v>
      </c>
    </row>
    <row r="497" spans="1:17" ht="46.5" thickBot="1" x14ac:dyDescent="0.3">
      <c r="A497" s="150">
        <v>2587</v>
      </c>
      <c r="B497" s="2" t="s">
        <v>594</v>
      </c>
      <c r="C497" s="2" t="s">
        <v>360</v>
      </c>
      <c r="D497" s="28"/>
      <c r="E497" s="3">
        <v>45402</v>
      </c>
      <c r="F497" s="3">
        <v>45555</v>
      </c>
      <c r="G497" s="29">
        <v>110</v>
      </c>
      <c r="H497" s="151">
        <v>110</v>
      </c>
      <c r="I497" s="151">
        <v>0</v>
      </c>
      <c r="J497" s="2" t="s">
        <v>869</v>
      </c>
      <c r="K497" s="10">
        <v>40000</v>
      </c>
      <c r="L497" s="10">
        <v>105600</v>
      </c>
      <c r="M497" s="8">
        <v>4800</v>
      </c>
      <c r="N497" s="9">
        <v>22800</v>
      </c>
      <c r="O497" s="9">
        <v>105600</v>
      </c>
      <c r="P497" s="10">
        <v>0</v>
      </c>
      <c r="Q497" s="152">
        <v>45545</v>
      </c>
    </row>
    <row r="498" spans="1:17" ht="15.75" thickBot="1" x14ac:dyDescent="0.3">
      <c r="A498" s="150">
        <v>2777</v>
      </c>
      <c r="B498" s="2" t="s">
        <v>367</v>
      </c>
      <c r="C498" s="2"/>
      <c r="D498" s="28"/>
      <c r="E498" s="3">
        <v>45526</v>
      </c>
      <c r="F498" s="3">
        <v>45547</v>
      </c>
      <c r="G498" s="29">
        <v>15</v>
      </c>
      <c r="H498" s="151" t="e">
        <v>#DIV/0!</v>
      </c>
      <c r="I498" s="151" t="e">
        <v>#DIV/0!</v>
      </c>
      <c r="J498" s="6" t="s">
        <v>403</v>
      </c>
      <c r="K498" s="7">
        <v>60000</v>
      </c>
      <c r="L498" s="7">
        <v>96000</v>
      </c>
      <c r="M498" s="21"/>
      <c r="N498" s="9">
        <v>96000</v>
      </c>
      <c r="O498" s="9">
        <v>96000</v>
      </c>
      <c r="P498" s="10">
        <v>0</v>
      </c>
      <c r="Q498" s="152">
        <v>45547</v>
      </c>
    </row>
    <row r="499" spans="1:17" ht="15.75" thickBot="1" x14ac:dyDescent="0.3">
      <c r="A499" s="150">
        <v>2786</v>
      </c>
      <c r="B499" s="2" t="s">
        <v>367</v>
      </c>
      <c r="C499" s="2"/>
      <c r="D499" s="28"/>
      <c r="E499" s="3">
        <v>45535</v>
      </c>
      <c r="F499" s="3">
        <v>45548</v>
      </c>
      <c r="G499" s="29">
        <v>10</v>
      </c>
      <c r="H499" s="151" t="e">
        <v>#DIV/0!</v>
      </c>
      <c r="I499" s="151" t="e">
        <v>#DIV/0!</v>
      </c>
      <c r="J499" s="6" t="s">
        <v>403</v>
      </c>
      <c r="K499" s="7">
        <v>20000</v>
      </c>
      <c r="L499" s="7">
        <v>30000</v>
      </c>
      <c r="M499" s="8"/>
      <c r="N499" s="9">
        <v>30000</v>
      </c>
      <c r="O499" s="9">
        <v>30000</v>
      </c>
      <c r="P499" s="10">
        <v>0</v>
      </c>
      <c r="Q499" s="152">
        <v>45547</v>
      </c>
    </row>
    <row r="500" spans="1:17" ht="46.5" thickBot="1" x14ac:dyDescent="0.3">
      <c r="A500" s="150">
        <v>2543</v>
      </c>
      <c r="B500" s="2" t="s">
        <v>543</v>
      </c>
      <c r="C500" s="2" t="s">
        <v>544</v>
      </c>
      <c r="D500" s="28">
        <v>20407921802</v>
      </c>
      <c r="E500" s="3" t="s">
        <v>545</v>
      </c>
      <c r="F500" s="3" t="e">
        <v>#VALUE!</v>
      </c>
      <c r="G500" s="29">
        <v>120</v>
      </c>
      <c r="H500" s="151">
        <v>120</v>
      </c>
      <c r="I500" s="151">
        <v>0</v>
      </c>
      <c r="J500" s="6" t="s">
        <v>383</v>
      </c>
      <c r="K500" s="7">
        <v>50000</v>
      </c>
      <c r="L500" s="7">
        <v>132000</v>
      </c>
      <c r="M500" s="21">
        <v>5500</v>
      </c>
      <c r="N500" s="9">
        <v>22000</v>
      </c>
      <c r="O500" s="9">
        <v>132000</v>
      </c>
      <c r="P500" s="10">
        <v>0</v>
      </c>
      <c r="Q500" s="152">
        <v>45547</v>
      </c>
    </row>
    <row r="501" spans="1:17" ht="35.25" thickBot="1" x14ac:dyDescent="0.3">
      <c r="A501" s="150">
        <v>2638</v>
      </c>
      <c r="B501" s="2" t="s">
        <v>546</v>
      </c>
      <c r="C501" s="2" t="s">
        <v>547</v>
      </c>
      <c r="D501" s="28"/>
      <c r="E501" s="3">
        <v>45289</v>
      </c>
      <c r="F501" s="3">
        <v>45401</v>
      </c>
      <c r="G501" s="29">
        <v>80</v>
      </c>
      <c r="H501" s="151">
        <v>80</v>
      </c>
      <c r="I501" s="151">
        <v>0</v>
      </c>
      <c r="J501" s="6" t="s">
        <v>548</v>
      </c>
      <c r="K501" s="18">
        <v>20000</v>
      </c>
      <c r="L501" s="7">
        <v>43200</v>
      </c>
      <c r="M501" s="21">
        <v>2700</v>
      </c>
      <c r="N501" s="9">
        <v>10800</v>
      </c>
      <c r="O501" s="9">
        <v>43200</v>
      </c>
      <c r="P501" s="10">
        <v>0</v>
      </c>
      <c r="Q501" s="152">
        <v>45547</v>
      </c>
    </row>
    <row r="502" spans="1:17" ht="15.75" thickBot="1" x14ac:dyDescent="0.3">
      <c r="A502" s="150">
        <v>2759</v>
      </c>
      <c r="B502" s="2" t="s">
        <v>549</v>
      </c>
      <c r="C502" s="2"/>
      <c r="D502" s="28"/>
      <c r="E502" s="3">
        <v>45518</v>
      </c>
      <c r="F502" s="3">
        <v>45537</v>
      </c>
      <c r="G502" s="29">
        <v>13</v>
      </c>
      <c r="H502" s="151" t="e">
        <v>#DIV/0!</v>
      </c>
      <c r="I502" s="151" t="e">
        <v>#DIV/0!</v>
      </c>
      <c r="J502" s="2" t="s">
        <v>550</v>
      </c>
      <c r="K502" s="7">
        <v>40000</v>
      </c>
      <c r="L502" s="7">
        <v>64000</v>
      </c>
      <c r="M502" s="21"/>
      <c r="N502" s="9">
        <v>64000</v>
      </c>
      <c r="O502" s="9">
        <v>64000</v>
      </c>
      <c r="P502" s="10">
        <v>0</v>
      </c>
      <c r="Q502" s="152">
        <v>45547</v>
      </c>
    </row>
    <row r="503" spans="1:17" ht="35.25" thickBot="1" x14ac:dyDescent="0.3">
      <c r="A503" s="150">
        <v>2713</v>
      </c>
      <c r="B503" s="2" t="s">
        <v>551</v>
      </c>
      <c r="C503" s="2"/>
      <c r="D503" s="28"/>
      <c r="E503" s="3">
        <v>45488</v>
      </c>
      <c r="F503" s="3">
        <v>45516</v>
      </c>
      <c r="G503" s="29">
        <v>20</v>
      </c>
      <c r="H503" s="151" t="e">
        <v>#DIV/0!</v>
      </c>
      <c r="I503" s="151" t="e">
        <v>#DIV/0!</v>
      </c>
      <c r="J503" s="6" t="s">
        <v>550</v>
      </c>
      <c r="K503" s="7">
        <v>40000</v>
      </c>
      <c r="L503" s="7">
        <v>64000</v>
      </c>
      <c r="M503" s="8"/>
      <c r="N503" s="9">
        <v>4000</v>
      </c>
      <c r="O503" s="9">
        <v>64000</v>
      </c>
      <c r="P503" s="10">
        <v>0</v>
      </c>
      <c r="Q503" s="152">
        <v>45547</v>
      </c>
    </row>
    <row r="504" spans="1:17" ht="35.25" thickBot="1" x14ac:dyDescent="0.3">
      <c r="A504" s="150">
        <v>2736</v>
      </c>
      <c r="B504" s="2" t="s">
        <v>551</v>
      </c>
      <c r="C504" s="2"/>
      <c r="D504" s="28"/>
      <c r="E504" s="3">
        <v>45503</v>
      </c>
      <c r="F504" s="3">
        <v>45524</v>
      </c>
      <c r="G504" s="29">
        <v>15</v>
      </c>
      <c r="H504" s="151" t="e">
        <v>#DIV/0!</v>
      </c>
      <c r="I504" s="151" t="e">
        <v>#DIV/0!</v>
      </c>
      <c r="J504" s="6" t="s">
        <v>550</v>
      </c>
      <c r="K504" s="7">
        <v>20000</v>
      </c>
      <c r="L504" s="7">
        <v>30000</v>
      </c>
      <c r="M504" s="8"/>
      <c r="N504" s="9">
        <v>30000</v>
      </c>
      <c r="O504" s="9">
        <v>30000</v>
      </c>
      <c r="P504" s="10">
        <v>0</v>
      </c>
      <c r="Q504" s="152">
        <v>45547</v>
      </c>
    </row>
    <row r="505" spans="1:17" ht="35.25" thickBot="1" x14ac:dyDescent="0.3">
      <c r="A505" s="150">
        <v>2744</v>
      </c>
      <c r="B505" s="2" t="s">
        <v>551</v>
      </c>
      <c r="C505" s="2"/>
      <c r="D505" s="28"/>
      <c r="E505" s="3">
        <v>45509</v>
      </c>
      <c r="F505" s="3">
        <v>45523</v>
      </c>
      <c r="G505" s="29">
        <v>10</v>
      </c>
      <c r="H505" s="151" t="e">
        <v>#DIV/0!</v>
      </c>
      <c r="I505" s="151" t="e">
        <v>#DIV/0!</v>
      </c>
      <c r="J505" s="6" t="s">
        <v>550</v>
      </c>
      <c r="K505" s="7">
        <v>10000</v>
      </c>
      <c r="L505" s="7">
        <v>16000</v>
      </c>
      <c r="M505" s="8"/>
      <c r="N505" s="9">
        <v>16000</v>
      </c>
      <c r="O505" s="9">
        <v>16000</v>
      </c>
      <c r="P505" s="10">
        <v>0</v>
      </c>
      <c r="Q505" s="152">
        <v>45547</v>
      </c>
    </row>
    <row r="506" spans="1:17" ht="57.75" thickBot="1" x14ac:dyDescent="0.3">
      <c r="A506" s="150">
        <v>2540</v>
      </c>
      <c r="B506" s="2" t="s">
        <v>552</v>
      </c>
      <c r="C506" s="2" t="s">
        <v>414</v>
      </c>
      <c r="D506" s="28"/>
      <c r="E506" s="3">
        <v>45374</v>
      </c>
      <c r="F506" s="3">
        <f>WORKDAY(E506,G506)</f>
        <v>45475</v>
      </c>
      <c r="G506" s="29">
        <v>72</v>
      </c>
      <c r="H506" s="151">
        <f>(DI506* 5)/M506</f>
        <v>0</v>
      </c>
      <c r="I506" s="151">
        <f>G506-H506</f>
        <v>72</v>
      </c>
      <c r="J506" s="2" t="s">
        <v>181</v>
      </c>
      <c r="K506" s="10">
        <v>30000</v>
      </c>
      <c r="L506" s="10">
        <v>64800</v>
      </c>
      <c r="M506" s="8">
        <f>(L506/G506)*5</f>
        <v>4500</v>
      </c>
      <c r="N506" s="153"/>
      <c r="O506" s="9">
        <v>65200</v>
      </c>
      <c r="P506" s="10">
        <v>-400</v>
      </c>
      <c r="Q506" s="152">
        <v>45547</v>
      </c>
    </row>
    <row r="507" spans="1:17" ht="80.25" thickBot="1" x14ac:dyDescent="0.3">
      <c r="A507" s="150">
        <v>2622</v>
      </c>
      <c r="B507" s="2" t="s">
        <v>553</v>
      </c>
      <c r="C507" s="2" t="s">
        <v>414</v>
      </c>
      <c r="D507" s="28"/>
      <c r="E507" s="3">
        <v>45425</v>
      </c>
      <c r="F507" s="3">
        <v>45525</v>
      </c>
      <c r="G507" s="29">
        <v>72</v>
      </c>
      <c r="H507" s="151">
        <v>73.400000000000006</v>
      </c>
      <c r="I507" s="151">
        <v>-1.4000000000000057</v>
      </c>
      <c r="J507" s="2" t="s">
        <v>227</v>
      </c>
      <c r="K507" s="7">
        <v>50000</v>
      </c>
      <c r="L507" s="7">
        <v>108000</v>
      </c>
      <c r="M507" s="21">
        <v>7500</v>
      </c>
      <c r="N507" s="9">
        <v>7500</v>
      </c>
      <c r="O507" s="9">
        <v>110100</v>
      </c>
      <c r="P507" s="10">
        <v>-2100</v>
      </c>
      <c r="Q507" s="152">
        <v>45547</v>
      </c>
    </row>
    <row r="508" spans="1:17" ht="35.25" thickBot="1" x14ac:dyDescent="0.3">
      <c r="A508" s="150">
        <v>2531</v>
      </c>
      <c r="B508" s="2" t="s">
        <v>444</v>
      </c>
      <c r="C508" s="2" t="s">
        <v>554</v>
      </c>
      <c r="D508" s="28"/>
      <c r="E508" s="3">
        <v>45370</v>
      </c>
      <c r="F508" s="3">
        <v>45468</v>
      </c>
      <c r="G508" s="29">
        <v>70</v>
      </c>
      <c r="H508" s="151">
        <v>70.879629629629633</v>
      </c>
      <c r="I508" s="151">
        <v>-0.87962962962963331</v>
      </c>
      <c r="J508" s="2" t="s">
        <v>555</v>
      </c>
      <c r="K508" s="7">
        <v>70000</v>
      </c>
      <c r="L508" s="7">
        <v>151200</v>
      </c>
      <c r="M508" s="8">
        <v>10800</v>
      </c>
      <c r="N508" s="9">
        <v>8000</v>
      </c>
      <c r="O508" s="9">
        <v>153100</v>
      </c>
      <c r="P508" s="10">
        <v>-1900</v>
      </c>
      <c r="Q508" s="152">
        <v>45547</v>
      </c>
    </row>
    <row r="509" spans="1:17" ht="24" thickBot="1" x14ac:dyDescent="0.3">
      <c r="A509" s="150">
        <v>2796</v>
      </c>
      <c r="B509" s="2" t="s">
        <v>707</v>
      </c>
      <c r="C509" s="2"/>
      <c r="D509" s="28"/>
      <c r="E509" s="3">
        <v>45542</v>
      </c>
      <c r="F509" s="3">
        <v>45548</v>
      </c>
      <c r="G509" s="29">
        <v>5</v>
      </c>
      <c r="H509" s="151" t="e">
        <v>#DIV/0!</v>
      </c>
      <c r="I509" s="151" t="e">
        <v>#DIV/0!</v>
      </c>
      <c r="J509" s="6" t="s">
        <v>403</v>
      </c>
      <c r="K509" s="20">
        <v>30000</v>
      </c>
      <c r="L509" s="7">
        <v>39000</v>
      </c>
      <c r="M509" s="8"/>
      <c r="N509" s="184">
        <v>39000</v>
      </c>
      <c r="O509" s="9">
        <v>39000</v>
      </c>
      <c r="P509" s="10">
        <v>0</v>
      </c>
      <c r="Q509" s="152">
        <v>45548</v>
      </c>
    </row>
    <row r="510" spans="1:17" ht="24" thickBot="1" x14ac:dyDescent="0.3">
      <c r="A510" s="150">
        <v>2635</v>
      </c>
      <c r="B510" s="2" t="s">
        <v>166</v>
      </c>
      <c r="C510" s="2"/>
      <c r="D510" s="28"/>
      <c r="E510" s="3">
        <v>45436</v>
      </c>
      <c r="F510" s="3">
        <v>45548</v>
      </c>
      <c r="G510" s="29">
        <v>80</v>
      </c>
      <c r="H510" s="151">
        <v>80</v>
      </c>
      <c r="I510" s="151">
        <v>0</v>
      </c>
      <c r="J510" s="6" t="s">
        <v>790</v>
      </c>
      <c r="K510" s="7">
        <v>20000</v>
      </c>
      <c r="L510" s="7">
        <v>43200</v>
      </c>
      <c r="M510" s="8">
        <v>2700</v>
      </c>
      <c r="N510" s="9">
        <v>11600</v>
      </c>
      <c r="O510" s="9">
        <v>43200</v>
      </c>
      <c r="P510" s="10">
        <v>0</v>
      </c>
      <c r="Q510" s="152">
        <v>45551</v>
      </c>
    </row>
    <row r="511" spans="1:17" ht="91.5" thickBot="1" x14ac:dyDescent="0.3">
      <c r="A511" s="150">
        <v>2628</v>
      </c>
      <c r="B511" s="2" t="s">
        <v>870</v>
      </c>
      <c r="C511" s="2" t="s">
        <v>871</v>
      </c>
      <c r="D511" s="28"/>
      <c r="E511" s="3">
        <v>45429</v>
      </c>
      <c r="F511" s="3">
        <v>45597</v>
      </c>
      <c r="G511" s="29">
        <v>120</v>
      </c>
      <c r="H511" s="151">
        <v>120</v>
      </c>
      <c r="I511" s="151">
        <v>0</v>
      </c>
      <c r="J511" s="490" t="s">
        <v>848</v>
      </c>
      <c r="K511" s="7">
        <v>100000</v>
      </c>
      <c r="L511" s="7">
        <v>264000</v>
      </c>
      <c r="M511" s="8">
        <v>11000</v>
      </c>
      <c r="N511" s="9">
        <v>126000</v>
      </c>
      <c r="O511" s="9">
        <v>264000</v>
      </c>
      <c r="P511" s="10">
        <v>0</v>
      </c>
      <c r="Q511" s="152">
        <v>45551</v>
      </c>
    </row>
    <row r="512" spans="1:17" ht="35.25" thickBot="1" x14ac:dyDescent="0.3">
      <c r="A512" s="150">
        <v>2223</v>
      </c>
      <c r="B512" s="2" t="s">
        <v>246</v>
      </c>
      <c r="C512" s="2" t="s">
        <v>247</v>
      </c>
      <c r="D512" s="28">
        <v>27212523</v>
      </c>
      <c r="E512" s="3">
        <v>45161</v>
      </c>
      <c r="F512" s="3">
        <v>45315</v>
      </c>
      <c r="G512" s="29">
        <v>110</v>
      </c>
      <c r="H512" s="151">
        <v>118.625</v>
      </c>
      <c r="I512" s="151">
        <v>-8.625</v>
      </c>
      <c r="J512" s="2" t="s">
        <v>737</v>
      </c>
      <c r="K512" s="7">
        <v>50000</v>
      </c>
      <c r="L512" s="7">
        <v>132000</v>
      </c>
      <c r="M512" s="8">
        <v>6000</v>
      </c>
      <c r="N512" s="9">
        <v>34000</v>
      </c>
      <c r="O512" s="9">
        <v>142350</v>
      </c>
      <c r="P512" s="10">
        <v>-10350</v>
      </c>
      <c r="Q512" s="152">
        <v>45551</v>
      </c>
    </row>
    <row r="513" spans="1:17" ht="57.75" thickBot="1" x14ac:dyDescent="0.3">
      <c r="A513" s="150">
        <v>2629</v>
      </c>
      <c r="B513" s="2" t="s">
        <v>290</v>
      </c>
      <c r="C513" s="2" t="s">
        <v>291</v>
      </c>
      <c r="D513" s="28"/>
      <c r="E513" s="3">
        <v>45429</v>
      </c>
      <c r="F513" s="3">
        <v>45541</v>
      </c>
      <c r="G513" s="29">
        <v>80</v>
      </c>
      <c r="H513" s="151">
        <v>80</v>
      </c>
      <c r="I513" s="151">
        <v>0</v>
      </c>
      <c r="J513" s="6" t="s">
        <v>273</v>
      </c>
      <c r="K513" s="10">
        <v>100000</v>
      </c>
      <c r="L513" s="10">
        <v>216000</v>
      </c>
      <c r="M513" s="8">
        <v>13500</v>
      </c>
      <c r="N513" s="9">
        <v>54200</v>
      </c>
      <c r="O513" s="9">
        <v>216000</v>
      </c>
      <c r="P513" s="10">
        <v>0</v>
      </c>
      <c r="Q513" s="152">
        <v>45551</v>
      </c>
    </row>
    <row r="514" spans="1:17" ht="35.25" thickBot="1" x14ac:dyDescent="0.3">
      <c r="A514" s="150">
        <v>2230</v>
      </c>
      <c r="B514" s="2" t="s">
        <v>872</v>
      </c>
      <c r="C514" s="2" t="s">
        <v>873</v>
      </c>
      <c r="D514" s="28"/>
      <c r="E514" s="3">
        <v>45166</v>
      </c>
      <c r="F514" s="3">
        <v>45418</v>
      </c>
      <c r="G514" s="29">
        <v>180</v>
      </c>
      <c r="H514" s="151">
        <v>189.61538461538461</v>
      </c>
      <c r="I514" s="151">
        <v>-9.6153846153846132</v>
      </c>
      <c r="J514" s="16" t="s">
        <v>874</v>
      </c>
      <c r="K514" s="7">
        <v>200000</v>
      </c>
      <c r="L514" s="7">
        <v>468000</v>
      </c>
      <c r="M514" s="8">
        <v>13000</v>
      </c>
      <c r="N514" s="9">
        <v>76000</v>
      </c>
      <c r="O514" s="9">
        <v>493000</v>
      </c>
      <c r="P514" s="10">
        <v>-25000</v>
      </c>
      <c r="Q514" s="152">
        <v>45551</v>
      </c>
    </row>
    <row r="515" spans="1:17" ht="24" thickBot="1" x14ac:dyDescent="0.3">
      <c r="A515" s="150">
        <v>2806</v>
      </c>
      <c r="B515" s="2" t="s">
        <v>707</v>
      </c>
      <c r="C515" s="2"/>
      <c r="D515" s="28"/>
      <c r="E515" s="3">
        <v>45549</v>
      </c>
      <c r="F515" s="3">
        <v>45555</v>
      </c>
      <c r="G515" s="29">
        <v>5</v>
      </c>
      <c r="H515" s="151" t="e">
        <v>#DIV/0!</v>
      </c>
      <c r="I515" s="151" t="e">
        <v>#DIV/0!</v>
      </c>
      <c r="J515" s="6" t="s">
        <v>403</v>
      </c>
      <c r="K515" s="177">
        <v>30000</v>
      </c>
      <c r="L515" s="10">
        <v>39000</v>
      </c>
      <c r="M515" s="21"/>
      <c r="N515" s="9">
        <v>39000</v>
      </c>
      <c r="O515" s="9">
        <v>39000</v>
      </c>
      <c r="P515" s="10">
        <v>0</v>
      </c>
      <c r="Q515" s="152">
        <v>45551</v>
      </c>
    </row>
    <row r="516" spans="1:17" ht="46.5" thickBot="1" x14ac:dyDescent="0.3">
      <c r="A516" s="150">
        <v>2532</v>
      </c>
      <c r="B516" s="2" t="s">
        <v>321</v>
      </c>
      <c r="C516" s="2" t="s">
        <v>322</v>
      </c>
      <c r="D516" s="28"/>
      <c r="E516" s="3">
        <v>45371</v>
      </c>
      <c r="F516" s="3">
        <v>45539</v>
      </c>
      <c r="G516" s="29">
        <v>120</v>
      </c>
      <c r="H516" s="151">
        <v>115.13095238095238</v>
      </c>
      <c r="I516" s="151">
        <v>4.8690476190476204</v>
      </c>
      <c r="J516" s="6" t="s">
        <v>795</v>
      </c>
      <c r="K516" s="7">
        <v>70000</v>
      </c>
      <c r="L516" s="7">
        <v>184800</v>
      </c>
      <c r="M516" s="21">
        <v>8400</v>
      </c>
      <c r="N516" s="9">
        <v>100000</v>
      </c>
      <c r="O516" s="9">
        <v>193420</v>
      </c>
      <c r="P516" s="10">
        <v>-8620</v>
      </c>
      <c r="Q516" s="152">
        <v>45551</v>
      </c>
    </row>
    <row r="517" spans="1:17" ht="24" thickBot="1" x14ac:dyDescent="0.3">
      <c r="A517" s="150">
        <v>2715</v>
      </c>
      <c r="B517" s="2" t="s">
        <v>189</v>
      </c>
      <c r="C517" s="2"/>
      <c r="D517" s="28">
        <v>24016318</v>
      </c>
      <c r="E517" s="3">
        <v>45490</v>
      </c>
      <c r="F517" s="3">
        <v>45574</v>
      </c>
      <c r="G517" s="182">
        <v>60</v>
      </c>
      <c r="H517" s="151">
        <v>60</v>
      </c>
      <c r="I517" s="151">
        <v>0</v>
      </c>
      <c r="J517" s="6" t="s">
        <v>875</v>
      </c>
      <c r="K517" s="7">
        <v>500000</v>
      </c>
      <c r="L517" s="7">
        <v>900000</v>
      </c>
      <c r="M517" s="21">
        <v>75000</v>
      </c>
      <c r="N517" s="9">
        <v>590000</v>
      </c>
      <c r="O517" s="9">
        <v>900000</v>
      </c>
      <c r="P517" s="10">
        <v>0</v>
      </c>
      <c r="Q517" s="152">
        <v>45558</v>
      </c>
    </row>
    <row r="518" spans="1:17" ht="24" thickBot="1" x14ac:dyDescent="0.3">
      <c r="A518" s="150">
        <v>2457</v>
      </c>
      <c r="B518" s="2" t="s">
        <v>195</v>
      </c>
      <c r="C518" s="2" t="s">
        <v>196</v>
      </c>
      <c r="D518" s="28"/>
      <c r="E518" s="186">
        <v>45327</v>
      </c>
      <c r="F518" s="3">
        <v>45509</v>
      </c>
      <c r="G518" s="29">
        <v>130</v>
      </c>
      <c r="H518" s="151">
        <v>124.86136363636363</v>
      </c>
      <c r="I518" s="151">
        <v>5.1386363636363654</v>
      </c>
      <c r="J518" s="16" t="s">
        <v>876</v>
      </c>
      <c r="K518" s="10">
        <v>200000</v>
      </c>
      <c r="L518" s="10">
        <v>528000</v>
      </c>
      <c r="M518" s="21">
        <v>22000</v>
      </c>
      <c r="N518" s="9">
        <v>44000</v>
      </c>
      <c r="O518" s="9">
        <v>549390</v>
      </c>
      <c r="P518" s="10">
        <v>-21390</v>
      </c>
      <c r="Q518" s="152">
        <v>45558</v>
      </c>
    </row>
    <row r="519" spans="1:17" ht="35.25" thickBot="1" x14ac:dyDescent="0.3">
      <c r="A519" s="150">
        <v>2602</v>
      </c>
      <c r="B519" s="2" t="s">
        <v>242</v>
      </c>
      <c r="C519" s="2" t="s">
        <v>243</v>
      </c>
      <c r="D519" s="28"/>
      <c r="E519" s="3">
        <v>45261</v>
      </c>
      <c r="F519" s="3">
        <v>45429</v>
      </c>
      <c r="G519" s="29">
        <v>120</v>
      </c>
      <c r="H519" s="151">
        <v>120</v>
      </c>
      <c r="I519" s="151">
        <v>0</v>
      </c>
      <c r="J519" s="6" t="s">
        <v>877</v>
      </c>
      <c r="K519" s="7">
        <v>100000</v>
      </c>
      <c r="L519" s="7">
        <v>264000</v>
      </c>
      <c r="M519" s="8">
        <v>11000</v>
      </c>
      <c r="N519" s="9">
        <v>88000</v>
      </c>
      <c r="O519" s="9">
        <v>264000</v>
      </c>
      <c r="P519" s="10">
        <v>0</v>
      </c>
      <c r="Q519" s="152">
        <v>45558</v>
      </c>
    </row>
    <row r="520" spans="1:17" ht="35.25" thickBot="1" x14ac:dyDescent="0.3">
      <c r="A520" s="150">
        <v>2647</v>
      </c>
      <c r="B520" s="2" t="s">
        <v>242</v>
      </c>
      <c r="C520" s="2" t="s">
        <v>243</v>
      </c>
      <c r="D520" s="28"/>
      <c r="E520" s="3">
        <v>45441</v>
      </c>
      <c r="F520" s="3">
        <v>45553</v>
      </c>
      <c r="G520" s="29">
        <v>80</v>
      </c>
      <c r="H520" s="151">
        <v>80</v>
      </c>
      <c r="I520" s="151">
        <v>0</v>
      </c>
      <c r="J520" s="6" t="s">
        <v>878</v>
      </c>
      <c r="K520" s="7">
        <v>10000</v>
      </c>
      <c r="L520" s="7">
        <v>21600</v>
      </c>
      <c r="M520" s="21">
        <v>1350</v>
      </c>
      <c r="N520" s="9">
        <v>5400</v>
      </c>
      <c r="O520" s="9">
        <v>21600</v>
      </c>
      <c r="P520" s="10">
        <v>0</v>
      </c>
      <c r="Q520" s="152">
        <v>45558</v>
      </c>
    </row>
    <row r="521" spans="1:17" ht="35.25" thickBot="1" x14ac:dyDescent="0.3">
      <c r="A521" s="150">
        <v>2657</v>
      </c>
      <c r="B521" s="2" t="s">
        <v>242</v>
      </c>
      <c r="C521" s="2" t="s">
        <v>243</v>
      </c>
      <c r="D521" s="28"/>
      <c r="E521" s="3">
        <v>45450</v>
      </c>
      <c r="F521" s="3">
        <v>45562</v>
      </c>
      <c r="G521" s="29">
        <v>80</v>
      </c>
      <c r="H521" s="151">
        <v>80</v>
      </c>
      <c r="I521" s="151">
        <v>0</v>
      </c>
      <c r="J521" s="6" t="s">
        <v>879</v>
      </c>
      <c r="K521" s="7">
        <v>20000</v>
      </c>
      <c r="L521" s="7">
        <v>43200</v>
      </c>
      <c r="M521" s="8">
        <v>2700</v>
      </c>
      <c r="N521" s="9">
        <v>10800</v>
      </c>
      <c r="O521" s="9">
        <v>43200</v>
      </c>
      <c r="P521" s="10">
        <v>0</v>
      </c>
      <c r="Q521" s="152">
        <v>45558</v>
      </c>
    </row>
    <row r="522" spans="1:17" ht="24" thickBot="1" x14ac:dyDescent="0.3">
      <c r="A522" s="150">
        <v>2645</v>
      </c>
      <c r="B522" s="2" t="s">
        <v>707</v>
      </c>
      <c r="C522" s="2"/>
      <c r="D522" s="28"/>
      <c r="E522" s="3">
        <v>45441</v>
      </c>
      <c r="F522" s="3">
        <v>45541</v>
      </c>
      <c r="G522" s="29">
        <v>72</v>
      </c>
      <c r="H522" s="151">
        <v>72</v>
      </c>
      <c r="I522" s="151">
        <v>0</v>
      </c>
      <c r="J522" s="2" t="s">
        <v>227</v>
      </c>
      <c r="K522" s="177">
        <v>50000</v>
      </c>
      <c r="L522" s="10">
        <v>108000</v>
      </c>
      <c r="M522" s="8">
        <v>7500</v>
      </c>
      <c r="N522" s="9">
        <v>10500</v>
      </c>
      <c r="O522" s="9">
        <v>108000</v>
      </c>
      <c r="P522" s="10">
        <v>0</v>
      </c>
      <c r="Q522" s="152">
        <v>45558</v>
      </c>
    </row>
    <row r="523" spans="1:17" ht="24" thickBot="1" x14ac:dyDescent="0.3">
      <c r="A523" s="150">
        <v>2819</v>
      </c>
      <c r="B523" s="2" t="s">
        <v>707</v>
      </c>
      <c r="C523" s="2"/>
      <c r="D523" s="28"/>
      <c r="E523" s="3">
        <v>45556</v>
      </c>
      <c r="F523" s="3">
        <v>45562</v>
      </c>
      <c r="G523" s="29">
        <v>5</v>
      </c>
      <c r="H523" s="151" t="e">
        <v>#DIV/0!</v>
      </c>
      <c r="I523" s="151" t="e">
        <v>#DIV/0!</v>
      </c>
      <c r="J523" s="6" t="s">
        <v>403</v>
      </c>
      <c r="K523" s="177">
        <v>30000</v>
      </c>
      <c r="L523" s="10">
        <v>39000</v>
      </c>
      <c r="M523" s="8"/>
      <c r="N523" s="9">
        <v>39000</v>
      </c>
      <c r="O523" s="9">
        <v>39000</v>
      </c>
      <c r="P523" s="10">
        <v>0</v>
      </c>
      <c r="Q523" s="152">
        <v>45558</v>
      </c>
    </row>
    <row r="524" spans="1:17" ht="57.75" thickBot="1" x14ac:dyDescent="0.3">
      <c r="A524" s="150">
        <v>2664</v>
      </c>
      <c r="B524" s="2" t="s">
        <v>345</v>
      </c>
      <c r="C524" s="2" t="s">
        <v>346</v>
      </c>
      <c r="D524" s="28"/>
      <c r="E524" s="3">
        <v>45456</v>
      </c>
      <c r="F524" s="3">
        <v>45558</v>
      </c>
      <c r="G524" s="29">
        <v>72</v>
      </c>
      <c r="H524" s="151">
        <v>72</v>
      </c>
      <c r="I524" s="151">
        <v>0</v>
      </c>
      <c r="J524" s="2" t="s">
        <v>880</v>
      </c>
      <c r="K524" s="10">
        <v>80000</v>
      </c>
      <c r="L524" s="10">
        <v>172800</v>
      </c>
      <c r="M524" s="8">
        <v>12000</v>
      </c>
      <c r="N524" s="9">
        <v>17700</v>
      </c>
      <c r="O524" s="9">
        <v>172800</v>
      </c>
      <c r="P524" s="10">
        <v>0</v>
      </c>
      <c r="Q524" s="152">
        <v>45558</v>
      </c>
    </row>
    <row r="525" spans="1:17" ht="35.25" thickBot="1" x14ac:dyDescent="0.3">
      <c r="A525" s="150">
        <v>2591</v>
      </c>
      <c r="B525" s="2" t="s">
        <v>881</v>
      </c>
      <c r="C525" s="2" t="s">
        <v>882</v>
      </c>
      <c r="D525" s="28">
        <v>27352124309</v>
      </c>
      <c r="E525" s="3">
        <v>45405</v>
      </c>
      <c r="F525" s="3">
        <v>45559</v>
      </c>
      <c r="G525" s="29">
        <v>110</v>
      </c>
      <c r="H525" s="151">
        <v>110</v>
      </c>
      <c r="I525" s="151">
        <v>0</v>
      </c>
      <c r="J525" s="2" t="s">
        <v>279</v>
      </c>
      <c r="K525" s="10">
        <v>100000</v>
      </c>
      <c r="L525" s="10">
        <v>264000</v>
      </c>
      <c r="M525" s="21">
        <v>12000</v>
      </c>
      <c r="N525" s="9">
        <v>12000</v>
      </c>
      <c r="O525" s="9">
        <v>264000</v>
      </c>
      <c r="P525" s="10">
        <v>0</v>
      </c>
      <c r="Q525" s="152">
        <v>45558</v>
      </c>
    </row>
    <row r="526" spans="1:17" ht="35.25" thickBot="1" x14ac:dyDescent="0.3">
      <c r="A526" s="150">
        <v>2668</v>
      </c>
      <c r="B526" s="2" t="s">
        <v>385</v>
      </c>
      <c r="C526" s="2" t="s">
        <v>386</v>
      </c>
      <c r="D526" s="28"/>
      <c r="E526" s="3">
        <v>45461</v>
      </c>
      <c r="F526" s="3">
        <v>45561</v>
      </c>
      <c r="G526" s="29">
        <v>72</v>
      </c>
      <c r="H526" s="151">
        <v>72</v>
      </c>
      <c r="I526" s="151">
        <v>0</v>
      </c>
      <c r="J526" s="2" t="s">
        <v>227</v>
      </c>
      <c r="K526" s="7">
        <v>50000</v>
      </c>
      <c r="L526" s="7">
        <v>108000</v>
      </c>
      <c r="M526" s="21">
        <v>7500</v>
      </c>
      <c r="N526" s="9">
        <v>25500</v>
      </c>
      <c r="O526" s="9">
        <v>108000</v>
      </c>
      <c r="P526" s="10">
        <v>0</v>
      </c>
      <c r="Q526" s="152">
        <v>45558</v>
      </c>
    </row>
    <row r="527" spans="1:17" ht="35.25" thickBot="1" x14ac:dyDescent="0.3">
      <c r="A527" s="150">
        <v>2678</v>
      </c>
      <c r="B527" s="2" t="s">
        <v>385</v>
      </c>
      <c r="C527" s="2" t="s">
        <v>386</v>
      </c>
      <c r="D527" s="28"/>
      <c r="E527" s="3">
        <v>45464</v>
      </c>
      <c r="F527" s="3">
        <v>45566</v>
      </c>
      <c r="G527" s="29">
        <v>72</v>
      </c>
      <c r="H527" s="151">
        <v>72</v>
      </c>
      <c r="I527" s="151">
        <v>0</v>
      </c>
      <c r="J527" s="2" t="s">
        <v>181</v>
      </c>
      <c r="K527" s="7">
        <v>30000</v>
      </c>
      <c r="L527" s="7">
        <v>64800</v>
      </c>
      <c r="M527" s="8">
        <v>4500</v>
      </c>
      <c r="N527" s="9">
        <v>18800</v>
      </c>
      <c r="O527" s="9">
        <v>64800</v>
      </c>
      <c r="P527" s="10">
        <v>0</v>
      </c>
      <c r="Q527" s="152">
        <v>45558</v>
      </c>
    </row>
    <row r="528" spans="1:17" ht="57.75" thickBot="1" x14ac:dyDescent="0.3">
      <c r="A528" s="150">
        <v>2497</v>
      </c>
      <c r="B528" s="2" t="s">
        <v>413</v>
      </c>
      <c r="C528" s="2" t="s">
        <v>883</v>
      </c>
      <c r="D528" s="28"/>
      <c r="E528" s="3">
        <v>45348</v>
      </c>
      <c r="F528" s="3">
        <v>45502</v>
      </c>
      <c r="G528" s="29">
        <v>110</v>
      </c>
      <c r="H528" s="151">
        <v>110.41666666666667</v>
      </c>
      <c r="I528" s="151">
        <v>-0.4166666666666714</v>
      </c>
      <c r="J528" s="16" t="s">
        <v>884</v>
      </c>
      <c r="K528" s="7">
        <v>60000</v>
      </c>
      <c r="L528" s="7">
        <v>158400</v>
      </c>
      <c r="M528" s="21">
        <v>7200</v>
      </c>
      <c r="N528" s="9">
        <v>15000</v>
      </c>
      <c r="O528" s="9">
        <v>159000</v>
      </c>
      <c r="P528" s="10">
        <v>-600</v>
      </c>
      <c r="Q528" s="152">
        <v>45558</v>
      </c>
    </row>
    <row r="529" spans="1:17" ht="46.5" thickBot="1" x14ac:dyDescent="0.3">
      <c r="A529" s="150">
        <v>1840</v>
      </c>
      <c r="B529" s="2" t="s">
        <v>424</v>
      </c>
      <c r="C529" s="2" t="s">
        <v>425</v>
      </c>
      <c r="D529" s="28"/>
      <c r="E529" s="3">
        <v>44855</v>
      </c>
      <c r="F529" s="3">
        <v>44957</v>
      </c>
      <c r="G529" s="29">
        <v>72</v>
      </c>
      <c r="H529" s="151">
        <v>72</v>
      </c>
      <c r="I529" s="151">
        <v>0</v>
      </c>
      <c r="J529" s="2" t="s">
        <v>181</v>
      </c>
      <c r="K529" s="7">
        <v>30000</v>
      </c>
      <c r="L529" s="7">
        <v>64800</v>
      </c>
      <c r="M529" s="21">
        <v>4500</v>
      </c>
      <c r="N529" s="9">
        <v>4800</v>
      </c>
      <c r="O529" s="9">
        <v>64800</v>
      </c>
      <c r="P529" s="10">
        <v>0</v>
      </c>
      <c r="Q529" s="152">
        <v>45558</v>
      </c>
    </row>
    <row r="530" spans="1:17" ht="35.25" thickBot="1" x14ac:dyDescent="0.3">
      <c r="A530" s="150">
        <v>2831</v>
      </c>
      <c r="B530" s="2" t="s">
        <v>172</v>
      </c>
      <c r="C530" s="2" t="s">
        <v>173</v>
      </c>
      <c r="D530" s="28" t="s">
        <v>174</v>
      </c>
      <c r="E530" s="3">
        <v>45561</v>
      </c>
      <c r="F530" s="3">
        <v>45568</v>
      </c>
      <c r="G530" s="29">
        <v>5</v>
      </c>
      <c r="H530" s="151" t="e">
        <v>#VALUE!</v>
      </c>
      <c r="I530" s="151" t="e">
        <v>#VALUE!</v>
      </c>
      <c r="J530" s="6" t="s">
        <v>403</v>
      </c>
      <c r="K530" s="7">
        <v>200000</v>
      </c>
      <c r="L530" s="7">
        <v>26000</v>
      </c>
      <c r="M530" s="8" t="s">
        <v>143</v>
      </c>
      <c r="N530" s="9">
        <v>26000</v>
      </c>
      <c r="O530" s="9">
        <v>26000</v>
      </c>
      <c r="P530" s="10">
        <v>0</v>
      </c>
      <c r="Q530" s="152">
        <v>45565</v>
      </c>
    </row>
    <row r="531" spans="1:17" ht="24" thickBot="1" x14ac:dyDescent="0.3">
      <c r="A531" s="150">
        <v>2682</v>
      </c>
      <c r="B531" s="2" t="s">
        <v>186</v>
      </c>
      <c r="C531" s="2" t="s">
        <v>187</v>
      </c>
      <c r="D531" s="28"/>
      <c r="E531" s="3">
        <v>45465</v>
      </c>
      <c r="F531" s="3">
        <v>45566</v>
      </c>
      <c r="G531" s="29">
        <v>72</v>
      </c>
      <c r="H531" s="151">
        <v>75</v>
      </c>
      <c r="I531" s="151">
        <v>-3</v>
      </c>
      <c r="J531" s="2" t="s">
        <v>181</v>
      </c>
      <c r="K531" s="7">
        <v>30000</v>
      </c>
      <c r="L531" s="7">
        <v>64800</v>
      </c>
      <c r="M531" s="8">
        <v>4500</v>
      </c>
      <c r="N531" s="9">
        <v>4500</v>
      </c>
      <c r="O531" s="9">
        <v>67500</v>
      </c>
      <c r="P531" s="10">
        <v>-2700</v>
      </c>
      <c r="Q531" s="152">
        <v>45565</v>
      </c>
    </row>
    <row r="532" spans="1:17" ht="46.5" thickBot="1" x14ac:dyDescent="0.3">
      <c r="A532" s="150">
        <v>2610</v>
      </c>
      <c r="B532" s="2" t="s">
        <v>215</v>
      </c>
      <c r="C532" s="2" t="s">
        <v>216</v>
      </c>
      <c r="D532" s="28"/>
      <c r="E532" s="3">
        <v>45418</v>
      </c>
      <c r="F532" s="3">
        <v>45558</v>
      </c>
      <c r="G532" s="29">
        <v>100</v>
      </c>
      <c r="H532" s="151">
        <v>100</v>
      </c>
      <c r="I532" s="151">
        <v>0</v>
      </c>
      <c r="J532" s="6" t="s">
        <v>885</v>
      </c>
      <c r="K532" s="7">
        <v>400000</v>
      </c>
      <c r="L532" s="7">
        <v>864000</v>
      </c>
      <c r="M532" s="21">
        <v>43200</v>
      </c>
      <c r="N532" s="9">
        <v>345600</v>
      </c>
      <c r="O532" s="9">
        <v>864000</v>
      </c>
      <c r="P532" s="10">
        <v>0</v>
      </c>
      <c r="Q532" s="152">
        <v>45565</v>
      </c>
    </row>
    <row r="533" spans="1:17" ht="35.25" thickBot="1" x14ac:dyDescent="0.3">
      <c r="A533" s="150">
        <v>2274</v>
      </c>
      <c r="B533" s="2" t="s">
        <v>246</v>
      </c>
      <c r="C533" s="2" t="s">
        <v>247</v>
      </c>
      <c r="D533" s="28">
        <v>27212523</v>
      </c>
      <c r="E533" s="3">
        <v>45198</v>
      </c>
      <c r="F533" s="3">
        <v>45300</v>
      </c>
      <c r="G533" s="29">
        <v>72</v>
      </c>
      <c r="H533" s="151">
        <v>73.583333333333329</v>
      </c>
      <c r="I533" s="151">
        <v>-1.5833333333333286</v>
      </c>
      <c r="J533" s="16" t="s">
        <v>886</v>
      </c>
      <c r="K533" s="10">
        <v>50000</v>
      </c>
      <c r="L533" s="10">
        <v>108000</v>
      </c>
      <c r="M533" s="21">
        <v>7500</v>
      </c>
      <c r="N533" s="9">
        <v>12875</v>
      </c>
      <c r="O533" s="9">
        <v>110375</v>
      </c>
      <c r="P533" s="10">
        <v>-2375</v>
      </c>
      <c r="Q533" s="152">
        <v>45565</v>
      </c>
    </row>
    <row r="534" spans="1:17" ht="35.25" thickBot="1" x14ac:dyDescent="0.3">
      <c r="A534" s="150">
        <v>2504</v>
      </c>
      <c r="B534" s="2" t="s">
        <v>887</v>
      </c>
      <c r="C534" s="2" t="s">
        <v>285</v>
      </c>
      <c r="D534" s="28"/>
      <c r="E534" s="3">
        <v>45351</v>
      </c>
      <c r="F534" s="3">
        <v>45519</v>
      </c>
      <c r="G534" s="29">
        <v>120</v>
      </c>
      <c r="H534" s="151">
        <v>120</v>
      </c>
      <c r="I534" s="151">
        <v>0</v>
      </c>
      <c r="J534" s="6" t="s">
        <v>888</v>
      </c>
      <c r="K534" s="7">
        <v>60000</v>
      </c>
      <c r="L534" s="7">
        <v>158400</v>
      </c>
      <c r="M534" s="21">
        <v>6600</v>
      </c>
      <c r="N534" s="9">
        <v>7300</v>
      </c>
      <c r="O534" s="9">
        <v>158400</v>
      </c>
      <c r="P534" s="10">
        <v>0</v>
      </c>
      <c r="Q534" s="152">
        <v>45565</v>
      </c>
    </row>
    <row r="535" spans="1:17" ht="24" thickBot="1" x14ac:dyDescent="0.3">
      <c r="A535" s="150">
        <v>2835</v>
      </c>
      <c r="B535" s="2" t="s">
        <v>707</v>
      </c>
      <c r="C535" s="2"/>
      <c r="D535" s="28"/>
      <c r="E535" s="3">
        <v>45563</v>
      </c>
      <c r="F535" s="3">
        <v>45569</v>
      </c>
      <c r="G535" s="29">
        <v>5</v>
      </c>
      <c r="H535" s="151" t="e">
        <v>#DIV/0!</v>
      </c>
      <c r="I535" s="151" t="e">
        <v>#DIV/0!</v>
      </c>
      <c r="J535" s="6" t="s">
        <v>403</v>
      </c>
      <c r="K535" s="20">
        <v>30000</v>
      </c>
      <c r="L535" s="7">
        <v>39000</v>
      </c>
      <c r="M535" s="8"/>
      <c r="N535" s="9">
        <v>39000</v>
      </c>
      <c r="O535" s="9">
        <v>39000</v>
      </c>
      <c r="P535" s="10">
        <v>0</v>
      </c>
      <c r="Q535" s="152">
        <v>45565</v>
      </c>
    </row>
    <row r="536" spans="1:17" ht="24" thickBot="1" x14ac:dyDescent="0.3">
      <c r="A536" s="150">
        <v>2836</v>
      </c>
      <c r="B536" s="2" t="s">
        <v>707</v>
      </c>
      <c r="C536" s="2"/>
      <c r="D536" s="28"/>
      <c r="E536" s="3">
        <v>45563</v>
      </c>
      <c r="F536" s="3">
        <v>45569</v>
      </c>
      <c r="G536" s="29">
        <v>5</v>
      </c>
      <c r="H536" s="151" t="e">
        <v>#DIV/0!</v>
      </c>
      <c r="I536" s="151" t="e">
        <v>#DIV/0!</v>
      </c>
      <c r="J536" s="6" t="s">
        <v>403</v>
      </c>
      <c r="K536" s="20">
        <v>30000</v>
      </c>
      <c r="L536" s="7">
        <v>39000</v>
      </c>
      <c r="M536" s="21"/>
      <c r="N536" s="9">
        <v>39000</v>
      </c>
      <c r="O536" s="9">
        <v>39000</v>
      </c>
      <c r="P536" s="10">
        <v>0</v>
      </c>
      <c r="Q536" s="152">
        <v>45565</v>
      </c>
    </row>
    <row r="537" spans="1:17" ht="57.75" thickBot="1" x14ac:dyDescent="0.3">
      <c r="A537" s="150">
        <v>2574</v>
      </c>
      <c r="B537" s="2" t="s">
        <v>299</v>
      </c>
      <c r="C537" s="2" t="s">
        <v>300</v>
      </c>
      <c r="D537" s="28"/>
      <c r="E537" s="30">
        <v>45397</v>
      </c>
      <c r="F537" s="3">
        <v>45565</v>
      </c>
      <c r="G537" s="29">
        <v>120</v>
      </c>
      <c r="H537" s="151">
        <v>150</v>
      </c>
      <c r="I537" s="151">
        <v>-30</v>
      </c>
      <c r="J537" s="24" t="s">
        <v>889</v>
      </c>
      <c r="K537" s="7">
        <v>50000</v>
      </c>
      <c r="L537" s="7">
        <v>132000</v>
      </c>
      <c r="M537" s="8">
        <v>4400</v>
      </c>
      <c r="N537" s="9">
        <v>22000</v>
      </c>
      <c r="O537" s="9">
        <v>132000</v>
      </c>
      <c r="P537" s="10">
        <v>0</v>
      </c>
      <c r="Q537" s="152">
        <v>45565</v>
      </c>
    </row>
    <row r="538" spans="1:17" ht="57.75" thickBot="1" x14ac:dyDescent="0.3">
      <c r="A538" s="150">
        <v>2641</v>
      </c>
      <c r="B538" s="2" t="s">
        <v>299</v>
      </c>
      <c r="C538" s="2" t="s">
        <v>300</v>
      </c>
      <c r="D538" s="28"/>
      <c r="E538" s="3">
        <v>45439</v>
      </c>
      <c r="F538" s="3">
        <v>45551</v>
      </c>
      <c r="G538" s="29">
        <v>80</v>
      </c>
      <c r="H538" s="151">
        <v>80</v>
      </c>
      <c r="I538" s="151">
        <v>0</v>
      </c>
      <c r="J538" s="24" t="s">
        <v>890</v>
      </c>
      <c r="K538" s="7">
        <v>50000</v>
      </c>
      <c r="L538" s="7">
        <v>108000</v>
      </c>
      <c r="M538" s="8">
        <v>6750</v>
      </c>
      <c r="N538" s="9">
        <v>27000</v>
      </c>
      <c r="O538" s="9">
        <v>108000</v>
      </c>
      <c r="P538" s="10">
        <v>0</v>
      </c>
      <c r="Q538" s="152">
        <v>45565</v>
      </c>
    </row>
    <row r="539" spans="1:17" ht="46.5" thickBot="1" x14ac:dyDescent="0.3">
      <c r="A539" s="150">
        <v>2634</v>
      </c>
      <c r="B539" s="2" t="s">
        <v>337</v>
      </c>
      <c r="C539" s="2" t="s">
        <v>338</v>
      </c>
      <c r="D539" s="28"/>
      <c r="E539" s="3">
        <v>45435</v>
      </c>
      <c r="F539" s="3">
        <v>45547</v>
      </c>
      <c r="G539" s="29">
        <v>80</v>
      </c>
      <c r="H539" s="151">
        <v>80</v>
      </c>
      <c r="I539" s="151">
        <v>0</v>
      </c>
      <c r="J539" s="16" t="s">
        <v>891</v>
      </c>
      <c r="K539" s="7">
        <v>50000</v>
      </c>
      <c r="L539" s="7">
        <v>108000</v>
      </c>
      <c r="M539" s="8">
        <v>6750</v>
      </c>
      <c r="N539" s="9">
        <v>13500</v>
      </c>
      <c r="O539" s="9">
        <v>108000</v>
      </c>
      <c r="P539" s="10">
        <v>0</v>
      </c>
      <c r="Q539" s="152">
        <v>45565</v>
      </c>
    </row>
    <row r="540" spans="1:17" ht="46.5" thickBot="1" x14ac:dyDescent="0.3">
      <c r="A540" s="150">
        <v>2688</v>
      </c>
      <c r="B540" s="2" t="s">
        <v>350</v>
      </c>
      <c r="C540" s="2" t="s">
        <v>167</v>
      </c>
      <c r="D540" s="28"/>
      <c r="E540" s="3">
        <v>45472</v>
      </c>
      <c r="F540" s="3">
        <v>45573</v>
      </c>
      <c r="G540" s="29">
        <v>72</v>
      </c>
      <c r="H540" s="151">
        <v>72</v>
      </c>
      <c r="I540" s="151">
        <v>0</v>
      </c>
      <c r="J540" s="2" t="s">
        <v>162</v>
      </c>
      <c r="K540" s="10">
        <v>60000</v>
      </c>
      <c r="L540" s="10">
        <v>129600</v>
      </c>
      <c r="M540" s="21">
        <v>9000</v>
      </c>
      <c r="N540" s="9">
        <v>41100</v>
      </c>
      <c r="O540" s="9">
        <v>129600</v>
      </c>
      <c r="P540" s="10">
        <v>0</v>
      </c>
      <c r="Q540" s="152">
        <v>45565</v>
      </c>
    </row>
    <row r="541" spans="1:17" ht="57.75" thickBot="1" x14ac:dyDescent="0.3">
      <c r="A541" s="150">
        <v>2633</v>
      </c>
      <c r="B541" s="2" t="s">
        <v>731</v>
      </c>
      <c r="C541" s="2" t="s">
        <v>732</v>
      </c>
      <c r="D541" s="28" t="s">
        <v>733</v>
      </c>
      <c r="E541" s="3">
        <v>45434</v>
      </c>
      <c r="F541" s="3">
        <v>45534</v>
      </c>
      <c r="G541" s="29">
        <v>72</v>
      </c>
      <c r="H541" s="151">
        <v>72.333333333333329</v>
      </c>
      <c r="I541" s="151">
        <v>-0.3333333333333286</v>
      </c>
      <c r="J541" s="2" t="s">
        <v>309</v>
      </c>
      <c r="K541" s="7">
        <v>40000</v>
      </c>
      <c r="L541" s="7">
        <v>86400</v>
      </c>
      <c r="M541" s="8">
        <v>6000</v>
      </c>
      <c r="N541" s="9">
        <v>2800</v>
      </c>
      <c r="O541" s="9">
        <v>86800</v>
      </c>
      <c r="P541" s="10">
        <v>-400</v>
      </c>
      <c r="Q541" s="152">
        <v>45565</v>
      </c>
    </row>
    <row r="542" spans="1:17" ht="15.75" thickBot="1" x14ac:dyDescent="0.3">
      <c r="A542" s="150">
        <v>2801</v>
      </c>
      <c r="B542" s="2" t="s">
        <v>355</v>
      </c>
      <c r="C542" s="2"/>
      <c r="D542" s="28"/>
      <c r="E542" s="3">
        <v>45545</v>
      </c>
      <c r="F542" s="3">
        <v>45566</v>
      </c>
      <c r="G542" s="29">
        <v>15</v>
      </c>
      <c r="H542" s="151" t="e">
        <v>#VALUE!</v>
      </c>
      <c r="I542" s="151" t="e">
        <v>#VALUE!</v>
      </c>
      <c r="J542" s="6" t="s">
        <v>403</v>
      </c>
      <c r="K542" s="7">
        <v>40000</v>
      </c>
      <c r="L542" s="7">
        <v>60000</v>
      </c>
      <c r="M542" s="8" t="s">
        <v>143</v>
      </c>
      <c r="N542" s="9">
        <v>70000</v>
      </c>
      <c r="O542" s="9">
        <v>70000</v>
      </c>
      <c r="P542" s="10">
        <v>-10000</v>
      </c>
      <c r="Q542" s="152">
        <v>45565</v>
      </c>
    </row>
    <row r="543" spans="1:17" ht="46.5" thickBot="1" x14ac:dyDescent="0.3">
      <c r="A543" s="150">
        <v>2517</v>
      </c>
      <c r="B543" s="2" t="s">
        <v>376</v>
      </c>
      <c r="C543" s="2"/>
      <c r="D543" s="28"/>
      <c r="E543" s="3">
        <v>45362</v>
      </c>
      <c r="F543" s="3">
        <v>45558</v>
      </c>
      <c r="G543" s="29">
        <v>140</v>
      </c>
      <c r="H543" s="151">
        <v>140</v>
      </c>
      <c r="I543" s="151">
        <v>0</v>
      </c>
      <c r="J543" s="6" t="s">
        <v>819</v>
      </c>
      <c r="K543" s="7">
        <v>30000</v>
      </c>
      <c r="L543" s="7">
        <v>79240</v>
      </c>
      <c r="M543" s="21">
        <v>2830</v>
      </c>
      <c r="N543" s="9">
        <v>11320</v>
      </c>
      <c r="O543" s="9">
        <v>79240</v>
      </c>
      <c r="P543" s="10">
        <v>0</v>
      </c>
      <c r="Q543" s="152">
        <v>45565</v>
      </c>
    </row>
    <row r="544" spans="1:17" ht="46.5" thickBot="1" x14ac:dyDescent="0.3">
      <c r="A544" s="150">
        <v>2563</v>
      </c>
      <c r="B544" s="2" t="s">
        <v>406</v>
      </c>
      <c r="C544" s="2" t="s">
        <v>407</v>
      </c>
      <c r="D544" s="28"/>
      <c r="E544" s="3">
        <v>45389</v>
      </c>
      <c r="F544" s="3">
        <v>45499</v>
      </c>
      <c r="G544" s="29">
        <v>80</v>
      </c>
      <c r="H544" s="151">
        <v>85.18518518518519</v>
      </c>
      <c r="I544" s="151">
        <v>-5.1851851851851904</v>
      </c>
      <c r="J544" s="6" t="s">
        <v>892</v>
      </c>
      <c r="K544" s="18">
        <v>40000</v>
      </c>
      <c r="L544" s="7">
        <v>86400</v>
      </c>
      <c r="M544" s="21">
        <v>5400</v>
      </c>
      <c r="N544" s="9">
        <v>15000</v>
      </c>
      <c r="O544" s="9">
        <v>92000</v>
      </c>
      <c r="P544" s="10">
        <v>-5600</v>
      </c>
      <c r="Q544" s="152">
        <v>45565</v>
      </c>
    </row>
    <row r="545" spans="1:17" ht="35.25" thickBot="1" x14ac:dyDescent="0.3">
      <c r="A545" s="150">
        <v>2567</v>
      </c>
      <c r="B545" s="2" t="s">
        <v>474</v>
      </c>
      <c r="C545" s="2" t="s">
        <v>387</v>
      </c>
      <c r="D545" s="28">
        <v>2034839888</v>
      </c>
      <c r="E545" s="3">
        <v>45392</v>
      </c>
      <c r="F545" s="3">
        <v>45560</v>
      </c>
      <c r="G545" s="29">
        <v>120</v>
      </c>
      <c r="H545" s="151">
        <v>120</v>
      </c>
      <c r="I545" s="151">
        <v>0</v>
      </c>
      <c r="J545" s="6" t="s">
        <v>893</v>
      </c>
      <c r="K545" s="7">
        <v>120000</v>
      </c>
      <c r="L545" s="7">
        <v>316800</v>
      </c>
      <c r="M545" s="21">
        <v>13200</v>
      </c>
      <c r="N545" s="9">
        <v>52800</v>
      </c>
      <c r="O545" s="9">
        <v>316800</v>
      </c>
      <c r="P545" s="10">
        <v>0</v>
      </c>
      <c r="Q545" s="152">
        <v>45565</v>
      </c>
    </row>
    <row r="546" spans="1:17" ht="35.25" thickBot="1" x14ac:dyDescent="0.3">
      <c r="A546" s="150">
        <v>2670</v>
      </c>
      <c r="B546" s="2" t="s">
        <v>474</v>
      </c>
      <c r="C546" s="2" t="s">
        <v>387</v>
      </c>
      <c r="D546" s="28">
        <v>2034839888</v>
      </c>
      <c r="E546" s="3">
        <v>45461</v>
      </c>
      <c r="F546" s="3">
        <v>45573</v>
      </c>
      <c r="G546" s="29">
        <v>80</v>
      </c>
      <c r="H546" s="151">
        <v>80.952380952380949</v>
      </c>
      <c r="I546" s="151">
        <v>-0.952380952380949</v>
      </c>
      <c r="J546" s="6" t="s">
        <v>894</v>
      </c>
      <c r="K546" s="7">
        <v>35000</v>
      </c>
      <c r="L546" s="7">
        <v>75600</v>
      </c>
      <c r="M546" s="21">
        <v>4725</v>
      </c>
      <c r="N546" s="9">
        <v>18900</v>
      </c>
      <c r="O546" s="9">
        <v>76500</v>
      </c>
      <c r="P546" s="10">
        <v>-900</v>
      </c>
      <c r="Q546" s="152">
        <v>45565</v>
      </c>
    </row>
    <row r="547" spans="1:17" ht="35.25" thickBot="1" x14ac:dyDescent="0.3">
      <c r="A547" s="150">
        <v>2714</v>
      </c>
      <c r="B547" s="2" t="s">
        <v>474</v>
      </c>
      <c r="C547" s="2" t="s">
        <v>387</v>
      </c>
      <c r="D547" s="28">
        <v>2034839888</v>
      </c>
      <c r="E547" s="3">
        <v>45488</v>
      </c>
      <c r="F547" s="3">
        <v>45572</v>
      </c>
      <c r="G547" s="29">
        <v>60</v>
      </c>
      <c r="H547" s="151">
        <v>60</v>
      </c>
      <c r="I547" s="151">
        <v>0</v>
      </c>
      <c r="J547" s="6" t="s">
        <v>895</v>
      </c>
      <c r="K547" s="7">
        <v>5000</v>
      </c>
      <c r="L547" s="7">
        <v>10800</v>
      </c>
      <c r="M547" s="21">
        <v>900</v>
      </c>
      <c r="N547" s="9">
        <v>3600</v>
      </c>
      <c r="O547" s="9">
        <v>10800</v>
      </c>
      <c r="P547" s="10">
        <v>0</v>
      </c>
      <c r="Q547" s="152">
        <v>45565</v>
      </c>
    </row>
    <row r="548" spans="1:17" ht="91.5" thickBot="1" x14ac:dyDescent="0.3">
      <c r="A548" s="150">
        <v>2681</v>
      </c>
      <c r="B548" s="2" t="s">
        <v>334</v>
      </c>
      <c r="C548" s="2" t="s">
        <v>335</v>
      </c>
      <c r="D548" s="28">
        <v>27249921551</v>
      </c>
      <c r="E548" s="3">
        <v>45464</v>
      </c>
      <c r="F548" s="3">
        <v>45566</v>
      </c>
      <c r="G548" s="29">
        <v>72</v>
      </c>
      <c r="H548" s="151">
        <v>72</v>
      </c>
      <c r="I548" s="151">
        <v>0</v>
      </c>
      <c r="J548" s="2" t="s">
        <v>181</v>
      </c>
      <c r="K548" s="7">
        <v>30000</v>
      </c>
      <c r="L548" s="7">
        <v>64800</v>
      </c>
      <c r="M548" s="8">
        <v>4500</v>
      </c>
      <c r="N548" s="9">
        <v>1800</v>
      </c>
      <c r="O548" s="9">
        <v>64800</v>
      </c>
      <c r="P548" s="10">
        <v>0</v>
      </c>
      <c r="Q548" s="152">
        <v>45566</v>
      </c>
    </row>
    <row r="549" spans="1:17" ht="69" thickBot="1" x14ac:dyDescent="0.3">
      <c r="A549" s="150">
        <v>2661</v>
      </c>
      <c r="B549" s="2" t="s">
        <v>144</v>
      </c>
      <c r="C549" s="2" t="s">
        <v>145</v>
      </c>
      <c r="D549" s="28"/>
      <c r="E549" s="3">
        <v>45454</v>
      </c>
      <c r="F549" s="3">
        <v>45566</v>
      </c>
      <c r="G549" s="29">
        <v>80</v>
      </c>
      <c r="H549" s="151">
        <v>80</v>
      </c>
      <c r="I549" s="151">
        <v>0</v>
      </c>
      <c r="J549" s="6" t="s">
        <v>896</v>
      </c>
      <c r="K549" s="7">
        <v>70000</v>
      </c>
      <c r="L549" s="7">
        <v>151200</v>
      </c>
      <c r="M549" s="8">
        <v>9450</v>
      </c>
      <c r="N549" s="9">
        <v>37800</v>
      </c>
      <c r="O549" s="9">
        <v>151200</v>
      </c>
      <c r="P549" s="10">
        <v>0</v>
      </c>
      <c r="Q549" s="152">
        <v>45572</v>
      </c>
    </row>
    <row r="550" spans="1:17" ht="24" thickBot="1" x14ac:dyDescent="0.3">
      <c r="A550" s="185">
        <v>2843</v>
      </c>
      <c r="B550" s="2" t="s">
        <v>707</v>
      </c>
      <c r="C550" s="2"/>
      <c r="D550" s="28"/>
      <c r="E550" s="3">
        <v>45567</v>
      </c>
      <c r="F550" s="3">
        <v>45574</v>
      </c>
      <c r="G550" s="29">
        <v>5</v>
      </c>
      <c r="H550" s="151" t="e">
        <v>#DIV/0!</v>
      </c>
      <c r="I550" s="151" t="e">
        <v>#DIV/0!</v>
      </c>
      <c r="J550" s="6" t="s">
        <v>403</v>
      </c>
      <c r="K550" s="20">
        <v>30000</v>
      </c>
      <c r="L550" s="7">
        <v>39000</v>
      </c>
      <c r="M550" s="21"/>
      <c r="N550" s="9">
        <v>39000</v>
      </c>
      <c r="O550" s="9">
        <v>39000</v>
      </c>
      <c r="P550" s="10">
        <v>0</v>
      </c>
      <c r="Q550" s="152">
        <v>45572</v>
      </c>
    </row>
    <row r="551" spans="1:17" ht="46.5" thickBot="1" x14ac:dyDescent="0.3">
      <c r="A551" s="150">
        <v>2666</v>
      </c>
      <c r="B551" s="2" t="s">
        <v>316</v>
      </c>
      <c r="C551" s="2" t="s">
        <v>317</v>
      </c>
      <c r="D551" s="28"/>
      <c r="E551" s="3">
        <v>45458</v>
      </c>
      <c r="F551" s="3">
        <v>45559</v>
      </c>
      <c r="G551" s="29">
        <v>72</v>
      </c>
      <c r="H551" s="151">
        <v>72</v>
      </c>
      <c r="I551" s="151">
        <v>0</v>
      </c>
      <c r="J551" s="2" t="s">
        <v>318</v>
      </c>
      <c r="K551" s="7">
        <v>15000</v>
      </c>
      <c r="L551" s="7">
        <v>32400</v>
      </c>
      <c r="M551" s="21">
        <v>2250</v>
      </c>
      <c r="N551" s="9">
        <v>5400</v>
      </c>
      <c r="O551" s="9">
        <v>32400</v>
      </c>
      <c r="P551" s="10">
        <v>0</v>
      </c>
      <c r="Q551" s="152">
        <v>45572</v>
      </c>
    </row>
    <row r="552" spans="1:17" ht="35.25" thickBot="1" x14ac:dyDescent="0.3">
      <c r="A552" s="150">
        <v>2649</v>
      </c>
      <c r="B552" s="2" t="s">
        <v>560</v>
      </c>
      <c r="C552" s="2" t="s">
        <v>561</v>
      </c>
      <c r="D552" s="28"/>
      <c r="E552" s="3">
        <v>45442</v>
      </c>
      <c r="F552" s="3">
        <v>45554</v>
      </c>
      <c r="G552" s="29">
        <v>80</v>
      </c>
      <c r="H552" s="151">
        <v>80</v>
      </c>
      <c r="I552" s="151">
        <v>0</v>
      </c>
      <c r="J552" s="6" t="s">
        <v>325</v>
      </c>
      <c r="K552" s="7">
        <v>100000</v>
      </c>
      <c r="L552" s="7">
        <v>216000</v>
      </c>
      <c r="M552" s="8">
        <v>13500</v>
      </c>
      <c r="N552" s="9">
        <v>54000</v>
      </c>
      <c r="O552" s="9">
        <v>216000</v>
      </c>
      <c r="P552" s="10">
        <v>0</v>
      </c>
      <c r="Q552" s="152">
        <v>45572</v>
      </c>
    </row>
    <row r="553" spans="1:17" ht="24" thickBot="1" x14ac:dyDescent="0.3">
      <c r="A553" s="150">
        <v>2609</v>
      </c>
      <c r="B553" s="2" t="s">
        <v>343</v>
      </c>
      <c r="C553" s="2"/>
      <c r="D553" s="28"/>
      <c r="E553" s="3">
        <v>45418</v>
      </c>
      <c r="F553" s="3">
        <v>45558</v>
      </c>
      <c r="G553" s="29">
        <v>100</v>
      </c>
      <c r="H553" s="151">
        <v>100</v>
      </c>
      <c r="I553" s="151">
        <v>0</v>
      </c>
      <c r="J553" s="6" t="s">
        <v>897</v>
      </c>
      <c r="K553" s="18">
        <v>300000</v>
      </c>
      <c r="L553" s="7">
        <v>648000</v>
      </c>
      <c r="M553" s="8">
        <v>32400</v>
      </c>
      <c r="N553" s="9">
        <v>129600</v>
      </c>
      <c r="O553" s="9">
        <v>648000</v>
      </c>
      <c r="P553" s="10">
        <v>0</v>
      </c>
      <c r="Q553" s="152">
        <v>45572</v>
      </c>
    </row>
    <row r="554" spans="1:17" ht="15.75" thickBot="1" x14ac:dyDescent="0.3">
      <c r="A554" s="150">
        <v>2823</v>
      </c>
      <c r="B554" s="2" t="s">
        <v>367</v>
      </c>
      <c r="C554" s="2"/>
      <c r="D554" s="28"/>
      <c r="E554" s="3">
        <v>45558</v>
      </c>
      <c r="F554" s="3">
        <v>45572</v>
      </c>
      <c r="G554" s="29">
        <v>10</v>
      </c>
      <c r="H554" s="151" t="e">
        <v>#VALUE!</v>
      </c>
      <c r="I554" s="151" t="e">
        <v>#VALUE!</v>
      </c>
      <c r="J554" s="6" t="s">
        <v>403</v>
      </c>
      <c r="K554" s="7">
        <v>20000</v>
      </c>
      <c r="L554" s="7">
        <v>30000</v>
      </c>
      <c r="M554" s="21" t="s">
        <v>143</v>
      </c>
      <c r="N554" s="9">
        <v>30000</v>
      </c>
      <c r="O554" s="9">
        <v>30000</v>
      </c>
      <c r="P554" s="10">
        <v>0</v>
      </c>
      <c r="Q554" s="152">
        <v>45572</v>
      </c>
    </row>
    <row r="555" spans="1:17" ht="24" thickBot="1" x14ac:dyDescent="0.3">
      <c r="A555" s="150">
        <v>2813</v>
      </c>
      <c r="B555" s="2" t="s">
        <v>402</v>
      </c>
      <c r="C555" s="2"/>
      <c r="D555" s="28"/>
      <c r="E555" s="3">
        <v>45553</v>
      </c>
      <c r="F555" s="3">
        <v>45581</v>
      </c>
      <c r="G555" s="29">
        <v>20</v>
      </c>
      <c r="H555" s="151" t="e">
        <v>#DIV/0!</v>
      </c>
      <c r="I555" s="151" t="e">
        <v>#DIV/0!</v>
      </c>
      <c r="J555" s="6" t="s">
        <v>898</v>
      </c>
      <c r="K555" s="7">
        <v>20000</v>
      </c>
      <c r="L555" s="7">
        <v>32000</v>
      </c>
      <c r="M555" s="8"/>
      <c r="N555" s="9">
        <v>32000</v>
      </c>
      <c r="O555" s="9">
        <v>32000</v>
      </c>
      <c r="P555" s="10">
        <v>0</v>
      </c>
      <c r="Q555" s="152">
        <v>45572</v>
      </c>
    </row>
    <row r="556" spans="1:17" ht="24" thickBot="1" x14ac:dyDescent="0.3">
      <c r="A556" s="150">
        <v>2815</v>
      </c>
      <c r="B556" s="2" t="s">
        <v>402</v>
      </c>
      <c r="C556" s="2"/>
      <c r="D556" s="28"/>
      <c r="E556" s="3">
        <v>45555</v>
      </c>
      <c r="F556" s="3">
        <v>45583</v>
      </c>
      <c r="G556" s="29">
        <v>20</v>
      </c>
      <c r="H556" s="151" t="e">
        <v>#DIV/0!</v>
      </c>
      <c r="I556" s="151" t="e">
        <v>#DIV/0!</v>
      </c>
      <c r="J556" s="6" t="s">
        <v>899</v>
      </c>
      <c r="K556" s="10">
        <v>15000</v>
      </c>
      <c r="L556" s="10">
        <v>22500</v>
      </c>
      <c r="M556" s="21"/>
      <c r="N556" s="9">
        <v>22500</v>
      </c>
      <c r="O556" s="9">
        <v>22500</v>
      </c>
      <c r="P556" s="10">
        <v>0</v>
      </c>
      <c r="Q556" s="152">
        <v>45572</v>
      </c>
    </row>
    <row r="557" spans="1:17" ht="57.75" thickBot="1" x14ac:dyDescent="0.3">
      <c r="A557" s="150">
        <v>2616</v>
      </c>
      <c r="B557" s="2" t="s">
        <v>413</v>
      </c>
      <c r="C557" s="2" t="s">
        <v>414</v>
      </c>
      <c r="D557" s="28"/>
      <c r="E557" s="3">
        <v>45421</v>
      </c>
      <c r="F557" s="3">
        <v>45523</v>
      </c>
      <c r="G557" s="29">
        <v>72</v>
      </c>
      <c r="H557" s="151">
        <v>73.333333333333329</v>
      </c>
      <c r="I557" s="151">
        <v>-1.3333333333333286</v>
      </c>
      <c r="J557" s="2" t="s">
        <v>227</v>
      </c>
      <c r="K557" s="7">
        <v>50000</v>
      </c>
      <c r="L557" s="7">
        <v>108000</v>
      </c>
      <c r="M557" s="8">
        <v>7500</v>
      </c>
      <c r="N557" s="9">
        <v>20000</v>
      </c>
      <c r="O557" s="9">
        <v>110000</v>
      </c>
      <c r="P557" s="10">
        <v>-2000</v>
      </c>
      <c r="Q557" s="152">
        <v>45572</v>
      </c>
    </row>
    <row r="558" spans="1:17" ht="24" thickBot="1" x14ac:dyDescent="0.3">
      <c r="A558" s="150">
        <v>2700</v>
      </c>
      <c r="B558" s="2" t="s">
        <v>663</v>
      </c>
      <c r="C558" s="2" t="s">
        <v>664</v>
      </c>
      <c r="D558" s="28"/>
      <c r="E558" s="3">
        <v>45481</v>
      </c>
      <c r="F558" s="3">
        <v>45581</v>
      </c>
      <c r="G558" s="29">
        <v>72</v>
      </c>
      <c r="H558" s="151">
        <v>72</v>
      </c>
      <c r="I558" s="151">
        <v>0</v>
      </c>
      <c r="J558" s="2" t="s">
        <v>227</v>
      </c>
      <c r="K558" s="10">
        <v>50000</v>
      </c>
      <c r="L558" s="10">
        <v>108000</v>
      </c>
      <c r="M558" s="8">
        <v>7500</v>
      </c>
      <c r="N558" s="9">
        <v>18000</v>
      </c>
      <c r="O558" s="9">
        <v>108000</v>
      </c>
      <c r="P558" s="10">
        <v>0</v>
      </c>
      <c r="Q558" s="152">
        <v>45572</v>
      </c>
    </row>
    <row r="559" spans="1:17" ht="35.25" thickBot="1" x14ac:dyDescent="0.3">
      <c r="A559" s="185">
        <v>2855</v>
      </c>
      <c r="B559" s="2" t="s">
        <v>169</v>
      </c>
      <c r="C559" s="2"/>
      <c r="D559" s="28">
        <v>27252034574</v>
      </c>
      <c r="E559" s="3">
        <v>45577</v>
      </c>
      <c r="F559" s="3">
        <v>45583</v>
      </c>
      <c r="G559" s="29">
        <v>5</v>
      </c>
      <c r="H559" s="151" t="e">
        <v>#DIV/0!</v>
      </c>
      <c r="I559" s="151" t="e">
        <v>#DIV/0!</v>
      </c>
      <c r="J559" s="2" t="s">
        <v>368</v>
      </c>
      <c r="K559" s="10">
        <v>30000</v>
      </c>
      <c r="L559" s="10">
        <v>39000</v>
      </c>
      <c r="M559" s="21"/>
      <c r="N559" s="9">
        <v>39000</v>
      </c>
      <c r="O559" s="9">
        <v>39000</v>
      </c>
      <c r="P559" s="10">
        <v>0</v>
      </c>
      <c r="Q559" s="152">
        <v>45579</v>
      </c>
    </row>
    <row r="560" spans="1:17" ht="57.75" thickBot="1" x14ac:dyDescent="0.3">
      <c r="A560" s="150">
        <v>2810</v>
      </c>
      <c r="B560" s="2" t="s">
        <v>290</v>
      </c>
      <c r="C560" s="2" t="s">
        <v>291</v>
      </c>
      <c r="D560" s="28"/>
      <c r="E560" s="3">
        <v>45552</v>
      </c>
      <c r="F560" s="3">
        <v>45580</v>
      </c>
      <c r="G560" s="29">
        <v>20</v>
      </c>
      <c r="H560" s="151" t="e">
        <v>#VALUE!</v>
      </c>
      <c r="I560" s="151" t="e">
        <v>#VALUE!</v>
      </c>
      <c r="J560" s="6" t="s">
        <v>900</v>
      </c>
      <c r="K560" s="10">
        <v>100000</v>
      </c>
      <c r="L560" s="10">
        <v>150000</v>
      </c>
      <c r="M560" s="8" t="s">
        <v>143</v>
      </c>
      <c r="N560" s="9">
        <v>150000</v>
      </c>
      <c r="O560" s="9">
        <v>150000</v>
      </c>
      <c r="P560" s="10">
        <v>0</v>
      </c>
      <c r="Q560" s="152">
        <v>45579</v>
      </c>
    </row>
    <row r="561" spans="1:17" ht="24" thickBot="1" x14ac:dyDescent="0.3">
      <c r="A561" s="150">
        <v>2849</v>
      </c>
      <c r="B561" s="2" t="s">
        <v>707</v>
      </c>
      <c r="C561" s="2"/>
      <c r="D561" s="28"/>
      <c r="E561" s="3">
        <v>45575</v>
      </c>
      <c r="F561" s="3">
        <v>45582</v>
      </c>
      <c r="G561" s="29">
        <v>5</v>
      </c>
      <c r="H561" s="151" t="e">
        <v>#DIV/0!</v>
      </c>
      <c r="I561" s="151" t="e">
        <v>#DIV/0!</v>
      </c>
      <c r="J561" s="6" t="s">
        <v>403</v>
      </c>
      <c r="K561" s="20">
        <v>30000</v>
      </c>
      <c r="L561" s="7">
        <v>39000</v>
      </c>
      <c r="M561" s="21"/>
      <c r="N561" s="9">
        <v>39000</v>
      </c>
      <c r="O561" s="9">
        <v>39000</v>
      </c>
      <c r="P561" s="10">
        <v>0</v>
      </c>
      <c r="Q561" s="152">
        <v>45579</v>
      </c>
    </row>
    <row r="562" spans="1:17" ht="24" thickBot="1" x14ac:dyDescent="0.3">
      <c r="A562" s="150">
        <v>2850</v>
      </c>
      <c r="B562" s="2" t="s">
        <v>707</v>
      </c>
      <c r="C562" s="2"/>
      <c r="D562" s="28"/>
      <c r="E562" s="3">
        <v>45575</v>
      </c>
      <c r="F562" s="3">
        <v>45582</v>
      </c>
      <c r="G562" s="29">
        <v>5</v>
      </c>
      <c r="H562" s="151" t="e">
        <v>#DIV/0!</v>
      </c>
      <c r="I562" s="151" t="e">
        <v>#DIV/0!</v>
      </c>
      <c r="J562" s="6" t="s">
        <v>403</v>
      </c>
      <c r="K562" s="20">
        <v>50000</v>
      </c>
      <c r="L562" s="7">
        <v>65000</v>
      </c>
      <c r="M562" s="21"/>
      <c r="N562" s="9">
        <v>65000</v>
      </c>
      <c r="O562" s="9">
        <v>65000</v>
      </c>
      <c r="P562" s="10">
        <v>0</v>
      </c>
      <c r="Q562" s="152">
        <v>45579</v>
      </c>
    </row>
    <row r="563" spans="1:17" ht="46.5" thickBot="1" x14ac:dyDescent="0.3">
      <c r="A563" s="150">
        <v>2709</v>
      </c>
      <c r="B563" s="2" t="s">
        <v>901</v>
      </c>
      <c r="C563" s="2" t="s">
        <v>902</v>
      </c>
      <c r="D563" s="28"/>
      <c r="E563" s="3">
        <v>45486</v>
      </c>
      <c r="F563" s="3">
        <v>45583</v>
      </c>
      <c r="G563" s="29">
        <v>70</v>
      </c>
      <c r="H563" s="151">
        <v>70</v>
      </c>
      <c r="I563" s="151">
        <v>0</v>
      </c>
      <c r="J563" s="16" t="s">
        <v>903</v>
      </c>
      <c r="K563" s="7">
        <v>30000</v>
      </c>
      <c r="L563" s="7">
        <v>66500</v>
      </c>
      <c r="M563" s="8">
        <v>4750</v>
      </c>
      <c r="N563" s="9">
        <v>9500</v>
      </c>
      <c r="O563" s="9">
        <v>66500</v>
      </c>
      <c r="P563" s="10">
        <v>0</v>
      </c>
      <c r="Q563" s="152">
        <v>45579</v>
      </c>
    </row>
    <row r="564" spans="1:17" ht="35.25" thickBot="1" x14ac:dyDescent="0.3">
      <c r="A564" s="150">
        <v>2808</v>
      </c>
      <c r="B564" s="2" t="s">
        <v>551</v>
      </c>
      <c r="C564" s="2"/>
      <c r="D564" s="28"/>
      <c r="E564" s="3">
        <v>45549</v>
      </c>
      <c r="F564" s="3">
        <v>45576</v>
      </c>
      <c r="G564" s="29">
        <v>20</v>
      </c>
      <c r="H564" s="151" t="e">
        <v>#VALUE!</v>
      </c>
      <c r="I564" s="151" t="e">
        <v>#VALUE!</v>
      </c>
      <c r="J564" s="6" t="s">
        <v>403</v>
      </c>
      <c r="K564" s="7">
        <v>20000</v>
      </c>
      <c r="L564" s="7">
        <v>30000</v>
      </c>
      <c r="M564" s="21" t="s">
        <v>143</v>
      </c>
      <c r="N564" s="9">
        <v>30000</v>
      </c>
      <c r="O564" s="9">
        <v>30000</v>
      </c>
      <c r="P564" s="10">
        <v>0</v>
      </c>
      <c r="Q564" s="152">
        <v>45579</v>
      </c>
    </row>
    <row r="565" spans="1:17" ht="24" thickBot="1" x14ac:dyDescent="0.3">
      <c r="A565" s="150">
        <v>2817</v>
      </c>
      <c r="B565" s="2" t="s">
        <v>402</v>
      </c>
      <c r="C565" s="2"/>
      <c r="D565" s="28"/>
      <c r="E565" s="3">
        <v>45556</v>
      </c>
      <c r="F565" s="3">
        <v>45583</v>
      </c>
      <c r="G565" s="29">
        <v>20</v>
      </c>
      <c r="H565" s="151" t="e">
        <v>#DIV/0!</v>
      </c>
      <c r="I565" s="151" t="e">
        <v>#DIV/0!</v>
      </c>
      <c r="J565" s="6" t="s">
        <v>899</v>
      </c>
      <c r="K565" s="7">
        <v>15000</v>
      </c>
      <c r="L565" s="7">
        <v>22500</v>
      </c>
      <c r="M565" s="21"/>
      <c r="N565" s="9">
        <v>17000</v>
      </c>
      <c r="O565" s="9">
        <v>22500</v>
      </c>
      <c r="P565" s="10">
        <v>0</v>
      </c>
      <c r="Q565" s="152">
        <v>45579</v>
      </c>
    </row>
    <row r="566" spans="1:17" ht="24" thickBot="1" x14ac:dyDescent="0.3">
      <c r="A566" s="150">
        <v>2752</v>
      </c>
      <c r="B566" s="2" t="s">
        <v>751</v>
      </c>
      <c r="C566" s="2"/>
      <c r="D566" s="28"/>
      <c r="E566" s="3">
        <v>45514</v>
      </c>
      <c r="F566" s="3">
        <v>45611</v>
      </c>
      <c r="G566" s="29">
        <v>70</v>
      </c>
      <c r="H566" s="151">
        <v>70</v>
      </c>
      <c r="I566" s="151">
        <v>0</v>
      </c>
      <c r="J566" s="16" t="s">
        <v>904</v>
      </c>
      <c r="K566" s="10">
        <v>30000</v>
      </c>
      <c r="L566" s="10">
        <v>66500</v>
      </c>
      <c r="M566" s="8">
        <v>4750</v>
      </c>
      <c r="N566" s="9">
        <v>29500</v>
      </c>
      <c r="O566" s="9">
        <v>66500</v>
      </c>
      <c r="P566" s="7">
        <v>0</v>
      </c>
      <c r="Q566" s="152">
        <v>45579</v>
      </c>
    </row>
    <row r="567" spans="1:17" ht="57.75" thickBot="1" x14ac:dyDescent="0.3">
      <c r="A567" s="150">
        <v>2579</v>
      </c>
      <c r="B567" s="2" t="s">
        <v>222</v>
      </c>
      <c r="C567" s="4" t="s">
        <v>223</v>
      </c>
      <c r="D567" s="28"/>
      <c r="E567" s="3">
        <v>45399</v>
      </c>
      <c r="F567" s="3">
        <v>45595</v>
      </c>
      <c r="G567" s="151">
        <v>140</v>
      </c>
      <c r="H567" s="151">
        <v>0</v>
      </c>
      <c r="I567" s="151">
        <v>0</v>
      </c>
      <c r="J567" s="6" t="s">
        <v>905</v>
      </c>
      <c r="K567" s="7">
        <v>200000</v>
      </c>
      <c r="L567" s="7">
        <v>560000</v>
      </c>
      <c r="M567" s="21">
        <v>20000</v>
      </c>
      <c r="N567" s="9">
        <v>80000</v>
      </c>
      <c r="O567" s="9">
        <v>80000</v>
      </c>
      <c r="P567" s="9">
        <v>560000</v>
      </c>
      <c r="Q567" s="152">
        <v>45586</v>
      </c>
    </row>
    <row r="568" spans="1:17" ht="46.5" thickBot="1" x14ac:dyDescent="0.3">
      <c r="A568" s="150">
        <v>2840</v>
      </c>
      <c r="B568" s="2" t="s">
        <v>624</v>
      </c>
      <c r="C568" s="2" t="s">
        <v>160</v>
      </c>
      <c r="D568" s="28"/>
      <c r="E568" s="3">
        <v>45560</v>
      </c>
      <c r="F568" s="3">
        <v>45660</v>
      </c>
      <c r="G568" s="151" t="e">
        <v>#DIV/0!</v>
      </c>
      <c r="H568" s="151" t="e">
        <v>#DIV/0!</v>
      </c>
      <c r="I568" s="151">
        <v>0</v>
      </c>
      <c r="J568" s="6" t="s">
        <v>368</v>
      </c>
      <c r="K568" s="7">
        <v>80000</v>
      </c>
      <c r="L568" s="7">
        <v>104000</v>
      </c>
      <c r="M568" s="8"/>
      <c r="N568" s="43">
        <v>104000</v>
      </c>
      <c r="O568" s="9">
        <v>104000</v>
      </c>
      <c r="P568" s="9">
        <v>104000</v>
      </c>
      <c r="Q568" s="152">
        <v>45586</v>
      </c>
    </row>
    <row r="569" spans="1:17" ht="46.5" thickBot="1" x14ac:dyDescent="0.3">
      <c r="A569" s="150">
        <v>2726</v>
      </c>
      <c r="B569" s="2" t="s">
        <v>183</v>
      </c>
      <c r="C569" s="2" t="s">
        <v>184</v>
      </c>
      <c r="D569" s="28"/>
      <c r="E569" s="3">
        <v>45497</v>
      </c>
      <c r="F569" s="3">
        <v>45581</v>
      </c>
      <c r="G569" s="151">
        <v>60.001000016666943</v>
      </c>
      <c r="H569" s="151">
        <v>-1.0000166669428268E-3</v>
      </c>
      <c r="I569" s="151">
        <v>0</v>
      </c>
      <c r="J569" s="6" t="s">
        <v>906</v>
      </c>
      <c r="K569" s="7">
        <v>1000000</v>
      </c>
      <c r="L569" s="7">
        <v>1799970</v>
      </c>
      <c r="M569" s="8">
        <v>149997.5</v>
      </c>
      <c r="N569" s="8">
        <v>149997.5</v>
      </c>
      <c r="O569" s="9">
        <v>300000</v>
      </c>
      <c r="P569" s="9">
        <v>1800000</v>
      </c>
      <c r="Q569" s="152">
        <v>45593</v>
      </c>
    </row>
    <row r="570" spans="1:17" ht="24" thickBot="1" x14ac:dyDescent="0.3">
      <c r="A570" s="150">
        <v>2683</v>
      </c>
      <c r="B570" s="2" t="s">
        <v>269</v>
      </c>
      <c r="C570" s="2"/>
      <c r="D570" s="28"/>
      <c r="E570" s="3">
        <v>45467</v>
      </c>
      <c r="F570" s="3">
        <v>45579</v>
      </c>
      <c r="G570" s="151">
        <v>80</v>
      </c>
      <c r="H570" s="151">
        <v>0</v>
      </c>
      <c r="I570" s="151">
        <v>0</v>
      </c>
      <c r="J570" s="6" t="s">
        <v>907</v>
      </c>
      <c r="K570" s="18">
        <v>100000</v>
      </c>
      <c r="L570" s="7">
        <v>216000</v>
      </c>
      <c r="M570" s="21">
        <v>13500</v>
      </c>
      <c r="N570" s="21">
        <v>13500</v>
      </c>
      <c r="O570" s="9">
        <v>54000</v>
      </c>
      <c r="P570" s="9">
        <v>216000</v>
      </c>
      <c r="Q570" s="152">
        <v>45593</v>
      </c>
    </row>
    <row r="571" spans="1:17" ht="35.25" thickBot="1" x14ac:dyDescent="0.3">
      <c r="A571" s="150">
        <v>2730</v>
      </c>
      <c r="B571" s="2" t="s">
        <v>310</v>
      </c>
      <c r="C571" s="2" t="s">
        <v>311</v>
      </c>
      <c r="D571" s="28"/>
      <c r="E571" s="3">
        <v>45499</v>
      </c>
      <c r="F571" s="3">
        <v>45601</v>
      </c>
      <c r="G571" s="151">
        <v>72</v>
      </c>
      <c r="H571" s="151">
        <v>0</v>
      </c>
      <c r="I571" s="151">
        <v>0</v>
      </c>
      <c r="J571" s="2" t="s">
        <v>163</v>
      </c>
      <c r="K571" s="10">
        <v>80000</v>
      </c>
      <c r="L571" s="10">
        <v>172800</v>
      </c>
      <c r="M571" s="8">
        <v>12000</v>
      </c>
      <c r="N571" s="8">
        <v>12000</v>
      </c>
      <c r="O571" s="9">
        <v>16800</v>
      </c>
      <c r="P571" s="9">
        <v>172800</v>
      </c>
      <c r="Q571" s="152">
        <v>45593</v>
      </c>
    </row>
    <row r="572" spans="1:17" ht="35.25" thickBot="1" x14ac:dyDescent="0.3">
      <c r="A572" s="150">
        <v>2608</v>
      </c>
      <c r="B572" s="2" t="s">
        <v>172</v>
      </c>
      <c r="C572" s="2" t="s">
        <v>173</v>
      </c>
      <c r="D572" s="28"/>
      <c r="E572" s="3">
        <v>45415</v>
      </c>
      <c r="F572" s="3">
        <v>45583</v>
      </c>
      <c r="G572" s="151">
        <v>120</v>
      </c>
      <c r="H572" s="151">
        <v>0</v>
      </c>
      <c r="I572" s="151">
        <v>0</v>
      </c>
      <c r="J572" s="6" t="s">
        <v>908</v>
      </c>
      <c r="K572" s="7">
        <v>60000</v>
      </c>
      <c r="L572" s="7">
        <v>129600</v>
      </c>
      <c r="M572" s="8">
        <v>5400</v>
      </c>
      <c r="N572" s="8">
        <v>5400</v>
      </c>
      <c r="O572" s="9">
        <v>3420</v>
      </c>
      <c r="P572" s="9">
        <v>129600</v>
      </c>
      <c r="Q572" s="152">
        <v>45600</v>
      </c>
    </row>
    <row r="573" spans="1:17" ht="35.25" thickBot="1" x14ac:dyDescent="0.3">
      <c r="A573" s="150">
        <v>2618</v>
      </c>
      <c r="B573" s="2" t="s">
        <v>172</v>
      </c>
      <c r="C573" s="2" t="s">
        <v>173</v>
      </c>
      <c r="D573" s="28"/>
      <c r="E573" s="3">
        <v>45422</v>
      </c>
      <c r="F573" s="3">
        <v>45576</v>
      </c>
      <c r="G573" s="151">
        <v>110</v>
      </c>
      <c r="H573" s="151">
        <v>0</v>
      </c>
      <c r="I573" s="151">
        <v>0</v>
      </c>
      <c r="J573" s="6" t="s">
        <v>909</v>
      </c>
      <c r="K573" s="10">
        <v>100000</v>
      </c>
      <c r="L573" s="10">
        <v>264000</v>
      </c>
      <c r="M573" s="8">
        <v>12000</v>
      </c>
      <c r="N573" s="8">
        <v>12000</v>
      </c>
      <c r="O573" s="9">
        <v>44000</v>
      </c>
      <c r="P573" s="9">
        <v>264000</v>
      </c>
      <c r="Q573" s="152">
        <v>45600</v>
      </c>
    </row>
    <row r="574" spans="1:17" ht="35.25" thickBot="1" x14ac:dyDescent="0.3">
      <c r="A574" s="150">
        <v>2867</v>
      </c>
      <c r="B574" s="2" t="s">
        <v>172</v>
      </c>
      <c r="C574" s="2" t="s">
        <v>173</v>
      </c>
      <c r="D574" s="28"/>
      <c r="E574" s="3">
        <v>45583</v>
      </c>
      <c r="F574" s="3">
        <v>45604</v>
      </c>
      <c r="G574" s="151" t="e">
        <v>#DIV/0!</v>
      </c>
      <c r="H574" s="151" t="e">
        <v>#DIV/0!</v>
      </c>
      <c r="I574" s="151">
        <v>0</v>
      </c>
      <c r="J574" s="6" t="s">
        <v>368</v>
      </c>
      <c r="K574" s="10">
        <v>20000</v>
      </c>
      <c r="L574" s="10">
        <v>32000</v>
      </c>
      <c r="M574" s="8"/>
      <c r="N574" s="8"/>
      <c r="O574" s="9">
        <v>32000</v>
      </c>
      <c r="P574" s="9">
        <v>32000</v>
      </c>
      <c r="Q574" s="152">
        <v>45600</v>
      </c>
    </row>
    <row r="575" spans="1:17" ht="24" thickBot="1" x14ac:dyDescent="0.3">
      <c r="A575" s="150">
        <v>2722</v>
      </c>
      <c r="B575" s="2" t="s">
        <v>230</v>
      </c>
      <c r="C575" s="2" t="s">
        <v>231</v>
      </c>
      <c r="D575" s="28"/>
      <c r="E575" s="3">
        <v>45496</v>
      </c>
      <c r="F575" s="3">
        <v>45596</v>
      </c>
      <c r="G575" s="151">
        <v>72</v>
      </c>
      <c r="H575" s="151">
        <v>0</v>
      </c>
      <c r="I575" s="151">
        <v>0</v>
      </c>
      <c r="J575" s="2" t="s">
        <v>839</v>
      </c>
      <c r="K575" s="10">
        <v>15000</v>
      </c>
      <c r="L575" s="10">
        <v>32400</v>
      </c>
      <c r="M575" s="8">
        <v>2250</v>
      </c>
      <c r="N575" s="8">
        <v>2250</v>
      </c>
      <c r="O575" s="9">
        <v>8100</v>
      </c>
      <c r="P575" s="9">
        <v>32400</v>
      </c>
      <c r="Q575" s="152">
        <v>45600</v>
      </c>
    </row>
    <row r="576" spans="1:17" ht="35.25" thickBot="1" x14ac:dyDescent="0.3">
      <c r="A576" s="150">
        <v>2286</v>
      </c>
      <c r="B576" s="2" t="s">
        <v>246</v>
      </c>
      <c r="C576" s="2" t="s">
        <v>247</v>
      </c>
      <c r="D576" s="28"/>
      <c r="E576" s="3">
        <v>45208</v>
      </c>
      <c r="F576" s="3">
        <v>45308</v>
      </c>
      <c r="G576" s="151">
        <v>78.666666666666671</v>
      </c>
      <c r="H576" s="151">
        <v>-6.6666666666666714</v>
      </c>
      <c r="I576" s="151">
        <v>0</v>
      </c>
      <c r="J576" s="16" t="s">
        <v>227</v>
      </c>
      <c r="K576" s="7">
        <v>50000</v>
      </c>
      <c r="L576" s="7">
        <v>108000</v>
      </c>
      <c r="M576" s="8">
        <v>7500</v>
      </c>
      <c r="N576" s="8">
        <v>7500</v>
      </c>
      <c r="O576" s="9">
        <v>15000</v>
      </c>
      <c r="P576" s="9">
        <v>118000</v>
      </c>
      <c r="Q576" s="152">
        <v>45600</v>
      </c>
    </row>
    <row r="577" spans="1:17" ht="35.25" thickBot="1" x14ac:dyDescent="0.3">
      <c r="A577" s="150">
        <v>2502</v>
      </c>
      <c r="B577" s="2" t="s">
        <v>246</v>
      </c>
      <c r="C577" s="2" t="s">
        <v>247</v>
      </c>
      <c r="D577" s="28"/>
      <c r="E577" s="3">
        <v>45350</v>
      </c>
      <c r="F577" s="3">
        <v>45450</v>
      </c>
      <c r="G577" s="151">
        <v>81.888888888888886</v>
      </c>
      <c r="H577" s="151">
        <v>-9.8888888888888857</v>
      </c>
      <c r="I577" s="151">
        <v>0</v>
      </c>
      <c r="J577" s="16" t="s">
        <v>318</v>
      </c>
      <c r="K577" s="7">
        <v>15000</v>
      </c>
      <c r="L577" s="7">
        <v>32400</v>
      </c>
      <c r="M577" s="8">
        <v>2250</v>
      </c>
      <c r="N577" s="8">
        <v>2250</v>
      </c>
      <c r="O577" s="9">
        <v>9300</v>
      </c>
      <c r="P577" s="9">
        <v>36850</v>
      </c>
      <c r="Q577" s="152">
        <v>45600</v>
      </c>
    </row>
    <row r="578" spans="1:17" ht="35.25" thickBot="1" x14ac:dyDescent="0.3">
      <c r="A578" s="150">
        <v>2648</v>
      </c>
      <c r="B578" s="2" t="s">
        <v>246</v>
      </c>
      <c r="C578" s="2" t="s">
        <v>247</v>
      </c>
      <c r="D578" s="28"/>
      <c r="E578" s="3">
        <v>45442</v>
      </c>
      <c r="F578" s="3">
        <v>45544</v>
      </c>
      <c r="G578" s="151">
        <v>75.333333333333329</v>
      </c>
      <c r="H578" s="151">
        <v>-3.3333333333333286</v>
      </c>
      <c r="I578" s="151">
        <v>0</v>
      </c>
      <c r="J578" s="16" t="s">
        <v>581</v>
      </c>
      <c r="K578" s="7">
        <v>25000</v>
      </c>
      <c r="L578" s="7">
        <v>54000</v>
      </c>
      <c r="M578" s="21">
        <v>3750</v>
      </c>
      <c r="N578" s="21">
        <v>3750</v>
      </c>
      <c r="O578" s="9">
        <v>7000</v>
      </c>
      <c r="P578" s="9">
        <v>56500</v>
      </c>
      <c r="Q578" s="152">
        <v>45600</v>
      </c>
    </row>
    <row r="579" spans="1:17" ht="46.5" thickBot="1" x14ac:dyDescent="0.3">
      <c r="A579" s="150">
        <v>2190</v>
      </c>
      <c r="B579" s="2" t="s">
        <v>337</v>
      </c>
      <c r="C579" s="2" t="s">
        <v>338</v>
      </c>
      <c r="D579" s="28"/>
      <c r="E579" s="3">
        <v>45139</v>
      </c>
      <c r="F579" s="3">
        <v>45614</v>
      </c>
      <c r="G579" s="151">
        <v>310</v>
      </c>
      <c r="H579" s="151">
        <v>29</v>
      </c>
      <c r="I579" s="151">
        <v>0</v>
      </c>
      <c r="J579" s="16" t="s">
        <v>910</v>
      </c>
      <c r="K579" s="10">
        <v>200000</v>
      </c>
      <c r="L579" s="10">
        <v>591000</v>
      </c>
      <c r="M579" s="21">
        <v>9850</v>
      </c>
      <c r="N579" s="21">
        <v>9850</v>
      </c>
      <c r="O579" s="9">
        <v>39400</v>
      </c>
      <c r="P579" s="9">
        <v>610700</v>
      </c>
      <c r="Q579" s="152">
        <v>45600</v>
      </c>
    </row>
    <row r="580" spans="1:17" ht="35.25" thickBot="1" x14ac:dyDescent="0.3">
      <c r="A580" s="150">
        <v>2636</v>
      </c>
      <c r="B580" s="2" t="s">
        <v>359</v>
      </c>
      <c r="C580" s="2" t="s">
        <v>360</v>
      </c>
      <c r="D580" s="28"/>
      <c r="E580" s="3">
        <v>45437</v>
      </c>
      <c r="F580" s="3">
        <v>45604</v>
      </c>
      <c r="G580" s="151">
        <v>120.01289075088624</v>
      </c>
      <c r="H580" s="151">
        <v>-1.2890750886242586E-2</v>
      </c>
      <c r="I580" s="151">
        <v>0</v>
      </c>
      <c r="J580" s="16" t="s">
        <v>361</v>
      </c>
      <c r="K580" s="7">
        <v>141000</v>
      </c>
      <c r="L580" s="7">
        <v>372360</v>
      </c>
      <c r="M580" s="8">
        <v>15515</v>
      </c>
      <c r="N580" s="8">
        <v>15515</v>
      </c>
      <c r="O580" s="9">
        <v>62000</v>
      </c>
      <c r="P580" s="9">
        <v>372400</v>
      </c>
      <c r="Q580" s="152">
        <v>45600</v>
      </c>
    </row>
    <row r="581" spans="1:17" ht="46.5" thickBot="1" x14ac:dyDescent="0.3">
      <c r="A581" s="150">
        <v>2654</v>
      </c>
      <c r="B581" s="2" t="s">
        <v>624</v>
      </c>
      <c r="C581" s="2" t="s">
        <v>160</v>
      </c>
      <c r="D581" s="28"/>
      <c r="E581" s="3">
        <v>45450</v>
      </c>
      <c r="F581" s="3">
        <v>45604</v>
      </c>
      <c r="G581" s="151">
        <v>115</v>
      </c>
      <c r="H581" s="151">
        <v>-5</v>
      </c>
      <c r="I581" s="151">
        <v>0</v>
      </c>
      <c r="J581" s="2" t="s">
        <v>279</v>
      </c>
      <c r="K581" s="7">
        <v>100000</v>
      </c>
      <c r="L581" s="7">
        <v>264000</v>
      </c>
      <c r="M581" s="8">
        <v>12000</v>
      </c>
      <c r="N581" s="8">
        <v>12000</v>
      </c>
      <c r="O581" s="9">
        <v>12000</v>
      </c>
      <c r="P581" s="9">
        <v>276000</v>
      </c>
      <c r="Q581" s="152">
        <v>45600</v>
      </c>
    </row>
    <row r="582" spans="1:17" ht="57.75" thickBot="1" x14ac:dyDescent="0.3">
      <c r="A582" s="150">
        <v>2594</v>
      </c>
      <c r="B582" s="2" t="s">
        <v>369</v>
      </c>
      <c r="C582" s="2" t="s">
        <v>370</v>
      </c>
      <c r="D582" s="28"/>
      <c r="E582" s="3">
        <v>45406</v>
      </c>
      <c r="F582" s="3">
        <v>45602</v>
      </c>
      <c r="G582" s="151">
        <v>140</v>
      </c>
      <c r="H582" s="151">
        <v>0</v>
      </c>
      <c r="I582" s="151">
        <v>0</v>
      </c>
      <c r="J582" s="6" t="s">
        <v>565</v>
      </c>
      <c r="K582" s="7">
        <v>70000</v>
      </c>
      <c r="L582" s="7">
        <v>184800</v>
      </c>
      <c r="M582" s="21">
        <v>6600</v>
      </c>
      <c r="N582" s="21">
        <v>6600</v>
      </c>
      <c r="O582" s="9">
        <v>26400</v>
      </c>
      <c r="P582" s="9">
        <v>184800</v>
      </c>
      <c r="Q582" s="152">
        <v>45600</v>
      </c>
    </row>
    <row r="583" spans="1:17" ht="57.75" thickBot="1" x14ac:dyDescent="0.3">
      <c r="A583" s="150">
        <v>2605</v>
      </c>
      <c r="B583" s="2" t="s">
        <v>369</v>
      </c>
      <c r="C583" s="2" t="s">
        <v>370</v>
      </c>
      <c r="D583" s="28"/>
      <c r="E583" s="3">
        <v>45415</v>
      </c>
      <c r="F583" s="3">
        <v>45611</v>
      </c>
      <c r="G583" s="151">
        <v>140</v>
      </c>
      <c r="H583" s="151">
        <v>0</v>
      </c>
      <c r="I583" s="151">
        <v>0</v>
      </c>
      <c r="J583" s="6" t="s">
        <v>911</v>
      </c>
      <c r="K583" s="7">
        <v>30000</v>
      </c>
      <c r="L583" s="7">
        <v>79205</v>
      </c>
      <c r="M583" s="8">
        <v>2828.75</v>
      </c>
      <c r="N583" s="8">
        <v>2828.75</v>
      </c>
      <c r="O583" s="9">
        <v>11315</v>
      </c>
      <c r="P583" s="9">
        <v>79205</v>
      </c>
      <c r="Q583" s="152">
        <v>45600</v>
      </c>
    </row>
    <row r="584" spans="1:17" ht="46.5" thickBot="1" x14ac:dyDescent="0.3">
      <c r="A584" s="150">
        <v>2578</v>
      </c>
      <c r="B584" s="2" t="s">
        <v>376</v>
      </c>
      <c r="C584" s="2"/>
      <c r="D584" s="28"/>
      <c r="E584" s="3">
        <v>45399</v>
      </c>
      <c r="F584" s="3">
        <v>45595</v>
      </c>
      <c r="G584" s="151">
        <v>140</v>
      </c>
      <c r="H584" s="151">
        <v>0</v>
      </c>
      <c r="I584" s="151">
        <v>0</v>
      </c>
      <c r="J584" s="6" t="s">
        <v>912</v>
      </c>
      <c r="K584" s="7">
        <v>60000</v>
      </c>
      <c r="L584" s="7">
        <v>158410</v>
      </c>
      <c r="M584" s="21">
        <v>5657.5</v>
      </c>
      <c r="N584" s="21">
        <v>5657.5</v>
      </c>
      <c r="O584" s="9">
        <v>22630</v>
      </c>
      <c r="P584" s="9">
        <v>158410</v>
      </c>
      <c r="Q584" s="152">
        <v>45600</v>
      </c>
    </row>
    <row r="585" spans="1:17" ht="35.25" thickBot="1" x14ac:dyDescent="0.3">
      <c r="A585" s="150">
        <v>2740</v>
      </c>
      <c r="B585" s="2" t="s">
        <v>385</v>
      </c>
      <c r="C585" s="2" t="s">
        <v>386</v>
      </c>
      <c r="D585" s="28"/>
      <c r="E585" s="3">
        <v>45506</v>
      </c>
      <c r="F585" s="3">
        <v>45608</v>
      </c>
      <c r="G585" s="151">
        <v>72</v>
      </c>
      <c r="H585" s="151">
        <v>0</v>
      </c>
      <c r="I585" s="151">
        <v>0</v>
      </c>
      <c r="J585" s="2" t="s">
        <v>227</v>
      </c>
      <c r="K585" s="10">
        <v>50000</v>
      </c>
      <c r="L585" s="10">
        <v>108000</v>
      </c>
      <c r="M585" s="21">
        <v>7500</v>
      </c>
      <c r="N585" s="21">
        <v>7500</v>
      </c>
      <c r="O585" s="9">
        <v>21500</v>
      </c>
      <c r="P585" s="9">
        <v>108000</v>
      </c>
      <c r="Q585" s="152">
        <v>45600</v>
      </c>
    </row>
    <row r="586" spans="1:17" ht="35.25" thickBot="1" x14ac:dyDescent="0.3">
      <c r="A586" s="150">
        <v>2521</v>
      </c>
      <c r="B586" s="2" t="s">
        <v>426</v>
      </c>
      <c r="C586" s="2" t="s">
        <v>427</v>
      </c>
      <c r="D586" s="28"/>
      <c r="E586" s="3">
        <v>45364</v>
      </c>
      <c r="F586" s="3">
        <v>45476</v>
      </c>
      <c r="G586" s="151">
        <v>81.851851851851848</v>
      </c>
      <c r="H586" s="151">
        <v>-1.8518518518518476</v>
      </c>
      <c r="I586" s="151">
        <v>0</v>
      </c>
      <c r="J586" s="6" t="s">
        <v>325</v>
      </c>
      <c r="K586" s="7">
        <v>100000</v>
      </c>
      <c r="L586" s="7">
        <v>216000</v>
      </c>
      <c r="M586" s="21">
        <v>13500</v>
      </c>
      <c r="N586" s="21">
        <v>13500</v>
      </c>
      <c r="O586" s="9">
        <v>13000</v>
      </c>
      <c r="P586" s="9">
        <v>221000</v>
      </c>
      <c r="Q586" s="152">
        <v>45600</v>
      </c>
    </row>
    <row r="587" spans="1:17" ht="24" thickBot="1" x14ac:dyDescent="0.3">
      <c r="A587" s="150">
        <v>2692</v>
      </c>
      <c r="B587" s="2" t="s">
        <v>471</v>
      </c>
      <c r="C587" s="2" t="s">
        <v>472</v>
      </c>
      <c r="D587" s="28"/>
      <c r="E587" s="3">
        <v>45476</v>
      </c>
      <c r="F587" s="3">
        <v>45616</v>
      </c>
      <c r="G587" s="151">
        <v>100</v>
      </c>
      <c r="H587" s="151">
        <v>0</v>
      </c>
      <c r="I587" s="151">
        <v>0</v>
      </c>
      <c r="J587" s="6" t="s">
        <v>913</v>
      </c>
      <c r="K587" s="7">
        <v>250000</v>
      </c>
      <c r="L587" s="7">
        <v>540000</v>
      </c>
      <c r="M587" s="21">
        <v>27000</v>
      </c>
      <c r="N587" s="21">
        <v>27000</v>
      </c>
      <c r="O587" s="9">
        <v>108000</v>
      </c>
      <c r="P587" s="9">
        <v>540000</v>
      </c>
      <c r="Q587" s="152">
        <v>45600</v>
      </c>
    </row>
    <row r="588" spans="1:17" ht="24" thickBot="1" x14ac:dyDescent="0.3">
      <c r="A588" s="150">
        <v>2802</v>
      </c>
      <c r="B588" s="2" t="s">
        <v>471</v>
      </c>
      <c r="C588" s="2" t="s">
        <v>472</v>
      </c>
      <c r="D588" s="28"/>
      <c r="E588" s="3">
        <v>45545</v>
      </c>
      <c r="F588" s="3">
        <v>45657</v>
      </c>
      <c r="G588" s="151">
        <v>80</v>
      </c>
      <c r="H588" s="151">
        <v>0</v>
      </c>
      <c r="I588" s="151">
        <v>0</v>
      </c>
      <c r="J588" s="6" t="s">
        <v>914</v>
      </c>
      <c r="K588" s="10">
        <v>200000</v>
      </c>
      <c r="L588" s="10">
        <v>432000</v>
      </c>
      <c r="M588" s="8">
        <v>27000</v>
      </c>
      <c r="N588" s="21">
        <v>27000</v>
      </c>
      <c r="O588" s="9">
        <v>324000</v>
      </c>
      <c r="P588" s="43">
        <v>432000</v>
      </c>
      <c r="Q588" s="152">
        <v>45600</v>
      </c>
    </row>
    <row r="589" spans="1:17" ht="35.25" thickBot="1" x14ac:dyDescent="0.3">
      <c r="A589" s="150">
        <v>2721</v>
      </c>
      <c r="B589" s="2" t="s">
        <v>169</v>
      </c>
      <c r="C589" s="2"/>
      <c r="D589" s="28"/>
      <c r="E589" s="3">
        <v>45495</v>
      </c>
      <c r="F589" s="3">
        <v>45595</v>
      </c>
      <c r="G589" s="151">
        <v>72</v>
      </c>
      <c r="H589" s="151">
        <v>0</v>
      </c>
      <c r="I589" s="151">
        <v>0</v>
      </c>
      <c r="J589" s="2" t="s">
        <v>188</v>
      </c>
      <c r="K589" s="7">
        <v>150000</v>
      </c>
      <c r="L589" s="7">
        <v>324000</v>
      </c>
      <c r="M589" s="21">
        <v>22500</v>
      </c>
      <c r="N589" s="9">
        <v>9000</v>
      </c>
      <c r="O589" s="9">
        <v>324000</v>
      </c>
      <c r="P589" s="10">
        <v>0</v>
      </c>
      <c r="Q589" s="152">
        <v>45607</v>
      </c>
    </row>
    <row r="590" spans="1:17" ht="46.5" thickBot="1" x14ac:dyDescent="0.3">
      <c r="A590" s="150">
        <v>2728</v>
      </c>
      <c r="B590" s="2" t="s">
        <v>284</v>
      </c>
      <c r="C590" s="2" t="s">
        <v>285</v>
      </c>
      <c r="D590" s="28"/>
      <c r="E590" s="3">
        <v>45498</v>
      </c>
      <c r="F590" s="3">
        <v>45610</v>
      </c>
      <c r="G590" s="151">
        <v>80</v>
      </c>
      <c r="H590" s="151">
        <v>0</v>
      </c>
      <c r="I590" s="151">
        <v>0</v>
      </c>
      <c r="J590" s="6" t="s">
        <v>282</v>
      </c>
      <c r="K590" s="7">
        <v>30000</v>
      </c>
      <c r="L590" s="7">
        <v>64800</v>
      </c>
      <c r="M590" s="8">
        <v>4050</v>
      </c>
      <c r="N590" s="9">
        <v>16200</v>
      </c>
      <c r="O590" s="9">
        <v>64800</v>
      </c>
      <c r="P590" s="10">
        <v>0</v>
      </c>
      <c r="Q590" s="152">
        <v>45607</v>
      </c>
    </row>
    <row r="591" spans="1:17" ht="24" thickBot="1" x14ac:dyDescent="0.3">
      <c r="A591" s="150">
        <v>2878</v>
      </c>
      <c r="B591" s="2" t="s">
        <v>707</v>
      </c>
      <c r="C591" s="2"/>
      <c r="D591" s="28"/>
      <c r="E591" s="3">
        <v>45588</v>
      </c>
      <c r="F591" s="3">
        <v>45582</v>
      </c>
      <c r="G591" s="151" t="e">
        <v>#DIV/0!</v>
      </c>
      <c r="H591" s="151" t="e">
        <v>#DIV/0!</v>
      </c>
      <c r="I591" s="151">
        <v>0</v>
      </c>
      <c r="J591" s="6" t="s">
        <v>403</v>
      </c>
      <c r="K591" s="20">
        <v>100000</v>
      </c>
      <c r="L591" s="7">
        <v>139000</v>
      </c>
      <c r="M591" s="8"/>
      <c r="N591" s="9">
        <v>39000</v>
      </c>
      <c r="O591" s="9">
        <v>139000</v>
      </c>
      <c r="P591" s="10">
        <v>0</v>
      </c>
      <c r="Q591" s="152">
        <v>45607</v>
      </c>
    </row>
    <row r="592" spans="1:17" ht="15.75" thickBot="1" x14ac:dyDescent="0.3">
      <c r="A592" s="150">
        <v>2857</v>
      </c>
      <c r="B592" s="2" t="s">
        <v>367</v>
      </c>
      <c r="C592" s="2"/>
      <c r="D592" s="28"/>
      <c r="E592" s="3">
        <v>45579</v>
      </c>
      <c r="F592" s="3">
        <v>45607</v>
      </c>
      <c r="G592" s="151" t="e">
        <v>#VALUE!</v>
      </c>
      <c r="H592" s="151" t="e">
        <v>#VALUE!</v>
      </c>
      <c r="I592" s="151">
        <v>0</v>
      </c>
      <c r="J592" s="2" t="s">
        <v>915</v>
      </c>
      <c r="K592" s="19">
        <v>20000</v>
      </c>
      <c r="L592" s="7">
        <v>32000</v>
      </c>
      <c r="M592" s="21" t="s">
        <v>143</v>
      </c>
      <c r="N592" s="9">
        <v>32000</v>
      </c>
      <c r="O592" s="9">
        <v>32000</v>
      </c>
      <c r="P592" s="10">
        <v>0</v>
      </c>
      <c r="Q592" s="152">
        <v>45607</v>
      </c>
    </row>
    <row r="593" spans="1:17" ht="15.75" thickBot="1" x14ac:dyDescent="0.3">
      <c r="A593" s="150">
        <v>2871</v>
      </c>
      <c r="B593" s="2" t="s">
        <v>367</v>
      </c>
      <c r="C593" s="2"/>
      <c r="D593" s="28"/>
      <c r="E593" s="3">
        <v>45584</v>
      </c>
      <c r="F593" s="3">
        <v>45611</v>
      </c>
      <c r="G593" s="151" t="e">
        <v>#DIV/0!</v>
      </c>
      <c r="H593" s="151" t="e">
        <v>#DIV/0!</v>
      </c>
      <c r="I593" s="151">
        <v>0</v>
      </c>
      <c r="J593" s="2" t="s">
        <v>915</v>
      </c>
      <c r="K593" s="7">
        <v>30000</v>
      </c>
      <c r="L593" s="7">
        <v>48000</v>
      </c>
      <c r="M593" s="21"/>
      <c r="N593" s="9">
        <v>48000</v>
      </c>
      <c r="O593" s="9">
        <v>48000</v>
      </c>
      <c r="P593" s="10">
        <v>0</v>
      </c>
      <c r="Q593" s="152">
        <v>45607</v>
      </c>
    </row>
    <row r="594" spans="1:17" ht="57.75" thickBot="1" x14ac:dyDescent="0.3">
      <c r="A594" s="150">
        <v>2662</v>
      </c>
      <c r="B594" s="2" t="s">
        <v>692</v>
      </c>
      <c r="C594" s="2" t="s">
        <v>394</v>
      </c>
      <c r="D594" s="28"/>
      <c r="E594" s="3">
        <v>45454</v>
      </c>
      <c r="F594" s="3">
        <v>45608</v>
      </c>
      <c r="G594" s="151">
        <v>110</v>
      </c>
      <c r="H594" s="151">
        <v>0</v>
      </c>
      <c r="I594" s="151">
        <v>0</v>
      </c>
      <c r="J594" s="2" t="s">
        <v>158</v>
      </c>
      <c r="K594" s="10">
        <v>300000</v>
      </c>
      <c r="L594" s="10">
        <v>792000</v>
      </c>
      <c r="M594" s="21">
        <v>36000</v>
      </c>
      <c r="N594" s="9">
        <v>36000</v>
      </c>
      <c r="O594" s="9">
        <v>792000</v>
      </c>
      <c r="P594" s="10">
        <v>0</v>
      </c>
      <c r="Q594" s="152">
        <v>45607</v>
      </c>
    </row>
    <row r="595" spans="1:17" ht="35.25" thickBot="1" x14ac:dyDescent="0.3">
      <c r="A595" s="150">
        <v>2820</v>
      </c>
      <c r="B595" s="2" t="s">
        <v>551</v>
      </c>
      <c r="C595" s="2"/>
      <c r="D595" s="28"/>
      <c r="E595" s="3">
        <v>45558</v>
      </c>
      <c r="F595" s="3">
        <v>45586</v>
      </c>
      <c r="G595" s="151" t="e">
        <v>#DIV/0!</v>
      </c>
      <c r="H595" s="151" t="e">
        <v>#DIV/0!</v>
      </c>
      <c r="I595" s="151">
        <v>0</v>
      </c>
      <c r="J595" s="6" t="s">
        <v>403</v>
      </c>
      <c r="K595" s="7">
        <v>20000</v>
      </c>
      <c r="L595" s="7">
        <v>30000</v>
      </c>
      <c r="M595" s="8"/>
      <c r="N595" s="9">
        <v>5000</v>
      </c>
      <c r="O595" s="9">
        <v>30000</v>
      </c>
      <c r="P595" s="10">
        <v>0</v>
      </c>
      <c r="Q595" s="152">
        <v>45607</v>
      </c>
    </row>
    <row r="596" spans="1:17" ht="24" thickBot="1" x14ac:dyDescent="0.3">
      <c r="A596" s="150">
        <v>2847</v>
      </c>
      <c r="B596" s="2" t="s">
        <v>402</v>
      </c>
      <c r="C596" s="2"/>
      <c r="D596" s="28"/>
      <c r="E596" s="3">
        <v>45574</v>
      </c>
      <c r="F596" s="3">
        <v>45630</v>
      </c>
      <c r="G596" s="151" t="e">
        <v>#DIV/0!</v>
      </c>
      <c r="H596" s="151" t="e">
        <v>#DIV/0!</v>
      </c>
      <c r="I596" s="151">
        <v>0</v>
      </c>
      <c r="J596" s="6" t="s">
        <v>916</v>
      </c>
      <c r="K596" s="7">
        <v>20000</v>
      </c>
      <c r="L596" s="7">
        <v>35000</v>
      </c>
      <c r="M596" s="21"/>
      <c r="N596" s="9">
        <v>35000</v>
      </c>
      <c r="O596" s="9">
        <v>38000</v>
      </c>
      <c r="P596" s="10">
        <v>-3000</v>
      </c>
      <c r="Q596" s="152">
        <v>45607</v>
      </c>
    </row>
    <row r="597" spans="1:17" ht="24" thickBot="1" x14ac:dyDescent="0.3">
      <c r="A597" s="150">
        <v>2875</v>
      </c>
      <c r="B597" s="2" t="s">
        <v>402</v>
      </c>
      <c r="C597" s="2"/>
      <c r="D597" s="28"/>
      <c r="E597" s="3">
        <v>45587</v>
      </c>
      <c r="F597" s="3">
        <v>45604</v>
      </c>
      <c r="G597" s="151" t="e">
        <v>#DIV/0!</v>
      </c>
      <c r="H597" s="151" t="e">
        <v>#DIV/0!</v>
      </c>
      <c r="I597" s="151">
        <v>0</v>
      </c>
      <c r="J597" s="6" t="s">
        <v>898</v>
      </c>
      <c r="K597" s="7">
        <v>20000</v>
      </c>
      <c r="L597" s="7">
        <v>32000</v>
      </c>
      <c r="M597" s="21"/>
      <c r="N597" s="9">
        <v>32000</v>
      </c>
      <c r="O597" s="9">
        <v>32000</v>
      </c>
      <c r="P597" s="10">
        <v>0</v>
      </c>
      <c r="Q597" s="152">
        <v>45607</v>
      </c>
    </row>
    <row r="598" spans="1:17" ht="24" thickBot="1" x14ac:dyDescent="0.3">
      <c r="A598" s="150">
        <v>2883</v>
      </c>
      <c r="B598" s="2" t="s">
        <v>402</v>
      </c>
      <c r="C598" s="2"/>
      <c r="D598" s="28"/>
      <c r="E598" s="3">
        <v>45590</v>
      </c>
      <c r="F598" s="3">
        <v>45604</v>
      </c>
      <c r="G598" s="151" t="e">
        <v>#DIV/0!</v>
      </c>
      <c r="H598" s="151" t="e">
        <v>#DIV/0!</v>
      </c>
      <c r="I598" s="151">
        <v>0</v>
      </c>
      <c r="J598" s="6" t="s">
        <v>898</v>
      </c>
      <c r="K598" s="10">
        <v>20000</v>
      </c>
      <c r="L598" s="10">
        <v>32000</v>
      </c>
      <c r="M598" s="8"/>
      <c r="N598" s="9">
        <v>32000</v>
      </c>
      <c r="O598" s="9">
        <v>32000</v>
      </c>
      <c r="P598" s="10">
        <v>0</v>
      </c>
      <c r="Q598" s="152">
        <v>45607</v>
      </c>
    </row>
    <row r="599" spans="1:17" ht="46.5" thickBot="1" x14ac:dyDescent="0.3">
      <c r="A599" s="150">
        <v>2741</v>
      </c>
      <c r="B599" s="2" t="s">
        <v>462</v>
      </c>
      <c r="C599" s="2" t="s">
        <v>463</v>
      </c>
      <c r="D599" s="28"/>
      <c r="E599" s="3">
        <v>45506</v>
      </c>
      <c r="F599" s="3">
        <v>45608</v>
      </c>
      <c r="G599" s="151">
        <v>72</v>
      </c>
      <c r="H599" s="151">
        <v>0</v>
      </c>
      <c r="I599" s="151">
        <v>0</v>
      </c>
      <c r="J599" s="2" t="s">
        <v>227</v>
      </c>
      <c r="K599" s="10">
        <v>50000</v>
      </c>
      <c r="L599" s="10">
        <v>108000</v>
      </c>
      <c r="M599" s="8">
        <v>7500</v>
      </c>
      <c r="N599" s="9">
        <v>10500</v>
      </c>
      <c r="O599" s="9">
        <v>108000</v>
      </c>
      <c r="P599" s="10">
        <v>0</v>
      </c>
      <c r="Q599" s="152">
        <v>45607</v>
      </c>
    </row>
    <row r="600" spans="1:17" ht="35.25" thickBot="1" x14ac:dyDescent="0.3">
      <c r="A600" s="150">
        <v>2702</v>
      </c>
      <c r="B600" s="2" t="s">
        <v>465</v>
      </c>
      <c r="C600" s="2" t="s">
        <v>466</v>
      </c>
      <c r="D600" s="28"/>
      <c r="E600" s="3">
        <v>45482</v>
      </c>
      <c r="F600" s="3">
        <v>45594</v>
      </c>
      <c r="G600" s="151">
        <v>80.888888888888886</v>
      </c>
      <c r="H600" s="151">
        <v>-0.88888888888888573</v>
      </c>
      <c r="I600" s="151">
        <v>0</v>
      </c>
      <c r="J600" s="6" t="s">
        <v>917</v>
      </c>
      <c r="K600" s="7">
        <v>100000</v>
      </c>
      <c r="L600" s="7">
        <v>216000</v>
      </c>
      <c r="M600" s="8">
        <v>13500</v>
      </c>
      <c r="N600" s="9">
        <v>54800</v>
      </c>
      <c r="O600" s="9">
        <v>218400</v>
      </c>
      <c r="P600" s="10">
        <v>-2400</v>
      </c>
      <c r="Q600" s="152">
        <v>45607</v>
      </c>
    </row>
    <row r="601" spans="1:17" ht="35.25" thickBot="1" x14ac:dyDescent="0.3">
      <c r="A601" s="150">
        <v>2653</v>
      </c>
      <c r="B601" s="2" t="s">
        <v>918</v>
      </c>
      <c r="C601" s="2" t="s">
        <v>919</v>
      </c>
      <c r="D601" s="28"/>
      <c r="E601" s="3">
        <v>45446</v>
      </c>
      <c r="F601" s="3">
        <v>45600</v>
      </c>
      <c r="G601" s="29">
        <v>110</v>
      </c>
      <c r="H601" s="151">
        <v>110</v>
      </c>
      <c r="I601" s="151">
        <v>0</v>
      </c>
      <c r="J601" s="2" t="s">
        <v>279</v>
      </c>
      <c r="K601" s="7">
        <v>100000</v>
      </c>
      <c r="L601" s="7">
        <v>264000</v>
      </c>
      <c r="M601" s="8">
        <v>12000</v>
      </c>
      <c r="N601" s="9">
        <v>12000</v>
      </c>
      <c r="O601" s="9">
        <v>264000</v>
      </c>
      <c r="P601" s="10">
        <v>0</v>
      </c>
      <c r="Q601" s="152">
        <v>45614</v>
      </c>
    </row>
    <row r="602" spans="1:17" ht="80.25" thickBot="1" x14ac:dyDescent="0.3">
      <c r="A602" s="150">
        <v>2771</v>
      </c>
      <c r="B602" s="2" t="s">
        <v>191</v>
      </c>
      <c r="C602" s="2" t="s">
        <v>192</v>
      </c>
      <c r="D602" s="28"/>
      <c r="E602" s="3">
        <v>45524</v>
      </c>
      <c r="F602" s="3">
        <v>45624</v>
      </c>
      <c r="G602" s="29">
        <v>72</v>
      </c>
      <c r="H602" s="151">
        <v>72</v>
      </c>
      <c r="I602" s="151">
        <v>0</v>
      </c>
      <c r="J602" s="10" t="s">
        <v>464</v>
      </c>
      <c r="K602" s="21">
        <v>70000</v>
      </c>
      <c r="L602" s="7">
        <v>151200</v>
      </c>
      <c r="M602" s="8">
        <v>10500</v>
      </c>
      <c r="N602" s="9">
        <v>25000</v>
      </c>
      <c r="O602" s="9">
        <v>151200</v>
      </c>
      <c r="P602" s="10">
        <v>0</v>
      </c>
      <c r="Q602" s="152">
        <v>45614</v>
      </c>
    </row>
    <row r="603" spans="1:17" ht="46.5" thickBot="1" x14ac:dyDescent="0.3">
      <c r="A603" s="150">
        <v>2720</v>
      </c>
      <c r="B603" s="2" t="s">
        <v>215</v>
      </c>
      <c r="C603" s="2" t="s">
        <v>216</v>
      </c>
      <c r="D603" s="28"/>
      <c r="E603" s="3">
        <v>45495</v>
      </c>
      <c r="F603" s="3">
        <v>45607</v>
      </c>
      <c r="G603" s="29">
        <v>80</v>
      </c>
      <c r="H603" s="151">
        <v>80</v>
      </c>
      <c r="I603" s="151">
        <v>0</v>
      </c>
      <c r="J603" s="6" t="s">
        <v>920</v>
      </c>
      <c r="K603" s="18">
        <v>200000</v>
      </c>
      <c r="L603" s="7">
        <v>432000</v>
      </c>
      <c r="M603" s="21">
        <v>27000</v>
      </c>
      <c r="N603" s="9">
        <v>108000</v>
      </c>
      <c r="O603" s="9">
        <v>432000</v>
      </c>
      <c r="P603" s="10">
        <v>0</v>
      </c>
      <c r="Q603" s="152">
        <v>45614</v>
      </c>
    </row>
    <row r="604" spans="1:17" ht="46.5" thickBot="1" x14ac:dyDescent="0.3">
      <c r="A604" s="150">
        <v>1930</v>
      </c>
      <c r="B604" s="2" t="s">
        <v>921</v>
      </c>
      <c r="C604" s="2" t="s">
        <v>922</v>
      </c>
      <c r="D604" s="28"/>
      <c r="E604" s="3">
        <v>44924</v>
      </c>
      <c r="F604" s="3">
        <v>45764</v>
      </c>
      <c r="G604" s="29">
        <v>600</v>
      </c>
      <c r="H604" s="151">
        <v>600</v>
      </c>
      <c r="I604" s="151">
        <v>0</v>
      </c>
      <c r="J604" s="16" t="s">
        <v>923</v>
      </c>
      <c r="K604" s="7">
        <v>250000</v>
      </c>
      <c r="L604" s="7">
        <v>656250</v>
      </c>
      <c r="M604" s="8">
        <v>5468.75</v>
      </c>
      <c r="N604" s="9">
        <v>147375</v>
      </c>
      <c r="O604" s="9">
        <v>656250</v>
      </c>
      <c r="P604" s="10">
        <v>0</v>
      </c>
      <c r="Q604" s="152">
        <v>45614</v>
      </c>
    </row>
    <row r="605" spans="1:17" ht="57.75" thickBot="1" x14ac:dyDescent="0.3">
      <c r="A605" s="150">
        <v>2723</v>
      </c>
      <c r="B605" s="2" t="s">
        <v>290</v>
      </c>
      <c r="C605" s="2" t="s">
        <v>291</v>
      </c>
      <c r="D605" s="28"/>
      <c r="E605" s="3">
        <v>45496</v>
      </c>
      <c r="F605" s="3">
        <v>45608</v>
      </c>
      <c r="G605" s="29">
        <v>80</v>
      </c>
      <c r="H605" s="151">
        <v>80</v>
      </c>
      <c r="I605" s="151">
        <v>0</v>
      </c>
      <c r="J605" s="6" t="s">
        <v>273</v>
      </c>
      <c r="K605" s="7">
        <v>100000</v>
      </c>
      <c r="L605" s="7">
        <v>216000</v>
      </c>
      <c r="M605" s="8">
        <v>13500</v>
      </c>
      <c r="N605" s="9">
        <v>54000</v>
      </c>
      <c r="O605" s="9">
        <v>216000</v>
      </c>
      <c r="P605" s="10">
        <v>0</v>
      </c>
      <c r="Q605" s="152">
        <v>45614</v>
      </c>
    </row>
    <row r="606" spans="1:17" ht="57.75" thickBot="1" x14ac:dyDescent="0.3">
      <c r="A606" s="150">
        <v>2862</v>
      </c>
      <c r="B606" s="2" t="s">
        <v>290</v>
      </c>
      <c r="C606" s="2" t="s">
        <v>291</v>
      </c>
      <c r="D606" s="28"/>
      <c r="E606" s="3">
        <v>45581</v>
      </c>
      <c r="F606" s="3">
        <v>45609</v>
      </c>
      <c r="G606" s="29">
        <v>20</v>
      </c>
      <c r="H606" s="151" t="e">
        <v>#DIV/0!</v>
      </c>
      <c r="I606" s="151" t="e">
        <v>#DIV/0!</v>
      </c>
      <c r="J606" s="6" t="s">
        <v>900</v>
      </c>
      <c r="K606" s="7">
        <v>100000</v>
      </c>
      <c r="L606" s="7">
        <v>150000</v>
      </c>
      <c r="M606" s="21"/>
      <c r="N606" s="9">
        <v>150000</v>
      </c>
      <c r="O606" s="9">
        <v>150000</v>
      </c>
      <c r="P606" s="10">
        <v>0</v>
      </c>
      <c r="Q606" s="152">
        <v>45614</v>
      </c>
    </row>
    <row r="607" spans="1:17" ht="46.5" thickBot="1" x14ac:dyDescent="0.3">
      <c r="A607" s="150">
        <v>2659</v>
      </c>
      <c r="B607" s="2" t="s">
        <v>313</v>
      </c>
      <c r="C607" s="2" t="s">
        <v>314</v>
      </c>
      <c r="D607" s="28"/>
      <c r="E607" s="3">
        <v>45451</v>
      </c>
      <c r="F607" s="3">
        <v>45611</v>
      </c>
      <c r="G607" s="29">
        <v>115</v>
      </c>
      <c r="H607" s="151">
        <v>115</v>
      </c>
      <c r="I607" s="151">
        <v>0</v>
      </c>
      <c r="J607" s="2" t="s">
        <v>794</v>
      </c>
      <c r="K607" s="10">
        <v>100000</v>
      </c>
      <c r="L607" s="10">
        <v>264500</v>
      </c>
      <c r="M607" s="8">
        <v>11500</v>
      </c>
      <c r="N607" s="9">
        <v>23000</v>
      </c>
      <c r="O607" s="9">
        <v>264500</v>
      </c>
      <c r="P607" s="10">
        <v>0</v>
      </c>
      <c r="Q607" s="152">
        <v>45614</v>
      </c>
    </row>
    <row r="608" spans="1:17" ht="46.5" thickBot="1" x14ac:dyDescent="0.3">
      <c r="A608" s="150">
        <v>2600</v>
      </c>
      <c r="B608" s="2" t="s">
        <v>321</v>
      </c>
      <c r="C608" s="2" t="s">
        <v>322</v>
      </c>
      <c r="D608" s="28"/>
      <c r="E608" s="3">
        <v>45411</v>
      </c>
      <c r="F608" s="3">
        <v>45579</v>
      </c>
      <c r="G608" s="29">
        <v>120</v>
      </c>
      <c r="H608" s="151">
        <v>127.84090909090909</v>
      </c>
      <c r="I608" s="151">
        <v>-7.8409090909090935</v>
      </c>
      <c r="J608" s="6" t="s">
        <v>924</v>
      </c>
      <c r="K608" s="179">
        <v>80000</v>
      </c>
      <c r="L608" s="10">
        <v>211200</v>
      </c>
      <c r="M608" s="8">
        <v>8800</v>
      </c>
      <c r="N608" s="9">
        <v>100000</v>
      </c>
      <c r="O608" s="9">
        <v>225000</v>
      </c>
      <c r="P608" s="10">
        <v>-13800</v>
      </c>
      <c r="Q608" s="152">
        <v>45614</v>
      </c>
    </row>
    <row r="609" spans="1:17" ht="24" thickBot="1" x14ac:dyDescent="0.3">
      <c r="A609" s="150">
        <v>2694</v>
      </c>
      <c r="B609" s="2" t="s">
        <v>327</v>
      </c>
      <c r="C609" s="2"/>
      <c r="D609" s="28"/>
      <c r="E609" s="3">
        <v>45477</v>
      </c>
      <c r="F609" s="3">
        <v>45579</v>
      </c>
      <c r="G609" s="29">
        <v>72</v>
      </c>
      <c r="H609" s="151">
        <v>72</v>
      </c>
      <c r="I609" s="151">
        <v>0</v>
      </c>
      <c r="J609" s="2" t="s">
        <v>227</v>
      </c>
      <c r="K609" s="10">
        <v>50000</v>
      </c>
      <c r="L609" s="10">
        <v>111000</v>
      </c>
      <c r="M609" s="8">
        <v>7708.3333333333339</v>
      </c>
      <c r="N609" s="9">
        <v>6950</v>
      </c>
      <c r="O609" s="9">
        <v>111000</v>
      </c>
      <c r="P609" s="10">
        <v>0</v>
      </c>
      <c r="Q609" s="152">
        <v>45614</v>
      </c>
    </row>
    <row r="610" spans="1:17" ht="46.5" thickBot="1" x14ac:dyDescent="0.3">
      <c r="A610" s="150">
        <v>2746</v>
      </c>
      <c r="B610" s="2" t="s">
        <v>624</v>
      </c>
      <c r="C610" s="2" t="s">
        <v>160</v>
      </c>
      <c r="D610" s="28"/>
      <c r="E610" s="3">
        <v>45512</v>
      </c>
      <c r="F610" s="3">
        <v>45614</v>
      </c>
      <c r="G610" s="29">
        <v>72</v>
      </c>
      <c r="H610" s="151">
        <v>72.222222222222229</v>
      </c>
      <c r="I610" s="151">
        <v>-0.22222222222222854</v>
      </c>
      <c r="J610" s="2" t="s">
        <v>162</v>
      </c>
      <c r="K610" s="7">
        <v>60000</v>
      </c>
      <c r="L610" s="7">
        <v>129600</v>
      </c>
      <c r="M610" s="8">
        <v>9000</v>
      </c>
      <c r="N610" s="9">
        <v>9000</v>
      </c>
      <c r="O610" s="9">
        <v>130000</v>
      </c>
      <c r="P610" s="10">
        <v>-400</v>
      </c>
      <c r="Q610" s="152">
        <v>45614</v>
      </c>
    </row>
    <row r="611" spans="1:17" ht="46.5" thickBot="1" x14ac:dyDescent="0.3">
      <c r="A611" s="150">
        <v>2512</v>
      </c>
      <c r="B611" s="2" t="s">
        <v>390</v>
      </c>
      <c r="C611" s="2" t="s">
        <v>391</v>
      </c>
      <c r="D611" s="28"/>
      <c r="E611" s="3">
        <v>45359</v>
      </c>
      <c r="F611" s="3">
        <v>45526</v>
      </c>
      <c r="G611" s="29">
        <v>119</v>
      </c>
      <c r="H611" s="151">
        <v>119</v>
      </c>
      <c r="I611" s="151">
        <v>0</v>
      </c>
      <c r="J611" s="2" t="s">
        <v>925</v>
      </c>
      <c r="K611" s="7">
        <v>250000</v>
      </c>
      <c r="L611" s="7">
        <v>680100</v>
      </c>
      <c r="M611" s="21">
        <v>28575.63025210084</v>
      </c>
      <c r="N611" s="9">
        <v>44600</v>
      </c>
      <c r="O611" s="9">
        <v>680100</v>
      </c>
      <c r="P611" s="10">
        <v>0</v>
      </c>
      <c r="Q611" s="152">
        <v>45614</v>
      </c>
    </row>
    <row r="612" spans="1:17" ht="35.25" thickBot="1" x14ac:dyDescent="0.3">
      <c r="A612" s="150">
        <v>2589</v>
      </c>
      <c r="B612" s="2" t="s">
        <v>926</v>
      </c>
      <c r="C612" s="2" t="s">
        <v>399</v>
      </c>
      <c r="D612" s="28"/>
      <c r="E612" s="3">
        <v>45404</v>
      </c>
      <c r="F612" s="3">
        <v>45572</v>
      </c>
      <c r="G612" s="29">
        <v>120</v>
      </c>
      <c r="H612" s="151">
        <v>120</v>
      </c>
      <c r="I612" s="151">
        <v>0</v>
      </c>
      <c r="J612" s="6" t="s">
        <v>927</v>
      </c>
      <c r="K612" s="10">
        <v>100000</v>
      </c>
      <c r="L612" s="10">
        <v>264000</v>
      </c>
      <c r="M612" s="21">
        <v>11000</v>
      </c>
      <c r="N612" s="9">
        <v>44000</v>
      </c>
      <c r="O612" s="9">
        <v>264000</v>
      </c>
      <c r="P612" s="10">
        <v>0</v>
      </c>
      <c r="Q612" s="152">
        <v>45614</v>
      </c>
    </row>
    <row r="613" spans="1:17" ht="46.5" thickBot="1" x14ac:dyDescent="0.3">
      <c r="A613" s="150">
        <v>1943</v>
      </c>
      <c r="B613" s="2" t="s">
        <v>928</v>
      </c>
      <c r="C613" s="2" t="s">
        <v>922</v>
      </c>
      <c r="D613" s="28"/>
      <c r="E613" s="3">
        <v>44936</v>
      </c>
      <c r="F613" s="3">
        <v>45216</v>
      </c>
      <c r="G613" s="29">
        <v>200</v>
      </c>
      <c r="H613" s="151">
        <v>200</v>
      </c>
      <c r="I613" s="151">
        <v>0</v>
      </c>
      <c r="J613" s="16" t="s">
        <v>929</v>
      </c>
      <c r="K613" s="7">
        <v>150000</v>
      </c>
      <c r="L613" s="7">
        <v>500000</v>
      </c>
      <c r="M613" s="8">
        <v>12500</v>
      </c>
      <c r="N613" s="9">
        <v>90000</v>
      </c>
      <c r="O613" s="9">
        <v>500000</v>
      </c>
      <c r="P613" s="10">
        <v>0</v>
      </c>
      <c r="Q613" s="152">
        <v>45614</v>
      </c>
    </row>
    <row r="614" spans="1:17" ht="35.25" thickBot="1" x14ac:dyDescent="0.3">
      <c r="A614" s="150">
        <v>2782</v>
      </c>
      <c r="B614" s="2" t="s">
        <v>930</v>
      </c>
      <c r="C614" s="2"/>
      <c r="D614" s="28"/>
      <c r="E614" s="3">
        <v>45532</v>
      </c>
      <c r="F614" s="3">
        <v>45630</v>
      </c>
      <c r="G614" s="29">
        <v>70</v>
      </c>
      <c r="H614" s="151">
        <v>70</v>
      </c>
      <c r="I614" s="151">
        <v>0</v>
      </c>
      <c r="J614" s="16" t="s">
        <v>931</v>
      </c>
      <c r="K614" s="7">
        <v>50000</v>
      </c>
      <c r="L614" s="7">
        <v>108500</v>
      </c>
      <c r="M614" s="8">
        <v>7750</v>
      </c>
      <c r="N614" s="9">
        <v>15500</v>
      </c>
      <c r="O614" s="9">
        <v>108500</v>
      </c>
      <c r="P614" s="10">
        <v>0</v>
      </c>
      <c r="Q614" s="152">
        <v>45614</v>
      </c>
    </row>
    <row r="615" spans="1:17" ht="35.25" thickBot="1" x14ac:dyDescent="0.3">
      <c r="A615" s="150">
        <v>2472</v>
      </c>
      <c r="B615" s="2" t="s">
        <v>207</v>
      </c>
      <c r="C615" s="2" t="s">
        <v>208</v>
      </c>
      <c r="D615" s="28"/>
      <c r="E615" s="3">
        <v>45335</v>
      </c>
      <c r="F615" s="3">
        <v>45587</v>
      </c>
      <c r="G615" s="29">
        <v>180</v>
      </c>
      <c r="H615" s="151">
        <v>180</v>
      </c>
      <c r="I615" s="151">
        <v>0</v>
      </c>
      <c r="J615" s="6" t="s">
        <v>932</v>
      </c>
      <c r="K615" s="7">
        <v>150000</v>
      </c>
      <c r="L615" s="7">
        <v>405000</v>
      </c>
      <c r="M615" s="8">
        <v>11250</v>
      </c>
      <c r="N615" s="9">
        <v>45000</v>
      </c>
      <c r="O615" s="9">
        <v>405000</v>
      </c>
      <c r="P615" s="10">
        <v>0</v>
      </c>
      <c r="Q615" s="152">
        <v>45621</v>
      </c>
    </row>
    <row r="616" spans="1:17" ht="35.25" thickBot="1" x14ac:dyDescent="0.3">
      <c r="A616" s="150">
        <v>2751</v>
      </c>
      <c r="B616" s="2" t="s">
        <v>278</v>
      </c>
      <c r="C616" s="2" t="s">
        <v>208</v>
      </c>
      <c r="D616" s="28"/>
      <c r="E616" s="3">
        <v>45514</v>
      </c>
      <c r="F616" s="3">
        <v>45615</v>
      </c>
      <c r="G616" s="182">
        <v>72</v>
      </c>
      <c r="H616" s="151">
        <v>72</v>
      </c>
      <c r="I616" s="151">
        <v>0</v>
      </c>
      <c r="J616" s="2" t="s">
        <v>227</v>
      </c>
      <c r="K616" s="7">
        <v>50000</v>
      </c>
      <c r="L616" s="7">
        <v>108000</v>
      </c>
      <c r="M616" s="8">
        <v>7500</v>
      </c>
      <c r="N616" s="9">
        <v>10500</v>
      </c>
      <c r="O616" s="9">
        <v>108000</v>
      </c>
      <c r="P616" s="10">
        <v>0</v>
      </c>
      <c r="Q616" s="152">
        <v>45621</v>
      </c>
    </row>
    <row r="617" spans="1:17" ht="57.75" thickBot="1" x14ac:dyDescent="0.3">
      <c r="A617" s="150">
        <v>2337</v>
      </c>
      <c r="B617" s="187" t="s">
        <v>933</v>
      </c>
      <c r="C617" s="2" t="s">
        <v>934</v>
      </c>
      <c r="D617" s="28"/>
      <c r="E617" s="3">
        <v>45243</v>
      </c>
      <c r="F617" s="3">
        <v>45418</v>
      </c>
      <c r="G617" s="29">
        <v>125</v>
      </c>
      <c r="H617" s="151">
        <v>125</v>
      </c>
      <c r="I617" s="151">
        <v>0</v>
      </c>
      <c r="J617" s="2" t="s">
        <v>935</v>
      </c>
      <c r="K617" s="7">
        <v>500000</v>
      </c>
      <c r="L617" s="7">
        <v>1375000</v>
      </c>
      <c r="M617" s="21">
        <v>55000</v>
      </c>
      <c r="N617" s="9">
        <v>50000</v>
      </c>
      <c r="O617" s="9">
        <v>1375000</v>
      </c>
      <c r="P617" s="10">
        <v>0</v>
      </c>
      <c r="Q617" s="152">
        <v>45621</v>
      </c>
    </row>
    <row r="618" spans="1:17" ht="24" thickBot="1" x14ac:dyDescent="0.3">
      <c r="A618" s="150">
        <v>2877</v>
      </c>
      <c r="B618" s="2" t="s">
        <v>707</v>
      </c>
      <c r="C618" s="2"/>
      <c r="D618" s="28"/>
      <c r="E618" s="3">
        <v>45588</v>
      </c>
      <c r="F618" s="3">
        <v>45582</v>
      </c>
      <c r="G618" s="29">
        <v>5</v>
      </c>
      <c r="H618" s="151" t="e">
        <v>#DIV/0!</v>
      </c>
      <c r="I618" s="151" t="e">
        <v>#DIV/0!</v>
      </c>
      <c r="J618" s="6" t="s">
        <v>403</v>
      </c>
      <c r="K618" s="177">
        <v>30000</v>
      </c>
      <c r="L618" s="10">
        <v>84000</v>
      </c>
      <c r="M618" s="21"/>
      <c r="N618" s="9">
        <v>39000</v>
      </c>
      <c r="O618" s="9">
        <v>84000</v>
      </c>
      <c r="P618" s="10">
        <v>0</v>
      </c>
      <c r="Q618" s="152">
        <v>45621</v>
      </c>
    </row>
    <row r="619" spans="1:17" ht="24" thickBot="1" x14ac:dyDescent="0.3">
      <c r="A619" s="150">
        <v>2922</v>
      </c>
      <c r="B619" s="2" t="s">
        <v>707</v>
      </c>
      <c r="C619" s="2"/>
      <c r="D619" s="28"/>
      <c r="E619" s="3">
        <v>45618</v>
      </c>
      <c r="F619" s="3">
        <v>45582</v>
      </c>
      <c r="G619" s="29">
        <v>5</v>
      </c>
      <c r="H619" s="151" t="e">
        <v>#DIV/0!</v>
      </c>
      <c r="I619" s="151" t="e">
        <v>#DIV/0!</v>
      </c>
      <c r="J619" s="6" t="s">
        <v>403</v>
      </c>
      <c r="K619" s="7">
        <v>60000</v>
      </c>
      <c r="L619" s="7">
        <v>78000</v>
      </c>
      <c r="M619" s="8"/>
      <c r="N619" s="9">
        <v>78000</v>
      </c>
      <c r="O619" s="9">
        <v>78000</v>
      </c>
      <c r="P619" s="10">
        <v>0</v>
      </c>
      <c r="Q619" s="152">
        <v>45621</v>
      </c>
    </row>
    <row r="620" spans="1:17" ht="46.5" thickBot="1" x14ac:dyDescent="0.3">
      <c r="A620" s="150">
        <v>2803</v>
      </c>
      <c r="B620" s="2" t="s">
        <v>936</v>
      </c>
      <c r="C620" s="2" t="s">
        <v>937</v>
      </c>
      <c r="D620" s="28"/>
      <c r="E620" s="3">
        <v>45547</v>
      </c>
      <c r="F620" s="3">
        <v>45624</v>
      </c>
      <c r="G620" s="29">
        <v>55</v>
      </c>
      <c r="H620" s="151">
        <v>55</v>
      </c>
      <c r="I620" s="151">
        <v>0</v>
      </c>
      <c r="J620" s="2" t="s">
        <v>938</v>
      </c>
      <c r="K620" s="10">
        <v>60000</v>
      </c>
      <c r="L620" s="10">
        <v>105050</v>
      </c>
      <c r="M620" s="8">
        <v>9550</v>
      </c>
      <c r="N620" s="9">
        <v>9550</v>
      </c>
      <c r="O620" s="9">
        <v>105050</v>
      </c>
      <c r="P620" s="10">
        <v>0</v>
      </c>
      <c r="Q620" s="152">
        <v>45621</v>
      </c>
    </row>
    <row r="621" spans="1:17" ht="24" thickBot="1" x14ac:dyDescent="0.3">
      <c r="A621" s="150">
        <v>2680</v>
      </c>
      <c r="B621" s="2" t="s">
        <v>721</v>
      </c>
      <c r="C621" s="27"/>
      <c r="D621" s="28">
        <v>22375673</v>
      </c>
      <c r="E621" s="3">
        <v>45464</v>
      </c>
      <c r="F621" s="3">
        <v>45632</v>
      </c>
      <c r="G621" s="29">
        <v>120</v>
      </c>
      <c r="H621" s="151">
        <v>120</v>
      </c>
      <c r="I621" s="151">
        <v>0</v>
      </c>
      <c r="J621" s="6" t="s">
        <v>939</v>
      </c>
      <c r="K621" s="7">
        <v>100000</v>
      </c>
      <c r="L621" s="7">
        <v>264000</v>
      </c>
      <c r="M621" s="8">
        <v>11000</v>
      </c>
      <c r="N621" s="9">
        <v>44000</v>
      </c>
      <c r="O621" s="9">
        <v>264000</v>
      </c>
      <c r="P621" s="10">
        <v>0</v>
      </c>
      <c r="Q621" s="152">
        <v>45628</v>
      </c>
    </row>
    <row r="622" spans="1:17" ht="24" thickBot="1" x14ac:dyDescent="0.3">
      <c r="A622" s="150">
        <v>2774</v>
      </c>
      <c r="B622" s="2" t="s">
        <v>186</v>
      </c>
      <c r="C622" s="27" t="s">
        <v>187</v>
      </c>
      <c r="D622" s="28"/>
      <c r="E622" s="3">
        <v>45526</v>
      </c>
      <c r="F622" s="3">
        <v>45628</v>
      </c>
      <c r="G622" s="29">
        <v>72</v>
      </c>
      <c r="H622" s="151">
        <v>72</v>
      </c>
      <c r="I622" s="151">
        <v>0</v>
      </c>
      <c r="J622" s="2" t="s">
        <v>161</v>
      </c>
      <c r="K622" s="10">
        <v>100000</v>
      </c>
      <c r="L622" s="10">
        <v>216000</v>
      </c>
      <c r="M622" s="8">
        <v>15000</v>
      </c>
      <c r="N622" s="9">
        <v>6000</v>
      </c>
      <c r="O622" s="9">
        <v>216000</v>
      </c>
      <c r="P622" s="10">
        <v>0</v>
      </c>
      <c r="Q622" s="152">
        <v>45628</v>
      </c>
    </row>
    <row r="623" spans="1:17" ht="20.25" thickBot="1" x14ac:dyDescent="0.3">
      <c r="A623" s="150">
        <v>2775</v>
      </c>
      <c r="B623" s="27" t="s">
        <v>230</v>
      </c>
      <c r="C623" s="27" t="s">
        <v>231</v>
      </c>
      <c r="D623" s="28">
        <v>14154231</v>
      </c>
      <c r="E623" s="3">
        <v>45526</v>
      </c>
      <c r="F623" s="3">
        <v>45628</v>
      </c>
      <c r="G623" s="29">
        <v>72</v>
      </c>
      <c r="H623" s="151">
        <v>72</v>
      </c>
      <c r="I623" s="151">
        <v>0</v>
      </c>
      <c r="J623" s="2" t="s">
        <v>318</v>
      </c>
      <c r="K623" s="7">
        <v>15000</v>
      </c>
      <c r="L623" s="7">
        <v>32400</v>
      </c>
      <c r="M623" s="8">
        <v>2250</v>
      </c>
      <c r="N623" s="9">
        <v>8200</v>
      </c>
      <c r="O623" s="9">
        <v>32400</v>
      </c>
      <c r="P623" s="10">
        <v>0</v>
      </c>
      <c r="Q623" s="152">
        <v>45628</v>
      </c>
    </row>
    <row r="624" spans="1:17" ht="20.25" thickBot="1" x14ac:dyDescent="0.3">
      <c r="A624" s="150">
        <v>2934</v>
      </c>
      <c r="B624" s="27" t="s">
        <v>707</v>
      </c>
      <c r="C624" s="27"/>
      <c r="D624" s="28"/>
      <c r="E624" s="3">
        <v>45624</v>
      </c>
      <c r="F624" s="3">
        <v>45631</v>
      </c>
      <c r="G624" s="29">
        <v>5</v>
      </c>
      <c r="H624" s="151" t="e">
        <v>#DIV/0!</v>
      </c>
      <c r="I624" s="151" t="e">
        <v>#DIV/0!</v>
      </c>
      <c r="J624" s="6" t="s">
        <v>403</v>
      </c>
      <c r="K624" s="20">
        <v>30000</v>
      </c>
      <c r="L624" s="7">
        <v>39000</v>
      </c>
      <c r="M624" s="8"/>
      <c r="N624" s="9">
        <v>39000</v>
      </c>
      <c r="O624" s="9">
        <v>39000</v>
      </c>
      <c r="P624" s="10">
        <v>0</v>
      </c>
      <c r="Q624" s="152">
        <v>45628</v>
      </c>
    </row>
    <row r="625" spans="1:17" ht="65.25" thickBot="1" x14ac:dyDescent="0.3">
      <c r="A625" s="150">
        <v>2660</v>
      </c>
      <c r="B625" s="27" t="s">
        <v>331</v>
      </c>
      <c r="C625" s="27" t="s">
        <v>330</v>
      </c>
      <c r="D625" s="28"/>
      <c r="E625" s="3">
        <v>45451</v>
      </c>
      <c r="F625" s="3">
        <v>45618</v>
      </c>
      <c r="G625" s="29">
        <v>120</v>
      </c>
      <c r="H625" s="151">
        <v>120</v>
      </c>
      <c r="I625" s="151">
        <v>0</v>
      </c>
      <c r="J625" s="16" t="s">
        <v>332</v>
      </c>
      <c r="K625" s="19">
        <v>150000</v>
      </c>
      <c r="L625" s="7">
        <v>396000</v>
      </c>
      <c r="M625" s="8">
        <v>16500</v>
      </c>
      <c r="N625" s="9">
        <v>33000</v>
      </c>
      <c r="O625" s="9">
        <v>396000</v>
      </c>
      <c r="P625" s="10">
        <v>0</v>
      </c>
      <c r="Q625" s="152">
        <v>45628</v>
      </c>
    </row>
    <row r="626" spans="1:17" ht="83.25" thickBot="1" x14ac:dyDescent="0.3">
      <c r="A626" s="150">
        <v>2772</v>
      </c>
      <c r="B626" s="27" t="s">
        <v>334</v>
      </c>
      <c r="C626" s="27" t="s">
        <v>335</v>
      </c>
      <c r="D626" s="28">
        <v>27249921551</v>
      </c>
      <c r="E626" s="3">
        <v>45525</v>
      </c>
      <c r="F626" s="3">
        <v>45625</v>
      </c>
      <c r="G626" s="29">
        <v>72</v>
      </c>
      <c r="H626" s="151">
        <v>72</v>
      </c>
      <c r="I626" s="151">
        <v>0</v>
      </c>
      <c r="J626" s="2" t="s">
        <v>227</v>
      </c>
      <c r="K626" s="7">
        <v>50000</v>
      </c>
      <c r="L626" s="7">
        <v>108000</v>
      </c>
      <c r="M626" s="8">
        <v>7500</v>
      </c>
      <c r="N626" s="9">
        <v>10500</v>
      </c>
      <c r="O626" s="9">
        <v>108000</v>
      </c>
      <c r="P626" s="10">
        <v>0</v>
      </c>
      <c r="Q626" s="152">
        <v>45628</v>
      </c>
    </row>
    <row r="627" spans="1:17" ht="15.75" thickBot="1" x14ac:dyDescent="0.3">
      <c r="A627" s="150">
        <v>2841</v>
      </c>
      <c r="B627" s="27" t="s">
        <v>355</v>
      </c>
      <c r="C627" s="27"/>
      <c r="D627" s="28"/>
      <c r="E627" s="3">
        <v>45566</v>
      </c>
      <c r="F627" s="3">
        <v>45587</v>
      </c>
      <c r="G627" s="29">
        <v>15</v>
      </c>
      <c r="H627" s="151" t="e">
        <v>#DIV/0!</v>
      </c>
      <c r="I627" s="151" t="e">
        <v>#DIV/0!</v>
      </c>
      <c r="J627" s="6" t="s">
        <v>403</v>
      </c>
      <c r="K627" s="7">
        <v>40000</v>
      </c>
      <c r="L627" s="7">
        <v>60000</v>
      </c>
      <c r="M627" s="21"/>
      <c r="N627" s="9">
        <v>60000</v>
      </c>
      <c r="O627" s="9">
        <v>60000</v>
      </c>
      <c r="P627" s="10">
        <v>0</v>
      </c>
      <c r="Q627" s="152">
        <v>45628</v>
      </c>
    </row>
    <row r="628" spans="1:17" ht="56.25" thickBot="1" x14ac:dyDescent="0.3">
      <c r="A628" s="150">
        <v>2764</v>
      </c>
      <c r="B628" s="27" t="s">
        <v>362</v>
      </c>
      <c r="C628" s="27" t="s">
        <v>363</v>
      </c>
      <c r="D628" s="28">
        <v>27242809519</v>
      </c>
      <c r="E628" s="3">
        <v>45519</v>
      </c>
      <c r="F628" s="3">
        <v>45631</v>
      </c>
      <c r="G628" s="29">
        <v>80</v>
      </c>
      <c r="H628" s="151">
        <v>80.370370370370367</v>
      </c>
      <c r="I628" s="151">
        <v>-0.37037037037036669</v>
      </c>
      <c r="J628" s="6" t="s">
        <v>940</v>
      </c>
      <c r="K628" s="7">
        <v>60000</v>
      </c>
      <c r="L628" s="7">
        <v>129600</v>
      </c>
      <c r="M628" s="8">
        <v>8100</v>
      </c>
      <c r="N628" s="9">
        <v>32400</v>
      </c>
      <c r="O628" s="9">
        <v>130200</v>
      </c>
      <c r="P628" s="10">
        <v>-600</v>
      </c>
      <c r="Q628" s="152">
        <v>45628</v>
      </c>
    </row>
    <row r="629" spans="1:17" ht="38.25" thickBot="1" x14ac:dyDescent="0.3">
      <c r="A629" s="150">
        <v>2644</v>
      </c>
      <c r="B629" s="27" t="s">
        <v>376</v>
      </c>
      <c r="C629" s="27"/>
      <c r="D629" s="28"/>
      <c r="E629" s="3">
        <v>45440</v>
      </c>
      <c r="F629" s="3">
        <v>45608</v>
      </c>
      <c r="G629" s="29">
        <v>120</v>
      </c>
      <c r="H629" s="151">
        <v>120</v>
      </c>
      <c r="I629" s="151">
        <v>0</v>
      </c>
      <c r="J629" s="6" t="s">
        <v>378</v>
      </c>
      <c r="K629" s="7">
        <v>50000</v>
      </c>
      <c r="L629" s="7">
        <v>132000</v>
      </c>
      <c r="M629" s="8">
        <v>5500</v>
      </c>
      <c r="N629" s="9">
        <v>22000</v>
      </c>
      <c r="O629" s="9">
        <v>132000</v>
      </c>
      <c r="P629" s="10">
        <v>0</v>
      </c>
      <c r="Q629" s="152">
        <v>45628</v>
      </c>
    </row>
    <row r="630" spans="1:17" ht="29.25" thickBot="1" x14ac:dyDescent="0.3">
      <c r="A630" s="150">
        <v>2766</v>
      </c>
      <c r="B630" s="27" t="s">
        <v>739</v>
      </c>
      <c r="C630" s="27" t="s">
        <v>740</v>
      </c>
      <c r="D630" s="2">
        <v>24324078</v>
      </c>
      <c r="E630" s="3">
        <v>45520</v>
      </c>
      <c r="F630" s="3">
        <v>45618</v>
      </c>
      <c r="G630" s="29">
        <v>70</v>
      </c>
      <c r="H630" s="151">
        <v>70</v>
      </c>
      <c r="I630" s="151">
        <v>0</v>
      </c>
      <c r="J630" s="16" t="s">
        <v>941</v>
      </c>
      <c r="K630" s="7">
        <v>50000</v>
      </c>
      <c r="L630" s="7">
        <v>108150</v>
      </c>
      <c r="M630" s="21">
        <v>7725</v>
      </c>
      <c r="N630" s="9">
        <v>15450</v>
      </c>
      <c r="O630" s="9">
        <v>108150</v>
      </c>
      <c r="P630" s="10">
        <v>0</v>
      </c>
      <c r="Q630" s="152">
        <v>45628</v>
      </c>
    </row>
    <row r="631" spans="1:17" ht="35.25" thickBot="1" x14ac:dyDescent="0.3">
      <c r="A631" s="150">
        <v>2944</v>
      </c>
      <c r="B631" s="2" t="s">
        <v>169</v>
      </c>
      <c r="C631" s="27" t="s">
        <v>170</v>
      </c>
      <c r="D631" s="28">
        <v>27252034574</v>
      </c>
      <c r="E631" s="3">
        <v>45630</v>
      </c>
      <c r="F631" s="3">
        <v>45635</v>
      </c>
      <c r="G631" s="29">
        <v>3</v>
      </c>
      <c r="H631" s="151" t="e">
        <v>#DIV/0!</v>
      </c>
      <c r="I631" s="151" t="e">
        <v>#DIV/0!</v>
      </c>
      <c r="J631" s="6" t="s">
        <v>368</v>
      </c>
      <c r="K631" s="7">
        <v>20000</v>
      </c>
      <c r="L631" s="7">
        <v>26000</v>
      </c>
      <c r="M631" s="8"/>
      <c r="N631" s="9">
        <v>26000</v>
      </c>
      <c r="O631" s="9">
        <v>26000</v>
      </c>
      <c r="P631" s="10">
        <v>0</v>
      </c>
      <c r="Q631" s="152">
        <v>45628</v>
      </c>
    </row>
    <row r="632" spans="1:17" ht="38.25" thickBot="1" x14ac:dyDescent="0.3">
      <c r="A632" s="150">
        <v>2794</v>
      </c>
      <c r="B632" s="2" t="s">
        <v>179</v>
      </c>
      <c r="C632" s="27" t="s">
        <v>180</v>
      </c>
      <c r="D632" s="28"/>
      <c r="E632" s="3">
        <v>45542</v>
      </c>
      <c r="F632" s="3">
        <v>45643</v>
      </c>
      <c r="G632" s="29">
        <v>72</v>
      </c>
      <c r="H632" s="151">
        <v>77</v>
      </c>
      <c r="I632" s="151">
        <v>-5</v>
      </c>
      <c r="J632" s="2" t="s">
        <v>576</v>
      </c>
      <c r="K632" s="10">
        <v>10000</v>
      </c>
      <c r="L632" s="10">
        <v>21600</v>
      </c>
      <c r="M632" s="8">
        <v>1500</v>
      </c>
      <c r="N632" s="9">
        <v>5100</v>
      </c>
      <c r="O632" s="9">
        <v>23100</v>
      </c>
      <c r="P632" s="10">
        <v>-1500</v>
      </c>
      <c r="Q632" s="152">
        <v>45635</v>
      </c>
    </row>
    <row r="633" spans="1:17" ht="56.25" thickBot="1" x14ac:dyDescent="0.3">
      <c r="A633" s="150">
        <v>2763</v>
      </c>
      <c r="B633" s="2" t="s">
        <v>201</v>
      </c>
      <c r="C633" s="27" t="s">
        <v>202</v>
      </c>
      <c r="D633" s="28">
        <v>20386454729</v>
      </c>
      <c r="E633" s="3">
        <v>45519</v>
      </c>
      <c r="F633" s="3">
        <v>45631</v>
      </c>
      <c r="G633" s="182">
        <v>80</v>
      </c>
      <c r="H633" s="151">
        <v>80</v>
      </c>
      <c r="I633" s="151">
        <v>0</v>
      </c>
      <c r="J633" s="6" t="s">
        <v>325</v>
      </c>
      <c r="K633" s="10">
        <v>100000</v>
      </c>
      <c r="L633" s="10">
        <v>216000</v>
      </c>
      <c r="M633" s="8">
        <v>13500</v>
      </c>
      <c r="N633" s="9">
        <v>54000</v>
      </c>
      <c r="O633" s="9">
        <v>216000</v>
      </c>
      <c r="P633" s="10">
        <v>0</v>
      </c>
      <c r="Q633" s="152">
        <v>45635</v>
      </c>
    </row>
    <row r="634" spans="1:17" ht="29.25" thickBot="1" x14ac:dyDescent="0.3">
      <c r="A634" s="150">
        <v>2725</v>
      </c>
      <c r="B634" s="27" t="s">
        <v>246</v>
      </c>
      <c r="C634" s="27" t="s">
        <v>247</v>
      </c>
      <c r="D634" s="28">
        <v>27212523</v>
      </c>
      <c r="E634" s="3">
        <v>45497</v>
      </c>
      <c r="F634" s="3">
        <v>45597</v>
      </c>
      <c r="G634" s="29">
        <v>72</v>
      </c>
      <c r="H634" s="151">
        <v>72</v>
      </c>
      <c r="I634" s="151">
        <v>0</v>
      </c>
      <c r="J634" s="16" t="s">
        <v>227</v>
      </c>
      <c r="K634" s="10">
        <v>50000</v>
      </c>
      <c r="L634" s="10">
        <v>108000</v>
      </c>
      <c r="M634" s="8">
        <v>7500</v>
      </c>
      <c r="N634" s="9">
        <v>3250</v>
      </c>
      <c r="O634" s="9">
        <v>108000</v>
      </c>
      <c r="P634" s="10">
        <v>0</v>
      </c>
      <c r="Q634" s="152">
        <v>45635</v>
      </c>
    </row>
    <row r="635" spans="1:17" ht="29.25" thickBot="1" x14ac:dyDescent="0.3">
      <c r="A635" s="150">
        <v>2893</v>
      </c>
      <c r="B635" s="27" t="s">
        <v>269</v>
      </c>
      <c r="C635" s="27" t="s">
        <v>270</v>
      </c>
      <c r="D635" s="28"/>
      <c r="E635" s="3">
        <v>45598</v>
      </c>
      <c r="F635" s="3">
        <v>45632</v>
      </c>
      <c r="G635" s="29">
        <v>25</v>
      </c>
      <c r="H635" s="151" t="e">
        <v>#DIV/0!</v>
      </c>
      <c r="I635" s="151" t="e">
        <v>#DIV/0!</v>
      </c>
      <c r="J635" s="6" t="s">
        <v>368</v>
      </c>
      <c r="K635" s="7">
        <v>100000</v>
      </c>
      <c r="L635" s="7">
        <v>150000</v>
      </c>
      <c r="M635" s="8"/>
      <c r="N635" s="9">
        <v>150000</v>
      </c>
      <c r="O635" s="9">
        <v>150000</v>
      </c>
      <c r="P635" s="10">
        <v>0</v>
      </c>
      <c r="Q635" s="152">
        <v>45635</v>
      </c>
    </row>
    <row r="636" spans="1:17" ht="20.25" thickBot="1" x14ac:dyDescent="0.3">
      <c r="A636" s="150">
        <v>2674</v>
      </c>
      <c r="B636" s="27" t="s">
        <v>286</v>
      </c>
      <c r="C636" s="27" t="s">
        <v>287</v>
      </c>
      <c r="D636" s="28"/>
      <c r="E636" s="3">
        <v>45462</v>
      </c>
      <c r="F636" s="3">
        <v>45630</v>
      </c>
      <c r="G636" s="29">
        <v>120</v>
      </c>
      <c r="H636" s="151">
        <v>120</v>
      </c>
      <c r="I636" s="151">
        <v>0</v>
      </c>
      <c r="J636" s="16" t="s">
        <v>927</v>
      </c>
      <c r="K636" s="7">
        <v>100000</v>
      </c>
      <c r="L636" s="7">
        <v>264000</v>
      </c>
      <c r="M636" s="8">
        <v>11000</v>
      </c>
      <c r="N636" s="9">
        <v>44000</v>
      </c>
      <c r="O636" s="9">
        <v>264000</v>
      </c>
      <c r="P636" s="10">
        <v>0</v>
      </c>
      <c r="Q636" s="152">
        <v>45635</v>
      </c>
    </row>
    <row r="637" spans="1:17" ht="29.25" thickBot="1" x14ac:dyDescent="0.3">
      <c r="A637" s="150">
        <v>2524</v>
      </c>
      <c r="B637" s="27" t="s">
        <v>942</v>
      </c>
      <c r="C637" s="27" t="s">
        <v>943</v>
      </c>
      <c r="D637" s="28">
        <v>37095915</v>
      </c>
      <c r="E637" s="3">
        <v>45367</v>
      </c>
      <c r="F637" s="3">
        <v>45618</v>
      </c>
      <c r="G637" s="29">
        <v>180</v>
      </c>
      <c r="H637" s="151">
        <v>180</v>
      </c>
      <c r="I637" s="151">
        <v>0</v>
      </c>
      <c r="J637" s="6" t="s">
        <v>944</v>
      </c>
      <c r="K637" s="10">
        <v>200000</v>
      </c>
      <c r="L637" s="10">
        <v>612000</v>
      </c>
      <c r="M637" s="8">
        <v>17000</v>
      </c>
      <c r="N637" s="9">
        <v>68000</v>
      </c>
      <c r="O637" s="9">
        <v>612000</v>
      </c>
      <c r="P637" s="10">
        <v>0</v>
      </c>
      <c r="Q637" s="152">
        <v>45635</v>
      </c>
    </row>
    <row r="638" spans="1:17" ht="29.25" thickBot="1" x14ac:dyDescent="0.3">
      <c r="A638" s="150">
        <v>2626</v>
      </c>
      <c r="B638" s="27" t="s">
        <v>296</v>
      </c>
      <c r="C638" s="27" t="s">
        <v>297</v>
      </c>
      <c r="D638" s="28">
        <v>13589728</v>
      </c>
      <c r="E638" s="3">
        <v>45428</v>
      </c>
      <c r="F638" s="3">
        <v>45629</v>
      </c>
      <c r="G638" s="29">
        <v>143</v>
      </c>
      <c r="H638" s="151">
        <v>143</v>
      </c>
      <c r="I638" s="151">
        <v>0</v>
      </c>
      <c r="J638" s="6" t="s">
        <v>945</v>
      </c>
      <c r="K638" s="7">
        <v>100000</v>
      </c>
      <c r="L638" s="7">
        <v>264600</v>
      </c>
      <c r="M638" s="8">
        <v>9251.7482517482513</v>
      </c>
      <c r="N638" s="9">
        <v>37800</v>
      </c>
      <c r="O638" s="9">
        <v>264600</v>
      </c>
      <c r="P638" s="10">
        <v>0</v>
      </c>
      <c r="Q638" s="152">
        <v>45635</v>
      </c>
    </row>
    <row r="639" spans="1:17" ht="47.25" thickBot="1" x14ac:dyDescent="0.3">
      <c r="A639" s="150">
        <v>2718</v>
      </c>
      <c r="B639" s="27" t="s">
        <v>369</v>
      </c>
      <c r="C639" s="27" t="s">
        <v>370</v>
      </c>
      <c r="D639" s="28"/>
      <c r="E639" s="3">
        <v>45491</v>
      </c>
      <c r="F639" s="3">
        <v>45631</v>
      </c>
      <c r="G639" s="29">
        <v>100</v>
      </c>
      <c r="H639" s="151">
        <v>100</v>
      </c>
      <c r="I639" s="151">
        <v>0</v>
      </c>
      <c r="J639" s="6" t="s">
        <v>372</v>
      </c>
      <c r="K639" s="7">
        <v>200000</v>
      </c>
      <c r="L639" s="7">
        <v>432000</v>
      </c>
      <c r="M639" s="8">
        <v>21600</v>
      </c>
      <c r="N639" s="9">
        <v>86400</v>
      </c>
      <c r="O639" s="9">
        <v>432000</v>
      </c>
      <c r="P639" s="10">
        <v>0</v>
      </c>
      <c r="Q639" s="152">
        <v>45635</v>
      </c>
    </row>
    <row r="640" spans="1:17" ht="47.25" thickBot="1" x14ac:dyDescent="0.3">
      <c r="A640" s="150">
        <v>2734</v>
      </c>
      <c r="B640" s="27" t="s">
        <v>369</v>
      </c>
      <c r="C640" s="27" t="s">
        <v>370</v>
      </c>
      <c r="D640" s="28"/>
      <c r="E640" s="3">
        <v>45502</v>
      </c>
      <c r="F640" s="3">
        <v>45642</v>
      </c>
      <c r="G640" s="29">
        <v>100</v>
      </c>
      <c r="H640" s="151">
        <v>100</v>
      </c>
      <c r="I640" s="151">
        <v>0</v>
      </c>
      <c r="J640" s="6" t="s">
        <v>373</v>
      </c>
      <c r="K640" s="7">
        <v>100000</v>
      </c>
      <c r="L640" s="7">
        <v>216000</v>
      </c>
      <c r="M640" s="8">
        <v>10800</v>
      </c>
      <c r="N640" s="9">
        <v>43200</v>
      </c>
      <c r="O640" s="9">
        <v>216000</v>
      </c>
      <c r="P640" s="10">
        <v>0</v>
      </c>
      <c r="Q640" s="152">
        <v>45635</v>
      </c>
    </row>
    <row r="641" spans="1:17" ht="29.25" thickBot="1" x14ac:dyDescent="0.3">
      <c r="A641" s="150">
        <v>2779</v>
      </c>
      <c r="B641" s="27" t="s">
        <v>385</v>
      </c>
      <c r="C641" s="27" t="s">
        <v>386</v>
      </c>
      <c r="D641" s="28"/>
      <c r="E641" s="3">
        <v>45528</v>
      </c>
      <c r="F641" s="3">
        <v>45629</v>
      </c>
      <c r="G641" s="29">
        <v>72</v>
      </c>
      <c r="H641" s="151">
        <v>72</v>
      </c>
      <c r="I641" s="151">
        <v>0</v>
      </c>
      <c r="J641" s="2" t="s">
        <v>227</v>
      </c>
      <c r="K641" s="7">
        <v>50000</v>
      </c>
      <c r="L641" s="7">
        <v>108000</v>
      </c>
      <c r="M641" s="8">
        <v>7500</v>
      </c>
      <c r="N641" s="9">
        <v>1500</v>
      </c>
      <c r="O641" s="9">
        <v>108000</v>
      </c>
      <c r="P641" s="10">
        <v>0</v>
      </c>
      <c r="Q641" s="152">
        <v>45635</v>
      </c>
    </row>
    <row r="642" spans="1:17" ht="56.25" thickBot="1" x14ac:dyDescent="0.3">
      <c r="A642" s="150">
        <v>2769</v>
      </c>
      <c r="B642" s="27" t="s">
        <v>692</v>
      </c>
      <c r="C642" s="27" t="s">
        <v>394</v>
      </c>
      <c r="D642" s="28" t="s">
        <v>395</v>
      </c>
      <c r="E642" s="3">
        <v>45523</v>
      </c>
      <c r="F642" s="3">
        <v>45623</v>
      </c>
      <c r="G642" s="29">
        <v>72</v>
      </c>
      <c r="H642" s="151">
        <v>72</v>
      </c>
      <c r="I642" s="151">
        <v>0</v>
      </c>
      <c r="J642" s="2" t="s">
        <v>161</v>
      </c>
      <c r="K642" s="19">
        <v>100000</v>
      </c>
      <c r="L642" s="7">
        <v>216000</v>
      </c>
      <c r="M642" s="8">
        <v>15000</v>
      </c>
      <c r="N642" s="9">
        <v>6000</v>
      </c>
      <c r="O642" s="9">
        <v>216000</v>
      </c>
      <c r="P642" s="10">
        <v>0</v>
      </c>
      <c r="Q642" s="152">
        <v>45635</v>
      </c>
    </row>
    <row r="643" spans="1:17" ht="20.25" thickBot="1" x14ac:dyDescent="0.3">
      <c r="A643" s="150">
        <v>2917</v>
      </c>
      <c r="B643" s="27" t="s">
        <v>402</v>
      </c>
      <c r="C643" s="27"/>
      <c r="D643" s="28"/>
      <c r="E643" s="3">
        <v>45614</v>
      </c>
      <c r="F643" s="3">
        <v>45642</v>
      </c>
      <c r="G643" s="29">
        <v>20</v>
      </c>
      <c r="H643" s="151" t="e">
        <v>#VALUE!</v>
      </c>
      <c r="I643" s="151" t="e">
        <v>#VALUE!</v>
      </c>
      <c r="J643" s="6" t="s">
        <v>403</v>
      </c>
      <c r="K643" s="495">
        <v>40000</v>
      </c>
      <c r="L643" s="10">
        <v>60000</v>
      </c>
      <c r="M643" s="8" t="s">
        <v>143</v>
      </c>
      <c r="N643" s="9">
        <v>60000</v>
      </c>
      <c r="O643" s="9">
        <v>60000</v>
      </c>
      <c r="P643" s="10">
        <v>0</v>
      </c>
      <c r="Q643" s="152">
        <v>45635</v>
      </c>
    </row>
    <row r="644" spans="1:17" ht="20.25" thickBot="1" x14ac:dyDescent="0.3">
      <c r="A644" s="150">
        <v>2918</v>
      </c>
      <c r="B644" s="27" t="s">
        <v>402</v>
      </c>
      <c r="C644" s="27"/>
      <c r="D644" s="28"/>
      <c r="E644" s="3">
        <v>45645</v>
      </c>
      <c r="F644" s="3">
        <v>45673</v>
      </c>
      <c r="G644" s="29">
        <v>20</v>
      </c>
      <c r="H644" s="151" t="e">
        <v>#DIV/0!</v>
      </c>
      <c r="I644" s="151" t="e">
        <v>#DIV/0!</v>
      </c>
      <c r="J644" s="6" t="s">
        <v>403</v>
      </c>
      <c r="K644" s="7">
        <v>20000</v>
      </c>
      <c r="L644" s="7">
        <v>30000</v>
      </c>
      <c r="M644" s="8"/>
      <c r="N644" s="9">
        <v>30000</v>
      </c>
      <c r="O644" s="9">
        <v>30000</v>
      </c>
      <c r="P644" s="10">
        <v>0</v>
      </c>
      <c r="Q644" s="152">
        <v>45635</v>
      </c>
    </row>
    <row r="645" spans="1:17" ht="29.25" thickBot="1" x14ac:dyDescent="0.3">
      <c r="A645" s="150">
        <v>2757</v>
      </c>
      <c r="B645" s="27" t="s">
        <v>474</v>
      </c>
      <c r="C645" s="27" t="s">
        <v>387</v>
      </c>
      <c r="D645" s="28">
        <v>2034839888</v>
      </c>
      <c r="E645" s="3">
        <v>45517</v>
      </c>
      <c r="F645" s="3">
        <v>45629</v>
      </c>
      <c r="G645" s="29">
        <v>80</v>
      </c>
      <c r="H645" s="151">
        <v>80</v>
      </c>
      <c r="I645" s="151">
        <v>0</v>
      </c>
      <c r="J645" s="6" t="s">
        <v>729</v>
      </c>
      <c r="K645" s="7">
        <v>30000</v>
      </c>
      <c r="L645" s="7">
        <v>64800</v>
      </c>
      <c r="M645" s="8">
        <v>4050</v>
      </c>
      <c r="N645" s="9">
        <v>16200</v>
      </c>
      <c r="O645" s="9">
        <v>64800</v>
      </c>
      <c r="P645" s="10">
        <v>0</v>
      </c>
      <c r="Q645" s="152">
        <v>45635</v>
      </c>
    </row>
    <row r="646" spans="1:17" ht="29.25" thickBot="1" x14ac:dyDescent="0.3">
      <c r="A646" s="150">
        <v>2685</v>
      </c>
      <c r="B646" s="2" t="s">
        <v>156</v>
      </c>
      <c r="C646" s="27" t="s">
        <v>157</v>
      </c>
      <c r="D646" s="28"/>
      <c r="E646" s="3">
        <v>45470</v>
      </c>
      <c r="F646" s="3">
        <v>45624</v>
      </c>
      <c r="G646" s="29">
        <v>110</v>
      </c>
      <c r="H646" s="151">
        <v>111.11111111111111</v>
      </c>
      <c r="I646" s="151">
        <v>-1.1111111111111143</v>
      </c>
      <c r="J646" s="16" t="s">
        <v>946</v>
      </c>
      <c r="K646" s="7">
        <v>150000</v>
      </c>
      <c r="L646" s="7">
        <v>396000</v>
      </c>
      <c r="M646" s="8">
        <v>18000</v>
      </c>
      <c r="N646" s="9">
        <v>85000</v>
      </c>
      <c r="O646" s="9">
        <v>400000</v>
      </c>
      <c r="P646" s="10">
        <v>-4000</v>
      </c>
      <c r="Q646" s="152">
        <v>45642</v>
      </c>
    </row>
    <row r="647" spans="1:17" ht="38.25" thickBot="1" x14ac:dyDescent="0.3">
      <c r="A647" s="150">
        <v>2780</v>
      </c>
      <c r="B647" s="2" t="s">
        <v>179</v>
      </c>
      <c r="C647" s="27" t="s">
        <v>180</v>
      </c>
      <c r="D647" s="28"/>
      <c r="E647" s="3">
        <v>45531</v>
      </c>
      <c r="F647" s="3">
        <v>45631</v>
      </c>
      <c r="G647" s="29">
        <v>72</v>
      </c>
      <c r="H647" s="151">
        <v>72.083333333333329</v>
      </c>
      <c r="I647" s="151">
        <v>-8.3333333333328596E-2</v>
      </c>
      <c r="J647" s="2" t="s">
        <v>182</v>
      </c>
      <c r="K647" s="7">
        <v>20000</v>
      </c>
      <c r="L647" s="7">
        <v>43200</v>
      </c>
      <c r="M647" s="8">
        <v>3000</v>
      </c>
      <c r="N647" s="9">
        <v>4000</v>
      </c>
      <c r="O647" s="9">
        <v>43250</v>
      </c>
      <c r="P647" s="10">
        <v>-50</v>
      </c>
      <c r="Q647" s="152">
        <v>45642</v>
      </c>
    </row>
    <row r="648" spans="1:17" ht="47.25" thickBot="1" x14ac:dyDescent="0.3">
      <c r="A648" s="150">
        <v>2582</v>
      </c>
      <c r="B648" s="27" t="s">
        <v>233</v>
      </c>
      <c r="C648" s="27" t="s">
        <v>234</v>
      </c>
      <c r="D648" s="28" t="s">
        <v>235</v>
      </c>
      <c r="E648" s="3">
        <v>45400</v>
      </c>
      <c r="F648" s="3">
        <v>45596</v>
      </c>
      <c r="G648" s="29">
        <v>140</v>
      </c>
      <c r="H648" s="151">
        <v>140.37333333333333</v>
      </c>
      <c r="I648" s="151">
        <v>-0.37333333333333485</v>
      </c>
      <c r="J648" s="6" t="s">
        <v>947</v>
      </c>
      <c r="K648" s="7">
        <v>200000</v>
      </c>
      <c r="L648" s="7">
        <v>525000</v>
      </c>
      <c r="M648" s="8">
        <v>18750</v>
      </c>
      <c r="N648" s="9">
        <v>25000</v>
      </c>
      <c r="O648" s="9">
        <v>526400</v>
      </c>
      <c r="P648" s="10">
        <v>-1400</v>
      </c>
      <c r="Q648" s="152">
        <v>45642</v>
      </c>
    </row>
    <row r="649" spans="1:17" ht="47.25" thickBot="1" x14ac:dyDescent="0.3">
      <c r="A649" s="150">
        <v>2929</v>
      </c>
      <c r="B649" s="27" t="s">
        <v>290</v>
      </c>
      <c r="C649" s="27" t="s">
        <v>291</v>
      </c>
      <c r="D649" s="28"/>
      <c r="E649" s="188">
        <v>45621</v>
      </c>
      <c r="F649" s="3">
        <v>45649</v>
      </c>
      <c r="G649" s="29">
        <v>20</v>
      </c>
      <c r="H649" s="151" t="e">
        <v>#DIV/0!</v>
      </c>
      <c r="I649" s="151" t="e">
        <v>#DIV/0!</v>
      </c>
      <c r="J649" s="6" t="s">
        <v>948</v>
      </c>
      <c r="K649" s="7">
        <v>100000</v>
      </c>
      <c r="L649" s="7">
        <v>150000</v>
      </c>
      <c r="M649" s="8"/>
      <c r="N649" s="9">
        <v>150000</v>
      </c>
      <c r="O649" s="9">
        <v>150000</v>
      </c>
      <c r="P649" s="10">
        <v>0</v>
      </c>
      <c r="Q649" s="152">
        <v>45642</v>
      </c>
    </row>
    <row r="650" spans="1:17" ht="20.25" thickBot="1" x14ac:dyDescent="0.3">
      <c r="A650" s="150">
        <v>2933</v>
      </c>
      <c r="B650" s="27" t="s">
        <v>707</v>
      </c>
      <c r="C650" s="27"/>
      <c r="D650" s="28"/>
      <c r="E650" s="3">
        <v>45624</v>
      </c>
      <c r="F650" s="3">
        <v>45631</v>
      </c>
      <c r="G650" s="29">
        <v>5</v>
      </c>
      <c r="H650" s="151" t="e">
        <v>#DIV/0!</v>
      </c>
      <c r="I650" s="151" t="e">
        <v>#DIV/0!</v>
      </c>
      <c r="J650" s="6" t="s">
        <v>403</v>
      </c>
      <c r="K650" s="20">
        <v>30000</v>
      </c>
      <c r="L650" s="7">
        <v>39000</v>
      </c>
      <c r="M650" s="8"/>
      <c r="N650" s="9">
        <v>39000</v>
      </c>
      <c r="O650" s="9">
        <v>39000</v>
      </c>
      <c r="P650" s="10">
        <v>0</v>
      </c>
      <c r="Q650" s="152">
        <v>45642</v>
      </c>
    </row>
    <row r="651" spans="1:17" ht="47.25" thickBot="1" x14ac:dyDescent="0.3">
      <c r="A651" s="150">
        <v>2627</v>
      </c>
      <c r="B651" s="27" t="s">
        <v>774</v>
      </c>
      <c r="C651" s="27" t="s">
        <v>775</v>
      </c>
      <c r="D651" s="28"/>
      <c r="E651" s="3">
        <v>45428</v>
      </c>
      <c r="F651" s="3">
        <v>45530</v>
      </c>
      <c r="G651" s="29">
        <v>72</v>
      </c>
      <c r="H651" s="151">
        <v>88.565413533834587</v>
      </c>
      <c r="I651" s="151">
        <v>-16.565413533834587</v>
      </c>
      <c r="J651" s="16" t="s">
        <v>949</v>
      </c>
      <c r="K651" s="7">
        <v>30000</v>
      </c>
      <c r="L651" s="7">
        <v>66500</v>
      </c>
      <c r="M651" s="8">
        <v>4618.0555555555557</v>
      </c>
      <c r="N651" s="9">
        <v>24800</v>
      </c>
      <c r="O651" s="9">
        <v>81800</v>
      </c>
      <c r="P651" s="10">
        <v>-15300</v>
      </c>
      <c r="Q651" s="152">
        <v>45642</v>
      </c>
    </row>
    <row r="652" spans="1:17" ht="15.75" thickBot="1" x14ac:dyDescent="0.3">
      <c r="A652" s="150">
        <v>2927</v>
      </c>
      <c r="B652" s="27" t="s">
        <v>367</v>
      </c>
      <c r="C652" s="27"/>
      <c r="D652" s="28"/>
      <c r="E652" s="3">
        <v>45619</v>
      </c>
      <c r="F652" s="3">
        <v>45646</v>
      </c>
      <c r="G652" s="29">
        <v>20</v>
      </c>
      <c r="H652" s="151" t="e">
        <v>#DIV/0!</v>
      </c>
      <c r="I652" s="151" t="e">
        <v>#DIV/0!</v>
      </c>
      <c r="J652" s="6" t="s">
        <v>403</v>
      </c>
      <c r="K652" s="10">
        <v>20000</v>
      </c>
      <c r="L652" s="10">
        <v>30000</v>
      </c>
      <c r="M652" s="8"/>
      <c r="N652" s="9">
        <v>30000</v>
      </c>
      <c r="O652" s="9">
        <v>30000</v>
      </c>
      <c r="P652" s="10">
        <v>0</v>
      </c>
      <c r="Q652" s="152">
        <v>45642</v>
      </c>
    </row>
    <row r="653" spans="1:17" ht="15.75" thickBot="1" x14ac:dyDescent="0.3">
      <c r="A653" s="150">
        <v>2937</v>
      </c>
      <c r="B653" s="27" t="s">
        <v>367</v>
      </c>
      <c r="C653" s="27"/>
      <c r="D653" s="28"/>
      <c r="E653" s="3">
        <v>45624</v>
      </c>
      <c r="F653" s="3">
        <v>45652</v>
      </c>
      <c r="G653" s="29">
        <v>20</v>
      </c>
      <c r="H653" s="151" t="e">
        <v>#DIV/0!</v>
      </c>
      <c r="I653" s="151" t="e">
        <v>#DIV/0!</v>
      </c>
      <c r="J653" s="6" t="s">
        <v>403</v>
      </c>
      <c r="K653" s="7">
        <v>20000</v>
      </c>
      <c r="L653" s="7">
        <v>30000</v>
      </c>
      <c r="M653" s="8"/>
      <c r="N653" s="9">
        <v>30000</v>
      </c>
      <c r="O653" s="9">
        <v>30000</v>
      </c>
      <c r="P653" s="10">
        <v>0</v>
      </c>
      <c r="Q653" s="152">
        <v>45642</v>
      </c>
    </row>
    <row r="654" spans="1:17" ht="20.25" thickBot="1" x14ac:dyDescent="0.3">
      <c r="A654" s="150">
        <v>2527</v>
      </c>
      <c r="B654" s="27" t="s">
        <v>381</v>
      </c>
      <c r="C654" s="27"/>
      <c r="D654" s="28"/>
      <c r="E654" s="3">
        <v>45369</v>
      </c>
      <c r="F654" s="3">
        <v>45649</v>
      </c>
      <c r="G654" s="29">
        <v>200</v>
      </c>
      <c r="H654" s="151">
        <v>200</v>
      </c>
      <c r="I654" s="151">
        <v>0</v>
      </c>
      <c r="J654" s="6" t="s">
        <v>382</v>
      </c>
      <c r="K654" s="7">
        <v>100000</v>
      </c>
      <c r="L654" s="7">
        <v>308000</v>
      </c>
      <c r="M654" s="8">
        <v>7700</v>
      </c>
      <c r="N654" s="9">
        <v>30800</v>
      </c>
      <c r="O654" s="9">
        <v>308000</v>
      </c>
      <c r="P654" s="10">
        <v>0</v>
      </c>
      <c r="Q654" s="152">
        <v>45642</v>
      </c>
    </row>
    <row r="655" spans="1:17" ht="29.25" thickBot="1" x14ac:dyDescent="0.3">
      <c r="A655" s="150">
        <v>2384</v>
      </c>
      <c r="B655" s="27" t="s">
        <v>416</v>
      </c>
      <c r="C655" s="27" t="s">
        <v>417</v>
      </c>
      <c r="D655" s="28"/>
      <c r="E655" s="3">
        <v>45281</v>
      </c>
      <c r="F655" s="3">
        <v>45589</v>
      </c>
      <c r="G655" s="29">
        <v>220</v>
      </c>
      <c r="H655" s="151">
        <v>220</v>
      </c>
      <c r="I655" s="151">
        <v>0</v>
      </c>
      <c r="J655" s="16" t="s">
        <v>541</v>
      </c>
      <c r="K655" s="7">
        <v>200000</v>
      </c>
      <c r="L655" s="7">
        <v>600160</v>
      </c>
      <c r="M655" s="21">
        <v>13640</v>
      </c>
      <c r="N655" s="9">
        <v>54560</v>
      </c>
      <c r="O655" s="9">
        <v>600160</v>
      </c>
      <c r="P655" s="10">
        <v>0</v>
      </c>
      <c r="Q655" s="152">
        <v>45642</v>
      </c>
    </row>
    <row r="656" spans="1:17" ht="20.25" thickBot="1" x14ac:dyDescent="0.3">
      <c r="A656" s="150">
        <v>2957</v>
      </c>
      <c r="B656" s="27" t="s">
        <v>707</v>
      </c>
      <c r="C656" s="27"/>
      <c r="D656" s="28"/>
      <c r="E656" s="3">
        <v>45642</v>
      </c>
      <c r="F656" s="3">
        <v>45649</v>
      </c>
      <c r="G656" s="29">
        <v>5</v>
      </c>
      <c r="H656" s="151" t="e">
        <v>#DIV/0!</v>
      </c>
      <c r="I656" s="151" t="e">
        <v>#DIV/0!</v>
      </c>
      <c r="J656" s="6" t="s">
        <v>403</v>
      </c>
      <c r="K656" s="20">
        <v>30000</v>
      </c>
      <c r="L656" s="7">
        <v>39000</v>
      </c>
      <c r="M656" s="8"/>
      <c r="N656" s="9">
        <v>39000</v>
      </c>
      <c r="O656" s="9">
        <v>39000</v>
      </c>
      <c r="P656" s="10">
        <v>0</v>
      </c>
      <c r="Q656" s="152">
        <v>45642</v>
      </c>
    </row>
    <row r="657" spans="1:17" ht="38.25" thickBot="1" x14ac:dyDescent="0.3">
      <c r="A657" s="150">
        <v>2790</v>
      </c>
      <c r="B657" s="2" t="s">
        <v>179</v>
      </c>
      <c r="C657" s="27" t="s">
        <v>180</v>
      </c>
      <c r="D657" s="28"/>
      <c r="E657" s="3">
        <v>45539</v>
      </c>
      <c r="F657" s="3">
        <v>45639</v>
      </c>
      <c r="G657" s="29">
        <v>72</v>
      </c>
      <c r="H657" s="151">
        <v>72</v>
      </c>
      <c r="I657" s="151">
        <v>0</v>
      </c>
      <c r="J657" s="2" t="s">
        <v>318</v>
      </c>
      <c r="K657" s="7">
        <v>15000</v>
      </c>
      <c r="L657" s="7">
        <v>32400</v>
      </c>
      <c r="M657" s="8">
        <v>2250</v>
      </c>
      <c r="N657" s="9">
        <v>650</v>
      </c>
      <c r="O657" s="9">
        <v>32400</v>
      </c>
      <c r="P657" s="10">
        <v>0</v>
      </c>
      <c r="Q657" s="152">
        <v>45649</v>
      </c>
    </row>
    <row r="658" spans="1:17" ht="29.25" thickBot="1" x14ac:dyDescent="0.3">
      <c r="A658" s="150">
        <v>2851</v>
      </c>
      <c r="B658" s="2" t="s">
        <v>207</v>
      </c>
      <c r="C658" s="27" t="s">
        <v>208</v>
      </c>
      <c r="D658" s="28"/>
      <c r="E658" s="3">
        <v>45575</v>
      </c>
      <c r="F658" s="3">
        <v>45677</v>
      </c>
      <c r="G658" s="29">
        <v>72</v>
      </c>
      <c r="H658" s="151">
        <v>72</v>
      </c>
      <c r="I658" s="151">
        <v>0</v>
      </c>
      <c r="J658" s="2" t="s">
        <v>227</v>
      </c>
      <c r="K658" s="7">
        <v>50000</v>
      </c>
      <c r="L658" s="7">
        <v>108000</v>
      </c>
      <c r="M658" s="8">
        <v>7500</v>
      </c>
      <c r="N658" s="9">
        <v>3000</v>
      </c>
      <c r="O658" s="9">
        <v>108000</v>
      </c>
      <c r="P658" s="10">
        <v>0</v>
      </c>
      <c r="Q658" s="152">
        <v>45649</v>
      </c>
    </row>
    <row r="659" spans="1:17" ht="20.25" thickBot="1" x14ac:dyDescent="0.3">
      <c r="A659" s="150">
        <v>2936</v>
      </c>
      <c r="B659" s="27" t="s">
        <v>239</v>
      </c>
      <c r="C659" s="27" t="s">
        <v>240</v>
      </c>
      <c r="D659" s="28"/>
      <c r="E659" s="3">
        <v>45625</v>
      </c>
      <c r="F659" s="3">
        <v>45653</v>
      </c>
      <c r="G659" s="29">
        <v>20</v>
      </c>
      <c r="H659" s="151" t="e">
        <v>#VALUE!</v>
      </c>
      <c r="I659" s="151" t="e">
        <v>#VALUE!</v>
      </c>
      <c r="J659" s="6" t="s">
        <v>403</v>
      </c>
      <c r="K659" s="7">
        <v>400000</v>
      </c>
      <c r="L659" s="7">
        <v>550000</v>
      </c>
      <c r="M659" s="8" t="s">
        <v>143</v>
      </c>
      <c r="N659" s="9">
        <v>550000</v>
      </c>
      <c r="O659" s="9">
        <v>550000</v>
      </c>
      <c r="P659" s="10">
        <v>0</v>
      </c>
      <c r="Q659" s="152">
        <v>45649</v>
      </c>
    </row>
    <row r="660" spans="1:17" ht="20.25" thickBot="1" x14ac:dyDescent="0.3">
      <c r="A660" s="150">
        <v>2966</v>
      </c>
      <c r="B660" s="27" t="s">
        <v>707</v>
      </c>
      <c r="C660" s="27"/>
      <c r="D660" s="28"/>
      <c r="E660" s="3">
        <v>45647</v>
      </c>
      <c r="F660" s="3">
        <v>45653</v>
      </c>
      <c r="G660" s="29">
        <v>5</v>
      </c>
      <c r="H660" s="151" t="e">
        <v>#DIV/0!</v>
      </c>
      <c r="I660" s="151" t="e">
        <v>#DIV/0!</v>
      </c>
      <c r="J660" s="6" t="s">
        <v>403</v>
      </c>
      <c r="K660" s="20">
        <v>30000</v>
      </c>
      <c r="L660" s="7">
        <v>39000</v>
      </c>
      <c r="M660" s="8"/>
      <c r="N660" s="9">
        <v>39000</v>
      </c>
      <c r="O660" s="9">
        <v>39000</v>
      </c>
      <c r="P660" s="10">
        <v>0</v>
      </c>
      <c r="Q660" s="152">
        <v>45649</v>
      </c>
    </row>
    <row r="661" spans="1:17" ht="38.25" thickBot="1" x14ac:dyDescent="0.3">
      <c r="A661" s="150">
        <v>2767</v>
      </c>
      <c r="B661" s="27" t="s">
        <v>316</v>
      </c>
      <c r="C661" s="27" t="s">
        <v>317</v>
      </c>
      <c r="D661" s="28"/>
      <c r="E661" s="3">
        <v>45521</v>
      </c>
      <c r="F661" s="3">
        <v>45622</v>
      </c>
      <c r="G661" s="29">
        <v>72</v>
      </c>
      <c r="H661" s="151">
        <v>72</v>
      </c>
      <c r="I661" s="151">
        <v>0</v>
      </c>
      <c r="J661" s="2" t="s">
        <v>318</v>
      </c>
      <c r="K661" s="7">
        <v>15000</v>
      </c>
      <c r="L661" s="7">
        <v>32400</v>
      </c>
      <c r="M661" s="8">
        <v>2250</v>
      </c>
      <c r="N661" s="9">
        <v>9900</v>
      </c>
      <c r="O661" s="9">
        <v>32400</v>
      </c>
      <c r="P661" s="10">
        <v>0</v>
      </c>
      <c r="Q661" s="152">
        <v>45649</v>
      </c>
    </row>
    <row r="662" spans="1:17" ht="38.25" thickBot="1" x14ac:dyDescent="0.3">
      <c r="A662" s="150">
        <v>2689</v>
      </c>
      <c r="B662" s="27" t="s">
        <v>456</v>
      </c>
      <c r="C662" s="27" t="s">
        <v>457</v>
      </c>
      <c r="D662" s="28">
        <v>35869349</v>
      </c>
      <c r="E662" s="3">
        <v>45472</v>
      </c>
      <c r="F662" s="3">
        <v>45625</v>
      </c>
      <c r="G662" s="29">
        <v>110</v>
      </c>
      <c r="H662" s="151">
        <v>110</v>
      </c>
      <c r="I662" s="151">
        <v>0</v>
      </c>
      <c r="J662" s="16" t="s">
        <v>950</v>
      </c>
      <c r="K662" s="7">
        <v>110000</v>
      </c>
      <c r="L662" s="7">
        <v>290400</v>
      </c>
      <c r="M662" s="8">
        <v>13200</v>
      </c>
      <c r="N662" s="9">
        <v>26200</v>
      </c>
      <c r="O662" s="9">
        <v>290400</v>
      </c>
      <c r="P662" s="10">
        <v>0</v>
      </c>
      <c r="Q662" s="152">
        <v>45649</v>
      </c>
    </row>
    <row r="663" spans="1:17" ht="29.25" thickBot="1" x14ac:dyDescent="0.3">
      <c r="A663" s="150">
        <v>2745</v>
      </c>
      <c r="B663" s="27" t="s">
        <v>280</v>
      </c>
      <c r="C663" s="27" t="s">
        <v>285</v>
      </c>
      <c r="D663" s="28"/>
      <c r="E663" s="3">
        <v>45511</v>
      </c>
      <c r="F663" s="3">
        <v>45623</v>
      </c>
      <c r="G663" s="29">
        <v>80</v>
      </c>
      <c r="H663" s="151">
        <v>80</v>
      </c>
      <c r="I663" s="151">
        <v>0</v>
      </c>
      <c r="J663" s="6" t="s">
        <v>951</v>
      </c>
      <c r="K663" s="7">
        <v>70000</v>
      </c>
      <c r="L663" s="7">
        <v>151200</v>
      </c>
      <c r="M663" s="8">
        <v>9450</v>
      </c>
      <c r="N663" s="9">
        <v>37800</v>
      </c>
      <c r="O663" s="9">
        <v>151200</v>
      </c>
      <c r="P663" s="10">
        <v>0</v>
      </c>
      <c r="Q663" s="152">
        <v>45656</v>
      </c>
    </row>
    <row r="664" spans="1:17" ht="20.25" thickBot="1" x14ac:dyDescent="0.3">
      <c r="A664" s="150">
        <v>2977</v>
      </c>
      <c r="B664" s="27" t="s">
        <v>707</v>
      </c>
      <c r="C664" s="27"/>
      <c r="D664" s="28"/>
      <c r="E664" s="3">
        <v>45654</v>
      </c>
      <c r="F664" s="3">
        <v>45660</v>
      </c>
      <c r="G664" s="29">
        <v>5</v>
      </c>
      <c r="H664" s="151" t="e">
        <v>#DIV/0!</v>
      </c>
      <c r="I664" s="151" t="e">
        <v>#DIV/0!</v>
      </c>
      <c r="J664" s="6" t="s">
        <v>403</v>
      </c>
      <c r="K664" s="20">
        <v>30000</v>
      </c>
      <c r="L664" s="7">
        <v>39000</v>
      </c>
      <c r="M664" s="8"/>
      <c r="N664" s="9">
        <v>39000</v>
      </c>
      <c r="O664" s="9">
        <v>39000</v>
      </c>
      <c r="P664" s="10">
        <v>0</v>
      </c>
      <c r="Q664" s="152">
        <v>45656</v>
      </c>
    </row>
    <row r="665" spans="1:17" ht="29.25" thickBot="1" x14ac:dyDescent="0.3">
      <c r="A665" s="150">
        <v>2791</v>
      </c>
      <c r="B665" s="27" t="s">
        <v>385</v>
      </c>
      <c r="C665" s="27" t="s">
        <v>386</v>
      </c>
      <c r="D665" s="28"/>
      <c r="E665" s="3">
        <v>45541</v>
      </c>
      <c r="F665" s="3">
        <v>45643</v>
      </c>
      <c r="G665" s="29">
        <v>72</v>
      </c>
      <c r="H665" s="151">
        <v>72</v>
      </c>
      <c r="I665" s="151">
        <v>0</v>
      </c>
      <c r="J665" s="2" t="s">
        <v>181</v>
      </c>
      <c r="K665" s="7">
        <v>30000</v>
      </c>
      <c r="L665" s="7">
        <v>64800</v>
      </c>
      <c r="M665" s="8">
        <v>4500</v>
      </c>
      <c r="N665" s="9">
        <v>14800</v>
      </c>
      <c r="O665" s="9">
        <v>64800</v>
      </c>
      <c r="P665" s="10">
        <v>0</v>
      </c>
      <c r="Q665" s="152">
        <v>45656</v>
      </c>
    </row>
    <row r="666" spans="1:17" ht="29.25" thickBot="1" x14ac:dyDescent="0.3">
      <c r="A666" s="150">
        <v>2716</v>
      </c>
      <c r="B666" s="27" t="s">
        <v>419</v>
      </c>
      <c r="C666" s="27" t="s">
        <v>420</v>
      </c>
      <c r="D666" s="28"/>
      <c r="E666" s="3">
        <v>45490</v>
      </c>
      <c r="F666" s="3">
        <v>45658</v>
      </c>
      <c r="G666" s="29">
        <v>120</v>
      </c>
      <c r="H666" s="151">
        <v>120</v>
      </c>
      <c r="I666" s="151">
        <v>0</v>
      </c>
      <c r="J666" s="6" t="s">
        <v>952</v>
      </c>
      <c r="K666" s="7">
        <v>80000</v>
      </c>
      <c r="L666" s="7">
        <v>211200</v>
      </c>
      <c r="M666" s="8">
        <v>8800</v>
      </c>
      <c r="N666" s="9">
        <v>35200</v>
      </c>
      <c r="O666" s="9">
        <v>211200</v>
      </c>
      <c r="P666" s="10">
        <v>0</v>
      </c>
      <c r="Q666" s="152">
        <v>45656</v>
      </c>
    </row>
    <row r="667" spans="1:17" ht="29.25" thickBot="1" x14ac:dyDescent="0.3">
      <c r="A667" s="150">
        <v>2765</v>
      </c>
      <c r="B667" s="27" t="s">
        <v>419</v>
      </c>
      <c r="C667" s="27" t="s">
        <v>420</v>
      </c>
      <c r="D667" s="28"/>
      <c r="E667" s="3">
        <v>45520</v>
      </c>
      <c r="F667" s="3">
        <v>45688</v>
      </c>
      <c r="G667" s="29">
        <v>120</v>
      </c>
      <c r="H667" s="151">
        <v>120</v>
      </c>
      <c r="I667" s="151">
        <v>0</v>
      </c>
      <c r="J667" s="6" t="s">
        <v>952</v>
      </c>
      <c r="K667" s="10">
        <v>80000</v>
      </c>
      <c r="L667" s="10">
        <v>211200</v>
      </c>
      <c r="M667" s="21">
        <v>8800</v>
      </c>
      <c r="N667" s="9">
        <v>70400</v>
      </c>
      <c r="O667" s="9">
        <v>211200</v>
      </c>
      <c r="P667" s="10">
        <v>0</v>
      </c>
      <c r="Q667" s="152">
        <v>45656</v>
      </c>
    </row>
    <row r="668" spans="1:17" ht="20.25" thickBot="1" x14ac:dyDescent="0.3">
      <c r="A668" s="150">
        <v>2868</v>
      </c>
      <c r="B668" s="27" t="s">
        <v>751</v>
      </c>
      <c r="C668" s="27"/>
      <c r="D668" s="28"/>
      <c r="E668" s="3">
        <v>45583</v>
      </c>
      <c r="F668" s="3">
        <v>45681</v>
      </c>
      <c r="G668" s="29">
        <v>70</v>
      </c>
      <c r="H668" s="151">
        <v>70</v>
      </c>
      <c r="I668" s="151">
        <v>0</v>
      </c>
      <c r="J668" s="16" t="s">
        <v>953</v>
      </c>
      <c r="K668" s="7">
        <v>40000</v>
      </c>
      <c r="L668" s="7">
        <v>86450</v>
      </c>
      <c r="M668" s="21">
        <v>6175</v>
      </c>
      <c r="N668" s="9">
        <v>12350</v>
      </c>
      <c r="O668" s="9">
        <v>86450</v>
      </c>
      <c r="P668" s="10">
        <v>0</v>
      </c>
      <c r="Q668" s="152">
        <v>45656</v>
      </c>
    </row>
    <row r="669" spans="1:17" ht="29.25" thickBot="1" x14ac:dyDescent="0.3">
      <c r="A669" s="150">
        <v>2832</v>
      </c>
      <c r="B669" s="27" t="s">
        <v>467</v>
      </c>
      <c r="C669" s="27" t="s">
        <v>468</v>
      </c>
      <c r="D669" s="2"/>
      <c r="E669" s="3">
        <v>45562</v>
      </c>
      <c r="F669" s="3">
        <v>45660</v>
      </c>
      <c r="G669" s="29">
        <v>70</v>
      </c>
      <c r="H669" s="151">
        <v>70</v>
      </c>
      <c r="I669" s="151">
        <v>0</v>
      </c>
      <c r="J669" s="16" t="s">
        <v>954</v>
      </c>
      <c r="K669" s="7">
        <v>100000</v>
      </c>
      <c r="L669" s="7">
        <v>217000</v>
      </c>
      <c r="M669" s="8">
        <v>15500</v>
      </c>
      <c r="N669" s="9">
        <v>43000</v>
      </c>
      <c r="O669" s="9">
        <v>217000</v>
      </c>
      <c r="P669" s="10">
        <v>0</v>
      </c>
      <c r="Q669" s="152">
        <v>45656</v>
      </c>
    </row>
    <row r="670" spans="1:17" ht="47.25" thickBot="1" x14ac:dyDescent="0.3">
      <c r="A670" s="150">
        <v>2601</v>
      </c>
      <c r="B670" s="2" t="s">
        <v>146</v>
      </c>
      <c r="C670" s="27" t="s">
        <v>147</v>
      </c>
      <c r="D670" s="28"/>
      <c r="E670" s="3">
        <v>45411</v>
      </c>
      <c r="F670" s="3">
        <v>45635</v>
      </c>
      <c r="G670" s="29">
        <v>160</v>
      </c>
      <c r="H670" s="151">
        <v>160</v>
      </c>
      <c r="I670" s="151">
        <v>0</v>
      </c>
      <c r="J670" s="6" t="s">
        <v>955</v>
      </c>
      <c r="K670" s="10">
        <v>250000</v>
      </c>
      <c r="L670" s="10">
        <v>660000</v>
      </c>
      <c r="M670" s="8">
        <v>20625</v>
      </c>
      <c r="N670" s="9">
        <v>78100</v>
      </c>
      <c r="O670" s="9">
        <v>660000</v>
      </c>
      <c r="P670" s="10">
        <v>0</v>
      </c>
      <c r="Q670" s="152">
        <v>45663</v>
      </c>
    </row>
    <row r="671" spans="1:17" ht="47.25" thickBot="1" x14ac:dyDescent="0.3">
      <c r="A671" s="150">
        <v>2719</v>
      </c>
      <c r="B671" s="2" t="s">
        <v>146</v>
      </c>
      <c r="C671" s="27" t="s">
        <v>147</v>
      </c>
      <c r="D671" s="28"/>
      <c r="E671" s="3">
        <v>45493</v>
      </c>
      <c r="F671" s="3">
        <v>45660</v>
      </c>
      <c r="G671" s="29">
        <v>120</v>
      </c>
      <c r="H671" s="151">
        <v>120</v>
      </c>
      <c r="I671" s="151">
        <v>0</v>
      </c>
      <c r="J671" s="6" t="s">
        <v>148</v>
      </c>
      <c r="K671" s="10">
        <v>50000</v>
      </c>
      <c r="L671" s="10">
        <v>132000</v>
      </c>
      <c r="M671" s="8">
        <v>5500</v>
      </c>
      <c r="N671" s="9">
        <v>22000</v>
      </c>
      <c r="O671" s="9">
        <v>132000</v>
      </c>
      <c r="P671" s="10">
        <v>0</v>
      </c>
      <c r="Q671" s="152">
        <v>45663</v>
      </c>
    </row>
    <row r="672" spans="1:17" ht="24" thickBot="1" x14ac:dyDescent="0.3">
      <c r="A672" s="150">
        <v>2818</v>
      </c>
      <c r="B672" s="2" t="s">
        <v>166</v>
      </c>
      <c r="C672" s="27"/>
      <c r="D672" s="28"/>
      <c r="E672" s="3">
        <v>45556</v>
      </c>
      <c r="F672" s="3">
        <v>45667</v>
      </c>
      <c r="G672" s="29">
        <v>80</v>
      </c>
      <c r="H672" s="151">
        <v>80</v>
      </c>
      <c r="I672" s="151">
        <v>0</v>
      </c>
      <c r="J672" s="6" t="s">
        <v>890</v>
      </c>
      <c r="K672" s="7">
        <v>50000</v>
      </c>
      <c r="L672" s="7">
        <v>108000</v>
      </c>
      <c r="M672" s="8">
        <v>6750</v>
      </c>
      <c r="N672" s="9">
        <v>34000</v>
      </c>
      <c r="O672" s="9">
        <v>108000</v>
      </c>
      <c r="P672" s="10">
        <v>0</v>
      </c>
      <c r="Q672" s="152">
        <v>45663</v>
      </c>
    </row>
    <row r="673" spans="1:17" ht="29.25" thickBot="1" x14ac:dyDescent="0.3">
      <c r="A673" s="150">
        <v>2787</v>
      </c>
      <c r="B673" s="27" t="s">
        <v>228</v>
      </c>
      <c r="C673" s="27" t="s">
        <v>229</v>
      </c>
      <c r="D673" s="28"/>
      <c r="E673" s="3">
        <v>45535</v>
      </c>
      <c r="F673" s="3">
        <v>45646</v>
      </c>
      <c r="G673" s="29">
        <v>80</v>
      </c>
      <c r="H673" s="151">
        <v>80</v>
      </c>
      <c r="I673" s="151">
        <v>0</v>
      </c>
      <c r="J673" s="6" t="s">
        <v>956</v>
      </c>
      <c r="K673" s="10">
        <v>200000</v>
      </c>
      <c r="L673" s="10">
        <v>432000</v>
      </c>
      <c r="M673" s="8">
        <v>27000</v>
      </c>
      <c r="N673" s="9">
        <v>108000</v>
      </c>
      <c r="O673" s="9">
        <v>432000</v>
      </c>
      <c r="P673" s="10">
        <v>0</v>
      </c>
      <c r="Q673" s="152">
        <v>45663</v>
      </c>
    </row>
    <row r="674" spans="1:17" ht="47.25" thickBot="1" x14ac:dyDescent="0.3">
      <c r="A674" s="150">
        <v>2619</v>
      </c>
      <c r="B674" s="27" t="s">
        <v>294</v>
      </c>
      <c r="C674" s="27" t="s">
        <v>291</v>
      </c>
      <c r="D674" s="28"/>
      <c r="E674" s="3">
        <v>45423</v>
      </c>
      <c r="F674" s="3">
        <v>45590</v>
      </c>
      <c r="G674" s="29">
        <v>120</v>
      </c>
      <c r="H674" s="151">
        <v>121.900666262871</v>
      </c>
      <c r="I674" s="151">
        <v>-1.9006662628709989</v>
      </c>
      <c r="J674" s="16" t="s">
        <v>957</v>
      </c>
      <c r="K674" s="10">
        <v>250000</v>
      </c>
      <c r="L674" s="10">
        <v>660400</v>
      </c>
      <c r="M674" s="8">
        <v>27516.666666666664</v>
      </c>
      <c r="N674" s="9">
        <v>5230</v>
      </c>
      <c r="O674" s="9">
        <v>670860</v>
      </c>
      <c r="P674" s="10">
        <v>-10460</v>
      </c>
      <c r="Q674" s="152">
        <v>45663</v>
      </c>
    </row>
    <row r="675" spans="1:17" ht="29.25" thickBot="1" x14ac:dyDescent="0.3">
      <c r="A675" s="150">
        <v>2783</v>
      </c>
      <c r="B675" s="27" t="s">
        <v>296</v>
      </c>
      <c r="C675" s="27" t="s">
        <v>297</v>
      </c>
      <c r="D675" s="28">
        <v>13589728</v>
      </c>
      <c r="E675" s="3">
        <v>45534</v>
      </c>
      <c r="F675" s="3">
        <v>45646</v>
      </c>
      <c r="G675" s="29">
        <v>80</v>
      </c>
      <c r="H675" s="151">
        <v>80</v>
      </c>
      <c r="I675" s="151">
        <v>0</v>
      </c>
      <c r="J675" s="6" t="s">
        <v>958</v>
      </c>
      <c r="K675" s="7">
        <v>200000</v>
      </c>
      <c r="L675" s="7">
        <v>432000</v>
      </c>
      <c r="M675" s="8">
        <v>27000</v>
      </c>
      <c r="N675" s="9">
        <v>108000</v>
      </c>
      <c r="O675" s="9">
        <v>432000</v>
      </c>
      <c r="P675" s="10">
        <v>0</v>
      </c>
      <c r="Q675" s="152">
        <v>45663</v>
      </c>
    </row>
    <row r="676" spans="1:17" ht="20.25" thickBot="1" x14ac:dyDescent="0.3">
      <c r="A676" s="150">
        <v>2986</v>
      </c>
      <c r="B676" s="27" t="s">
        <v>707</v>
      </c>
      <c r="C676" s="27"/>
      <c r="D676" s="28"/>
      <c r="E676" s="3">
        <v>45661</v>
      </c>
      <c r="F676" s="3">
        <v>45667</v>
      </c>
      <c r="G676" s="29">
        <v>5</v>
      </c>
      <c r="H676" s="151" t="e">
        <v>#DIV/0!</v>
      </c>
      <c r="I676" s="151" t="e">
        <v>#DIV/0!</v>
      </c>
      <c r="J676" s="6" t="s">
        <v>403</v>
      </c>
      <c r="K676" s="20">
        <v>30000</v>
      </c>
      <c r="L676" s="7">
        <v>39000</v>
      </c>
      <c r="M676" s="8"/>
      <c r="N676" s="9">
        <v>39000</v>
      </c>
      <c r="O676" s="9">
        <v>39000</v>
      </c>
      <c r="P676" s="10">
        <v>0</v>
      </c>
      <c r="Q676" s="152">
        <v>45663</v>
      </c>
    </row>
    <row r="677" spans="1:17" ht="20.25" thickBot="1" x14ac:dyDescent="0.3">
      <c r="A677" s="150">
        <v>2987</v>
      </c>
      <c r="B677" s="27" t="s">
        <v>707</v>
      </c>
      <c r="C677" s="27"/>
      <c r="D677" s="28"/>
      <c r="E677" s="3">
        <v>45661</v>
      </c>
      <c r="F677" s="3">
        <v>45667</v>
      </c>
      <c r="G677" s="29">
        <v>5</v>
      </c>
      <c r="H677" s="151" t="e">
        <v>#DIV/0!</v>
      </c>
      <c r="I677" s="151" t="e">
        <v>#DIV/0!</v>
      </c>
      <c r="J677" s="6" t="s">
        <v>403</v>
      </c>
      <c r="K677" s="20">
        <v>100000</v>
      </c>
      <c r="L677" s="7">
        <v>130000</v>
      </c>
      <c r="M677" s="8"/>
      <c r="N677" s="9">
        <v>139000</v>
      </c>
      <c r="O677" s="9">
        <v>139000</v>
      </c>
      <c r="P677" s="10">
        <v>-9000</v>
      </c>
      <c r="Q677" s="152">
        <v>45663</v>
      </c>
    </row>
    <row r="678" spans="1:17" ht="38.25" thickBot="1" x14ac:dyDescent="0.3">
      <c r="A678" s="150">
        <v>2830</v>
      </c>
      <c r="B678" s="27" t="s">
        <v>624</v>
      </c>
      <c r="C678" s="27" t="s">
        <v>160</v>
      </c>
      <c r="D678" s="28"/>
      <c r="E678" s="3">
        <v>45560</v>
      </c>
      <c r="F678" s="3">
        <v>45660</v>
      </c>
      <c r="G678" s="29">
        <v>72</v>
      </c>
      <c r="H678" s="151">
        <v>72</v>
      </c>
      <c r="I678" s="151">
        <v>0</v>
      </c>
      <c r="J678" s="2" t="s">
        <v>161</v>
      </c>
      <c r="K678" s="7">
        <v>100000</v>
      </c>
      <c r="L678" s="7">
        <v>216000</v>
      </c>
      <c r="M678" s="8">
        <v>15000</v>
      </c>
      <c r="N678" s="9">
        <v>6000</v>
      </c>
      <c r="O678" s="9">
        <v>216000</v>
      </c>
      <c r="P678" s="10">
        <v>0</v>
      </c>
      <c r="Q678" s="152">
        <v>45663</v>
      </c>
    </row>
    <row r="679" spans="1:17" ht="38.25" thickBot="1" x14ac:dyDescent="0.3">
      <c r="A679" s="150">
        <v>2701</v>
      </c>
      <c r="B679" s="27" t="s">
        <v>376</v>
      </c>
      <c r="C679" s="27"/>
      <c r="D679" s="28"/>
      <c r="E679" s="3">
        <v>45482</v>
      </c>
      <c r="F679" s="3">
        <v>45650</v>
      </c>
      <c r="G679" s="29">
        <v>120</v>
      </c>
      <c r="H679" s="151">
        <v>120</v>
      </c>
      <c r="I679" s="151">
        <v>0</v>
      </c>
      <c r="J679" s="6" t="s">
        <v>378</v>
      </c>
      <c r="K679" s="7">
        <v>50000</v>
      </c>
      <c r="L679" s="7">
        <v>132000</v>
      </c>
      <c r="M679" s="21">
        <v>5500</v>
      </c>
      <c r="N679" s="9">
        <v>22000</v>
      </c>
      <c r="O679" s="9">
        <v>132000</v>
      </c>
      <c r="P679" s="10">
        <v>0</v>
      </c>
      <c r="Q679" s="152">
        <v>45663</v>
      </c>
    </row>
    <row r="680" spans="1:17" ht="20.25" thickBot="1" x14ac:dyDescent="0.3">
      <c r="A680" s="150">
        <v>2960</v>
      </c>
      <c r="B680" s="27" t="s">
        <v>429</v>
      </c>
      <c r="C680" s="27" t="s">
        <v>430</v>
      </c>
      <c r="D680" s="28"/>
      <c r="E680" s="3">
        <v>45645</v>
      </c>
      <c r="F680" s="3">
        <v>45671</v>
      </c>
      <c r="G680" s="29">
        <v>18</v>
      </c>
      <c r="H680" s="151"/>
      <c r="I680" s="151"/>
      <c r="J680" s="6" t="s">
        <v>403</v>
      </c>
      <c r="K680" s="10">
        <v>250000</v>
      </c>
      <c r="L680" s="10">
        <v>350000</v>
      </c>
      <c r="M680" s="8"/>
      <c r="N680" s="9">
        <v>350000</v>
      </c>
      <c r="O680" s="9">
        <v>350000</v>
      </c>
      <c r="P680" s="10">
        <v>0</v>
      </c>
      <c r="Q680" s="152">
        <v>45663</v>
      </c>
    </row>
    <row r="681" spans="1:17" ht="29.25" thickBot="1" x14ac:dyDescent="0.3">
      <c r="A681" s="150">
        <v>2793</v>
      </c>
      <c r="B681" s="27" t="s">
        <v>474</v>
      </c>
      <c r="C681" s="27" t="s">
        <v>387</v>
      </c>
      <c r="D681" s="28">
        <v>2034839888</v>
      </c>
      <c r="E681" s="3">
        <v>45542</v>
      </c>
      <c r="F681" s="3">
        <v>45653</v>
      </c>
      <c r="G681" s="29">
        <v>80</v>
      </c>
      <c r="H681" s="151">
        <v>80</v>
      </c>
      <c r="I681" s="151">
        <v>0</v>
      </c>
      <c r="J681" s="6" t="s">
        <v>959</v>
      </c>
      <c r="K681" s="7">
        <v>65000</v>
      </c>
      <c r="L681" s="7">
        <v>140400</v>
      </c>
      <c r="M681" s="8">
        <v>8775</v>
      </c>
      <c r="N681" s="9">
        <v>35100</v>
      </c>
      <c r="O681" s="9">
        <v>140400</v>
      </c>
      <c r="P681" s="10">
        <v>0</v>
      </c>
      <c r="Q681" s="152">
        <v>45663</v>
      </c>
    </row>
    <row r="682" spans="1:17" ht="29.25" thickBot="1" x14ac:dyDescent="0.3">
      <c r="A682" s="150">
        <v>2809</v>
      </c>
      <c r="B682" s="27" t="s">
        <v>474</v>
      </c>
      <c r="C682" s="27" t="s">
        <v>387</v>
      </c>
      <c r="D682" s="28">
        <v>2034839888</v>
      </c>
      <c r="E682" s="3">
        <v>45551</v>
      </c>
      <c r="F682" s="3">
        <v>45663</v>
      </c>
      <c r="G682" s="29">
        <v>80</v>
      </c>
      <c r="H682" s="151">
        <v>80</v>
      </c>
      <c r="I682" s="151">
        <v>0</v>
      </c>
      <c r="J682" s="176" t="s">
        <v>729</v>
      </c>
      <c r="K682" s="7">
        <v>30000</v>
      </c>
      <c r="L682" s="10">
        <v>64800</v>
      </c>
      <c r="M682" s="21">
        <v>4050</v>
      </c>
      <c r="N682" s="9">
        <v>16200</v>
      </c>
      <c r="O682" s="9">
        <v>64800</v>
      </c>
      <c r="P682" s="10">
        <v>0</v>
      </c>
      <c r="Q682" s="152">
        <v>45663</v>
      </c>
    </row>
    <row r="683" spans="1:17" ht="47.25" thickBot="1" x14ac:dyDescent="0.3">
      <c r="A683" s="150">
        <v>2679</v>
      </c>
      <c r="B683" s="2" t="s">
        <v>222</v>
      </c>
      <c r="C683" s="182" t="s">
        <v>223</v>
      </c>
      <c r="D683" s="3">
        <v>45464</v>
      </c>
      <c r="E683" s="3">
        <v>45744</v>
      </c>
      <c r="F683" s="29">
        <v>200</v>
      </c>
      <c r="G683" s="151">
        <v>200</v>
      </c>
      <c r="H683" s="151">
        <v>0</v>
      </c>
      <c r="I683" s="6" t="s">
        <v>960</v>
      </c>
      <c r="J683" s="7">
        <v>350000</v>
      </c>
      <c r="K683" s="7">
        <v>1050000</v>
      </c>
      <c r="L683" s="8">
        <v>26250</v>
      </c>
      <c r="M683" s="9">
        <v>440000</v>
      </c>
      <c r="N683" s="9"/>
      <c r="O683" s="9">
        <v>1050000</v>
      </c>
      <c r="P683" s="10">
        <v>0</v>
      </c>
      <c r="Q683" s="152">
        <v>45670</v>
      </c>
    </row>
    <row r="684" spans="1:17" ht="20.25" thickBot="1" x14ac:dyDescent="0.3">
      <c r="A684" s="150">
        <v>2729</v>
      </c>
      <c r="B684" s="27" t="s">
        <v>239</v>
      </c>
      <c r="C684" s="27" t="s">
        <v>240</v>
      </c>
      <c r="D684" s="3">
        <v>45498</v>
      </c>
      <c r="E684" s="3">
        <v>45666</v>
      </c>
      <c r="F684" s="29">
        <v>120</v>
      </c>
      <c r="G684" s="151">
        <v>119.99999999999999</v>
      </c>
      <c r="H684" s="151">
        <v>0</v>
      </c>
      <c r="I684" s="2" t="s">
        <v>860</v>
      </c>
      <c r="J684" s="7">
        <v>150000</v>
      </c>
      <c r="K684" s="7">
        <v>379000</v>
      </c>
      <c r="L684" s="8">
        <v>15791.666666666668</v>
      </c>
      <c r="M684" s="9">
        <v>33000</v>
      </c>
      <c r="N684" s="9"/>
      <c r="O684" s="9">
        <v>379000</v>
      </c>
      <c r="P684" s="10">
        <v>0</v>
      </c>
      <c r="Q684" s="152">
        <v>45670</v>
      </c>
    </row>
    <row r="685" spans="1:17" ht="15.75" thickBot="1" x14ac:dyDescent="0.3">
      <c r="A685" s="150">
        <v>2816</v>
      </c>
      <c r="B685" s="27" t="s">
        <v>261</v>
      </c>
      <c r="C685" s="27"/>
      <c r="D685" s="3">
        <v>45555</v>
      </c>
      <c r="E685" s="3">
        <v>45653</v>
      </c>
      <c r="F685" s="29">
        <v>70</v>
      </c>
      <c r="G685" s="151">
        <v>70</v>
      </c>
      <c r="H685" s="151">
        <v>0</v>
      </c>
      <c r="I685" s="16" t="s">
        <v>961</v>
      </c>
      <c r="J685" s="7">
        <v>50000</v>
      </c>
      <c r="K685" s="7">
        <v>108150</v>
      </c>
      <c r="L685" s="8">
        <v>7725</v>
      </c>
      <c r="M685" s="9">
        <v>18150</v>
      </c>
      <c r="N685" s="9"/>
      <c r="O685" s="9">
        <v>108150</v>
      </c>
      <c r="P685" s="10">
        <v>0</v>
      </c>
      <c r="Q685" s="152">
        <v>45670</v>
      </c>
    </row>
    <row r="686" spans="1:17" ht="20.25" thickBot="1" x14ac:dyDescent="0.3">
      <c r="A686" s="185">
        <v>2999</v>
      </c>
      <c r="B686" s="27" t="s">
        <v>707</v>
      </c>
      <c r="C686" s="27"/>
      <c r="D686" s="3">
        <v>45668</v>
      </c>
      <c r="E686" s="3">
        <v>45674</v>
      </c>
      <c r="F686" s="29">
        <v>5</v>
      </c>
      <c r="G686" s="151" t="e">
        <v>#DIV/0!</v>
      </c>
      <c r="H686" s="151" t="e">
        <v>#DIV/0!</v>
      </c>
      <c r="I686" s="6" t="s">
        <v>403</v>
      </c>
      <c r="J686" s="177">
        <v>30000</v>
      </c>
      <c r="K686" s="10">
        <v>39000</v>
      </c>
      <c r="L686" s="8"/>
      <c r="M686" s="9">
        <v>39000</v>
      </c>
      <c r="N686" s="9"/>
      <c r="O686" s="9">
        <v>39000</v>
      </c>
      <c r="P686" s="10">
        <v>0</v>
      </c>
      <c r="Q686" s="152">
        <v>45670</v>
      </c>
    </row>
    <row r="687" spans="1:17" ht="15.75" thickBot="1" x14ac:dyDescent="0.3">
      <c r="A687" s="150">
        <v>2954</v>
      </c>
      <c r="B687" s="27" t="s">
        <v>367</v>
      </c>
      <c r="C687" s="27"/>
      <c r="D687" s="3">
        <v>45642</v>
      </c>
      <c r="E687" s="3">
        <v>45670</v>
      </c>
      <c r="F687" s="29">
        <v>20</v>
      </c>
      <c r="G687" s="151" t="e">
        <v>#DIV/0!</v>
      </c>
      <c r="H687" s="151" t="e">
        <v>#DIV/0!</v>
      </c>
      <c r="I687" s="6" t="s">
        <v>403</v>
      </c>
      <c r="J687" s="7">
        <v>30000</v>
      </c>
      <c r="K687" s="7">
        <v>48000</v>
      </c>
      <c r="L687" s="8"/>
      <c r="M687" s="9">
        <v>48000</v>
      </c>
      <c r="N687" s="9"/>
      <c r="O687" s="9">
        <v>48000</v>
      </c>
      <c r="P687" s="10">
        <v>0</v>
      </c>
      <c r="Q687" s="152">
        <v>45670</v>
      </c>
    </row>
    <row r="688" spans="1:17" ht="15.75" thickBot="1" x14ac:dyDescent="0.3">
      <c r="A688" s="150">
        <v>2955</v>
      </c>
      <c r="B688" s="27" t="s">
        <v>367</v>
      </c>
      <c r="C688" s="27"/>
      <c r="D688" s="3">
        <v>45642</v>
      </c>
      <c r="E688" s="3">
        <v>45670</v>
      </c>
      <c r="F688" s="29">
        <v>20</v>
      </c>
      <c r="G688" s="151" t="e">
        <v>#DIV/0!</v>
      </c>
      <c r="H688" s="151" t="e">
        <v>#DIV/0!</v>
      </c>
      <c r="I688" s="6" t="s">
        <v>403</v>
      </c>
      <c r="J688" s="7">
        <v>30000</v>
      </c>
      <c r="K688" s="7">
        <v>48000</v>
      </c>
      <c r="L688" s="8"/>
      <c r="M688" s="9">
        <v>48000</v>
      </c>
      <c r="N688" s="9"/>
      <c r="O688" s="9">
        <v>48000</v>
      </c>
      <c r="P688" s="10">
        <v>0</v>
      </c>
      <c r="Q688" s="152">
        <v>45670</v>
      </c>
    </row>
    <row r="689" spans="1:17" ht="15.75" thickBot="1" x14ac:dyDescent="0.3">
      <c r="A689" s="150">
        <v>2973</v>
      </c>
      <c r="B689" s="27" t="s">
        <v>367</v>
      </c>
      <c r="C689" s="27"/>
      <c r="D689" s="3">
        <v>45652</v>
      </c>
      <c r="E689" s="3">
        <v>45680</v>
      </c>
      <c r="F689" s="29">
        <v>20</v>
      </c>
      <c r="G689" s="151" t="e">
        <v>#VALUE!</v>
      </c>
      <c r="H689" s="151" t="e">
        <v>#VALUE!</v>
      </c>
      <c r="I689" s="6" t="s">
        <v>403</v>
      </c>
      <c r="J689" s="7">
        <v>70000</v>
      </c>
      <c r="K689" s="7">
        <v>105000</v>
      </c>
      <c r="L689" s="8" t="s">
        <v>143</v>
      </c>
      <c r="M689" s="9">
        <v>105000</v>
      </c>
      <c r="N689" s="9"/>
      <c r="O689" s="9">
        <v>105000</v>
      </c>
      <c r="P689" s="10">
        <v>0</v>
      </c>
      <c r="Q689" s="152">
        <v>45670</v>
      </c>
    </row>
    <row r="690" spans="1:17" ht="38.25" thickBot="1" x14ac:dyDescent="0.3">
      <c r="A690" s="150">
        <v>2749</v>
      </c>
      <c r="B690" s="27" t="s">
        <v>376</v>
      </c>
      <c r="C690" s="27"/>
      <c r="D690" s="3">
        <v>45513</v>
      </c>
      <c r="E690" s="3">
        <v>45681</v>
      </c>
      <c r="F690" s="29">
        <v>120</v>
      </c>
      <c r="G690" s="151">
        <v>120</v>
      </c>
      <c r="H690" s="151">
        <v>0</v>
      </c>
      <c r="I690" s="6" t="s">
        <v>377</v>
      </c>
      <c r="J690" s="10">
        <v>70000</v>
      </c>
      <c r="K690" s="10">
        <v>184800</v>
      </c>
      <c r="L690" s="8">
        <v>7700</v>
      </c>
      <c r="M690" s="9">
        <v>30800</v>
      </c>
      <c r="N690" s="9"/>
      <c r="O690" s="9">
        <v>184800</v>
      </c>
      <c r="P690" s="10">
        <v>0</v>
      </c>
      <c r="Q690" s="152">
        <v>45670</v>
      </c>
    </row>
    <row r="691" spans="1:17" ht="20.25" thickBot="1" x14ac:dyDescent="0.3">
      <c r="A691" s="150">
        <v>2924</v>
      </c>
      <c r="B691" s="27" t="s">
        <v>402</v>
      </c>
      <c r="C691" s="27"/>
      <c r="D691" s="3">
        <v>45619</v>
      </c>
      <c r="E691" s="3">
        <v>45646</v>
      </c>
      <c r="F691" s="29">
        <v>20</v>
      </c>
      <c r="G691" s="151" t="e">
        <v>#DIV/0!</v>
      </c>
      <c r="H691" s="151" t="e">
        <v>#DIV/0!</v>
      </c>
      <c r="I691" s="6" t="s">
        <v>403</v>
      </c>
      <c r="J691" s="7">
        <v>20000</v>
      </c>
      <c r="K691" s="7">
        <v>35000</v>
      </c>
      <c r="L691" s="8"/>
      <c r="M691" s="9">
        <v>15000</v>
      </c>
      <c r="N691" s="9"/>
      <c r="O691" s="9">
        <v>35000</v>
      </c>
      <c r="P691" s="10">
        <v>0</v>
      </c>
      <c r="Q691" s="152">
        <v>45670</v>
      </c>
    </row>
    <row r="692" spans="1:17" ht="20.25" thickBot="1" x14ac:dyDescent="0.3">
      <c r="A692" s="150">
        <v>2965</v>
      </c>
      <c r="B692" s="27" t="s">
        <v>402</v>
      </c>
      <c r="C692" s="27"/>
      <c r="D692" s="3">
        <v>45647</v>
      </c>
      <c r="E692" s="3">
        <v>45674</v>
      </c>
      <c r="F692" s="29">
        <v>20</v>
      </c>
      <c r="G692" s="151" t="e">
        <v>#DIV/0!</v>
      </c>
      <c r="H692" s="151" t="e">
        <v>#DIV/0!</v>
      </c>
      <c r="I692" s="6" t="s">
        <v>403</v>
      </c>
      <c r="J692" s="7">
        <v>20000</v>
      </c>
      <c r="K692" s="7">
        <v>30000</v>
      </c>
      <c r="L692" s="21"/>
      <c r="M692" s="9">
        <v>30000</v>
      </c>
      <c r="N692" s="9"/>
      <c r="O692" s="9">
        <v>30000</v>
      </c>
      <c r="P692" s="10">
        <v>0</v>
      </c>
      <c r="Q692" s="152">
        <v>45670</v>
      </c>
    </row>
    <row r="693" spans="1:17" ht="20.25" thickBot="1" x14ac:dyDescent="0.3">
      <c r="A693" s="189">
        <v>2969</v>
      </c>
      <c r="B693" s="27" t="s">
        <v>402</v>
      </c>
      <c r="C693" s="27"/>
      <c r="D693" s="3">
        <v>45649</v>
      </c>
      <c r="E693" s="3">
        <v>45677</v>
      </c>
      <c r="F693" s="29">
        <v>20</v>
      </c>
      <c r="G693" s="151" t="e">
        <v>#DIV/0!</v>
      </c>
      <c r="H693" s="151" t="e">
        <v>#DIV/0!</v>
      </c>
      <c r="I693" s="6" t="s">
        <v>403</v>
      </c>
      <c r="J693" s="10">
        <v>40000</v>
      </c>
      <c r="K693" s="10">
        <v>60000</v>
      </c>
      <c r="L693" s="21"/>
      <c r="M693" s="9">
        <v>60000</v>
      </c>
      <c r="N693" s="9"/>
      <c r="O693" s="9">
        <v>60000</v>
      </c>
      <c r="P693" s="10">
        <v>0</v>
      </c>
      <c r="Q693" s="152">
        <v>45670</v>
      </c>
    </row>
    <row r="694" spans="1:17" ht="20.25" thickBot="1" x14ac:dyDescent="0.3">
      <c r="A694" s="189">
        <v>2971</v>
      </c>
      <c r="B694" s="27" t="s">
        <v>402</v>
      </c>
      <c r="C694" s="27"/>
      <c r="D694" s="3">
        <v>45650</v>
      </c>
      <c r="E694" s="3">
        <v>45678</v>
      </c>
      <c r="F694" s="29">
        <v>20</v>
      </c>
      <c r="G694" s="151" t="e">
        <v>#DIV/0!</v>
      </c>
      <c r="H694" s="151" t="e">
        <v>#DIV/0!</v>
      </c>
      <c r="I694" s="6" t="s">
        <v>403</v>
      </c>
      <c r="J694" s="10">
        <v>30000</v>
      </c>
      <c r="K694" s="10">
        <v>45000</v>
      </c>
      <c r="L694" s="8"/>
      <c r="M694" s="9">
        <v>45000</v>
      </c>
      <c r="N694" s="9"/>
      <c r="O694" s="9">
        <v>45000</v>
      </c>
      <c r="P694" s="10">
        <v>0</v>
      </c>
      <c r="Q694" s="152">
        <v>45670</v>
      </c>
    </row>
    <row r="695" spans="1:17" ht="20.25" thickBot="1" x14ac:dyDescent="0.3">
      <c r="A695" s="189">
        <v>2981</v>
      </c>
      <c r="B695" s="27" t="s">
        <v>402</v>
      </c>
      <c r="C695" s="27"/>
      <c r="D695" s="3">
        <v>45656</v>
      </c>
      <c r="E695" s="3">
        <v>45684</v>
      </c>
      <c r="F695" s="29">
        <v>20</v>
      </c>
      <c r="G695" s="151" t="e">
        <v>#DIV/0!</v>
      </c>
      <c r="H695" s="151" t="e">
        <v>#DIV/0!</v>
      </c>
      <c r="I695" s="6" t="s">
        <v>403</v>
      </c>
      <c r="J695" s="10">
        <v>15000</v>
      </c>
      <c r="K695" s="7">
        <v>22500</v>
      </c>
      <c r="L695" s="21"/>
      <c r="M695" s="43">
        <v>22500</v>
      </c>
      <c r="N695" s="9"/>
      <c r="O695" s="9">
        <v>22500</v>
      </c>
      <c r="P695" s="10">
        <v>0</v>
      </c>
      <c r="Q695" s="152">
        <v>45670</v>
      </c>
    </row>
    <row r="696" spans="1:17" ht="24" thickBot="1" x14ac:dyDescent="0.3">
      <c r="A696" s="150">
        <v>2750</v>
      </c>
      <c r="B696" s="2" t="s">
        <v>962</v>
      </c>
      <c r="C696" s="27" t="s">
        <v>963</v>
      </c>
      <c r="D696" s="3" t="s">
        <v>143</v>
      </c>
      <c r="E696" s="3">
        <v>45514</v>
      </c>
      <c r="F696" s="3">
        <v>45615</v>
      </c>
      <c r="G696" s="182">
        <v>72</v>
      </c>
      <c r="H696" s="151">
        <v>72</v>
      </c>
      <c r="I696" s="151">
        <v>0</v>
      </c>
      <c r="J696" s="2" t="s">
        <v>309</v>
      </c>
      <c r="K696" s="7">
        <v>40000</v>
      </c>
      <c r="L696" s="7">
        <v>86400</v>
      </c>
      <c r="M696" s="8">
        <v>6000</v>
      </c>
      <c r="N696" s="9">
        <v>2400</v>
      </c>
      <c r="O696" s="9">
        <v>86400</v>
      </c>
      <c r="P696" s="10">
        <v>0</v>
      </c>
      <c r="Q696" s="152">
        <v>45677</v>
      </c>
    </row>
    <row r="697" spans="1:17" ht="38.25" thickBot="1" x14ac:dyDescent="0.3">
      <c r="A697" s="150">
        <v>2826</v>
      </c>
      <c r="B697" s="2" t="s">
        <v>179</v>
      </c>
      <c r="C697" s="27" t="s">
        <v>180</v>
      </c>
      <c r="D697" s="3" t="s">
        <v>542</v>
      </c>
      <c r="E697" s="3">
        <v>45559</v>
      </c>
      <c r="F697" s="3">
        <v>45659</v>
      </c>
      <c r="G697" s="29">
        <v>72</v>
      </c>
      <c r="H697" s="151">
        <v>72</v>
      </c>
      <c r="I697" s="151">
        <v>0</v>
      </c>
      <c r="J697" s="2" t="s">
        <v>227</v>
      </c>
      <c r="K697" s="10">
        <v>50000</v>
      </c>
      <c r="L697" s="10">
        <v>108000</v>
      </c>
      <c r="M697" s="8">
        <v>7500</v>
      </c>
      <c r="N697" s="9">
        <v>3250</v>
      </c>
      <c r="O697" s="9">
        <v>108000</v>
      </c>
      <c r="P697" s="10">
        <v>0</v>
      </c>
      <c r="Q697" s="152">
        <v>45677</v>
      </c>
    </row>
    <row r="698" spans="1:17" ht="20.25" thickBot="1" x14ac:dyDescent="0.3">
      <c r="A698" s="150">
        <v>2781</v>
      </c>
      <c r="B698" s="27" t="s">
        <v>239</v>
      </c>
      <c r="C698" s="27" t="s">
        <v>240</v>
      </c>
      <c r="D698" s="3" t="s">
        <v>143</v>
      </c>
      <c r="E698" s="3">
        <v>45531</v>
      </c>
      <c r="F698" s="3">
        <v>45699</v>
      </c>
      <c r="G698" s="29">
        <v>120</v>
      </c>
      <c r="H698" s="151">
        <v>120</v>
      </c>
      <c r="I698" s="151">
        <v>0</v>
      </c>
      <c r="J698" s="2" t="s">
        <v>964</v>
      </c>
      <c r="K698" s="7">
        <v>200000</v>
      </c>
      <c r="L698" s="7">
        <v>528000</v>
      </c>
      <c r="M698" s="8">
        <v>22000</v>
      </c>
      <c r="N698" s="9">
        <v>110000</v>
      </c>
      <c r="O698" s="9">
        <v>528000</v>
      </c>
      <c r="P698" s="10">
        <v>0</v>
      </c>
      <c r="Q698" s="152">
        <v>45677</v>
      </c>
    </row>
    <row r="699" spans="1:17" ht="20.25" thickBot="1" x14ac:dyDescent="0.3">
      <c r="A699" s="150">
        <v>2733</v>
      </c>
      <c r="B699" s="27" t="s">
        <v>242</v>
      </c>
      <c r="C699" s="27" t="s">
        <v>243</v>
      </c>
      <c r="D699" s="3" t="s">
        <v>143</v>
      </c>
      <c r="E699" s="3">
        <v>45500</v>
      </c>
      <c r="F699" s="3">
        <v>45667</v>
      </c>
      <c r="G699" s="29">
        <v>120</v>
      </c>
      <c r="H699" s="151">
        <v>120</v>
      </c>
      <c r="I699" s="151">
        <v>0</v>
      </c>
      <c r="J699" s="6" t="s">
        <v>965</v>
      </c>
      <c r="K699" s="7">
        <v>50000</v>
      </c>
      <c r="L699" s="7">
        <v>132000</v>
      </c>
      <c r="M699" s="8">
        <v>5500</v>
      </c>
      <c r="N699" s="9">
        <v>22000</v>
      </c>
      <c r="O699" s="9">
        <v>132000</v>
      </c>
      <c r="P699" s="10">
        <v>0</v>
      </c>
      <c r="Q699" s="152">
        <v>45677</v>
      </c>
    </row>
    <row r="700" spans="1:17" ht="20.25" thickBot="1" x14ac:dyDescent="0.3">
      <c r="A700" s="150">
        <v>2842</v>
      </c>
      <c r="B700" s="27" t="s">
        <v>242</v>
      </c>
      <c r="C700" s="27" t="s">
        <v>243</v>
      </c>
      <c r="D700" s="3" t="s">
        <v>143</v>
      </c>
      <c r="E700" s="3">
        <v>45566</v>
      </c>
      <c r="F700" s="3">
        <v>45678</v>
      </c>
      <c r="G700" s="29">
        <v>80</v>
      </c>
      <c r="H700" s="151">
        <v>80</v>
      </c>
      <c r="I700" s="151">
        <v>0</v>
      </c>
      <c r="J700" s="6" t="s">
        <v>878</v>
      </c>
      <c r="K700" s="7">
        <v>10000</v>
      </c>
      <c r="L700" s="7">
        <v>21600</v>
      </c>
      <c r="M700" s="8">
        <v>1350</v>
      </c>
      <c r="N700" s="9">
        <v>5400</v>
      </c>
      <c r="O700" s="9">
        <v>21600</v>
      </c>
      <c r="P700" s="10">
        <v>0</v>
      </c>
      <c r="Q700" s="152">
        <v>45677</v>
      </c>
    </row>
    <row r="701" spans="1:17" ht="20.25" thickBot="1" x14ac:dyDescent="0.3">
      <c r="A701" s="150">
        <v>3009</v>
      </c>
      <c r="B701" s="27" t="s">
        <v>707</v>
      </c>
      <c r="C701" s="27"/>
      <c r="D701" s="3" t="s">
        <v>143</v>
      </c>
      <c r="E701" s="3">
        <v>45675</v>
      </c>
      <c r="F701" s="3">
        <v>45681</v>
      </c>
      <c r="G701" s="29">
        <v>5</v>
      </c>
      <c r="H701" s="151" t="e">
        <v>#DIV/0!</v>
      </c>
      <c r="I701" s="151" t="e">
        <v>#DIV/0!</v>
      </c>
      <c r="J701" s="6" t="s">
        <v>403</v>
      </c>
      <c r="K701" s="20">
        <v>50000</v>
      </c>
      <c r="L701" s="7">
        <v>65000</v>
      </c>
      <c r="M701" s="8"/>
      <c r="N701" s="9">
        <v>65000</v>
      </c>
      <c r="O701" s="9">
        <v>65000</v>
      </c>
      <c r="P701" s="10">
        <v>0</v>
      </c>
      <c r="Q701" s="152">
        <v>45677</v>
      </c>
    </row>
    <row r="702" spans="1:17" ht="47.25" thickBot="1" x14ac:dyDescent="0.3">
      <c r="A702" s="150">
        <v>2712</v>
      </c>
      <c r="B702" s="27" t="s">
        <v>299</v>
      </c>
      <c r="C702" s="27" t="s">
        <v>300</v>
      </c>
      <c r="D702" s="3" t="s">
        <v>143</v>
      </c>
      <c r="E702" s="3">
        <v>45488</v>
      </c>
      <c r="F702" s="3">
        <v>45656</v>
      </c>
      <c r="G702" s="29">
        <v>120</v>
      </c>
      <c r="H702" s="151">
        <v>120</v>
      </c>
      <c r="I702" s="151">
        <v>0</v>
      </c>
      <c r="J702" s="24" t="s">
        <v>301</v>
      </c>
      <c r="K702" s="10">
        <v>100000</v>
      </c>
      <c r="L702" s="10">
        <v>264000</v>
      </c>
      <c r="M702" s="8">
        <v>11000</v>
      </c>
      <c r="N702" s="9">
        <v>9000</v>
      </c>
      <c r="O702" s="9">
        <v>264000</v>
      </c>
      <c r="P702" s="10">
        <v>0</v>
      </c>
      <c r="Q702" s="152">
        <v>45677</v>
      </c>
    </row>
    <row r="703" spans="1:17" ht="38.25" thickBot="1" x14ac:dyDescent="0.3">
      <c r="A703" s="150">
        <v>2799</v>
      </c>
      <c r="B703" s="27" t="s">
        <v>966</v>
      </c>
      <c r="C703" s="27" t="s">
        <v>317</v>
      </c>
      <c r="D703" s="3" t="s">
        <v>143</v>
      </c>
      <c r="E703" s="3">
        <v>45544</v>
      </c>
      <c r="F703" s="3">
        <v>45644</v>
      </c>
      <c r="G703" s="29">
        <v>72</v>
      </c>
      <c r="H703" s="151">
        <v>72</v>
      </c>
      <c r="I703" s="151">
        <v>0</v>
      </c>
      <c r="J703" s="2" t="s">
        <v>182</v>
      </c>
      <c r="K703" s="7">
        <v>20000</v>
      </c>
      <c r="L703" s="7">
        <v>43200</v>
      </c>
      <c r="M703" s="8">
        <v>3000</v>
      </c>
      <c r="N703" s="9">
        <v>1200</v>
      </c>
      <c r="O703" s="9">
        <v>43200</v>
      </c>
      <c r="P703" s="10">
        <v>0</v>
      </c>
      <c r="Q703" s="152">
        <v>45677</v>
      </c>
    </row>
    <row r="704" spans="1:17" ht="29.25" thickBot="1" x14ac:dyDescent="0.3">
      <c r="A704" s="150">
        <v>2807</v>
      </c>
      <c r="B704" s="27" t="s">
        <v>560</v>
      </c>
      <c r="C704" s="27" t="s">
        <v>561</v>
      </c>
      <c r="D704" s="3" t="s">
        <v>143</v>
      </c>
      <c r="E704" s="3">
        <v>45549</v>
      </c>
      <c r="F704" s="3">
        <v>45660</v>
      </c>
      <c r="G704" s="29">
        <v>80</v>
      </c>
      <c r="H704" s="151">
        <v>80.246913580246911</v>
      </c>
      <c r="I704" s="151">
        <v>-0.24691358024691112</v>
      </c>
      <c r="J704" s="6" t="s">
        <v>967</v>
      </c>
      <c r="K704" s="10">
        <v>150000</v>
      </c>
      <c r="L704" s="10">
        <v>324000</v>
      </c>
      <c r="M704" s="8">
        <v>20250</v>
      </c>
      <c r="N704" s="9">
        <v>81500</v>
      </c>
      <c r="O704" s="9">
        <v>325000</v>
      </c>
      <c r="P704" s="10">
        <v>-1000</v>
      </c>
      <c r="Q704" s="152">
        <v>45677</v>
      </c>
    </row>
    <row r="705" spans="1:17" ht="29.25" thickBot="1" x14ac:dyDescent="0.3">
      <c r="A705" s="150">
        <v>2761</v>
      </c>
      <c r="B705" s="27" t="s">
        <v>341</v>
      </c>
      <c r="C705" s="27" t="s">
        <v>342</v>
      </c>
      <c r="D705" s="3" t="s">
        <v>143</v>
      </c>
      <c r="E705" s="3">
        <v>45519</v>
      </c>
      <c r="F705" s="3">
        <v>45621</v>
      </c>
      <c r="G705" s="29">
        <v>72</v>
      </c>
      <c r="H705" s="151">
        <v>72</v>
      </c>
      <c r="I705" s="151">
        <v>0</v>
      </c>
      <c r="J705" s="2" t="s">
        <v>161</v>
      </c>
      <c r="K705" s="7">
        <v>100000</v>
      </c>
      <c r="L705" s="7">
        <v>216000</v>
      </c>
      <c r="M705" s="8">
        <v>15000</v>
      </c>
      <c r="N705" s="9">
        <v>21000</v>
      </c>
      <c r="O705" s="9">
        <v>216000</v>
      </c>
      <c r="P705" s="10">
        <v>0</v>
      </c>
      <c r="Q705" s="152">
        <v>45677</v>
      </c>
    </row>
    <row r="706" spans="1:17" ht="29.25" thickBot="1" x14ac:dyDescent="0.3">
      <c r="A706" s="150">
        <v>2785</v>
      </c>
      <c r="B706" s="27" t="s">
        <v>357</v>
      </c>
      <c r="C706" s="27" t="s">
        <v>968</v>
      </c>
      <c r="D706" s="3" t="s">
        <v>143</v>
      </c>
      <c r="E706" s="3">
        <v>45534</v>
      </c>
      <c r="F706" s="3">
        <v>45646</v>
      </c>
      <c r="G706" s="182">
        <v>80</v>
      </c>
      <c r="H706" s="151">
        <v>80</v>
      </c>
      <c r="I706" s="151">
        <v>0</v>
      </c>
      <c r="J706" s="6" t="s">
        <v>969</v>
      </c>
      <c r="K706" s="7">
        <v>40000</v>
      </c>
      <c r="L706" s="7">
        <v>86400</v>
      </c>
      <c r="M706" s="21">
        <v>5400</v>
      </c>
      <c r="N706" s="9">
        <v>5400</v>
      </c>
      <c r="O706" s="9">
        <v>86400</v>
      </c>
      <c r="P706" s="10">
        <v>0</v>
      </c>
      <c r="Q706" s="152">
        <v>45677</v>
      </c>
    </row>
    <row r="707" spans="1:17" ht="29.25" thickBot="1" x14ac:dyDescent="0.3">
      <c r="A707" s="150">
        <v>2825</v>
      </c>
      <c r="B707" s="27" t="s">
        <v>385</v>
      </c>
      <c r="C707" s="27" t="s">
        <v>386</v>
      </c>
      <c r="D707" s="3" t="s">
        <v>143</v>
      </c>
      <c r="E707" s="3">
        <v>45559</v>
      </c>
      <c r="F707" s="3">
        <v>45659</v>
      </c>
      <c r="G707" s="29">
        <v>72</v>
      </c>
      <c r="H707" s="151">
        <v>72</v>
      </c>
      <c r="I707" s="151">
        <v>0</v>
      </c>
      <c r="J707" s="2" t="s">
        <v>227</v>
      </c>
      <c r="K707" s="7">
        <v>50000</v>
      </c>
      <c r="L707" s="7">
        <v>108000</v>
      </c>
      <c r="M707" s="8">
        <v>7500</v>
      </c>
      <c r="N707" s="9">
        <v>4500</v>
      </c>
      <c r="O707" s="9">
        <v>108000</v>
      </c>
      <c r="P707" s="10">
        <v>0</v>
      </c>
      <c r="Q707" s="152">
        <v>45677</v>
      </c>
    </row>
    <row r="708" spans="1:17" ht="47.25" thickBot="1" x14ac:dyDescent="0.3">
      <c r="A708" s="150">
        <v>2773</v>
      </c>
      <c r="B708" s="27" t="s">
        <v>410</v>
      </c>
      <c r="C708" s="27" t="s">
        <v>411</v>
      </c>
      <c r="D708" s="3" t="s">
        <v>143</v>
      </c>
      <c r="E708" s="3">
        <v>45525</v>
      </c>
      <c r="F708" s="3">
        <v>45665</v>
      </c>
      <c r="G708" s="29">
        <v>100</v>
      </c>
      <c r="H708" s="151">
        <v>100</v>
      </c>
      <c r="I708" s="151">
        <v>0</v>
      </c>
      <c r="J708" s="6" t="s">
        <v>970</v>
      </c>
      <c r="K708" s="7">
        <v>250000</v>
      </c>
      <c r="L708" s="7">
        <v>540000</v>
      </c>
      <c r="M708" s="8">
        <v>27000</v>
      </c>
      <c r="N708" s="9">
        <v>108000</v>
      </c>
      <c r="O708" s="9">
        <v>540000</v>
      </c>
      <c r="P708" s="10">
        <v>0</v>
      </c>
      <c r="Q708" s="152">
        <v>45677</v>
      </c>
    </row>
    <row r="709" spans="1:17" ht="56.25" thickBot="1" x14ac:dyDescent="0.3">
      <c r="A709" s="481">
        <v>2373</v>
      </c>
      <c r="B709" s="426" t="s">
        <v>431</v>
      </c>
      <c r="C709" s="426" t="s">
        <v>432</v>
      </c>
      <c r="D709" s="483" t="s">
        <v>143</v>
      </c>
      <c r="E709" s="457">
        <v>45275</v>
      </c>
      <c r="F709" s="457">
        <v>45611</v>
      </c>
      <c r="G709" s="480">
        <v>240</v>
      </c>
      <c r="H709" s="484">
        <v>245.4344827586207</v>
      </c>
      <c r="I709" s="484">
        <v>-5.4344827586207032</v>
      </c>
      <c r="J709" s="359" t="s">
        <v>971</v>
      </c>
      <c r="K709" s="494">
        <v>250000</v>
      </c>
      <c r="L709" s="494">
        <v>696000</v>
      </c>
      <c r="M709" s="497">
        <v>14500</v>
      </c>
      <c r="N709" s="184">
        <v>14500</v>
      </c>
      <c r="O709" s="184">
        <v>711760</v>
      </c>
      <c r="P709" s="494">
        <v>-15760</v>
      </c>
      <c r="Q709" s="152">
        <v>45677</v>
      </c>
    </row>
    <row r="710" spans="1:17" ht="49.5" thickBot="1" x14ac:dyDescent="0.3">
      <c r="A710" s="154">
        <v>2984</v>
      </c>
      <c r="B710" s="155" t="s">
        <v>972</v>
      </c>
      <c r="C710" s="155" t="s">
        <v>973</v>
      </c>
      <c r="D710" s="44"/>
      <c r="E710" s="156">
        <v>45657</v>
      </c>
      <c r="F710" s="156">
        <v>45671</v>
      </c>
      <c r="G710" s="164">
        <v>10</v>
      </c>
      <c r="H710" s="168" t="e">
        <v>#VALUE!</v>
      </c>
      <c r="I710" s="168" t="e">
        <v>#VALUE!</v>
      </c>
      <c r="J710" s="190" t="s">
        <v>974</v>
      </c>
      <c r="K710" s="162">
        <v>200000</v>
      </c>
      <c r="L710" s="162">
        <v>260000</v>
      </c>
      <c r="M710" s="159" t="s">
        <v>143</v>
      </c>
      <c r="N710" s="160">
        <v>130000</v>
      </c>
      <c r="O710" s="160">
        <v>260000</v>
      </c>
      <c r="P710" s="158">
        <v>0</v>
      </c>
      <c r="Q710" s="152">
        <v>45684</v>
      </c>
    </row>
    <row r="711" spans="1:17" ht="61.5" thickBot="1" x14ac:dyDescent="0.3">
      <c r="A711" s="154">
        <v>2703</v>
      </c>
      <c r="B711" s="155" t="s">
        <v>280</v>
      </c>
      <c r="C711" s="155" t="s">
        <v>281</v>
      </c>
      <c r="D711" s="44"/>
      <c r="E711" s="156">
        <v>45482</v>
      </c>
      <c r="F711" s="156">
        <v>45650</v>
      </c>
      <c r="G711" s="164">
        <v>120</v>
      </c>
      <c r="H711" s="168">
        <v>120</v>
      </c>
      <c r="I711" s="168">
        <v>0</v>
      </c>
      <c r="J711" s="190" t="s">
        <v>975</v>
      </c>
      <c r="K711" s="162">
        <v>50000</v>
      </c>
      <c r="L711" s="162">
        <v>132000</v>
      </c>
      <c r="M711" s="159">
        <v>5500</v>
      </c>
      <c r="N711" s="160">
        <v>22000</v>
      </c>
      <c r="O711" s="160">
        <v>132000</v>
      </c>
      <c r="P711" s="158">
        <v>0</v>
      </c>
      <c r="Q711" s="152">
        <v>45684</v>
      </c>
    </row>
    <row r="712" spans="1:17" ht="25.5" thickBot="1" x14ac:dyDescent="0.3">
      <c r="A712" s="154">
        <v>3008</v>
      </c>
      <c r="B712" s="155" t="s">
        <v>707</v>
      </c>
      <c r="C712" s="155"/>
      <c r="D712" s="44"/>
      <c r="E712" s="156">
        <v>45675</v>
      </c>
      <c r="F712" s="156">
        <v>45681</v>
      </c>
      <c r="G712" s="164">
        <v>5</v>
      </c>
      <c r="H712" s="168" t="e">
        <v>#DIV/0!</v>
      </c>
      <c r="I712" s="168" t="e">
        <v>#DIV/0!</v>
      </c>
      <c r="J712" s="190" t="s">
        <v>403</v>
      </c>
      <c r="K712" s="191">
        <v>30000</v>
      </c>
      <c r="L712" s="162">
        <v>39000</v>
      </c>
      <c r="M712" s="159"/>
      <c r="N712" s="160">
        <v>48000</v>
      </c>
      <c r="O712" s="160">
        <v>48000</v>
      </c>
      <c r="P712" s="158">
        <v>-9000</v>
      </c>
      <c r="Q712" s="152">
        <v>45684</v>
      </c>
    </row>
    <row r="713" spans="1:17" ht="61.5" thickBot="1" x14ac:dyDescent="0.3">
      <c r="A713" s="154">
        <v>2642</v>
      </c>
      <c r="B713" s="155" t="s">
        <v>321</v>
      </c>
      <c r="C713" s="155" t="s">
        <v>322</v>
      </c>
      <c r="D713" s="44"/>
      <c r="E713" s="156">
        <v>45439</v>
      </c>
      <c r="F713" s="156">
        <v>45607</v>
      </c>
      <c r="G713" s="164">
        <v>120</v>
      </c>
      <c r="H713" s="168">
        <v>120</v>
      </c>
      <c r="I713" s="168">
        <v>0</v>
      </c>
      <c r="J713" s="190" t="s">
        <v>939</v>
      </c>
      <c r="K713" s="162">
        <v>100000</v>
      </c>
      <c r="L713" s="162">
        <v>264000</v>
      </c>
      <c r="M713" s="159">
        <v>11000</v>
      </c>
      <c r="N713" s="160">
        <v>32000</v>
      </c>
      <c r="O713" s="160">
        <v>264000</v>
      </c>
      <c r="P713" s="158">
        <v>0</v>
      </c>
      <c r="Q713" s="152">
        <v>45684</v>
      </c>
    </row>
    <row r="714" spans="1:17" ht="37.5" thickBot="1" x14ac:dyDescent="0.3">
      <c r="A714" s="154">
        <v>2928</v>
      </c>
      <c r="B714" s="155" t="s">
        <v>419</v>
      </c>
      <c r="C714" s="155" t="s">
        <v>420</v>
      </c>
      <c r="D714" s="44"/>
      <c r="E714" s="156">
        <v>45619</v>
      </c>
      <c r="F714" s="156">
        <v>45716</v>
      </c>
      <c r="G714" s="164">
        <v>70</v>
      </c>
      <c r="H714" s="168">
        <v>70</v>
      </c>
      <c r="I714" s="168">
        <v>0</v>
      </c>
      <c r="J714" s="192" t="s">
        <v>976</v>
      </c>
      <c r="K714" s="162">
        <v>70000</v>
      </c>
      <c r="L714" s="162">
        <v>151200</v>
      </c>
      <c r="M714" s="163">
        <v>10800</v>
      </c>
      <c r="N714" s="160">
        <v>86400</v>
      </c>
      <c r="O714" s="160">
        <v>151200</v>
      </c>
      <c r="P714" s="158">
        <v>0</v>
      </c>
      <c r="Q714" s="152">
        <v>45684</v>
      </c>
    </row>
    <row r="715" spans="1:17" ht="37.5" thickBot="1" x14ac:dyDescent="0.3">
      <c r="A715" s="154">
        <v>2858</v>
      </c>
      <c r="B715" s="155" t="s">
        <v>663</v>
      </c>
      <c r="C715" s="155" t="s">
        <v>664</v>
      </c>
      <c r="D715" s="44"/>
      <c r="E715" s="156">
        <v>45579</v>
      </c>
      <c r="F715" s="156">
        <v>45463</v>
      </c>
      <c r="G715" s="164">
        <v>72</v>
      </c>
      <c r="H715" s="168">
        <v>72</v>
      </c>
      <c r="I715" s="168">
        <v>0</v>
      </c>
      <c r="J715" s="155" t="s">
        <v>162</v>
      </c>
      <c r="K715" s="158">
        <v>60000</v>
      </c>
      <c r="L715" s="158">
        <v>129600</v>
      </c>
      <c r="M715" s="159">
        <v>9000</v>
      </c>
      <c r="N715" s="160">
        <v>3600</v>
      </c>
      <c r="O715" s="160">
        <v>129600</v>
      </c>
      <c r="P715" s="158">
        <v>0</v>
      </c>
      <c r="Q715" s="152">
        <v>45684</v>
      </c>
    </row>
    <row r="716" spans="1:17" ht="61.5" thickBot="1" x14ac:dyDescent="0.3">
      <c r="A716" s="154">
        <v>2899</v>
      </c>
      <c r="B716" s="155" t="s">
        <v>936</v>
      </c>
      <c r="C716" s="155" t="s">
        <v>937</v>
      </c>
      <c r="D716" s="44"/>
      <c r="E716" s="156">
        <v>45604</v>
      </c>
      <c r="F716" s="156">
        <v>45681</v>
      </c>
      <c r="G716" s="164">
        <v>55</v>
      </c>
      <c r="H716" s="168">
        <v>55</v>
      </c>
      <c r="I716" s="168">
        <v>0</v>
      </c>
      <c r="J716" s="155" t="s">
        <v>977</v>
      </c>
      <c r="K716" s="162">
        <v>100000</v>
      </c>
      <c r="L716" s="162">
        <v>175120</v>
      </c>
      <c r="M716" s="159">
        <v>15920</v>
      </c>
      <c r="N716" s="160">
        <v>16340</v>
      </c>
      <c r="O716" s="160">
        <v>175120</v>
      </c>
      <c r="P716" s="158">
        <v>0</v>
      </c>
      <c r="Q716" s="152">
        <v>45684</v>
      </c>
    </row>
    <row r="717" spans="1:17" ht="37.5" thickBot="1" x14ac:dyDescent="0.3">
      <c r="A717" s="154">
        <v>2853</v>
      </c>
      <c r="B717" s="155" t="s">
        <v>211</v>
      </c>
      <c r="C717" s="155" t="s">
        <v>208</v>
      </c>
      <c r="D717" s="155"/>
      <c r="E717" s="156">
        <v>45577</v>
      </c>
      <c r="F717" s="156">
        <v>45678</v>
      </c>
      <c r="G717" s="164">
        <v>72</v>
      </c>
      <c r="H717" s="168">
        <v>72</v>
      </c>
      <c r="I717" s="168">
        <v>0</v>
      </c>
      <c r="J717" s="155" t="s">
        <v>161</v>
      </c>
      <c r="K717" s="162">
        <v>100000</v>
      </c>
      <c r="L717" s="162">
        <v>216000</v>
      </c>
      <c r="M717" s="159">
        <v>15000</v>
      </c>
      <c r="N717" s="160">
        <v>6000</v>
      </c>
      <c r="O717" s="160">
        <v>216000</v>
      </c>
      <c r="P717" s="158">
        <v>0</v>
      </c>
      <c r="Q717" s="152">
        <v>45691</v>
      </c>
    </row>
    <row r="718" spans="1:17" ht="61.5" thickBot="1" x14ac:dyDescent="0.3">
      <c r="A718" s="154">
        <v>2870</v>
      </c>
      <c r="B718" s="155" t="s">
        <v>299</v>
      </c>
      <c r="C718" s="155" t="s">
        <v>300</v>
      </c>
      <c r="D718" s="155"/>
      <c r="E718" s="156">
        <v>45584</v>
      </c>
      <c r="F718" s="156">
        <v>45695</v>
      </c>
      <c r="G718" s="164">
        <v>80</v>
      </c>
      <c r="H718" s="168">
        <v>80</v>
      </c>
      <c r="I718" s="168">
        <v>0</v>
      </c>
      <c r="J718" s="193" t="s">
        <v>730</v>
      </c>
      <c r="K718" s="162">
        <v>30000</v>
      </c>
      <c r="L718" s="162">
        <v>64800</v>
      </c>
      <c r="M718" s="159">
        <v>4050</v>
      </c>
      <c r="N718" s="160">
        <v>16200</v>
      </c>
      <c r="O718" s="160">
        <v>64800</v>
      </c>
      <c r="P718" s="158">
        <v>0</v>
      </c>
      <c r="Q718" s="152">
        <v>45691</v>
      </c>
    </row>
    <row r="719" spans="1:17" ht="133.5" thickBot="1" x14ac:dyDescent="0.3">
      <c r="A719" s="154">
        <v>2907</v>
      </c>
      <c r="B719" s="155" t="s">
        <v>334</v>
      </c>
      <c r="C719" s="155" t="s">
        <v>335</v>
      </c>
      <c r="D719" s="155">
        <v>27249921551</v>
      </c>
      <c r="E719" s="156">
        <v>45608</v>
      </c>
      <c r="F719" s="156">
        <v>45708</v>
      </c>
      <c r="G719" s="164">
        <v>72</v>
      </c>
      <c r="H719" s="168">
        <v>72</v>
      </c>
      <c r="I719" s="168">
        <v>0</v>
      </c>
      <c r="J719" s="155" t="s">
        <v>181</v>
      </c>
      <c r="K719" s="162">
        <v>30000</v>
      </c>
      <c r="L719" s="162">
        <v>64800</v>
      </c>
      <c r="M719" s="159">
        <v>4500</v>
      </c>
      <c r="N719" s="160">
        <v>16300</v>
      </c>
      <c r="O719" s="160">
        <v>64800</v>
      </c>
      <c r="P719" s="158">
        <v>0</v>
      </c>
      <c r="Q719" s="152">
        <v>45691</v>
      </c>
    </row>
    <row r="720" spans="1:17" ht="49.5" thickBot="1" x14ac:dyDescent="0.3">
      <c r="A720" s="154">
        <v>2756</v>
      </c>
      <c r="B720" s="155" t="s">
        <v>881</v>
      </c>
      <c r="C720" s="155" t="s">
        <v>882</v>
      </c>
      <c r="D720" s="155">
        <v>27352124309</v>
      </c>
      <c r="E720" s="156">
        <v>45517</v>
      </c>
      <c r="F720" s="156">
        <v>45671</v>
      </c>
      <c r="G720" s="164">
        <v>110</v>
      </c>
      <c r="H720" s="168">
        <v>110</v>
      </c>
      <c r="I720" s="168">
        <v>0</v>
      </c>
      <c r="J720" s="155" t="s">
        <v>279</v>
      </c>
      <c r="K720" s="158">
        <v>100000</v>
      </c>
      <c r="L720" s="158">
        <v>264000</v>
      </c>
      <c r="M720" s="159">
        <v>12000</v>
      </c>
      <c r="N720" s="160">
        <v>24000</v>
      </c>
      <c r="O720" s="160">
        <v>264000</v>
      </c>
      <c r="P720" s="158">
        <v>0</v>
      </c>
      <c r="Q720" s="152">
        <v>45691</v>
      </c>
    </row>
    <row r="721" spans="1:17" ht="49.5" thickBot="1" x14ac:dyDescent="0.3">
      <c r="A721" s="154">
        <v>2860</v>
      </c>
      <c r="B721" s="155" t="s">
        <v>881</v>
      </c>
      <c r="C721" s="155" t="s">
        <v>882</v>
      </c>
      <c r="D721" s="155">
        <v>27352124309</v>
      </c>
      <c r="E721" s="156">
        <v>45580</v>
      </c>
      <c r="F721" s="156">
        <v>45692</v>
      </c>
      <c r="G721" s="164">
        <v>80</v>
      </c>
      <c r="H721" s="168">
        <v>80</v>
      </c>
      <c r="I721" s="168">
        <v>0</v>
      </c>
      <c r="J721" s="190" t="s">
        <v>978</v>
      </c>
      <c r="K721" s="162">
        <v>200000</v>
      </c>
      <c r="L721" s="162">
        <v>432000</v>
      </c>
      <c r="M721" s="159">
        <v>27000</v>
      </c>
      <c r="N721" s="160">
        <v>108000</v>
      </c>
      <c r="O721" s="160">
        <v>432000</v>
      </c>
      <c r="P721" s="158">
        <v>0</v>
      </c>
      <c r="Q721" s="152">
        <v>45691</v>
      </c>
    </row>
    <row r="722" spans="1:17" ht="61.5" thickBot="1" x14ac:dyDescent="0.3">
      <c r="A722" s="154">
        <v>2886</v>
      </c>
      <c r="B722" s="155" t="s">
        <v>624</v>
      </c>
      <c r="C722" s="155" t="s">
        <v>160</v>
      </c>
      <c r="D722" s="155"/>
      <c r="E722" s="156">
        <v>45593</v>
      </c>
      <c r="F722" s="156">
        <v>45693</v>
      </c>
      <c r="G722" s="164">
        <v>72</v>
      </c>
      <c r="H722" s="168">
        <v>72</v>
      </c>
      <c r="I722" s="168">
        <v>0</v>
      </c>
      <c r="J722" s="155" t="s">
        <v>227</v>
      </c>
      <c r="K722" s="162">
        <v>50000</v>
      </c>
      <c r="L722" s="162">
        <v>108000</v>
      </c>
      <c r="M722" s="159">
        <v>7500</v>
      </c>
      <c r="N722" s="160">
        <v>3000</v>
      </c>
      <c r="O722" s="160">
        <v>108000</v>
      </c>
      <c r="P722" s="158">
        <v>0</v>
      </c>
      <c r="Q722" s="152">
        <v>45691</v>
      </c>
    </row>
    <row r="723" spans="1:17" ht="49.5" thickBot="1" x14ac:dyDescent="0.3">
      <c r="A723" s="154">
        <v>2859</v>
      </c>
      <c r="B723" s="155" t="s">
        <v>364</v>
      </c>
      <c r="C723" s="155" t="s">
        <v>365</v>
      </c>
      <c r="D723" s="155"/>
      <c r="E723" s="156">
        <v>45579</v>
      </c>
      <c r="F723" s="156">
        <v>45691</v>
      </c>
      <c r="G723" s="164">
        <v>80</v>
      </c>
      <c r="H723" s="168">
        <v>80</v>
      </c>
      <c r="I723" s="168">
        <v>0</v>
      </c>
      <c r="J723" s="190" t="s">
        <v>979</v>
      </c>
      <c r="K723" s="162">
        <v>50000</v>
      </c>
      <c r="L723" s="162">
        <v>108000</v>
      </c>
      <c r="M723" s="159">
        <v>6750</v>
      </c>
      <c r="N723" s="160">
        <v>49000</v>
      </c>
      <c r="O723" s="160">
        <v>108000</v>
      </c>
      <c r="P723" s="158">
        <v>0</v>
      </c>
      <c r="Q723" s="152">
        <v>45691</v>
      </c>
    </row>
    <row r="724" spans="1:17" ht="49.5" thickBot="1" x14ac:dyDescent="0.3">
      <c r="A724" s="154">
        <v>2837</v>
      </c>
      <c r="B724" s="155" t="s">
        <v>385</v>
      </c>
      <c r="C724" s="155" t="s">
        <v>386</v>
      </c>
      <c r="D724" s="155"/>
      <c r="E724" s="156">
        <v>45563</v>
      </c>
      <c r="F724" s="156">
        <v>45664</v>
      </c>
      <c r="G724" s="164">
        <v>72</v>
      </c>
      <c r="H724" s="168">
        <v>72</v>
      </c>
      <c r="I724" s="168">
        <v>0</v>
      </c>
      <c r="J724" s="155" t="s">
        <v>227</v>
      </c>
      <c r="K724" s="162">
        <v>50000</v>
      </c>
      <c r="L724" s="162">
        <v>108000</v>
      </c>
      <c r="M724" s="163">
        <v>7500</v>
      </c>
      <c r="N724" s="160">
        <v>7500</v>
      </c>
      <c r="O724" s="160">
        <v>108000</v>
      </c>
      <c r="P724" s="158">
        <v>0</v>
      </c>
      <c r="Q724" s="152">
        <v>45691</v>
      </c>
    </row>
    <row r="725" spans="1:17" ht="49.5" thickBot="1" x14ac:dyDescent="0.3">
      <c r="A725" s="154">
        <v>2845</v>
      </c>
      <c r="B725" s="155" t="s">
        <v>469</v>
      </c>
      <c r="C725" s="155" t="s">
        <v>470</v>
      </c>
      <c r="D725" s="155"/>
      <c r="E725" s="156">
        <v>45572</v>
      </c>
      <c r="F725" s="156">
        <v>45684</v>
      </c>
      <c r="G725" s="164">
        <v>80</v>
      </c>
      <c r="H725" s="168">
        <v>80</v>
      </c>
      <c r="I725" s="168">
        <v>0</v>
      </c>
      <c r="J725" s="190" t="s">
        <v>253</v>
      </c>
      <c r="K725" s="162">
        <v>400000</v>
      </c>
      <c r="L725" s="162">
        <v>864000</v>
      </c>
      <c r="M725" s="159">
        <v>54000</v>
      </c>
      <c r="N725" s="160">
        <v>216000</v>
      </c>
      <c r="O725" s="160">
        <v>864000</v>
      </c>
      <c r="P725" s="158">
        <v>0</v>
      </c>
      <c r="Q725" s="152">
        <v>45691</v>
      </c>
    </row>
    <row r="726" spans="1:17" ht="49.5" thickBot="1" x14ac:dyDescent="0.3">
      <c r="A726" s="154">
        <v>2748</v>
      </c>
      <c r="B726" s="155" t="s">
        <v>172</v>
      </c>
      <c r="C726" s="155" t="s">
        <v>173</v>
      </c>
      <c r="D726" s="155" t="s">
        <v>174</v>
      </c>
      <c r="E726" s="156">
        <v>45513</v>
      </c>
      <c r="F726" s="156">
        <v>45681</v>
      </c>
      <c r="G726" s="164">
        <v>120</v>
      </c>
      <c r="H726" s="168">
        <v>120</v>
      </c>
      <c r="I726" s="168">
        <v>0</v>
      </c>
      <c r="J726" s="190" t="s">
        <v>379</v>
      </c>
      <c r="K726" s="158">
        <v>200000</v>
      </c>
      <c r="L726" s="158">
        <v>528000</v>
      </c>
      <c r="M726" s="159">
        <v>22000</v>
      </c>
      <c r="N726" s="160">
        <v>88000</v>
      </c>
      <c r="O726" s="160">
        <v>528000</v>
      </c>
      <c r="P726" s="158">
        <v>0</v>
      </c>
      <c r="Q726" s="152">
        <v>45698</v>
      </c>
    </row>
    <row r="727" spans="1:17" ht="37.5" thickBot="1" x14ac:dyDescent="0.3">
      <c r="A727" s="154">
        <v>2848</v>
      </c>
      <c r="B727" s="155" t="s">
        <v>204</v>
      </c>
      <c r="C727" s="155" t="s">
        <v>205</v>
      </c>
      <c r="D727" s="155"/>
      <c r="E727" s="156">
        <v>45575</v>
      </c>
      <c r="F727" s="156">
        <v>45687</v>
      </c>
      <c r="G727" s="164">
        <v>80</v>
      </c>
      <c r="H727" s="168">
        <v>80</v>
      </c>
      <c r="I727" s="168">
        <v>0</v>
      </c>
      <c r="J727" s="190" t="s">
        <v>206</v>
      </c>
      <c r="K727" s="158">
        <v>100000</v>
      </c>
      <c r="L727" s="158">
        <v>216000</v>
      </c>
      <c r="M727" s="159">
        <v>13500</v>
      </c>
      <c r="N727" s="160">
        <v>54000</v>
      </c>
      <c r="O727" s="160">
        <v>216000</v>
      </c>
      <c r="P727" s="158">
        <v>0</v>
      </c>
      <c r="Q727" s="152">
        <v>45698</v>
      </c>
    </row>
    <row r="728" spans="1:17" ht="25.5" thickBot="1" x14ac:dyDescent="0.3">
      <c r="A728" s="154">
        <v>3040</v>
      </c>
      <c r="B728" s="155" t="s">
        <v>239</v>
      </c>
      <c r="C728" s="155" t="s">
        <v>240</v>
      </c>
      <c r="D728" s="155"/>
      <c r="E728" s="156">
        <v>45694</v>
      </c>
      <c r="F728" s="156">
        <v>45705</v>
      </c>
      <c r="G728" s="164">
        <v>7</v>
      </c>
      <c r="H728" s="168" t="e">
        <v>#DIV/0!</v>
      </c>
      <c r="I728" s="168" t="e">
        <v>#DIV/0!</v>
      </c>
      <c r="J728" s="190" t="s">
        <v>403</v>
      </c>
      <c r="K728" s="158">
        <v>150000</v>
      </c>
      <c r="L728" s="158">
        <v>200000</v>
      </c>
      <c r="M728" s="159"/>
      <c r="N728" s="160">
        <v>200000</v>
      </c>
      <c r="O728" s="160">
        <v>200000</v>
      </c>
      <c r="P728" s="158">
        <v>0</v>
      </c>
      <c r="Q728" s="152">
        <v>45698</v>
      </c>
    </row>
    <row r="729" spans="1:17" ht="61.5" thickBot="1" x14ac:dyDescent="0.3">
      <c r="A729" s="154">
        <v>2891</v>
      </c>
      <c r="B729" s="155" t="s">
        <v>284</v>
      </c>
      <c r="C729" s="155" t="s">
        <v>285</v>
      </c>
      <c r="D729" s="155"/>
      <c r="E729" s="156">
        <v>45597</v>
      </c>
      <c r="F729" s="156">
        <v>45709</v>
      </c>
      <c r="G729" s="164">
        <v>80</v>
      </c>
      <c r="H729" s="168">
        <v>97.53086419753086</v>
      </c>
      <c r="I729" s="168">
        <v>-17.53086419753086</v>
      </c>
      <c r="J729" s="190" t="s">
        <v>282</v>
      </c>
      <c r="K729" s="162">
        <v>30000</v>
      </c>
      <c r="L729" s="162">
        <v>64800</v>
      </c>
      <c r="M729" s="159">
        <v>4050</v>
      </c>
      <c r="N729" s="160">
        <v>16200</v>
      </c>
      <c r="O729" s="160">
        <v>79000</v>
      </c>
      <c r="P729" s="158">
        <v>-14200</v>
      </c>
      <c r="Q729" s="152">
        <v>45698</v>
      </c>
    </row>
    <row r="730" spans="1:17" ht="61.5" thickBot="1" x14ac:dyDescent="0.3">
      <c r="A730" s="154">
        <v>3035</v>
      </c>
      <c r="B730" s="155" t="s">
        <v>290</v>
      </c>
      <c r="C730" s="155" t="s">
        <v>291</v>
      </c>
      <c r="D730" s="155"/>
      <c r="E730" s="156">
        <v>45684</v>
      </c>
      <c r="F730" s="156">
        <v>45698</v>
      </c>
      <c r="G730" s="164">
        <v>10</v>
      </c>
      <c r="H730" s="168" t="e">
        <v>#DIV/0!</v>
      </c>
      <c r="I730" s="168" t="e">
        <v>#DIV/0!</v>
      </c>
      <c r="J730" s="190" t="s">
        <v>980</v>
      </c>
      <c r="K730" s="162">
        <v>80000</v>
      </c>
      <c r="L730" s="162">
        <v>120000</v>
      </c>
      <c r="M730" s="159"/>
      <c r="N730" s="160">
        <v>120000</v>
      </c>
      <c r="O730" s="160">
        <v>120000</v>
      </c>
      <c r="P730" s="158">
        <v>0</v>
      </c>
      <c r="Q730" s="152">
        <v>45698</v>
      </c>
    </row>
    <row r="731" spans="1:17" ht="61.5" thickBot="1" x14ac:dyDescent="0.3">
      <c r="A731" s="154">
        <v>2747</v>
      </c>
      <c r="B731" s="155" t="s">
        <v>294</v>
      </c>
      <c r="C731" s="155" t="s">
        <v>291</v>
      </c>
      <c r="D731" s="155"/>
      <c r="E731" s="156">
        <v>45513</v>
      </c>
      <c r="F731" s="156">
        <v>45611</v>
      </c>
      <c r="G731" s="164">
        <v>70</v>
      </c>
      <c r="H731" s="168">
        <v>81.5741935483871</v>
      </c>
      <c r="I731" s="168">
        <v>-11.5741935483871</v>
      </c>
      <c r="J731" s="192" t="s">
        <v>295</v>
      </c>
      <c r="K731" s="158">
        <v>50000</v>
      </c>
      <c r="L731" s="158">
        <v>108500</v>
      </c>
      <c r="M731" s="159">
        <v>7750</v>
      </c>
      <c r="N731" s="160">
        <v>30000</v>
      </c>
      <c r="O731" s="160">
        <v>126440</v>
      </c>
      <c r="P731" s="158">
        <v>-17940</v>
      </c>
      <c r="Q731" s="152">
        <v>45698</v>
      </c>
    </row>
    <row r="732" spans="1:17" ht="25.5" thickBot="1" x14ac:dyDescent="0.3">
      <c r="A732" s="154">
        <v>3037</v>
      </c>
      <c r="B732" s="155" t="s">
        <v>707</v>
      </c>
      <c r="C732" s="155"/>
      <c r="D732" s="155"/>
      <c r="E732" s="156">
        <v>45689</v>
      </c>
      <c r="F732" s="156">
        <v>45695</v>
      </c>
      <c r="G732" s="164">
        <v>5</v>
      </c>
      <c r="H732" s="168" t="e">
        <v>#DIV/0!</v>
      </c>
      <c r="I732" s="168" t="e">
        <v>#DIV/0!</v>
      </c>
      <c r="J732" s="190" t="s">
        <v>403</v>
      </c>
      <c r="K732" s="191">
        <v>30000</v>
      </c>
      <c r="L732" s="162">
        <v>39000</v>
      </c>
      <c r="M732" s="163"/>
      <c r="N732" s="160">
        <v>39000</v>
      </c>
      <c r="O732" s="160">
        <v>39000</v>
      </c>
      <c r="P732" s="158">
        <v>0</v>
      </c>
      <c r="Q732" s="152">
        <v>45698</v>
      </c>
    </row>
    <row r="733" spans="1:17" ht="49.5" thickBot="1" x14ac:dyDescent="0.3">
      <c r="A733" s="154">
        <v>2892</v>
      </c>
      <c r="B733" s="155" t="s">
        <v>310</v>
      </c>
      <c r="C733" s="155" t="s">
        <v>311</v>
      </c>
      <c r="D733" s="155"/>
      <c r="E733" s="156">
        <v>45598</v>
      </c>
      <c r="F733" s="156">
        <v>45709</v>
      </c>
      <c r="G733" s="164">
        <v>80</v>
      </c>
      <c r="H733" s="168">
        <v>80</v>
      </c>
      <c r="I733" s="168">
        <v>0</v>
      </c>
      <c r="J733" s="190" t="s">
        <v>981</v>
      </c>
      <c r="K733" s="158">
        <v>200000</v>
      </c>
      <c r="L733" s="158">
        <v>432000</v>
      </c>
      <c r="M733" s="159">
        <v>27000</v>
      </c>
      <c r="N733" s="160">
        <v>108000</v>
      </c>
      <c r="O733" s="160">
        <v>432000</v>
      </c>
      <c r="P733" s="158">
        <v>0</v>
      </c>
      <c r="Q733" s="152">
        <v>45698</v>
      </c>
    </row>
    <row r="734" spans="1:17" ht="49.5" thickBot="1" x14ac:dyDescent="0.3">
      <c r="A734" s="154">
        <v>2884</v>
      </c>
      <c r="B734" s="155" t="s">
        <v>901</v>
      </c>
      <c r="C734" s="155" t="s">
        <v>902</v>
      </c>
      <c r="D734" s="155"/>
      <c r="E734" s="156">
        <v>45591</v>
      </c>
      <c r="F734" s="156">
        <v>45688</v>
      </c>
      <c r="G734" s="164">
        <v>70</v>
      </c>
      <c r="H734" s="168">
        <v>70</v>
      </c>
      <c r="I734" s="168">
        <v>0</v>
      </c>
      <c r="J734" s="192" t="s">
        <v>903</v>
      </c>
      <c r="K734" s="158">
        <v>30000</v>
      </c>
      <c r="L734" s="158">
        <v>66500</v>
      </c>
      <c r="M734" s="159">
        <v>4750</v>
      </c>
      <c r="N734" s="160">
        <v>9500</v>
      </c>
      <c r="O734" s="160">
        <v>66500</v>
      </c>
      <c r="P734" s="158">
        <v>0</v>
      </c>
      <c r="Q734" s="152">
        <v>45698</v>
      </c>
    </row>
    <row r="735" spans="1:17" ht="61.5" thickBot="1" x14ac:dyDescent="0.3">
      <c r="A735" s="154">
        <v>2795</v>
      </c>
      <c r="B735" s="155" t="s">
        <v>345</v>
      </c>
      <c r="C735" s="155" t="s">
        <v>346</v>
      </c>
      <c r="D735" s="155"/>
      <c r="E735" s="156">
        <v>45542</v>
      </c>
      <c r="F735" s="156">
        <v>45643</v>
      </c>
      <c r="G735" s="164">
        <v>72</v>
      </c>
      <c r="H735" s="168">
        <v>73.333333333333329</v>
      </c>
      <c r="I735" s="168">
        <v>-1.3333333333333286</v>
      </c>
      <c r="J735" s="155" t="s">
        <v>348</v>
      </c>
      <c r="K735" s="158">
        <v>70000</v>
      </c>
      <c r="L735" s="158">
        <v>151200</v>
      </c>
      <c r="M735" s="159">
        <v>10500</v>
      </c>
      <c r="N735" s="160">
        <v>10500</v>
      </c>
      <c r="O735" s="160">
        <v>154000</v>
      </c>
      <c r="P735" s="158">
        <v>-2800</v>
      </c>
      <c r="Q735" s="152">
        <v>45698</v>
      </c>
    </row>
    <row r="736" spans="1:17" ht="25.5" thickBot="1" x14ac:dyDescent="0.3">
      <c r="A736" s="154">
        <v>2989</v>
      </c>
      <c r="B736" s="155" t="s">
        <v>355</v>
      </c>
      <c r="C736" s="155" t="s">
        <v>356</v>
      </c>
      <c r="D736" s="155"/>
      <c r="E736" s="156">
        <v>45661</v>
      </c>
      <c r="F736" s="156">
        <v>45688</v>
      </c>
      <c r="G736" s="164">
        <v>20</v>
      </c>
      <c r="H736" s="168" t="e">
        <v>#VALUE!</v>
      </c>
      <c r="I736" s="168" t="e">
        <v>#VALUE!</v>
      </c>
      <c r="J736" s="190" t="s">
        <v>293</v>
      </c>
      <c r="K736" s="162">
        <v>50000</v>
      </c>
      <c r="L736" s="162">
        <v>75000</v>
      </c>
      <c r="M736" s="159" t="s">
        <v>143</v>
      </c>
      <c r="N736" s="160">
        <v>75000</v>
      </c>
      <c r="O736" s="160">
        <v>75000</v>
      </c>
      <c r="P736" s="158">
        <v>0</v>
      </c>
      <c r="Q736" s="152">
        <v>45698</v>
      </c>
    </row>
    <row r="737" spans="1:17" ht="15.75" thickBot="1" x14ac:dyDescent="0.3">
      <c r="A737" s="154">
        <v>2972</v>
      </c>
      <c r="B737" s="155" t="s">
        <v>367</v>
      </c>
      <c r="C737" s="155"/>
      <c r="D737" s="155"/>
      <c r="E737" s="156">
        <v>45650</v>
      </c>
      <c r="F737" s="156">
        <v>45678</v>
      </c>
      <c r="G737" s="164">
        <v>20</v>
      </c>
      <c r="H737" s="168" t="e">
        <v>#DIV/0!</v>
      </c>
      <c r="I737" s="168" t="e">
        <v>#DIV/0!</v>
      </c>
      <c r="J737" s="190" t="s">
        <v>403</v>
      </c>
      <c r="K737" s="158">
        <v>20000</v>
      </c>
      <c r="L737" s="158">
        <v>43000</v>
      </c>
      <c r="M737" s="159"/>
      <c r="N737" s="160">
        <v>39000</v>
      </c>
      <c r="O737" s="160">
        <v>43000</v>
      </c>
      <c r="P737" s="158">
        <v>0</v>
      </c>
      <c r="Q737" s="152">
        <v>45698</v>
      </c>
    </row>
    <row r="738" spans="1:17" ht="25.5" thickBot="1" x14ac:dyDescent="0.3">
      <c r="A738" s="154">
        <v>3007</v>
      </c>
      <c r="B738" s="155" t="s">
        <v>402</v>
      </c>
      <c r="C738" s="155"/>
      <c r="D738" s="155"/>
      <c r="E738" s="156">
        <v>45674</v>
      </c>
      <c r="F738" s="156">
        <v>45702</v>
      </c>
      <c r="G738" s="164">
        <v>20</v>
      </c>
      <c r="H738" s="168" t="e">
        <v>#DIV/0!</v>
      </c>
      <c r="I738" s="168" t="e">
        <v>#DIV/0!</v>
      </c>
      <c r="J738" s="190" t="s">
        <v>403</v>
      </c>
      <c r="K738" s="162">
        <v>40000</v>
      </c>
      <c r="L738" s="162">
        <v>60000</v>
      </c>
      <c r="M738" s="159"/>
      <c r="N738" s="160">
        <v>60000</v>
      </c>
      <c r="O738" s="160">
        <v>60000</v>
      </c>
      <c r="P738" s="158">
        <v>0</v>
      </c>
      <c r="Q738" s="152">
        <v>45698</v>
      </c>
    </row>
    <row r="739" spans="1:17" ht="25.5" thickBot="1" x14ac:dyDescent="0.3">
      <c r="A739" s="154">
        <v>3015</v>
      </c>
      <c r="B739" s="155" t="s">
        <v>402</v>
      </c>
      <c r="C739" s="155"/>
      <c r="D739" s="155"/>
      <c r="E739" s="156">
        <v>45679</v>
      </c>
      <c r="F739" s="156">
        <v>45707</v>
      </c>
      <c r="G739" s="164">
        <v>20</v>
      </c>
      <c r="H739" s="168" t="e">
        <v>#DIV/0!</v>
      </c>
      <c r="I739" s="168" t="e">
        <v>#DIV/0!</v>
      </c>
      <c r="J739" s="190" t="s">
        <v>403</v>
      </c>
      <c r="K739" s="158">
        <v>40000</v>
      </c>
      <c r="L739" s="158">
        <v>60000</v>
      </c>
      <c r="M739" s="159"/>
      <c r="N739" s="160">
        <v>60000</v>
      </c>
      <c r="O739" s="160">
        <v>60000</v>
      </c>
      <c r="P739" s="158">
        <v>0</v>
      </c>
      <c r="Q739" s="152">
        <v>45698</v>
      </c>
    </row>
    <row r="740" spans="1:17" ht="25.5" thickBot="1" x14ac:dyDescent="0.3">
      <c r="A740" s="154">
        <v>3023</v>
      </c>
      <c r="B740" s="155" t="s">
        <v>402</v>
      </c>
      <c r="C740" s="155"/>
      <c r="D740" s="155"/>
      <c r="E740" s="156">
        <v>45682</v>
      </c>
      <c r="F740" s="156">
        <v>45709</v>
      </c>
      <c r="G740" s="164">
        <v>20</v>
      </c>
      <c r="H740" s="168" t="e">
        <v>#DIV/0!</v>
      </c>
      <c r="I740" s="168" t="e">
        <v>#DIV/0!</v>
      </c>
      <c r="J740" s="190" t="s">
        <v>403</v>
      </c>
      <c r="K740" s="158">
        <v>50000</v>
      </c>
      <c r="L740" s="158">
        <v>75000</v>
      </c>
      <c r="M740" s="159"/>
      <c r="N740" s="160">
        <v>75000</v>
      </c>
      <c r="O740" s="160">
        <v>75000</v>
      </c>
      <c r="P740" s="158">
        <v>0</v>
      </c>
      <c r="Q740" s="152">
        <v>45698</v>
      </c>
    </row>
    <row r="741" spans="1:17" ht="37.5" thickBot="1" x14ac:dyDescent="0.3">
      <c r="A741" s="154">
        <v>3000</v>
      </c>
      <c r="B741" s="155" t="s">
        <v>429</v>
      </c>
      <c r="C741" s="155" t="s">
        <v>430</v>
      </c>
      <c r="D741" s="155"/>
      <c r="E741" s="156">
        <v>45668</v>
      </c>
      <c r="F741" s="156">
        <v>45693</v>
      </c>
      <c r="G741" s="164">
        <v>18</v>
      </c>
      <c r="H741" s="168" t="e">
        <v>#DIV/0!</v>
      </c>
      <c r="I741" s="168" t="e">
        <v>#DIV/0!</v>
      </c>
      <c r="J741" s="190" t="s">
        <v>403</v>
      </c>
      <c r="K741" s="162">
        <v>250000</v>
      </c>
      <c r="L741" s="162">
        <v>350000</v>
      </c>
      <c r="M741" s="159"/>
      <c r="N741" s="160">
        <v>350000</v>
      </c>
      <c r="O741" s="160">
        <v>350000</v>
      </c>
      <c r="P741" s="158">
        <v>0</v>
      </c>
      <c r="Q741" s="152">
        <v>45698</v>
      </c>
    </row>
    <row r="742" spans="1:17" ht="49.5" thickBot="1" x14ac:dyDescent="0.3">
      <c r="A742" s="154">
        <v>2866</v>
      </c>
      <c r="B742" s="155" t="s">
        <v>447</v>
      </c>
      <c r="C742" s="155" t="s">
        <v>448</v>
      </c>
      <c r="D742" s="155"/>
      <c r="E742" s="156">
        <v>45583</v>
      </c>
      <c r="F742" s="156">
        <v>45520</v>
      </c>
      <c r="G742" s="164">
        <v>80</v>
      </c>
      <c r="H742" s="168">
        <v>80</v>
      </c>
      <c r="I742" s="168">
        <v>0</v>
      </c>
      <c r="J742" s="190" t="s">
        <v>982</v>
      </c>
      <c r="K742" s="162">
        <v>80000</v>
      </c>
      <c r="L742" s="162">
        <v>172800</v>
      </c>
      <c r="M742" s="159">
        <v>10800</v>
      </c>
      <c r="N742" s="160">
        <v>43200</v>
      </c>
      <c r="O742" s="160">
        <v>172800</v>
      </c>
      <c r="P742" s="158">
        <v>0</v>
      </c>
      <c r="Q742" s="152">
        <v>45698</v>
      </c>
    </row>
    <row r="743" spans="1:17" ht="37.5" thickBot="1" x14ac:dyDescent="0.3">
      <c r="A743" s="154">
        <v>2865</v>
      </c>
      <c r="B743" s="155" t="s">
        <v>474</v>
      </c>
      <c r="C743" s="155" t="s">
        <v>387</v>
      </c>
      <c r="D743" s="155">
        <v>2034839888</v>
      </c>
      <c r="E743" s="156">
        <v>45583</v>
      </c>
      <c r="F743" s="156">
        <v>45695</v>
      </c>
      <c r="G743" s="164">
        <v>80</v>
      </c>
      <c r="H743" s="168">
        <v>80</v>
      </c>
      <c r="I743" s="168">
        <v>0</v>
      </c>
      <c r="J743" s="190" t="s">
        <v>983</v>
      </c>
      <c r="K743" s="162">
        <v>100000</v>
      </c>
      <c r="L743" s="162">
        <v>216000</v>
      </c>
      <c r="M743" s="159">
        <v>13500</v>
      </c>
      <c r="N743" s="160">
        <v>54000</v>
      </c>
      <c r="O743" s="160">
        <v>216000</v>
      </c>
      <c r="P743" s="158">
        <v>0</v>
      </c>
      <c r="Q743" s="152">
        <v>45698</v>
      </c>
    </row>
    <row r="744" spans="1:17" ht="37.5" thickBot="1" x14ac:dyDescent="0.3">
      <c r="A744" s="154">
        <v>2876</v>
      </c>
      <c r="B744" s="155" t="s">
        <v>474</v>
      </c>
      <c r="C744" s="155" t="s">
        <v>387</v>
      </c>
      <c r="D744" s="155">
        <v>2034839888</v>
      </c>
      <c r="E744" s="156">
        <v>45587</v>
      </c>
      <c r="F744" s="156">
        <v>45699</v>
      </c>
      <c r="G744" s="164">
        <v>80</v>
      </c>
      <c r="H744" s="168">
        <v>80</v>
      </c>
      <c r="I744" s="168">
        <v>0</v>
      </c>
      <c r="J744" s="190" t="s">
        <v>894</v>
      </c>
      <c r="K744" s="162">
        <v>35000</v>
      </c>
      <c r="L744" s="162">
        <v>75600</v>
      </c>
      <c r="M744" s="163">
        <v>4725</v>
      </c>
      <c r="N744" s="160">
        <v>18900</v>
      </c>
      <c r="O744" s="160">
        <v>75600</v>
      </c>
      <c r="P744" s="158">
        <v>0</v>
      </c>
      <c r="Q744" s="152">
        <v>45698</v>
      </c>
    </row>
    <row r="745" spans="1:17" ht="25.5" thickBot="1" x14ac:dyDescent="0.3">
      <c r="A745" s="154">
        <v>2976</v>
      </c>
      <c r="B745" s="155" t="s">
        <v>239</v>
      </c>
      <c r="C745" s="155" t="s">
        <v>240</v>
      </c>
      <c r="D745" s="155"/>
      <c r="E745" s="156">
        <v>45653</v>
      </c>
      <c r="F745" s="156">
        <f>WORKDAY(E745,G745)</f>
        <v>45681</v>
      </c>
      <c r="G745" s="164">
        <v>20</v>
      </c>
      <c r="H745" s="168" t="e">
        <f>(EE745* 5)/M745</f>
        <v>#DIV/0!</v>
      </c>
      <c r="I745" s="168" t="e">
        <f>G745-H745</f>
        <v>#DIV/0!</v>
      </c>
      <c r="J745" s="155" t="s">
        <v>403</v>
      </c>
      <c r="K745" s="162">
        <v>400000</v>
      </c>
      <c r="L745" s="162">
        <v>550000</v>
      </c>
      <c r="M745" s="496"/>
      <c r="N745" s="194">
        <v>100000</v>
      </c>
      <c r="O745" s="194">
        <v>200000</v>
      </c>
      <c r="P745" s="158">
        <v>350000</v>
      </c>
      <c r="Q745" s="195">
        <v>45705</v>
      </c>
    </row>
    <row r="746" spans="1:17" ht="37.5" thickBot="1" x14ac:dyDescent="0.3">
      <c r="A746" s="154">
        <v>2864</v>
      </c>
      <c r="B746" s="155" t="s">
        <v>246</v>
      </c>
      <c r="C746" s="155" t="s">
        <v>247</v>
      </c>
      <c r="D746" s="155"/>
      <c r="E746" s="156">
        <v>45582</v>
      </c>
      <c r="F746" s="156">
        <v>45684</v>
      </c>
      <c r="G746" s="164">
        <v>72</v>
      </c>
      <c r="H746" s="168">
        <v>72.625</v>
      </c>
      <c r="I746" s="168">
        <v>-0.625</v>
      </c>
      <c r="J746" s="192" t="s">
        <v>182</v>
      </c>
      <c r="K746" s="162">
        <v>20000</v>
      </c>
      <c r="L746" s="162">
        <v>43200</v>
      </c>
      <c r="M746" s="159">
        <v>3000</v>
      </c>
      <c r="N746" s="160">
        <v>6000</v>
      </c>
      <c r="O746" s="160">
        <v>43575</v>
      </c>
      <c r="P746" s="158">
        <v>-375</v>
      </c>
      <c r="Q746" s="152">
        <v>45705</v>
      </c>
    </row>
    <row r="747" spans="1:17" ht="25.5" thickBot="1" x14ac:dyDescent="0.3">
      <c r="A747" s="154">
        <v>3047</v>
      </c>
      <c r="B747" s="155" t="s">
        <v>707</v>
      </c>
      <c r="C747" s="155"/>
      <c r="D747" s="155"/>
      <c r="E747" s="156">
        <v>45697</v>
      </c>
      <c r="F747" s="156">
        <v>45702</v>
      </c>
      <c r="G747" s="164">
        <v>5</v>
      </c>
      <c r="H747" s="168" t="e">
        <v>#DIV/0!</v>
      </c>
      <c r="I747" s="168" t="e">
        <v>#DIV/0!</v>
      </c>
      <c r="J747" s="190" t="s">
        <v>403</v>
      </c>
      <c r="K747" s="196">
        <v>30000</v>
      </c>
      <c r="L747" s="162">
        <v>39000</v>
      </c>
      <c r="M747" s="159"/>
      <c r="N747" s="160">
        <v>39000</v>
      </c>
      <c r="O747" s="160">
        <v>39000</v>
      </c>
      <c r="P747" s="158">
        <v>0</v>
      </c>
      <c r="Q747" s="152">
        <v>45705</v>
      </c>
    </row>
    <row r="748" spans="1:17" ht="25.5" thickBot="1" x14ac:dyDescent="0.3">
      <c r="A748" s="197">
        <v>3063</v>
      </c>
      <c r="B748" s="155" t="s">
        <v>707</v>
      </c>
      <c r="C748" s="155"/>
      <c r="D748" s="155"/>
      <c r="E748" s="156">
        <v>45705</v>
      </c>
      <c r="F748" s="156">
        <v>45712</v>
      </c>
      <c r="G748" s="164">
        <v>5</v>
      </c>
      <c r="H748" s="168" t="e">
        <v>#VALUE!</v>
      </c>
      <c r="I748" s="168" t="e">
        <v>#VALUE!</v>
      </c>
      <c r="J748" s="190" t="s">
        <v>403</v>
      </c>
      <c r="K748" s="162">
        <v>30000</v>
      </c>
      <c r="L748" s="162">
        <v>39000</v>
      </c>
      <c r="M748" s="159" t="s">
        <v>143</v>
      </c>
      <c r="N748" s="160">
        <v>39000</v>
      </c>
      <c r="O748" s="160">
        <v>39000</v>
      </c>
      <c r="P748" s="158">
        <v>0</v>
      </c>
      <c r="Q748" s="152">
        <v>45705</v>
      </c>
    </row>
    <row r="749" spans="1:17" ht="85.5" thickBot="1" x14ac:dyDescent="0.3">
      <c r="A749" s="154">
        <v>2938</v>
      </c>
      <c r="B749" s="155" t="s">
        <v>352</v>
      </c>
      <c r="C749" s="155" t="s">
        <v>353</v>
      </c>
      <c r="D749" s="155">
        <v>39446403</v>
      </c>
      <c r="E749" s="156">
        <v>45626</v>
      </c>
      <c r="F749" s="156">
        <v>45723</v>
      </c>
      <c r="G749" s="164">
        <v>70</v>
      </c>
      <c r="H749" s="168">
        <v>70</v>
      </c>
      <c r="I749" s="168">
        <v>0</v>
      </c>
      <c r="J749" s="190" t="s">
        <v>984</v>
      </c>
      <c r="K749" s="162">
        <v>100000</v>
      </c>
      <c r="L749" s="162">
        <v>216000</v>
      </c>
      <c r="M749" s="159">
        <v>15428.571428571429</v>
      </c>
      <c r="N749" s="160">
        <v>77429</v>
      </c>
      <c r="O749" s="160">
        <v>216000</v>
      </c>
      <c r="P749" s="158">
        <v>0</v>
      </c>
      <c r="Q749" s="152">
        <v>45705</v>
      </c>
    </row>
    <row r="750" spans="1:17" ht="73.5" thickBot="1" x14ac:dyDescent="0.3">
      <c r="A750" s="154">
        <v>2856</v>
      </c>
      <c r="B750" s="155" t="s">
        <v>413</v>
      </c>
      <c r="C750" s="155" t="s">
        <v>414</v>
      </c>
      <c r="D750" s="155"/>
      <c r="E750" s="156">
        <v>45577</v>
      </c>
      <c r="F750" s="156">
        <v>45730</v>
      </c>
      <c r="G750" s="164">
        <v>110</v>
      </c>
      <c r="H750" s="168">
        <v>110</v>
      </c>
      <c r="I750" s="168">
        <v>0</v>
      </c>
      <c r="J750" s="155" t="s">
        <v>737</v>
      </c>
      <c r="K750" s="162">
        <v>100000</v>
      </c>
      <c r="L750" s="162">
        <v>264000</v>
      </c>
      <c r="M750" s="159">
        <v>12000</v>
      </c>
      <c r="N750" s="160">
        <v>65000</v>
      </c>
      <c r="O750" s="160">
        <v>264000</v>
      </c>
      <c r="P750" s="158">
        <v>0</v>
      </c>
      <c r="Q750" s="152">
        <v>45705</v>
      </c>
    </row>
    <row r="751" spans="1:17" ht="49.5" thickBot="1" x14ac:dyDescent="0.3">
      <c r="A751" s="154">
        <v>2882</v>
      </c>
      <c r="B751" s="155" t="s">
        <v>462</v>
      </c>
      <c r="C751" s="155" t="s">
        <v>463</v>
      </c>
      <c r="D751" s="155"/>
      <c r="E751" s="156">
        <v>45589</v>
      </c>
      <c r="F751" s="156">
        <v>45691</v>
      </c>
      <c r="G751" s="164">
        <v>72</v>
      </c>
      <c r="H751" s="168">
        <v>72</v>
      </c>
      <c r="I751" s="168">
        <v>0</v>
      </c>
      <c r="J751" s="155" t="s">
        <v>464</v>
      </c>
      <c r="K751" s="162">
        <v>70000</v>
      </c>
      <c r="L751" s="162">
        <v>151200</v>
      </c>
      <c r="M751" s="163">
        <v>10500</v>
      </c>
      <c r="N751" s="160">
        <v>14700</v>
      </c>
      <c r="O751" s="160">
        <v>151200</v>
      </c>
      <c r="P751" s="158">
        <v>0</v>
      </c>
      <c r="Q751" s="152">
        <v>45705</v>
      </c>
    </row>
    <row r="752" spans="1:17" ht="37.5" thickBot="1" x14ac:dyDescent="0.3">
      <c r="A752" s="154">
        <v>2872</v>
      </c>
      <c r="B752" s="155" t="s">
        <v>465</v>
      </c>
      <c r="C752" s="155" t="s">
        <v>466</v>
      </c>
      <c r="D752" s="155"/>
      <c r="E752" s="156">
        <v>45584</v>
      </c>
      <c r="F752" s="156">
        <v>45685</v>
      </c>
      <c r="G752" s="164">
        <v>72</v>
      </c>
      <c r="H752" s="168">
        <v>72</v>
      </c>
      <c r="I752" s="168">
        <v>0</v>
      </c>
      <c r="J752" s="155" t="s">
        <v>182</v>
      </c>
      <c r="K752" s="162">
        <v>20000</v>
      </c>
      <c r="L752" s="162">
        <v>43200</v>
      </c>
      <c r="M752" s="159">
        <v>3000</v>
      </c>
      <c r="N752" s="160">
        <v>4200</v>
      </c>
      <c r="O752" s="160">
        <v>43200</v>
      </c>
      <c r="P752" s="158">
        <v>0</v>
      </c>
      <c r="Q752" s="152">
        <v>45705</v>
      </c>
    </row>
    <row r="753" spans="1:17" ht="37.5" thickBot="1" x14ac:dyDescent="0.3">
      <c r="A753" s="154">
        <v>2890</v>
      </c>
      <c r="B753" s="155" t="s">
        <v>242</v>
      </c>
      <c r="C753" s="155" t="s">
        <v>243</v>
      </c>
      <c r="D753" s="155"/>
      <c r="E753" s="156">
        <v>45595</v>
      </c>
      <c r="F753" s="156">
        <v>45707</v>
      </c>
      <c r="G753" s="164">
        <v>80</v>
      </c>
      <c r="H753" s="168">
        <v>80</v>
      </c>
      <c r="I753" s="168">
        <v>0</v>
      </c>
      <c r="J753" s="190" t="s">
        <v>879</v>
      </c>
      <c r="K753" s="162">
        <v>20000</v>
      </c>
      <c r="L753" s="162">
        <v>43200</v>
      </c>
      <c r="M753" s="159">
        <v>2700</v>
      </c>
      <c r="N753" s="160">
        <v>10800</v>
      </c>
      <c r="O753" s="160">
        <v>43200</v>
      </c>
      <c r="P753" s="158">
        <v>0</v>
      </c>
      <c r="Q753" s="152">
        <v>45712</v>
      </c>
    </row>
    <row r="754" spans="1:17" ht="37.5" thickBot="1" x14ac:dyDescent="0.3">
      <c r="A754" s="154">
        <v>2873</v>
      </c>
      <c r="B754" s="155" t="s">
        <v>278</v>
      </c>
      <c r="C754" s="155" t="s">
        <v>208</v>
      </c>
      <c r="D754" s="155"/>
      <c r="E754" s="156">
        <v>45586</v>
      </c>
      <c r="F754" s="156">
        <v>45686</v>
      </c>
      <c r="G754" s="164">
        <v>72</v>
      </c>
      <c r="H754" s="168">
        <v>72</v>
      </c>
      <c r="I754" s="168">
        <v>0</v>
      </c>
      <c r="J754" s="155" t="s">
        <v>163</v>
      </c>
      <c r="K754" s="198">
        <v>80000</v>
      </c>
      <c r="L754" s="162">
        <v>172800</v>
      </c>
      <c r="M754" s="159">
        <v>12000</v>
      </c>
      <c r="N754" s="160"/>
      <c r="O754" s="160">
        <v>172800</v>
      </c>
      <c r="P754" s="158">
        <v>0</v>
      </c>
      <c r="Q754" s="152">
        <v>45712</v>
      </c>
    </row>
    <row r="755" spans="1:17" ht="25.5" thickBot="1" x14ac:dyDescent="0.3">
      <c r="A755" s="197">
        <v>3074</v>
      </c>
      <c r="B755" s="155" t="s">
        <v>707</v>
      </c>
      <c r="C755" s="155"/>
      <c r="D755" s="155"/>
      <c r="E755" s="156">
        <v>45709</v>
      </c>
      <c r="F755" s="156">
        <v>45716</v>
      </c>
      <c r="G755" s="164">
        <v>5</v>
      </c>
      <c r="H755" s="168" t="e">
        <v>#DIV/0!</v>
      </c>
      <c r="I755" s="168" t="e">
        <v>#DIV/0!</v>
      </c>
      <c r="J755" s="190" t="s">
        <v>403</v>
      </c>
      <c r="K755" s="162">
        <v>30000</v>
      </c>
      <c r="L755" s="162">
        <v>39000</v>
      </c>
      <c r="M755" s="159"/>
      <c r="N755" s="160">
        <v>39000</v>
      </c>
      <c r="O755" s="160">
        <v>39000</v>
      </c>
      <c r="P755" s="158">
        <v>0</v>
      </c>
      <c r="Q755" s="152">
        <v>45712</v>
      </c>
    </row>
    <row r="756" spans="1:17" ht="25.5" thickBot="1" x14ac:dyDescent="0.3">
      <c r="A756" s="154">
        <v>3075</v>
      </c>
      <c r="B756" s="155" t="s">
        <v>707</v>
      </c>
      <c r="C756" s="155"/>
      <c r="D756" s="155"/>
      <c r="E756" s="156">
        <v>45705</v>
      </c>
      <c r="F756" s="156">
        <v>45712</v>
      </c>
      <c r="G756" s="164">
        <v>5</v>
      </c>
      <c r="H756" s="168" t="e">
        <v>#DIV/0!</v>
      </c>
      <c r="I756" s="168" t="e">
        <v>#DIV/0!</v>
      </c>
      <c r="J756" s="190" t="s">
        <v>403</v>
      </c>
      <c r="K756" s="162">
        <v>100000</v>
      </c>
      <c r="L756" s="162">
        <v>130000</v>
      </c>
      <c r="M756" s="159"/>
      <c r="N756" s="160">
        <v>130000</v>
      </c>
      <c r="O756" s="160">
        <v>130000</v>
      </c>
      <c r="P756" s="158">
        <v>0</v>
      </c>
      <c r="Q756" s="152">
        <v>45712</v>
      </c>
    </row>
    <row r="757" spans="1:17" ht="49.5" thickBot="1" x14ac:dyDescent="0.3">
      <c r="A757" s="154">
        <v>2805</v>
      </c>
      <c r="B757" s="155" t="s">
        <v>320</v>
      </c>
      <c r="C757" s="155" t="s">
        <v>317</v>
      </c>
      <c r="D757" s="155"/>
      <c r="E757" s="156">
        <v>45548</v>
      </c>
      <c r="F757" s="156">
        <v>45650</v>
      </c>
      <c r="G757" s="164">
        <v>72</v>
      </c>
      <c r="H757" s="168">
        <v>72</v>
      </c>
      <c r="I757" s="168">
        <v>0</v>
      </c>
      <c r="J757" s="155" t="s">
        <v>182</v>
      </c>
      <c r="K757" s="158">
        <v>20000</v>
      </c>
      <c r="L757" s="158">
        <v>43200</v>
      </c>
      <c r="M757" s="159">
        <v>3000</v>
      </c>
      <c r="N757" s="160">
        <v>1200</v>
      </c>
      <c r="O757" s="160">
        <v>43200</v>
      </c>
      <c r="P757" s="158">
        <v>0</v>
      </c>
      <c r="Q757" s="152">
        <v>45712</v>
      </c>
    </row>
    <row r="758" spans="1:17" ht="37.5" thickBot="1" x14ac:dyDescent="0.3">
      <c r="A758" s="154">
        <v>2798</v>
      </c>
      <c r="B758" s="155" t="s">
        <v>327</v>
      </c>
      <c r="C758" s="155"/>
      <c r="D758" s="155"/>
      <c r="E758" s="156">
        <v>45544</v>
      </c>
      <c r="F758" s="156">
        <v>45656</v>
      </c>
      <c r="G758" s="164">
        <v>80</v>
      </c>
      <c r="H758" s="168">
        <v>86.412037037037038</v>
      </c>
      <c r="I758" s="168">
        <v>-6.4120370370370381</v>
      </c>
      <c r="J758" s="190" t="s">
        <v>985</v>
      </c>
      <c r="K758" s="162">
        <v>80000</v>
      </c>
      <c r="L758" s="162">
        <v>172800</v>
      </c>
      <c r="M758" s="163">
        <v>10800</v>
      </c>
      <c r="N758" s="160">
        <v>50000</v>
      </c>
      <c r="O758" s="160">
        <v>186650</v>
      </c>
      <c r="P758" s="158">
        <v>-13850</v>
      </c>
      <c r="Q758" s="152">
        <v>45712</v>
      </c>
    </row>
    <row r="759" spans="1:17" ht="133.5" thickBot="1" x14ac:dyDescent="0.3">
      <c r="A759" s="154">
        <v>2942</v>
      </c>
      <c r="B759" s="155" t="s">
        <v>334</v>
      </c>
      <c r="C759" s="155" t="s">
        <v>335</v>
      </c>
      <c r="D759" s="155">
        <v>27249921551</v>
      </c>
      <c r="E759" s="156">
        <v>45629</v>
      </c>
      <c r="F759" s="156">
        <v>45729</v>
      </c>
      <c r="G759" s="164">
        <v>72</v>
      </c>
      <c r="H759" s="168">
        <v>72</v>
      </c>
      <c r="I759" s="168">
        <v>0</v>
      </c>
      <c r="J759" s="155" t="s">
        <v>227</v>
      </c>
      <c r="K759" s="162">
        <v>50000</v>
      </c>
      <c r="L759" s="162">
        <v>108000</v>
      </c>
      <c r="M759" s="159">
        <v>7500</v>
      </c>
      <c r="N759" s="160">
        <v>25500</v>
      </c>
      <c r="O759" s="160">
        <v>108000</v>
      </c>
      <c r="P759" s="158">
        <v>0</v>
      </c>
      <c r="Q759" s="152">
        <v>45712</v>
      </c>
    </row>
    <row r="760" spans="1:17" ht="49.5" thickBot="1" x14ac:dyDescent="0.3">
      <c r="A760" s="154">
        <v>2941</v>
      </c>
      <c r="B760" s="155" t="s">
        <v>930</v>
      </c>
      <c r="C760" s="155"/>
      <c r="D760" s="155"/>
      <c r="E760" s="156">
        <v>45532</v>
      </c>
      <c r="F760" s="156">
        <v>45630</v>
      </c>
      <c r="G760" s="164">
        <v>70</v>
      </c>
      <c r="H760" s="168">
        <v>70</v>
      </c>
      <c r="I760" s="168">
        <v>0</v>
      </c>
      <c r="J760" s="192" t="s">
        <v>931</v>
      </c>
      <c r="K760" s="162">
        <v>50000</v>
      </c>
      <c r="L760" s="162">
        <v>108500</v>
      </c>
      <c r="M760" s="159">
        <v>7750</v>
      </c>
      <c r="N760" s="160">
        <v>31000</v>
      </c>
      <c r="O760" s="160">
        <v>108500</v>
      </c>
      <c r="P760" s="158">
        <v>0</v>
      </c>
      <c r="Q760" s="152">
        <v>45712</v>
      </c>
    </row>
    <row r="761" spans="1:17" ht="61.5" thickBot="1" x14ac:dyDescent="0.3">
      <c r="A761" s="154">
        <v>2800</v>
      </c>
      <c r="B761" s="155" t="s">
        <v>146</v>
      </c>
      <c r="C761" s="155" t="s">
        <v>147</v>
      </c>
      <c r="D761" s="155"/>
      <c r="E761" s="156">
        <v>45545</v>
      </c>
      <c r="F761" s="156">
        <v>45713</v>
      </c>
      <c r="G761" s="164">
        <v>120</v>
      </c>
      <c r="H761" s="168">
        <v>120</v>
      </c>
      <c r="I761" s="168">
        <v>0</v>
      </c>
      <c r="J761" s="190" t="s">
        <v>986</v>
      </c>
      <c r="K761" s="162">
        <v>120000</v>
      </c>
      <c r="L761" s="162">
        <v>316800</v>
      </c>
      <c r="M761" s="159">
        <v>13200</v>
      </c>
      <c r="N761" s="160">
        <v>52800</v>
      </c>
      <c r="O761" s="160">
        <v>316800</v>
      </c>
      <c r="P761" s="158">
        <v>0</v>
      </c>
      <c r="Q761" s="152">
        <v>45719</v>
      </c>
    </row>
    <row r="762" spans="1:17" ht="37.5" thickBot="1" x14ac:dyDescent="0.3">
      <c r="A762" s="154">
        <v>2754</v>
      </c>
      <c r="B762" s="155" t="s">
        <v>151</v>
      </c>
      <c r="C762" s="155" t="s">
        <v>152</v>
      </c>
      <c r="D762" s="155"/>
      <c r="E762" s="156">
        <v>45516</v>
      </c>
      <c r="F762" s="156">
        <v>45684</v>
      </c>
      <c r="G762" s="164">
        <v>120</v>
      </c>
      <c r="H762" s="168">
        <v>120</v>
      </c>
      <c r="I762" s="168">
        <v>0</v>
      </c>
      <c r="J762" s="190" t="s">
        <v>383</v>
      </c>
      <c r="K762" s="198">
        <v>50000</v>
      </c>
      <c r="L762" s="162">
        <v>132000</v>
      </c>
      <c r="M762" s="159">
        <v>5500</v>
      </c>
      <c r="N762" s="160">
        <v>22000</v>
      </c>
      <c r="O762" s="160">
        <v>132000</v>
      </c>
      <c r="P762" s="158">
        <v>0</v>
      </c>
      <c r="Q762" s="152">
        <v>45719</v>
      </c>
    </row>
    <row r="763" spans="1:17" ht="37.5" thickBot="1" x14ac:dyDescent="0.3">
      <c r="A763" s="154">
        <v>2939</v>
      </c>
      <c r="B763" s="155" t="s">
        <v>246</v>
      </c>
      <c r="C763" s="155" t="s">
        <v>247</v>
      </c>
      <c r="D763" s="155"/>
      <c r="E763" s="156">
        <v>45626</v>
      </c>
      <c r="F763" s="156">
        <v>45727</v>
      </c>
      <c r="G763" s="164">
        <v>72</v>
      </c>
      <c r="H763" s="168">
        <v>72</v>
      </c>
      <c r="I763" s="168">
        <v>0</v>
      </c>
      <c r="J763" s="192" t="s">
        <v>182</v>
      </c>
      <c r="K763" s="162">
        <v>20000</v>
      </c>
      <c r="L763" s="162">
        <v>43200</v>
      </c>
      <c r="M763" s="159">
        <v>3000</v>
      </c>
      <c r="N763" s="160">
        <v>6575</v>
      </c>
      <c r="O763" s="160">
        <v>43200</v>
      </c>
      <c r="P763" s="158">
        <v>0</v>
      </c>
      <c r="Q763" s="152">
        <v>45719</v>
      </c>
    </row>
    <row r="764" spans="1:17" ht="25.5" thickBot="1" x14ac:dyDescent="0.3">
      <c r="A764" s="154">
        <v>2829</v>
      </c>
      <c r="B764" s="155" t="s">
        <v>275</v>
      </c>
      <c r="C764" s="155"/>
      <c r="D764" s="155"/>
      <c r="E764" s="156">
        <v>45560</v>
      </c>
      <c r="F764" s="156">
        <v>45471</v>
      </c>
      <c r="G764" s="164">
        <v>72</v>
      </c>
      <c r="H764" s="168">
        <v>72</v>
      </c>
      <c r="I764" s="168">
        <v>0</v>
      </c>
      <c r="J764" s="190" t="s">
        <v>277</v>
      </c>
      <c r="K764" s="162">
        <v>50000</v>
      </c>
      <c r="L764" s="162">
        <v>108000</v>
      </c>
      <c r="M764" s="159">
        <v>7500</v>
      </c>
      <c r="N764" s="160">
        <v>27000</v>
      </c>
      <c r="O764" s="160">
        <v>108000</v>
      </c>
      <c r="P764" s="158">
        <v>0</v>
      </c>
      <c r="Q764" s="152">
        <v>45719</v>
      </c>
    </row>
    <row r="765" spans="1:17" ht="25.5" thickBot="1" x14ac:dyDescent="0.3">
      <c r="A765" s="154">
        <v>2888</v>
      </c>
      <c r="B765" s="155" t="s">
        <v>275</v>
      </c>
      <c r="C765" s="155"/>
      <c r="D765" s="155"/>
      <c r="E765" s="156">
        <v>45594</v>
      </c>
      <c r="F765" s="156">
        <v>45471</v>
      </c>
      <c r="G765" s="164">
        <v>72</v>
      </c>
      <c r="H765" s="168">
        <v>72</v>
      </c>
      <c r="I765" s="168">
        <v>0</v>
      </c>
      <c r="J765" s="190" t="s">
        <v>987</v>
      </c>
      <c r="K765" s="162">
        <v>30000</v>
      </c>
      <c r="L765" s="162">
        <v>64800</v>
      </c>
      <c r="M765" s="159">
        <v>4500</v>
      </c>
      <c r="N765" s="160">
        <v>16200</v>
      </c>
      <c r="O765" s="160">
        <v>64800</v>
      </c>
      <c r="P765" s="158">
        <v>0</v>
      </c>
      <c r="Q765" s="152">
        <v>45719</v>
      </c>
    </row>
    <row r="766" spans="1:17" ht="25.5" thickBot="1" x14ac:dyDescent="0.3">
      <c r="A766" s="154">
        <v>2889</v>
      </c>
      <c r="B766" s="155" t="s">
        <v>275</v>
      </c>
      <c r="C766" s="155"/>
      <c r="D766" s="155"/>
      <c r="E766" s="156">
        <v>45587</v>
      </c>
      <c r="F766" s="156">
        <v>45699</v>
      </c>
      <c r="G766" s="164">
        <v>80</v>
      </c>
      <c r="H766" s="168">
        <v>80</v>
      </c>
      <c r="I766" s="168">
        <v>0</v>
      </c>
      <c r="J766" s="190" t="s">
        <v>987</v>
      </c>
      <c r="K766" s="162">
        <v>30000</v>
      </c>
      <c r="L766" s="162">
        <v>64800</v>
      </c>
      <c r="M766" s="159">
        <v>4050</v>
      </c>
      <c r="N766" s="160">
        <v>16200</v>
      </c>
      <c r="O766" s="160">
        <v>64800</v>
      </c>
      <c r="P766" s="158">
        <v>0</v>
      </c>
      <c r="Q766" s="152">
        <v>45719</v>
      </c>
    </row>
    <row r="767" spans="1:17" ht="61.5" thickBot="1" x14ac:dyDescent="0.3">
      <c r="A767" s="154">
        <v>2821</v>
      </c>
      <c r="B767" s="155" t="s">
        <v>345</v>
      </c>
      <c r="C767" s="155" t="s">
        <v>346</v>
      </c>
      <c r="D767" s="155"/>
      <c r="E767" s="156">
        <v>45558</v>
      </c>
      <c r="F767" s="156">
        <v>45658</v>
      </c>
      <c r="G767" s="164">
        <v>72</v>
      </c>
      <c r="H767" s="168">
        <v>72.291666666666671</v>
      </c>
      <c r="I767" s="168">
        <v>-0.2916666666666714</v>
      </c>
      <c r="J767" s="155" t="s">
        <v>880</v>
      </c>
      <c r="K767" s="158">
        <v>80000</v>
      </c>
      <c r="L767" s="158">
        <v>172800</v>
      </c>
      <c r="M767" s="159">
        <v>12000</v>
      </c>
      <c r="N767" s="160">
        <v>24000</v>
      </c>
      <c r="O767" s="160">
        <v>173500</v>
      </c>
      <c r="P767" s="158">
        <v>-700</v>
      </c>
      <c r="Q767" s="152">
        <v>45719</v>
      </c>
    </row>
    <row r="768" spans="1:17" ht="25.5" thickBot="1" x14ac:dyDescent="0.3">
      <c r="A768" s="154">
        <v>3049</v>
      </c>
      <c r="B768" s="155" t="s">
        <v>355</v>
      </c>
      <c r="C768" s="155" t="s">
        <v>356</v>
      </c>
      <c r="D768" s="155"/>
      <c r="E768" s="156">
        <v>45698</v>
      </c>
      <c r="F768" s="156">
        <v>45726</v>
      </c>
      <c r="G768" s="164">
        <v>20</v>
      </c>
      <c r="H768" s="168" t="e">
        <v>#DIV/0!</v>
      </c>
      <c r="I768" s="168" t="e">
        <v>#DIV/0!</v>
      </c>
      <c r="J768" s="190" t="s">
        <v>293</v>
      </c>
      <c r="K768" s="162">
        <v>50000</v>
      </c>
      <c r="L768" s="162">
        <v>75000</v>
      </c>
      <c r="M768" s="159"/>
      <c r="N768" s="160">
        <v>75000</v>
      </c>
      <c r="O768" s="160">
        <v>75000</v>
      </c>
      <c r="P768" s="158">
        <v>0</v>
      </c>
      <c r="Q768" s="152">
        <v>45719</v>
      </c>
    </row>
    <row r="769" spans="1:17" ht="37.5" thickBot="1" x14ac:dyDescent="0.3">
      <c r="A769" s="154">
        <v>2895</v>
      </c>
      <c r="B769" s="155" t="s">
        <v>988</v>
      </c>
      <c r="C769" s="155" t="s">
        <v>989</v>
      </c>
      <c r="D769" s="155"/>
      <c r="E769" s="156">
        <v>45599</v>
      </c>
      <c r="F769" s="156">
        <v>45699</v>
      </c>
      <c r="G769" s="164">
        <v>72</v>
      </c>
      <c r="H769" s="168">
        <v>72.8</v>
      </c>
      <c r="I769" s="168">
        <v>-0.79999999999999716</v>
      </c>
      <c r="J769" s="155" t="s">
        <v>227</v>
      </c>
      <c r="K769" s="158">
        <v>50000</v>
      </c>
      <c r="L769" s="158">
        <v>108000</v>
      </c>
      <c r="M769" s="159">
        <v>7500</v>
      </c>
      <c r="N769" s="160">
        <v>18500</v>
      </c>
      <c r="O769" s="160">
        <v>109200</v>
      </c>
      <c r="P769" s="158">
        <v>-1200</v>
      </c>
      <c r="Q769" s="152">
        <v>45719</v>
      </c>
    </row>
    <row r="770" spans="1:17" ht="49.5" thickBot="1" x14ac:dyDescent="0.3">
      <c r="A770" s="154">
        <v>2880</v>
      </c>
      <c r="B770" s="155" t="s">
        <v>385</v>
      </c>
      <c r="C770" s="155" t="s">
        <v>386</v>
      </c>
      <c r="D770" s="155"/>
      <c r="E770" s="156">
        <v>45506</v>
      </c>
      <c r="F770" s="156">
        <v>45608</v>
      </c>
      <c r="G770" s="164">
        <v>72</v>
      </c>
      <c r="H770" s="168">
        <v>72</v>
      </c>
      <c r="I770" s="168">
        <v>0</v>
      </c>
      <c r="J770" s="155" t="s">
        <v>227</v>
      </c>
      <c r="K770" s="162">
        <v>50000</v>
      </c>
      <c r="L770" s="162">
        <v>108000</v>
      </c>
      <c r="M770" s="163">
        <v>7500</v>
      </c>
      <c r="N770" s="160">
        <v>9000</v>
      </c>
      <c r="O770" s="160">
        <v>108000</v>
      </c>
      <c r="P770" s="158">
        <v>0</v>
      </c>
      <c r="Q770" s="152">
        <v>45719</v>
      </c>
    </row>
    <row r="771" spans="1:17" ht="73.5" thickBot="1" x14ac:dyDescent="0.3">
      <c r="A771" s="154">
        <v>2804</v>
      </c>
      <c r="B771" s="155" t="s">
        <v>144</v>
      </c>
      <c r="C771" s="155" t="s">
        <v>145</v>
      </c>
      <c r="D771" s="155"/>
      <c r="E771" s="156">
        <v>45548</v>
      </c>
      <c r="F771" s="156">
        <v>45716</v>
      </c>
      <c r="G771" s="164">
        <v>120</v>
      </c>
      <c r="H771" s="168">
        <v>120</v>
      </c>
      <c r="I771" s="168">
        <v>0</v>
      </c>
      <c r="J771" s="190" t="s">
        <v>990</v>
      </c>
      <c r="K771" s="162">
        <v>80000</v>
      </c>
      <c r="L771" s="162">
        <v>211200</v>
      </c>
      <c r="M771" s="159">
        <v>8800</v>
      </c>
      <c r="N771" s="160">
        <v>35200</v>
      </c>
      <c r="O771" s="160">
        <v>211200</v>
      </c>
      <c r="P771" s="158">
        <v>0</v>
      </c>
      <c r="Q771" s="152">
        <v>45726</v>
      </c>
    </row>
    <row r="772" spans="1:17" ht="85.5" thickBot="1" x14ac:dyDescent="0.3">
      <c r="A772" s="154">
        <v>2903</v>
      </c>
      <c r="B772" s="155" t="s">
        <v>201</v>
      </c>
      <c r="C772" s="155" t="s">
        <v>202</v>
      </c>
      <c r="D772" s="155">
        <v>20386454729</v>
      </c>
      <c r="E772" s="156">
        <v>45607</v>
      </c>
      <c r="F772" s="156">
        <v>45719</v>
      </c>
      <c r="G772" s="164">
        <v>80</v>
      </c>
      <c r="H772" s="168">
        <v>80</v>
      </c>
      <c r="I772" s="168">
        <v>0</v>
      </c>
      <c r="J772" s="190" t="s">
        <v>981</v>
      </c>
      <c r="K772" s="162">
        <v>200000</v>
      </c>
      <c r="L772" s="162">
        <v>432000</v>
      </c>
      <c r="M772" s="159">
        <v>27000</v>
      </c>
      <c r="N772" s="160">
        <v>108000</v>
      </c>
      <c r="O772" s="160">
        <v>432000</v>
      </c>
      <c r="P772" s="158">
        <v>0</v>
      </c>
      <c r="Q772" s="152">
        <v>45726</v>
      </c>
    </row>
    <row r="773" spans="1:17" ht="61.5" thickBot="1" x14ac:dyDescent="0.3">
      <c r="A773" s="154">
        <v>3091</v>
      </c>
      <c r="B773" s="155" t="s">
        <v>290</v>
      </c>
      <c r="C773" s="155" t="s">
        <v>291</v>
      </c>
      <c r="D773" s="155"/>
      <c r="E773" s="156">
        <v>45721</v>
      </c>
      <c r="F773" s="156">
        <v>45728</v>
      </c>
      <c r="G773" s="164">
        <v>5</v>
      </c>
      <c r="H773" s="168" t="e">
        <v>#DIV/0!</v>
      </c>
      <c r="I773" s="168" t="e">
        <v>#DIV/0!</v>
      </c>
      <c r="J773" s="190" t="s">
        <v>368</v>
      </c>
      <c r="K773" s="162">
        <v>50000</v>
      </c>
      <c r="L773" s="162">
        <v>70000</v>
      </c>
      <c r="M773" s="159"/>
      <c r="N773" s="160">
        <v>70000</v>
      </c>
      <c r="O773" s="160">
        <v>70000</v>
      </c>
      <c r="P773" s="158">
        <v>0</v>
      </c>
      <c r="Q773" s="152">
        <v>45726</v>
      </c>
    </row>
    <row r="774" spans="1:17" ht="49.5" thickBot="1" x14ac:dyDescent="0.3">
      <c r="A774" s="154">
        <v>2898</v>
      </c>
      <c r="B774" s="155" t="s">
        <v>942</v>
      </c>
      <c r="C774" s="155" t="s">
        <v>943</v>
      </c>
      <c r="D774" s="155">
        <v>37095915</v>
      </c>
      <c r="E774" s="156">
        <v>45604</v>
      </c>
      <c r="F774" s="156">
        <v>45716</v>
      </c>
      <c r="G774" s="164">
        <v>80</v>
      </c>
      <c r="H774" s="168">
        <v>80</v>
      </c>
      <c r="I774" s="168">
        <v>0</v>
      </c>
      <c r="J774" s="190" t="s">
        <v>991</v>
      </c>
      <c r="K774" s="158">
        <v>300000</v>
      </c>
      <c r="L774" s="158">
        <v>648000</v>
      </c>
      <c r="M774" s="159">
        <v>40500</v>
      </c>
      <c r="N774" s="160">
        <v>160000</v>
      </c>
      <c r="O774" s="160">
        <v>648000</v>
      </c>
      <c r="P774" s="158">
        <v>0</v>
      </c>
      <c r="Q774" s="152">
        <v>45726</v>
      </c>
    </row>
    <row r="775" spans="1:17" ht="25.5" thickBot="1" x14ac:dyDescent="0.3">
      <c r="A775" s="154">
        <v>3087</v>
      </c>
      <c r="B775" s="155" t="s">
        <v>707</v>
      </c>
      <c r="C775" s="155"/>
      <c r="D775" s="155"/>
      <c r="E775" s="156">
        <v>45716</v>
      </c>
      <c r="F775" s="156">
        <v>45723</v>
      </c>
      <c r="G775" s="164">
        <v>5</v>
      </c>
      <c r="H775" s="168">
        <v>5</v>
      </c>
      <c r="I775" s="168">
        <v>0</v>
      </c>
      <c r="J775" s="190" t="s">
        <v>403</v>
      </c>
      <c r="K775" s="158">
        <v>30000</v>
      </c>
      <c r="L775" s="158">
        <v>39000</v>
      </c>
      <c r="M775" s="159">
        <v>39000</v>
      </c>
      <c r="N775" s="160">
        <v>39000</v>
      </c>
      <c r="O775" s="160">
        <v>39000</v>
      </c>
      <c r="P775" s="158">
        <v>0</v>
      </c>
      <c r="Q775" s="152">
        <v>45726</v>
      </c>
    </row>
    <row r="776" spans="1:17" ht="97.5" thickBot="1" x14ac:dyDescent="0.3">
      <c r="A776" s="154">
        <v>2755</v>
      </c>
      <c r="B776" s="155" t="s">
        <v>331</v>
      </c>
      <c r="C776" s="155" t="s">
        <v>330</v>
      </c>
      <c r="D776" s="155"/>
      <c r="E776" s="156">
        <v>45516</v>
      </c>
      <c r="F776" s="156">
        <v>45684</v>
      </c>
      <c r="G776" s="164">
        <v>120</v>
      </c>
      <c r="H776" s="168">
        <v>120</v>
      </c>
      <c r="I776" s="168">
        <v>0</v>
      </c>
      <c r="J776" s="192" t="s">
        <v>332</v>
      </c>
      <c r="K776" s="191">
        <v>150000</v>
      </c>
      <c r="L776" s="162">
        <v>396000</v>
      </c>
      <c r="M776" s="163">
        <v>16500</v>
      </c>
      <c r="N776" s="160">
        <v>33000</v>
      </c>
      <c r="O776" s="160">
        <v>396000</v>
      </c>
      <c r="P776" s="158">
        <v>0</v>
      </c>
      <c r="Q776" s="152">
        <v>45726</v>
      </c>
    </row>
    <row r="777" spans="1:17" ht="49.5" thickBot="1" x14ac:dyDescent="0.3">
      <c r="A777" s="154">
        <v>2483</v>
      </c>
      <c r="B777" s="155" t="s">
        <v>364</v>
      </c>
      <c r="C777" s="155" t="s">
        <v>365</v>
      </c>
      <c r="D777" s="155"/>
      <c r="E777" s="156">
        <v>45342</v>
      </c>
      <c r="F777" s="156">
        <v>45784</v>
      </c>
      <c r="G777" s="164">
        <v>316</v>
      </c>
      <c r="H777" s="168">
        <v>316</v>
      </c>
      <c r="I777" s="168">
        <v>0</v>
      </c>
      <c r="J777" s="190" t="s">
        <v>992</v>
      </c>
      <c r="K777" s="162">
        <v>120000</v>
      </c>
      <c r="L777" s="162">
        <v>240000</v>
      </c>
      <c r="M777" s="159">
        <v>3797.4683544303798</v>
      </c>
      <c r="N777" s="160">
        <v>30000</v>
      </c>
      <c r="O777" s="160">
        <v>240000</v>
      </c>
      <c r="P777" s="158">
        <v>0</v>
      </c>
      <c r="Q777" s="152">
        <v>45726</v>
      </c>
    </row>
    <row r="778" spans="1:17" ht="15.75" thickBot="1" x14ac:dyDescent="0.3">
      <c r="A778" s="154">
        <v>3057</v>
      </c>
      <c r="B778" s="155" t="s">
        <v>367</v>
      </c>
      <c r="C778" s="155"/>
      <c r="D778" s="155"/>
      <c r="E778" s="156">
        <v>45701</v>
      </c>
      <c r="F778" s="156">
        <v>45729</v>
      </c>
      <c r="G778" s="164">
        <v>20</v>
      </c>
      <c r="H778" s="168" t="e">
        <v>#DIV/0!</v>
      </c>
      <c r="I778" s="168" t="e">
        <v>#DIV/0!</v>
      </c>
      <c r="J778" s="190" t="s">
        <v>403</v>
      </c>
      <c r="K778" s="162">
        <v>20000</v>
      </c>
      <c r="L778" s="162">
        <v>30000</v>
      </c>
      <c r="M778" s="159"/>
      <c r="N778" s="160">
        <v>30000</v>
      </c>
      <c r="O778" s="160">
        <v>30000</v>
      </c>
      <c r="P778" s="158">
        <v>0</v>
      </c>
      <c r="Q778" s="152">
        <v>45726</v>
      </c>
    </row>
    <row r="779" spans="1:17" ht="15.75" thickBot="1" x14ac:dyDescent="0.3">
      <c r="A779" s="154">
        <v>3067</v>
      </c>
      <c r="B779" s="2" t="s">
        <v>367</v>
      </c>
      <c r="C779" s="155"/>
      <c r="D779" s="155"/>
      <c r="E779" s="156">
        <v>45705</v>
      </c>
      <c r="F779" s="156">
        <v>45733</v>
      </c>
      <c r="G779" s="164">
        <v>20</v>
      </c>
      <c r="H779" s="168" t="e">
        <v>#VALUE!</v>
      </c>
      <c r="I779" s="168" t="e">
        <v>#VALUE!</v>
      </c>
      <c r="J779" s="190" t="s">
        <v>368</v>
      </c>
      <c r="K779" s="162">
        <v>50000</v>
      </c>
      <c r="L779" s="162">
        <v>80000</v>
      </c>
      <c r="M779" s="163" t="s">
        <v>143</v>
      </c>
      <c r="N779" s="160">
        <v>80000</v>
      </c>
      <c r="O779" s="160">
        <v>80000</v>
      </c>
      <c r="P779" s="158">
        <v>0</v>
      </c>
      <c r="Q779" s="152">
        <v>45726</v>
      </c>
    </row>
    <row r="780" spans="1:17" ht="25.5" thickBot="1" x14ac:dyDescent="0.3">
      <c r="A780" s="154">
        <v>3033</v>
      </c>
      <c r="B780" s="155" t="s">
        <v>402</v>
      </c>
      <c r="C780" s="155"/>
      <c r="D780" s="155"/>
      <c r="E780" s="156">
        <v>45684</v>
      </c>
      <c r="F780" s="156">
        <v>45712</v>
      </c>
      <c r="G780" s="164">
        <v>20</v>
      </c>
      <c r="H780" s="168" t="e">
        <v>#VALUE!</v>
      </c>
      <c r="I780" s="168" t="e">
        <v>#VALUE!</v>
      </c>
      <c r="J780" s="190" t="s">
        <v>403</v>
      </c>
      <c r="K780" s="162">
        <v>20000</v>
      </c>
      <c r="L780" s="162">
        <v>32500</v>
      </c>
      <c r="M780" s="159" t="s">
        <v>143</v>
      </c>
      <c r="N780" s="160">
        <v>7500</v>
      </c>
      <c r="O780" s="160">
        <v>32500</v>
      </c>
      <c r="P780" s="158">
        <v>0</v>
      </c>
      <c r="Q780" s="152">
        <v>45726</v>
      </c>
    </row>
    <row r="781" spans="1:17" ht="25.5" thickBot="1" x14ac:dyDescent="0.3">
      <c r="A781" s="154">
        <v>3058</v>
      </c>
      <c r="B781" s="155" t="s">
        <v>402</v>
      </c>
      <c r="C781" s="155"/>
      <c r="D781" s="155"/>
      <c r="E781" s="156">
        <v>45702</v>
      </c>
      <c r="F781" s="156">
        <v>45730</v>
      </c>
      <c r="G781" s="164">
        <v>20</v>
      </c>
      <c r="H781" s="168" t="e">
        <v>#DIV/0!</v>
      </c>
      <c r="I781" s="168" t="e">
        <v>#DIV/0!</v>
      </c>
      <c r="J781" s="190" t="s">
        <v>403</v>
      </c>
      <c r="K781" s="158">
        <v>45000</v>
      </c>
      <c r="L781" s="158">
        <v>67500</v>
      </c>
      <c r="M781" s="159"/>
      <c r="N781" s="160">
        <v>67500</v>
      </c>
      <c r="O781" s="160">
        <v>67500</v>
      </c>
      <c r="P781" s="158">
        <v>0</v>
      </c>
      <c r="Q781" s="152">
        <v>45726</v>
      </c>
    </row>
    <row r="782" spans="1:17" ht="25.5" thickBot="1" x14ac:dyDescent="0.3">
      <c r="A782" s="154">
        <v>3060</v>
      </c>
      <c r="B782" s="155" t="s">
        <v>402</v>
      </c>
      <c r="C782" s="155"/>
      <c r="D782" s="155"/>
      <c r="E782" s="156">
        <v>45702</v>
      </c>
      <c r="F782" s="156">
        <v>45730</v>
      </c>
      <c r="G782" s="164">
        <v>20</v>
      </c>
      <c r="H782" s="168" t="e">
        <v>#DIV/0!</v>
      </c>
      <c r="I782" s="168" t="e">
        <v>#DIV/0!</v>
      </c>
      <c r="J782" s="190" t="s">
        <v>403</v>
      </c>
      <c r="K782" s="162">
        <v>30000</v>
      </c>
      <c r="L782" s="162">
        <v>45000</v>
      </c>
      <c r="M782" s="159"/>
      <c r="N782" s="160">
        <v>45000</v>
      </c>
      <c r="O782" s="160">
        <v>45000</v>
      </c>
      <c r="P782" s="158">
        <v>0</v>
      </c>
      <c r="Q782" s="152">
        <v>45726</v>
      </c>
    </row>
    <row r="783" spans="1:17" ht="25.5" thickBot="1" x14ac:dyDescent="0.3">
      <c r="A783" s="154">
        <v>3072</v>
      </c>
      <c r="B783" s="155" t="s">
        <v>402</v>
      </c>
      <c r="C783" s="155"/>
      <c r="D783" s="155"/>
      <c r="E783" s="156">
        <v>45708</v>
      </c>
      <c r="F783" s="156">
        <v>45736</v>
      </c>
      <c r="G783" s="164">
        <v>20</v>
      </c>
      <c r="H783" s="168" t="e">
        <v>#DIV/0!</v>
      </c>
      <c r="I783" s="168" t="e">
        <v>#DIV/0!</v>
      </c>
      <c r="J783" s="190" t="s">
        <v>403</v>
      </c>
      <c r="K783" s="162">
        <v>20000</v>
      </c>
      <c r="L783" s="162">
        <v>32500</v>
      </c>
      <c r="M783" s="159"/>
      <c r="N783" s="160">
        <v>32500</v>
      </c>
      <c r="O783" s="160">
        <v>32500</v>
      </c>
      <c r="P783" s="158">
        <v>0</v>
      </c>
      <c r="Q783" s="152">
        <v>45726</v>
      </c>
    </row>
    <row r="784" spans="1:17" ht="49.5" thickBot="1" x14ac:dyDescent="0.3">
      <c r="A784" s="154">
        <v>2904</v>
      </c>
      <c r="B784" s="155" t="s">
        <v>406</v>
      </c>
      <c r="C784" s="155" t="s">
        <v>407</v>
      </c>
      <c r="D784" s="155"/>
      <c r="E784" s="156">
        <v>45607</v>
      </c>
      <c r="F784" s="156">
        <v>45302</v>
      </c>
      <c r="G784" s="164">
        <v>80</v>
      </c>
      <c r="H784" s="168">
        <v>80</v>
      </c>
      <c r="I784" s="168">
        <v>0</v>
      </c>
      <c r="J784" s="190" t="s">
        <v>409</v>
      </c>
      <c r="K784" s="162">
        <v>50000</v>
      </c>
      <c r="L784" s="162">
        <v>108000</v>
      </c>
      <c r="M784" s="163">
        <v>6750</v>
      </c>
      <c r="N784" s="160">
        <v>27000</v>
      </c>
      <c r="O784" s="160">
        <v>108000</v>
      </c>
      <c r="P784" s="158">
        <v>0</v>
      </c>
      <c r="Q784" s="152">
        <v>45726</v>
      </c>
    </row>
    <row r="785" spans="1:17" ht="37.5" thickBot="1" x14ac:dyDescent="0.3">
      <c r="A785" s="154">
        <v>3061</v>
      </c>
      <c r="B785" s="155" t="s">
        <v>429</v>
      </c>
      <c r="C785" s="155" t="s">
        <v>430</v>
      </c>
      <c r="D785" s="155"/>
      <c r="E785" s="156">
        <v>45703</v>
      </c>
      <c r="F785" s="156">
        <v>45728</v>
      </c>
      <c r="G785" s="164">
        <v>18</v>
      </c>
      <c r="H785" s="168" t="e">
        <v>#DIV/0!</v>
      </c>
      <c r="I785" s="168" t="e">
        <v>#DIV/0!</v>
      </c>
      <c r="J785" s="190" t="s">
        <v>403</v>
      </c>
      <c r="K785" s="162">
        <v>250000</v>
      </c>
      <c r="L785" s="162">
        <v>350000</v>
      </c>
      <c r="M785" s="159"/>
      <c r="N785" s="160">
        <v>350000</v>
      </c>
      <c r="O785" s="160">
        <v>350000</v>
      </c>
      <c r="P785" s="158">
        <v>0</v>
      </c>
      <c r="Q785" s="152">
        <v>45726</v>
      </c>
    </row>
    <row r="786" spans="1:17" ht="37.5" thickBot="1" x14ac:dyDescent="0.3">
      <c r="A786" s="154">
        <v>2961</v>
      </c>
      <c r="B786" s="155" t="s">
        <v>751</v>
      </c>
      <c r="C786" s="155"/>
      <c r="D786" s="155"/>
      <c r="E786" s="156">
        <v>45645</v>
      </c>
      <c r="F786" s="156">
        <v>45743</v>
      </c>
      <c r="G786" s="164">
        <v>70</v>
      </c>
      <c r="H786" s="168">
        <v>70</v>
      </c>
      <c r="I786" s="168">
        <v>0</v>
      </c>
      <c r="J786" s="192" t="s">
        <v>993</v>
      </c>
      <c r="K786" s="162">
        <v>70000</v>
      </c>
      <c r="L786" s="162">
        <v>151200</v>
      </c>
      <c r="M786" s="163">
        <v>10800</v>
      </c>
      <c r="N786" s="160">
        <v>38550</v>
      </c>
      <c r="O786" s="160">
        <v>151200</v>
      </c>
      <c r="P786" s="158">
        <v>0</v>
      </c>
      <c r="Q786" s="152">
        <v>45726</v>
      </c>
    </row>
    <row r="787" spans="1:17" ht="49.5" thickBot="1" x14ac:dyDescent="0.3">
      <c r="A787" s="154">
        <v>3104</v>
      </c>
      <c r="B787" s="155" t="s">
        <v>453</v>
      </c>
      <c r="C787" s="155"/>
      <c r="D787" s="155"/>
      <c r="E787" s="156">
        <v>45728</v>
      </c>
      <c r="F787" s="156">
        <v>45826</v>
      </c>
      <c r="G787" s="164">
        <v>70</v>
      </c>
      <c r="H787" s="168">
        <v>70</v>
      </c>
      <c r="I787" s="168">
        <v>0</v>
      </c>
      <c r="J787" s="192" t="s">
        <v>931</v>
      </c>
      <c r="K787" s="162">
        <v>50000</v>
      </c>
      <c r="L787" s="162">
        <v>65000</v>
      </c>
      <c r="M787" s="163">
        <v>4642.8571428571431</v>
      </c>
      <c r="N787" s="160">
        <v>65000</v>
      </c>
      <c r="O787" s="160">
        <v>65000</v>
      </c>
      <c r="P787" s="158">
        <v>0</v>
      </c>
      <c r="Q787" s="152">
        <v>45726</v>
      </c>
    </row>
    <row r="788" spans="1:17" ht="37.5" thickBot="1" x14ac:dyDescent="0.3">
      <c r="A788" s="154">
        <v>2828</v>
      </c>
      <c r="B788" s="155" t="s">
        <v>467</v>
      </c>
      <c r="C788" s="155" t="s">
        <v>468</v>
      </c>
      <c r="D788" s="155"/>
      <c r="E788" s="156">
        <v>45560</v>
      </c>
      <c r="F788" s="156">
        <v>45658</v>
      </c>
      <c r="G788" s="164">
        <v>70</v>
      </c>
      <c r="H788" s="168">
        <v>70</v>
      </c>
      <c r="I788" s="168">
        <v>0</v>
      </c>
      <c r="J788" s="192" t="s">
        <v>954</v>
      </c>
      <c r="K788" s="162">
        <v>100000</v>
      </c>
      <c r="L788" s="162">
        <v>217000</v>
      </c>
      <c r="M788" s="159">
        <v>15500</v>
      </c>
      <c r="N788" s="160">
        <v>4000</v>
      </c>
      <c r="O788" s="160">
        <v>217000</v>
      </c>
      <c r="P788" s="158">
        <v>0</v>
      </c>
      <c r="Q788" s="152">
        <v>45726</v>
      </c>
    </row>
    <row r="789" spans="1:17" ht="49.5" thickBot="1" x14ac:dyDescent="0.3">
      <c r="A789" s="154">
        <v>2948</v>
      </c>
      <c r="B789" s="155" t="s">
        <v>994</v>
      </c>
      <c r="C789" s="155" t="s">
        <v>448</v>
      </c>
      <c r="D789" s="155"/>
      <c r="E789" s="156">
        <v>45633</v>
      </c>
      <c r="F789" s="156">
        <v>45139</v>
      </c>
      <c r="G789" s="164">
        <v>80</v>
      </c>
      <c r="H789" s="168">
        <f>(EH789* 5)/M789</f>
        <v>0</v>
      </c>
      <c r="I789" s="168">
        <f>G789-H789</f>
        <v>80</v>
      </c>
      <c r="J789" s="190" t="s">
        <v>409</v>
      </c>
      <c r="K789" s="162">
        <v>50000</v>
      </c>
      <c r="L789" s="162">
        <v>108000</v>
      </c>
      <c r="M789" s="163">
        <f>(L789/G789)*5</f>
        <v>6750</v>
      </c>
      <c r="N789" s="358" t="s">
        <v>995</v>
      </c>
      <c r="O789" s="499">
        <v>54000</v>
      </c>
      <c r="P789" s="500">
        <v>54000</v>
      </c>
      <c r="Q789" s="152">
        <v>45726</v>
      </c>
    </row>
    <row r="790" spans="1:17" ht="39.75" thickBot="1" x14ac:dyDescent="0.3">
      <c r="A790" s="199">
        <v>2940</v>
      </c>
      <c r="B790" s="200" t="s">
        <v>186</v>
      </c>
      <c r="C790" s="200" t="s">
        <v>187</v>
      </c>
      <c r="D790" s="200"/>
      <c r="E790" s="201">
        <v>45628</v>
      </c>
      <c r="F790" s="201">
        <v>45728</v>
      </c>
      <c r="G790" s="202">
        <v>72</v>
      </c>
      <c r="H790" s="203">
        <v>72</v>
      </c>
      <c r="I790" s="203">
        <v>0</v>
      </c>
      <c r="J790" s="200" t="s">
        <v>165</v>
      </c>
      <c r="K790" s="493">
        <v>200000</v>
      </c>
      <c r="L790" s="204">
        <v>432000</v>
      </c>
      <c r="M790" s="205">
        <v>30000</v>
      </c>
      <c r="N790" s="206">
        <v>12000</v>
      </c>
      <c r="O790" s="206">
        <v>432000</v>
      </c>
      <c r="P790" s="204">
        <v>0</v>
      </c>
      <c r="Q790" s="152">
        <v>45733</v>
      </c>
    </row>
    <row r="791" spans="1:17" ht="39.75" thickBot="1" x14ac:dyDescent="0.3">
      <c r="A791" s="199">
        <v>2905</v>
      </c>
      <c r="B791" s="200" t="s">
        <v>230</v>
      </c>
      <c r="C791" s="200" t="s">
        <v>231</v>
      </c>
      <c r="D791" s="200">
        <v>14154231</v>
      </c>
      <c r="E791" s="201">
        <v>45607</v>
      </c>
      <c r="F791" s="201">
        <v>45707</v>
      </c>
      <c r="G791" s="202">
        <v>72</v>
      </c>
      <c r="H791" s="203">
        <v>72</v>
      </c>
      <c r="I791" s="203">
        <v>0</v>
      </c>
      <c r="J791" s="207" t="s">
        <v>232</v>
      </c>
      <c r="K791" s="208">
        <v>300000</v>
      </c>
      <c r="L791" s="208">
        <v>648000</v>
      </c>
      <c r="M791" s="205">
        <v>45000</v>
      </c>
      <c r="N791" s="206">
        <v>162000</v>
      </c>
      <c r="O791" s="206">
        <v>648000</v>
      </c>
      <c r="P791" s="204">
        <v>0</v>
      </c>
      <c r="Q791" s="152">
        <v>45733</v>
      </c>
    </row>
    <row r="792" spans="1:17" ht="39.75" thickBot="1" x14ac:dyDescent="0.3">
      <c r="A792" s="199">
        <v>3069</v>
      </c>
      <c r="B792" s="200" t="s">
        <v>239</v>
      </c>
      <c r="C792" s="200" t="s">
        <v>240</v>
      </c>
      <c r="D792" s="200"/>
      <c r="E792" s="201">
        <v>45707</v>
      </c>
      <c r="F792" s="201">
        <v>45735</v>
      </c>
      <c r="G792" s="202">
        <v>20</v>
      </c>
      <c r="H792" s="203">
        <v>73.324192565508838</v>
      </c>
      <c r="I792" s="203">
        <v>-53.324192565508838</v>
      </c>
      <c r="J792" s="207" t="s">
        <v>403</v>
      </c>
      <c r="K792" s="208">
        <v>350000</v>
      </c>
      <c r="L792" s="208">
        <v>481280</v>
      </c>
      <c r="M792" s="205">
        <v>32820</v>
      </c>
      <c r="N792" s="206">
        <v>124200</v>
      </c>
      <c r="O792" s="206">
        <v>481300</v>
      </c>
      <c r="P792" s="204">
        <v>-20</v>
      </c>
      <c r="Q792" s="152">
        <v>45733</v>
      </c>
    </row>
    <row r="793" spans="1:17" ht="39.75" thickBot="1" x14ac:dyDescent="0.3">
      <c r="A793" s="199">
        <v>2827</v>
      </c>
      <c r="B793" s="200" t="s">
        <v>242</v>
      </c>
      <c r="C793" s="200" t="s">
        <v>243</v>
      </c>
      <c r="D793" s="200"/>
      <c r="E793" s="201">
        <v>45560</v>
      </c>
      <c r="F793" s="201">
        <v>45728</v>
      </c>
      <c r="G793" s="202">
        <v>120</v>
      </c>
      <c r="H793" s="203">
        <v>120</v>
      </c>
      <c r="I793" s="203">
        <v>0</v>
      </c>
      <c r="J793" s="207" t="s">
        <v>245</v>
      </c>
      <c r="K793" s="208">
        <v>100000</v>
      </c>
      <c r="L793" s="208">
        <v>264000</v>
      </c>
      <c r="M793" s="205">
        <v>11000</v>
      </c>
      <c r="N793" s="206">
        <v>44000</v>
      </c>
      <c r="O793" s="206">
        <v>264000</v>
      </c>
      <c r="P793" s="204">
        <v>0</v>
      </c>
      <c r="Q793" s="152">
        <v>45733</v>
      </c>
    </row>
    <row r="794" spans="1:17" ht="27" thickBot="1" x14ac:dyDescent="0.3">
      <c r="A794" s="199">
        <v>3098</v>
      </c>
      <c r="B794" s="200" t="s">
        <v>707</v>
      </c>
      <c r="C794" s="200"/>
      <c r="D794" s="200"/>
      <c r="E794" s="201">
        <v>45725</v>
      </c>
      <c r="F794" s="201">
        <v>45730</v>
      </c>
      <c r="G794" s="202">
        <v>5</v>
      </c>
      <c r="H794" s="203" t="e">
        <v>#DIV/0!</v>
      </c>
      <c r="I794" s="203" t="e">
        <v>#DIV/0!</v>
      </c>
      <c r="J794" s="207" t="s">
        <v>403</v>
      </c>
      <c r="K794" s="208">
        <v>30000</v>
      </c>
      <c r="L794" s="208">
        <v>39000</v>
      </c>
      <c r="M794" s="209"/>
      <c r="N794" s="206">
        <v>39000</v>
      </c>
      <c r="O794" s="206">
        <v>39000</v>
      </c>
      <c r="P794" s="204">
        <v>0</v>
      </c>
      <c r="Q794" s="152">
        <v>45733</v>
      </c>
    </row>
    <row r="795" spans="1:17" ht="27" thickBot="1" x14ac:dyDescent="0.3">
      <c r="A795" s="199">
        <v>3105</v>
      </c>
      <c r="B795" s="200" t="s">
        <v>707</v>
      </c>
      <c r="C795" s="200"/>
      <c r="D795" s="200"/>
      <c r="E795" s="201">
        <v>45729</v>
      </c>
      <c r="F795" s="201">
        <v>45736</v>
      </c>
      <c r="G795" s="202">
        <v>5</v>
      </c>
      <c r="H795" s="203" t="e">
        <v>#VALUE!</v>
      </c>
      <c r="I795" s="203" t="e">
        <v>#VALUE!</v>
      </c>
      <c r="J795" s="207" t="s">
        <v>403</v>
      </c>
      <c r="K795" s="204">
        <v>100000</v>
      </c>
      <c r="L795" s="204">
        <v>130000</v>
      </c>
      <c r="M795" s="205" t="s">
        <v>143</v>
      </c>
      <c r="N795" s="206">
        <v>130000</v>
      </c>
      <c r="O795" s="206">
        <v>130000</v>
      </c>
      <c r="P795" s="204">
        <v>0</v>
      </c>
      <c r="Q795" s="152">
        <v>45733</v>
      </c>
    </row>
    <row r="796" spans="1:17" ht="65.25" thickBot="1" x14ac:dyDescent="0.3">
      <c r="A796" s="199">
        <v>2834</v>
      </c>
      <c r="B796" s="200" t="s">
        <v>316</v>
      </c>
      <c r="C796" s="200" t="s">
        <v>317</v>
      </c>
      <c r="D796" s="200"/>
      <c r="E796" s="201">
        <v>45563</v>
      </c>
      <c r="F796" s="201">
        <v>45664</v>
      </c>
      <c r="G796" s="202">
        <v>72</v>
      </c>
      <c r="H796" s="203">
        <v>72</v>
      </c>
      <c r="I796" s="203">
        <v>0</v>
      </c>
      <c r="J796" s="200" t="s">
        <v>576</v>
      </c>
      <c r="K796" s="208">
        <v>10000</v>
      </c>
      <c r="L796" s="208">
        <v>21600</v>
      </c>
      <c r="M796" s="205">
        <v>1500</v>
      </c>
      <c r="N796" s="206">
        <v>600</v>
      </c>
      <c r="O796" s="206">
        <v>21600</v>
      </c>
      <c r="P796" s="204">
        <v>0</v>
      </c>
      <c r="Q796" s="152">
        <v>45733</v>
      </c>
    </row>
    <row r="797" spans="1:17" ht="65.25" thickBot="1" x14ac:dyDescent="0.3">
      <c r="A797" s="199">
        <v>2887</v>
      </c>
      <c r="B797" s="200" t="s">
        <v>560</v>
      </c>
      <c r="C797" s="200" t="s">
        <v>561</v>
      </c>
      <c r="D797" s="200"/>
      <c r="E797" s="201">
        <v>45593</v>
      </c>
      <c r="F797" s="201">
        <v>45693</v>
      </c>
      <c r="G797" s="202">
        <v>72</v>
      </c>
      <c r="H797" s="203">
        <v>72</v>
      </c>
      <c r="I797" s="203">
        <v>0</v>
      </c>
      <c r="J797" s="200" t="s">
        <v>227</v>
      </c>
      <c r="K797" s="208">
        <v>50000</v>
      </c>
      <c r="L797" s="208">
        <v>108000</v>
      </c>
      <c r="M797" s="209">
        <v>7500</v>
      </c>
      <c r="N797" s="206">
        <v>10500</v>
      </c>
      <c r="O797" s="206">
        <v>108000</v>
      </c>
      <c r="P797" s="204">
        <v>0</v>
      </c>
      <c r="Q797" s="152">
        <v>45733</v>
      </c>
    </row>
    <row r="798" spans="1:17" ht="65.25" thickBot="1" x14ac:dyDescent="0.3">
      <c r="A798" s="199">
        <v>2902</v>
      </c>
      <c r="B798" s="200" t="s">
        <v>624</v>
      </c>
      <c r="C798" s="200" t="s">
        <v>160</v>
      </c>
      <c r="D798" s="200"/>
      <c r="E798" s="201">
        <v>45607</v>
      </c>
      <c r="F798" s="201">
        <v>45707</v>
      </c>
      <c r="G798" s="202">
        <v>72</v>
      </c>
      <c r="H798" s="203">
        <v>72</v>
      </c>
      <c r="I798" s="203">
        <v>0</v>
      </c>
      <c r="J798" s="200" t="s">
        <v>162</v>
      </c>
      <c r="K798" s="492">
        <v>60000</v>
      </c>
      <c r="L798" s="204">
        <v>129600</v>
      </c>
      <c r="M798" s="205">
        <v>9000</v>
      </c>
      <c r="N798" s="206">
        <v>9000</v>
      </c>
      <c r="O798" s="206">
        <v>129600</v>
      </c>
      <c r="P798" s="204">
        <v>0</v>
      </c>
      <c r="Q798" s="152">
        <v>45733</v>
      </c>
    </row>
    <row r="799" spans="1:17" ht="52.5" thickBot="1" x14ac:dyDescent="0.3">
      <c r="A799" s="199">
        <v>2784</v>
      </c>
      <c r="B799" s="200" t="s">
        <v>376</v>
      </c>
      <c r="C799" s="200"/>
      <c r="D799" s="200"/>
      <c r="E799" s="201">
        <v>45534</v>
      </c>
      <c r="F799" s="201">
        <v>45702</v>
      </c>
      <c r="G799" s="202">
        <v>120</v>
      </c>
      <c r="H799" s="203">
        <v>120</v>
      </c>
      <c r="I799" s="203">
        <v>0</v>
      </c>
      <c r="J799" s="207" t="s">
        <v>153</v>
      </c>
      <c r="K799" s="208">
        <v>100000</v>
      </c>
      <c r="L799" s="208">
        <v>264000</v>
      </c>
      <c r="M799" s="205">
        <v>11000</v>
      </c>
      <c r="N799" s="206">
        <v>44000</v>
      </c>
      <c r="O799" s="206">
        <v>264000</v>
      </c>
      <c r="P799" s="204">
        <v>0</v>
      </c>
      <c r="Q799" s="152">
        <v>45733</v>
      </c>
    </row>
    <row r="800" spans="1:17" ht="52.5" thickBot="1" x14ac:dyDescent="0.3">
      <c r="A800" s="199">
        <v>2911</v>
      </c>
      <c r="B800" s="200" t="s">
        <v>393</v>
      </c>
      <c r="C800" s="200" t="s">
        <v>394</v>
      </c>
      <c r="D800" s="200" t="s">
        <v>395</v>
      </c>
      <c r="E800" s="201">
        <v>45609</v>
      </c>
      <c r="F800" s="201">
        <v>45709</v>
      </c>
      <c r="G800" s="202">
        <v>72</v>
      </c>
      <c r="H800" s="203">
        <v>72</v>
      </c>
      <c r="I800" s="203">
        <v>0</v>
      </c>
      <c r="J800" s="200" t="s">
        <v>165</v>
      </c>
      <c r="K800" s="208">
        <v>200000</v>
      </c>
      <c r="L800" s="208">
        <v>432000</v>
      </c>
      <c r="M800" s="205">
        <v>30000</v>
      </c>
      <c r="N800" s="206">
        <v>12000</v>
      </c>
      <c r="O800" s="206">
        <v>432000</v>
      </c>
      <c r="P800" s="204">
        <v>0</v>
      </c>
      <c r="Q800" s="152">
        <v>45733</v>
      </c>
    </row>
    <row r="801" spans="1:17" ht="103.5" thickBot="1" x14ac:dyDescent="0.3">
      <c r="A801" s="199">
        <v>2737</v>
      </c>
      <c r="B801" s="200" t="s">
        <v>431</v>
      </c>
      <c r="C801" s="200" t="s">
        <v>432</v>
      </c>
      <c r="D801" s="200"/>
      <c r="E801" s="201">
        <v>45504</v>
      </c>
      <c r="F801" s="201">
        <v>45672</v>
      </c>
      <c r="G801" s="202">
        <v>120</v>
      </c>
      <c r="H801" s="203">
        <v>120</v>
      </c>
      <c r="I801" s="203">
        <v>0</v>
      </c>
      <c r="J801" s="200" t="s">
        <v>996</v>
      </c>
      <c r="K801" s="208">
        <v>500000</v>
      </c>
      <c r="L801" s="208">
        <v>1320000</v>
      </c>
      <c r="M801" s="205">
        <v>55000</v>
      </c>
      <c r="N801" s="206">
        <v>75000</v>
      </c>
      <c r="O801" s="206">
        <v>1320000</v>
      </c>
      <c r="P801" s="204">
        <v>0</v>
      </c>
      <c r="Q801" s="152">
        <v>45733</v>
      </c>
    </row>
    <row r="802" spans="1:17" ht="78" thickBot="1" x14ac:dyDescent="0.3">
      <c r="A802" s="199">
        <v>2812</v>
      </c>
      <c r="B802" s="200" t="s">
        <v>269</v>
      </c>
      <c r="C802" s="200" t="s">
        <v>270</v>
      </c>
      <c r="D802" s="200"/>
      <c r="E802" s="201">
        <v>45553</v>
      </c>
      <c r="F802" s="201">
        <v>45742</v>
      </c>
      <c r="G802" s="202">
        <v>135</v>
      </c>
      <c r="H802" s="207" t="s">
        <v>997</v>
      </c>
      <c r="I802" s="204">
        <v>300000</v>
      </c>
      <c r="J802" s="204">
        <v>810000</v>
      </c>
      <c r="K802" s="205">
        <v>30000</v>
      </c>
      <c r="L802" s="204">
        <v>810000</v>
      </c>
      <c r="M802" s="205">
        <v>30000</v>
      </c>
      <c r="N802" s="206">
        <v>90000</v>
      </c>
      <c r="O802" s="206">
        <v>810000</v>
      </c>
      <c r="P802" s="204">
        <v>0</v>
      </c>
      <c r="Q802" s="152">
        <v>45740</v>
      </c>
    </row>
    <row r="803" spans="1:17" ht="78" thickBot="1" x14ac:dyDescent="0.3">
      <c r="A803" s="199">
        <v>2926</v>
      </c>
      <c r="B803" s="200" t="s">
        <v>269</v>
      </c>
      <c r="C803" s="200" t="s">
        <v>270</v>
      </c>
      <c r="D803" s="200"/>
      <c r="E803" s="201">
        <v>45619</v>
      </c>
      <c r="F803" s="201">
        <v>45730</v>
      </c>
      <c r="G803" s="202">
        <v>80</v>
      </c>
      <c r="H803" s="207" t="s">
        <v>273</v>
      </c>
      <c r="I803" s="208">
        <v>100000</v>
      </c>
      <c r="J803" s="208">
        <v>216000</v>
      </c>
      <c r="K803" s="205">
        <v>13500</v>
      </c>
      <c r="L803" s="208">
        <v>216000</v>
      </c>
      <c r="M803" s="205">
        <v>13500</v>
      </c>
      <c r="N803" s="206">
        <v>54000</v>
      </c>
      <c r="O803" s="206">
        <v>216000</v>
      </c>
      <c r="P803" s="204">
        <v>0</v>
      </c>
      <c r="Q803" s="152">
        <v>45740</v>
      </c>
    </row>
    <row r="804" spans="1:17" ht="27" thickBot="1" x14ac:dyDescent="0.3">
      <c r="A804" s="199">
        <v>3117</v>
      </c>
      <c r="B804" s="200" t="s">
        <v>707</v>
      </c>
      <c r="C804" s="200"/>
      <c r="D804" s="200"/>
      <c r="E804" s="201">
        <v>45736</v>
      </c>
      <c r="F804" s="201">
        <v>45743</v>
      </c>
      <c r="G804" s="202">
        <v>5</v>
      </c>
      <c r="H804" s="207" t="s">
        <v>403</v>
      </c>
      <c r="I804" s="208">
        <v>100000</v>
      </c>
      <c r="J804" s="208">
        <v>130000</v>
      </c>
      <c r="K804" s="205"/>
      <c r="L804" s="208">
        <v>130000</v>
      </c>
      <c r="M804" s="205"/>
      <c r="N804" s="206">
        <v>130000</v>
      </c>
      <c r="O804" s="206">
        <v>130000</v>
      </c>
      <c r="P804" s="204">
        <v>0</v>
      </c>
      <c r="Q804" s="152">
        <v>45740</v>
      </c>
    </row>
    <row r="805" spans="1:17" ht="65.25" thickBot="1" x14ac:dyDescent="0.3">
      <c r="A805" s="199">
        <v>2879</v>
      </c>
      <c r="B805" s="200" t="s">
        <v>321</v>
      </c>
      <c r="C805" s="200" t="s">
        <v>322</v>
      </c>
      <c r="D805" s="200"/>
      <c r="E805" s="201">
        <v>45588</v>
      </c>
      <c r="F805" s="201">
        <v>45700</v>
      </c>
      <c r="G805" s="202">
        <v>80</v>
      </c>
      <c r="H805" s="207" t="s">
        <v>998</v>
      </c>
      <c r="I805" s="208">
        <v>50000</v>
      </c>
      <c r="J805" s="208">
        <v>120000</v>
      </c>
      <c r="K805" s="209">
        <v>7500</v>
      </c>
      <c r="L805" s="208">
        <v>120000</v>
      </c>
      <c r="M805" s="209">
        <v>7500</v>
      </c>
      <c r="N805" s="206">
        <v>30000</v>
      </c>
      <c r="O805" s="206">
        <v>137020</v>
      </c>
      <c r="P805" s="204">
        <v>-17020</v>
      </c>
      <c r="Q805" s="152">
        <v>45740</v>
      </c>
    </row>
    <row r="806" spans="1:17" ht="78" thickBot="1" x14ac:dyDescent="0.3">
      <c r="A806" s="199">
        <v>2839</v>
      </c>
      <c r="B806" s="200" t="s">
        <v>350</v>
      </c>
      <c r="C806" s="200" t="s">
        <v>167</v>
      </c>
      <c r="D806" s="200"/>
      <c r="E806" s="201">
        <v>45566</v>
      </c>
      <c r="F806" s="201">
        <v>45666</v>
      </c>
      <c r="G806" s="202">
        <v>72</v>
      </c>
      <c r="H806" s="200" t="s">
        <v>351</v>
      </c>
      <c r="I806" s="204">
        <v>80000</v>
      </c>
      <c r="J806" s="204">
        <v>198000</v>
      </c>
      <c r="K806" s="205">
        <v>13750</v>
      </c>
      <c r="L806" s="204">
        <v>198000</v>
      </c>
      <c r="M806" s="205">
        <v>13750</v>
      </c>
      <c r="N806" s="206">
        <v>25000</v>
      </c>
      <c r="O806" s="206">
        <v>203000</v>
      </c>
      <c r="P806" s="204">
        <v>-5000</v>
      </c>
      <c r="Q806" s="152">
        <v>45740</v>
      </c>
    </row>
    <row r="807" spans="1:17" ht="52.5" thickBot="1" x14ac:dyDescent="0.3">
      <c r="A807" s="199">
        <v>2920</v>
      </c>
      <c r="B807" s="200" t="s">
        <v>385</v>
      </c>
      <c r="C807" s="200" t="s">
        <v>386</v>
      </c>
      <c r="D807" s="200"/>
      <c r="E807" s="201">
        <v>45616</v>
      </c>
      <c r="F807" s="201">
        <v>45716</v>
      </c>
      <c r="G807" s="202">
        <v>72</v>
      </c>
      <c r="H807" s="200" t="s">
        <v>227</v>
      </c>
      <c r="I807" s="204">
        <v>50000</v>
      </c>
      <c r="J807" s="204">
        <v>108000</v>
      </c>
      <c r="K807" s="209">
        <v>7500</v>
      </c>
      <c r="L807" s="204">
        <v>108000</v>
      </c>
      <c r="M807" s="209">
        <v>7500</v>
      </c>
      <c r="N807" s="206">
        <v>10500</v>
      </c>
      <c r="O807" s="206">
        <v>108000</v>
      </c>
      <c r="P807" s="204">
        <v>0</v>
      </c>
      <c r="Q807" s="152">
        <v>45740</v>
      </c>
    </row>
    <row r="808" spans="1:17" ht="52.5" thickBot="1" x14ac:dyDescent="0.3">
      <c r="A808" s="199">
        <v>2943</v>
      </c>
      <c r="B808" s="200" t="s">
        <v>385</v>
      </c>
      <c r="C808" s="200" t="s">
        <v>386</v>
      </c>
      <c r="D808" s="200"/>
      <c r="E808" s="201">
        <v>45630</v>
      </c>
      <c r="F808" s="201">
        <v>45730</v>
      </c>
      <c r="G808" s="202">
        <v>72</v>
      </c>
      <c r="H808" s="200" t="s">
        <v>162</v>
      </c>
      <c r="I808" s="208">
        <v>60000</v>
      </c>
      <c r="J808" s="208">
        <v>129600</v>
      </c>
      <c r="K808" s="205">
        <v>9000</v>
      </c>
      <c r="L808" s="208">
        <v>129600</v>
      </c>
      <c r="M808" s="205">
        <v>9000</v>
      </c>
      <c r="N808" s="206">
        <v>23900</v>
      </c>
      <c r="O808" s="206">
        <v>129600</v>
      </c>
      <c r="P808" s="204">
        <v>0</v>
      </c>
      <c r="Q808" s="152">
        <v>45740</v>
      </c>
    </row>
    <row r="809" spans="1:17" ht="35.25" thickBot="1" x14ac:dyDescent="0.3">
      <c r="A809" s="1">
        <v>3032</v>
      </c>
      <c r="B809" s="2" t="s">
        <v>972</v>
      </c>
      <c r="C809" s="2" t="s">
        <v>973</v>
      </c>
      <c r="D809" s="2"/>
      <c r="E809" s="3">
        <v>45684</v>
      </c>
      <c r="F809" s="3">
        <v>45705</v>
      </c>
      <c r="G809" s="4">
        <v>15</v>
      </c>
      <c r="H809" s="5">
        <v>15</v>
      </c>
      <c r="I809" s="5">
        <v>0</v>
      </c>
      <c r="J809" s="6" t="s">
        <v>999</v>
      </c>
      <c r="K809" s="7">
        <v>130000</v>
      </c>
      <c r="L809" s="7">
        <v>180000</v>
      </c>
      <c r="M809" s="8">
        <v>60000</v>
      </c>
      <c r="N809" s="9">
        <v>30000</v>
      </c>
      <c r="O809" s="9">
        <v>180000</v>
      </c>
      <c r="P809" s="10">
        <v>0</v>
      </c>
      <c r="Q809" s="152">
        <v>45747</v>
      </c>
    </row>
    <row r="810" spans="1:17" ht="57.75" thickBot="1" x14ac:dyDescent="0.3">
      <c r="A810" s="1">
        <v>2863</v>
      </c>
      <c r="B810" s="2" t="s">
        <v>280</v>
      </c>
      <c r="C810" s="2" t="s">
        <v>281</v>
      </c>
      <c r="D810" s="2"/>
      <c r="E810" s="3">
        <v>45582</v>
      </c>
      <c r="F810" s="3">
        <v>45694</v>
      </c>
      <c r="G810" s="4">
        <v>80</v>
      </c>
      <c r="H810" s="5">
        <v>80</v>
      </c>
      <c r="I810" s="5">
        <v>0</v>
      </c>
      <c r="J810" s="6" t="s">
        <v>831</v>
      </c>
      <c r="K810" s="7">
        <v>20000</v>
      </c>
      <c r="L810" s="7">
        <v>43200</v>
      </c>
      <c r="M810" s="21">
        <v>2700</v>
      </c>
      <c r="N810" s="9">
        <v>5600</v>
      </c>
      <c r="O810" s="9">
        <v>43200</v>
      </c>
      <c r="P810" s="10">
        <v>0</v>
      </c>
      <c r="Q810" s="152">
        <v>45747</v>
      </c>
    </row>
    <row r="811" spans="1:17" ht="46.5" thickBot="1" x14ac:dyDescent="0.3">
      <c r="A811" s="1">
        <v>2945</v>
      </c>
      <c r="B811" s="2" t="s">
        <v>319</v>
      </c>
      <c r="C811" s="2" t="s">
        <v>317</v>
      </c>
      <c r="D811" s="2"/>
      <c r="E811" s="3">
        <v>45630</v>
      </c>
      <c r="F811" s="3">
        <v>45730</v>
      </c>
      <c r="G811" s="4">
        <v>72</v>
      </c>
      <c r="H811" s="5">
        <v>72</v>
      </c>
      <c r="I811" s="5">
        <v>0</v>
      </c>
      <c r="J811" s="2" t="s">
        <v>182</v>
      </c>
      <c r="K811" s="7">
        <v>20000</v>
      </c>
      <c r="L811" s="7">
        <v>43200</v>
      </c>
      <c r="M811" s="8">
        <v>3000</v>
      </c>
      <c r="N811" s="9">
        <v>8400</v>
      </c>
      <c r="O811" s="9">
        <v>43200</v>
      </c>
      <c r="P811" s="10">
        <v>0</v>
      </c>
      <c r="Q811" s="152">
        <v>45747</v>
      </c>
    </row>
    <row r="812" spans="1:17" ht="46.5" thickBot="1" x14ac:dyDescent="0.3">
      <c r="A812" s="1">
        <v>2697</v>
      </c>
      <c r="B812" s="2" t="s">
        <v>337</v>
      </c>
      <c r="C812" s="2" t="s">
        <v>338</v>
      </c>
      <c r="D812" s="2"/>
      <c r="E812" s="3">
        <v>45479</v>
      </c>
      <c r="F812" s="3">
        <v>45688</v>
      </c>
      <c r="G812" s="4">
        <v>150</v>
      </c>
      <c r="H812" s="5">
        <v>150</v>
      </c>
      <c r="I812" s="5">
        <v>0</v>
      </c>
      <c r="J812" s="16" t="s">
        <v>340</v>
      </c>
      <c r="K812" s="10">
        <v>300000</v>
      </c>
      <c r="L812" s="10">
        <v>792000</v>
      </c>
      <c r="M812" s="8">
        <v>26400</v>
      </c>
      <c r="N812" s="9">
        <v>75800</v>
      </c>
      <c r="O812" s="9">
        <v>792000</v>
      </c>
      <c r="P812" s="10">
        <v>0</v>
      </c>
      <c r="Q812" s="152">
        <v>45747</v>
      </c>
    </row>
    <row r="813" spans="1:17" ht="35.25" thickBot="1" x14ac:dyDescent="0.3">
      <c r="A813" s="1">
        <v>2811</v>
      </c>
      <c r="B813" s="2" t="s">
        <v>359</v>
      </c>
      <c r="C813" s="2" t="s">
        <v>360</v>
      </c>
      <c r="D813" s="2"/>
      <c r="E813" s="3">
        <v>45552</v>
      </c>
      <c r="F813" s="3">
        <v>45706</v>
      </c>
      <c r="G813" s="4">
        <v>110</v>
      </c>
      <c r="H813" s="5">
        <v>111.05357142857143</v>
      </c>
      <c r="I813" s="5">
        <v>-1.0535714285714306</v>
      </c>
      <c r="J813" s="16" t="s">
        <v>1000</v>
      </c>
      <c r="K813" s="10">
        <v>70000</v>
      </c>
      <c r="L813" s="10">
        <v>184800</v>
      </c>
      <c r="M813" s="21">
        <v>8400</v>
      </c>
      <c r="N813" s="9">
        <v>20000</v>
      </c>
      <c r="O813" s="9">
        <v>186570</v>
      </c>
      <c r="P813" s="10">
        <v>-1770</v>
      </c>
      <c r="Q813" s="152">
        <v>45747</v>
      </c>
    </row>
    <row r="814" spans="1:17" ht="46.5" thickBot="1" x14ac:dyDescent="0.3">
      <c r="A814" s="1">
        <v>2925</v>
      </c>
      <c r="B814" s="2" t="s">
        <v>624</v>
      </c>
      <c r="C814" s="2" t="s">
        <v>160</v>
      </c>
      <c r="D814" s="2"/>
      <c r="E814" s="3">
        <v>45619</v>
      </c>
      <c r="F814" s="3">
        <v>45720</v>
      </c>
      <c r="G814" s="4">
        <v>72</v>
      </c>
      <c r="H814" s="5">
        <v>72</v>
      </c>
      <c r="I814" s="5">
        <v>0</v>
      </c>
      <c r="J814" s="2" t="s">
        <v>227</v>
      </c>
      <c r="K814" s="7">
        <v>50000</v>
      </c>
      <c r="L814" s="7">
        <v>108000</v>
      </c>
      <c r="M814" s="21">
        <v>7500</v>
      </c>
      <c r="N814" s="9">
        <v>5500</v>
      </c>
      <c r="O814" s="9">
        <v>108000</v>
      </c>
      <c r="P814" s="10">
        <v>0</v>
      </c>
      <c r="Q814" s="152">
        <v>45747</v>
      </c>
    </row>
    <row r="815" spans="1:17" ht="35.25" thickBot="1" x14ac:dyDescent="0.3">
      <c r="A815" s="1">
        <v>2958</v>
      </c>
      <c r="B815" s="2" t="s">
        <v>385</v>
      </c>
      <c r="C815" s="2" t="s">
        <v>386</v>
      </c>
      <c r="D815" s="2"/>
      <c r="E815" s="3">
        <v>45643</v>
      </c>
      <c r="F815" s="3">
        <v>45743</v>
      </c>
      <c r="G815" s="4">
        <v>72</v>
      </c>
      <c r="H815" s="5">
        <v>72</v>
      </c>
      <c r="I815" s="5">
        <v>0</v>
      </c>
      <c r="J815" s="2" t="s">
        <v>227</v>
      </c>
      <c r="K815" s="7">
        <v>50000</v>
      </c>
      <c r="L815" s="7">
        <v>108000</v>
      </c>
      <c r="M815" s="21">
        <v>7500</v>
      </c>
      <c r="N815" s="9">
        <v>38500</v>
      </c>
      <c r="O815" s="9">
        <v>108000</v>
      </c>
      <c r="P815" s="10">
        <v>0</v>
      </c>
      <c r="Q815" s="152">
        <v>45747</v>
      </c>
    </row>
    <row r="816" spans="1:17" ht="46.5" thickBot="1" x14ac:dyDescent="0.3">
      <c r="A816" s="1">
        <v>2992</v>
      </c>
      <c r="B816" s="2" t="s">
        <v>423</v>
      </c>
      <c r="C816" s="2" t="s">
        <v>420</v>
      </c>
      <c r="D816" s="2"/>
      <c r="E816" s="3">
        <v>45665</v>
      </c>
      <c r="F816" s="3">
        <v>45765</v>
      </c>
      <c r="G816" s="4">
        <v>72</v>
      </c>
      <c r="H816" s="5">
        <v>72</v>
      </c>
      <c r="I816" s="5">
        <v>0</v>
      </c>
      <c r="J816" s="2" t="s">
        <v>161</v>
      </c>
      <c r="K816" s="7">
        <v>100000</v>
      </c>
      <c r="L816" s="7">
        <v>216000</v>
      </c>
      <c r="M816" s="8">
        <v>15000</v>
      </c>
      <c r="N816" s="9">
        <v>81000</v>
      </c>
      <c r="O816" s="9">
        <v>216000</v>
      </c>
      <c r="P816" s="10">
        <v>0</v>
      </c>
      <c r="Q816" s="152">
        <v>45747</v>
      </c>
    </row>
    <row r="817" spans="1:17" ht="46.5" thickBot="1" x14ac:dyDescent="0.3">
      <c r="A817" s="1">
        <v>2914</v>
      </c>
      <c r="B817" s="2" t="s">
        <v>179</v>
      </c>
      <c r="C817" s="2" t="s">
        <v>180</v>
      </c>
      <c r="D817" s="2"/>
      <c r="E817" s="3">
        <v>45610</v>
      </c>
      <c r="F817" s="3">
        <v>45712</v>
      </c>
      <c r="G817" s="4">
        <v>72</v>
      </c>
      <c r="H817" s="5">
        <v>72</v>
      </c>
      <c r="I817" s="5">
        <v>0</v>
      </c>
      <c r="J817" s="2" t="s">
        <v>181</v>
      </c>
      <c r="K817" s="10">
        <v>30000</v>
      </c>
      <c r="L817" s="10">
        <v>64800</v>
      </c>
      <c r="M817" s="8">
        <v>4500</v>
      </c>
      <c r="N817" s="9">
        <v>150</v>
      </c>
      <c r="O817" s="9">
        <v>64800</v>
      </c>
      <c r="P817" s="10">
        <v>0</v>
      </c>
      <c r="Q817" s="152">
        <v>45754</v>
      </c>
    </row>
    <row r="818" spans="1:17" ht="35.25" thickBot="1" x14ac:dyDescent="0.3">
      <c r="A818" s="1">
        <v>2672</v>
      </c>
      <c r="B818" s="2" t="s">
        <v>296</v>
      </c>
      <c r="C818" s="2" t="s">
        <v>297</v>
      </c>
      <c r="D818" s="2">
        <v>13589728</v>
      </c>
      <c r="E818" s="3">
        <v>45462</v>
      </c>
      <c r="F818" s="3">
        <v>45742</v>
      </c>
      <c r="G818" s="4">
        <v>200</v>
      </c>
      <c r="H818" s="5">
        <v>200</v>
      </c>
      <c r="I818" s="5">
        <v>0</v>
      </c>
      <c r="J818" s="6" t="s">
        <v>298</v>
      </c>
      <c r="K818" s="10">
        <v>300000</v>
      </c>
      <c r="L818" s="10">
        <v>900000</v>
      </c>
      <c r="M818" s="8">
        <v>22500</v>
      </c>
      <c r="N818" s="9">
        <v>90000</v>
      </c>
      <c r="O818" s="9">
        <v>900000</v>
      </c>
      <c r="P818" s="10">
        <v>0</v>
      </c>
      <c r="Q818" s="152">
        <v>45754</v>
      </c>
    </row>
    <row r="819" spans="1:17" ht="15.75" thickBot="1" x14ac:dyDescent="0.3">
      <c r="A819" s="1">
        <v>3106</v>
      </c>
      <c r="B819" s="2" t="s">
        <v>367</v>
      </c>
      <c r="C819" s="2"/>
      <c r="D819" s="2"/>
      <c r="E819" s="3">
        <v>45730</v>
      </c>
      <c r="F819" s="3">
        <v>45758</v>
      </c>
      <c r="G819" s="4">
        <v>20</v>
      </c>
      <c r="H819" s="5" t="e">
        <v>#VALUE!</v>
      </c>
      <c r="I819" s="5" t="e">
        <v>#VALUE!</v>
      </c>
      <c r="J819" s="6" t="s">
        <v>368</v>
      </c>
      <c r="K819" s="7">
        <v>30000</v>
      </c>
      <c r="L819" s="7">
        <v>48000</v>
      </c>
      <c r="M819" s="8" t="s">
        <v>143</v>
      </c>
      <c r="N819" s="9">
        <v>48000</v>
      </c>
      <c r="O819" s="9">
        <v>48000</v>
      </c>
      <c r="P819" s="10">
        <v>0</v>
      </c>
      <c r="Q819" s="152">
        <v>45754</v>
      </c>
    </row>
    <row r="820" spans="1:17" ht="15.75" thickBot="1" x14ac:dyDescent="0.3">
      <c r="A820" s="1">
        <v>3129</v>
      </c>
      <c r="B820" s="2" t="s">
        <v>367</v>
      </c>
      <c r="C820" s="2"/>
      <c r="D820" s="2"/>
      <c r="E820" s="3">
        <v>45744</v>
      </c>
      <c r="F820" s="3">
        <v>45758</v>
      </c>
      <c r="G820" s="4">
        <v>10</v>
      </c>
      <c r="H820" s="5" t="e">
        <v>#DIV/0!</v>
      </c>
      <c r="I820" s="5" t="e">
        <v>#DIV/0!</v>
      </c>
      <c r="J820" s="6" t="s">
        <v>368</v>
      </c>
      <c r="K820" s="7">
        <v>20000</v>
      </c>
      <c r="L820" s="7">
        <v>32500</v>
      </c>
      <c r="M820" s="8"/>
      <c r="N820" s="9">
        <v>32500</v>
      </c>
      <c r="O820" s="9">
        <v>32500</v>
      </c>
      <c r="P820" s="10">
        <v>0</v>
      </c>
      <c r="Q820" s="152">
        <v>45754</v>
      </c>
    </row>
    <row r="821" spans="1:17" ht="57.75" thickBot="1" x14ac:dyDescent="0.3">
      <c r="A821" s="1">
        <v>2778</v>
      </c>
      <c r="B821" s="2" t="s">
        <v>369</v>
      </c>
      <c r="C821" s="2" t="s">
        <v>370</v>
      </c>
      <c r="D821" s="2"/>
      <c r="E821" s="3">
        <v>45528</v>
      </c>
      <c r="F821" s="3">
        <v>45723</v>
      </c>
      <c r="G821" s="4">
        <v>140</v>
      </c>
      <c r="H821" s="5">
        <v>140</v>
      </c>
      <c r="I821" s="5">
        <v>0</v>
      </c>
      <c r="J821" s="6" t="s">
        <v>371</v>
      </c>
      <c r="K821" s="7">
        <v>150000</v>
      </c>
      <c r="L821" s="7">
        <v>396004</v>
      </c>
      <c r="M821" s="8">
        <v>14143</v>
      </c>
      <c r="N821" s="9">
        <v>56572</v>
      </c>
      <c r="O821" s="9">
        <v>396004</v>
      </c>
      <c r="P821" s="10">
        <v>0</v>
      </c>
      <c r="Q821" s="152">
        <v>45754</v>
      </c>
    </row>
    <row r="822" spans="1:17" ht="46.5" thickBot="1" x14ac:dyDescent="0.3">
      <c r="A822" s="1">
        <v>2833</v>
      </c>
      <c r="B822" s="2" t="s">
        <v>376</v>
      </c>
      <c r="C822" s="2"/>
      <c r="D822" s="2"/>
      <c r="E822" s="3">
        <v>45563</v>
      </c>
      <c r="F822" s="3">
        <v>45730</v>
      </c>
      <c r="G822" s="4">
        <v>120</v>
      </c>
      <c r="H822" s="5">
        <v>120</v>
      </c>
      <c r="I822" s="5">
        <v>0</v>
      </c>
      <c r="J822" s="6" t="s">
        <v>153</v>
      </c>
      <c r="K822" s="7">
        <v>100000</v>
      </c>
      <c r="L822" s="7">
        <v>264000</v>
      </c>
      <c r="M822" s="8">
        <v>11000</v>
      </c>
      <c r="N822" s="9">
        <v>44000</v>
      </c>
      <c r="O822" s="9">
        <v>264000</v>
      </c>
      <c r="P822" s="10">
        <v>0</v>
      </c>
      <c r="Q822" s="152">
        <v>45754</v>
      </c>
    </row>
    <row r="823" spans="1:17" ht="46.5" thickBot="1" x14ac:dyDescent="0.3">
      <c r="A823" s="1">
        <v>2869</v>
      </c>
      <c r="B823" s="2" t="s">
        <v>376</v>
      </c>
      <c r="C823" s="2"/>
      <c r="D823" s="2"/>
      <c r="E823" s="3">
        <v>45584</v>
      </c>
      <c r="F823" s="3">
        <v>45751</v>
      </c>
      <c r="G823" s="4">
        <v>120</v>
      </c>
      <c r="H823" s="5">
        <v>120</v>
      </c>
      <c r="I823" s="5">
        <v>0</v>
      </c>
      <c r="J823" s="6" t="s">
        <v>377</v>
      </c>
      <c r="K823" s="7">
        <v>70000</v>
      </c>
      <c r="L823" s="7">
        <v>184800</v>
      </c>
      <c r="M823" s="8">
        <v>7700</v>
      </c>
      <c r="N823" s="9">
        <v>30800</v>
      </c>
      <c r="O823" s="9">
        <v>184800</v>
      </c>
      <c r="P823" s="10">
        <v>0</v>
      </c>
      <c r="Q823" s="152">
        <v>45754</v>
      </c>
    </row>
    <row r="824" spans="1:17" ht="24" thickBot="1" x14ac:dyDescent="0.3">
      <c r="A824" s="1">
        <v>2838</v>
      </c>
      <c r="B824" s="2" t="s">
        <v>381</v>
      </c>
      <c r="C824" s="2"/>
      <c r="D824" s="2"/>
      <c r="E824" s="3">
        <v>45565</v>
      </c>
      <c r="F824" s="3">
        <v>45733</v>
      </c>
      <c r="G824" s="4">
        <v>120</v>
      </c>
      <c r="H824" s="5">
        <v>124.54545454545455</v>
      </c>
      <c r="I824" s="5">
        <v>-4.5454545454545467</v>
      </c>
      <c r="J824" s="6" t="s">
        <v>383</v>
      </c>
      <c r="K824" s="7">
        <v>50000</v>
      </c>
      <c r="L824" s="7">
        <v>132000</v>
      </c>
      <c r="M824" s="8">
        <v>5500</v>
      </c>
      <c r="N824" s="9">
        <v>27000</v>
      </c>
      <c r="O824" s="9">
        <v>137000</v>
      </c>
      <c r="P824" s="10">
        <v>-5000</v>
      </c>
      <c r="Q824" s="152">
        <v>45754</v>
      </c>
    </row>
    <row r="825" spans="1:17" ht="24" thickBot="1" x14ac:dyDescent="0.3">
      <c r="A825" s="1">
        <v>3118</v>
      </c>
      <c r="B825" s="2" t="s">
        <v>402</v>
      </c>
      <c r="C825" s="2"/>
      <c r="D825" s="2"/>
      <c r="E825" s="3">
        <v>45736</v>
      </c>
      <c r="F825" s="3">
        <v>45757</v>
      </c>
      <c r="G825" s="4">
        <v>15</v>
      </c>
      <c r="H825" s="5" t="e">
        <v>#DIV/0!</v>
      </c>
      <c r="I825" s="5" t="e">
        <v>#DIV/0!</v>
      </c>
      <c r="J825" s="6" t="s">
        <v>403</v>
      </c>
      <c r="K825" s="7">
        <v>50000</v>
      </c>
      <c r="L825" s="7">
        <v>75000</v>
      </c>
      <c r="M825" s="8"/>
      <c r="N825" s="9">
        <v>75000</v>
      </c>
      <c r="O825" s="9">
        <v>75000</v>
      </c>
      <c r="P825" s="10">
        <v>0</v>
      </c>
      <c r="Q825" s="152">
        <v>45754</v>
      </c>
    </row>
    <row r="826" spans="1:17" ht="24" thickBot="1" x14ac:dyDescent="0.3">
      <c r="A826" s="1">
        <v>3122</v>
      </c>
      <c r="B826" s="2" t="s">
        <v>402</v>
      </c>
      <c r="C826" s="2"/>
      <c r="D826" s="2"/>
      <c r="E826" s="3">
        <v>45738</v>
      </c>
      <c r="F826" s="3">
        <v>45758</v>
      </c>
      <c r="G826" s="4">
        <v>15</v>
      </c>
      <c r="H826" s="5" t="e">
        <v>#DIV/0!</v>
      </c>
      <c r="I826" s="5" t="e">
        <v>#DIV/0!</v>
      </c>
      <c r="J826" s="6" t="s">
        <v>403</v>
      </c>
      <c r="K826" s="7">
        <v>50000</v>
      </c>
      <c r="L826" s="7">
        <v>75000</v>
      </c>
      <c r="M826" s="21"/>
      <c r="N826" s="9">
        <v>75000</v>
      </c>
      <c r="O826" s="9">
        <v>75000</v>
      </c>
      <c r="P826" s="10">
        <v>0</v>
      </c>
      <c r="Q826" s="152">
        <v>45754</v>
      </c>
    </row>
    <row r="827" spans="1:17" ht="80.25" thickBot="1" x14ac:dyDescent="0.3">
      <c r="A827" s="1">
        <v>2952</v>
      </c>
      <c r="B827" s="2" t="s">
        <v>191</v>
      </c>
      <c r="C827" s="2" t="s">
        <v>192</v>
      </c>
      <c r="D827" s="2"/>
      <c r="E827" s="3">
        <v>45639</v>
      </c>
      <c r="F827" s="3">
        <v>45624</v>
      </c>
      <c r="G827" s="4">
        <v>110</v>
      </c>
      <c r="H827" s="5">
        <v>110</v>
      </c>
      <c r="I827" s="5">
        <v>0</v>
      </c>
      <c r="J827" s="10" t="s">
        <v>193</v>
      </c>
      <c r="K827" s="21">
        <v>200000</v>
      </c>
      <c r="L827" s="7">
        <v>528000</v>
      </c>
      <c r="M827" s="8">
        <v>24000</v>
      </c>
      <c r="N827" s="9">
        <v>164000</v>
      </c>
      <c r="O827" s="9">
        <v>528000</v>
      </c>
      <c r="P827" s="10">
        <v>0</v>
      </c>
      <c r="Q827" s="152">
        <v>45761</v>
      </c>
    </row>
    <row r="828" spans="1:17" ht="69" thickBot="1" x14ac:dyDescent="0.3">
      <c r="A828" s="1">
        <v>2711</v>
      </c>
      <c r="B828" s="2" t="s">
        <v>233</v>
      </c>
      <c r="C828" s="2" t="s">
        <v>234</v>
      </c>
      <c r="D828" s="2" t="s">
        <v>235</v>
      </c>
      <c r="E828" s="3">
        <v>45488</v>
      </c>
      <c r="F828" s="3">
        <v>45684</v>
      </c>
      <c r="G828" s="4">
        <v>140</v>
      </c>
      <c r="H828" s="5">
        <v>140</v>
      </c>
      <c r="I828" s="5">
        <v>0</v>
      </c>
      <c r="J828" s="6" t="s">
        <v>236</v>
      </c>
      <c r="K828" s="19">
        <v>150000</v>
      </c>
      <c r="L828" s="7">
        <v>396200</v>
      </c>
      <c r="M828" s="8">
        <v>14150</v>
      </c>
      <c r="N828" s="9">
        <v>19800</v>
      </c>
      <c r="O828" s="9">
        <v>396200</v>
      </c>
      <c r="P828" s="10">
        <v>0</v>
      </c>
      <c r="Q828" s="152">
        <v>45761</v>
      </c>
    </row>
    <row r="829" spans="1:17" ht="49.5" thickBot="1" x14ac:dyDescent="0.3">
      <c r="A829" s="1">
        <v>3148</v>
      </c>
      <c r="B829" s="155" t="s">
        <v>557</v>
      </c>
      <c r="C829" s="155" t="s">
        <v>558</v>
      </c>
      <c r="D829" s="155"/>
      <c r="E829" s="3">
        <v>45758</v>
      </c>
      <c r="F829" s="3">
        <v>45765</v>
      </c>
      <c r="G829" s="4">
        <v>5</v>
      </c>
      <c r="H829" s="5" t="e">
        <v>#DIV/0!</v>
      </c>
      <c r="I829" s="5" t="e">
        <v>#DIV/0!</v>
      </c>
      <c r="J829" s="2" t="s">
        <v>182</v>
      </c>
      <c r="K829" s="162">
        <v>200000</v>
      </c>
      <c r="L829" s="162">
        <v>260000</v>
      </c>
      <c r="M829" s="21"/>
      <c r="N829" s="9">
        <v>260000</v>
      </c>
      <c r="O829" s="9">
        <v>260000</v>
      </c>
      <c r="P829" s="10">
        <v>0</v>
      </c>
      <c r="Q829" s="152">
        <v>45761</v>
      </c>
    </row>
    <row r="830" spans="1:17" ht="46.5" thickBot="1" x14ac:dyDescent="0.3">
      <c r="A830" s="1">
        <v>2569</v>
      </c>
      <c r="B830" s="2" t="s">
        <v>390</v>
      </c>
      <c r="C830" s="2" t="s">
        <v>391</v>
      </c>
      <c r="D830" s="2"/>
      <c r="E830" s="3">
        <v>45393</v>
      </c>
      <c r="F830" s="3">
        <v>45547</v>
      </c>
      <c r="G830" s="4">
        <v>110</v>
      </c>
      <c r="H830" s="5">
        <v>116.875</v>
      </c>
      <c r="I830" s="5">
        <v>-6.875</v>
      </c>
      <c r="J830" s="2" t="s">
        <v>392</v>
      </c>
      <c r="K830" s="7">
        <v>160000</v>
      </c>
      <c r="L830" s="7">
        <v>422400</v>
      </c>
      <c r="M830" s="8">
        <v>19200</v>
      </c>
      <c r="N830" s="9">
        <v>39800</v>
      </c>
      <c r="O830" s="9">
        <v>448800</v>
      </c>
      <c r="P830" s="10">
        <v>-26400</v>
      </c>
      <c r="Q830" s="152">
        <v>45761</v>
      </c>
    </row>
    <row r="831" spans="1:17" ht="46.5" thickBot="1" x14ac:dyDescent="0.3">
      <c r="A831" s="1">
        <v>2916</v>
      </c>
      <c r="B831" s="2" t="s">
        <v>462</v>
      </c>
      <c r="C831" s="2" t="s">
        <v>463</v>
      </c>
      <c r="D831" s="2"/>
      <c r="E831" s="3">
        <v>45611</v>
      </c>
      <c r="F831" s="3">
        <v>45713</v>
      </c>
      <c r="G831" s="4">
        <v>72</v>
      </c>
      <c r="H831" s="5">
        <v>72</v>
      </c>
      <c r="I831" s="5">
        <v>0</v>
      </c>
      <c r="J831" s="2" t="s">
        <v>464</v>
      </c>
      <c r="K831" s="7">
        <v>70000</v>
      </c>
      <c r="L831" s="7">
        <v>151200</v>
      </c>
      <c r="M831" s="21">
        <v>10500</v>
      </c>
      <c r="N831" s="9">
        <v>4200</v>
      </c>
      <c r="O831" s="9">
        <v>151200</v>
      </c>
      <c r="P831" s="7">
        <v>0</v>
      </c>
      <c r="Q831" s="152">
        <v>45761</v>
      </c>
    </row>
    <row r="832" spans="1:17" ht="35.25" thickBot="1" x14ac:dyDescent="0.3">
      <c r="A832" s="1">
        <v>2910</v>
      </c>
      <c r="B832" s="2" t="s">
        <v>169</v>
      </c>
      <c r="C832" s="2" t="s">
        <v>170</v>
      </c>
      <c r="D832" s="2">
        <v>27252034574</v>
      </c>
      <c r="E832" s="3">
        <v>45609</v>
      </c>
      <c r="F832" s="3">
        <v>45763</v>
      </c>
      <c r="G832" s="4">
        <v>110</v>
      </c>
      <c r="H832" s="5">
        <v>110</v>
      </c>
      <c r="I832" s="5">
        <v>0</v>
      </c>
      <c r="J832" s="16" t="s">
        <v>171</v>
      </c>
      <c r="K832" s="7">
        <v>200000</v>
      </c>
      <c r="L832" s="7">
        <v>528000</v>
      </c>
      <c r="M832" s="8">
        <v>24000</v>
      </c>
      <c r="N832" s="9">
        <v>48000</v>
      </c>
      <c r="O832" s="9">
        <v>528000</v>
      </c>
      <c r="P832" s="10">
        <v>0</v>
      </c>
      <c r="Q832" s="152">
        <v>45768</v>
      </c>
    </row>
    <row r="833" spans="1:17" ht="35.25" thickBot="1" x14ac:dyDescent="0.3">
      <c r="A833" s="1">
        <v>3076</v>
      </c>
      <c r="B833" s="2" t="s">
        <v>228</v>
      </c>
      <c r="C833" s="2" t="s">
        <v>229</v>
      </c>
      <c r="D833" s="2"/>
      <c r="E833" s="3">
        <v>45710</v>
      </c>
      <c r="F833" s="3">
        <v>45821</v>
      </c>
      <c r="G833" s="4">
        <v>80</v>
      </c>
      <c r="H833" s="5">
        <v>80</v>
      </c>
      <c r="I833" s="5">
        <v>0</v>
      </c>
      <c r="J833" s="6" t="s">
        <v>149</v>
      </c>
      <c r="K833" s="10">
        <v>100000</v>
      </c>
      <c r="L833" s="10">
        <v>216000</v>
      </c>
      <c r="M833" s="8">
        <v>13500</v>
      </c>
      <c r="N833" s="9">
        <v>108000</v>
      </c>
      <c r="O833" s="9">
        <v>216000</v>
      </c>
      <c r="P833" s="10">
        <v>0</v>
      </c>
      <c r="Q833" s="152">
        <v>45768</v>
      </c>
    </row>
    <row r="834" spans="1:17" ht="35.25" thickBot="1" x14ac:dyDescent="0.3">
      <c r="A834" s="1">
        <v>2822</v>
      </c>
      <c r="B834" s="2" t="s">
        <v>246</v>
      </c>
      <c r="C834" s="2" t="s">
        <v>247</v>
      </c>
      <c r="D834" s="2">
        <v>27212523</v>
      </c>
      <c r="E834" s="3">
        <v>45558</v>
      </c>
      <c r="F834" s="3">
        <v>45782</v>
      </c>
      <c r="G834" s="4">
        <v>160</v>
      </c>
      <c r="H834" s="5">
        <v>164.56888888888889</v>
      </c>
      <c r="I834" s="5">
        <v>-4.5688888888888926</v>
      </c>
      <c r="J834" s="16" t="s">
        <v>248</v>
      </c>
      <c r="K834" s="10">
        <v>150000</v>
      </c>
      <c r="L834" s="10">
        <v>450000</v>
      </c>
      <c r="M834" s="8">
        <v>14062.5</v>
      </c>
      <c r="N834" s="9">
        <v>28600</v>
      </c>
      <c r="O834" s="9">
        <v>462850</v>
      </c>
      <c r="P834" s="10">
        <v>-12850</v>
      </c>
      <c r="Q834" s="152">
        <v>45768</v>
      </c>
    </row>
    <row r="835" spans="1:17" ht="57.75" thickBot="1" x14ac:dyDescent="0.3">
      <c r="A835" s="1">
        <v>2988</v>
      </c>
      <c r="B835" s="2" t="s">
        <v>274</v>
      </c>
      <c r="C835" s="2" t="s">
        <v>270</v>
      </c>
      <c r="D835" s="2"/>
      <c r="E835" s="3">
        <v>45661</v>
      </c>
      <c r="F835" s="3">
        <v>45762</v>
      </c>
      <c r="G835" s="4">
        <v>72</v>
      </c>
      <c r="H835" s="5">
        <v>72</v>
      </c>
      <c r="I835" s="5">
        <v>0</v>
      </c>
      <c r="J835" s="2" t="s">
        <v>161</v>
      </c>
      <c r="K835" s="7">
        <v>100000</v>
      </c>
      <c r="L835" s="7">
        <v>216000</v>
      </c>
      <c r="M835" s="8">
        <v>15000</v>
      </c>
      <c r="N835" s="9">
        <v>6000</v>
      </c>
      <c r="O835" s="9">
        <v>216000</v>
      </c>
      <c r="P835" s="10">
        <v>0</v>
      </c>
      <c r="Q835" s="152">
        <v>45768</v>
      </c>
    </row>
    <row r="836" spans="1:17" ht="35.25" thickBot="1" x14ac:dyDescent="0.3">
      <c r="A836" s="1">
        <v>3013</v>
      </c>
      <c r="B836" s="2" t="s">
        <v>385</v>
      </c>
      <c r="C836" s="2" t="s">
        <v>386</v>
      </c>
      <c r="D836" s="2"/>
      <c r="E836" s="3">
        <v>45677</v>
      </c>
      <c r="F836" s="3">
        <v>45777</v>
      </c>
      <c r="G836" s="4">
        <v>72</v>
      </c>
      <c r="H836" s="5">
        <v>72</v>
      </c>
      <c r="I836" s="5">
        <v>0</v>
      </c>
      <c r="J836" s="2" t="s">
        <v>227</v>
      </c>
      <c r="K836" s="7">
        <v>50000</v>
      </c>
      <c r="L836" s="7">
        <v>108000</v>
      </c>
      <c r="M836" s="8">
        <v>7500</v>
      </c>
      <c r="N836" s="9">
        <v>25000</v>
      </c>
      <c r="O836" s="9">
        <v>108000</v>
      </c>
      <c r="P836" s="10">
        <v>0</v>
      </c>
      <c r="Q836" s="152">
        <v>45768</v>
      </c>
    </row>
    <row r="837" spans="1:17" ht="35.25" thickBot="1" x14ac:dyDescent="0.3">
      <c r="A837" s="1">
        <v>2525</v>
      </c>
      <c r="B837" s="2" t="s">
        <v>450</v>
      </c>
      <c r="C837" s="2" t="s">
        <v>451</v>
      </c>
      <c r="D837" s="2">
        <v>13141036</v>
      </c>
      <c r="E837" s="30">
        <v>45369</v>
      </c>
      <c r="F837" s="3">
        <v>45523</v>
      </c>
      <c r="G837" s="4">
        <v>110</v>
      </c>
      <c r="H837" s="5">
        <v>114.58333333333333</v>
      </c>
      <c r="I837" s="5">
        <v>-4.5833333333333286</v>
      </c>
      <c r="J837" s="2" t="s">
        <v>279</v>
      </c>
      <c r="K837" s="7">
        <v>100000</v>
      </c>
      <c r="L837" s="7">
        <v>264000</v>
      </c>
      <c r="M837" s="8">
        <v>12000</v>
      </c>
      <c r="N837" s="9">
        <v>15000</v>
      </c>
      <c r="O837" s="9">
        <v>275000</v>
      </c>
      <c r="P837" s="10">
        <v>-11000</v>
      </c>
      <c r="Q837" s="152">
        <v>45768</v>
      </c>
    </row>
    <row r="838" spans="1:17" ht="24" thickBot="1" x14ac:dyDescent="0.3">
      <c r="A838" s="1">
        <v>3002</v>
      </c>
      <c r="B838" s="2" t="s">
        <v>186</v>
      </c>
      <c r="C838" s="2" t="s">
        <v>187</v>
      </c>
      <c r="D838" s="2"/>
      <c r="E838" s="3">
        <v>45671</v>
      </c>
      <c r="F838" s="3">
        <v>45771</v>
      </c>
      <c r="G838" s="4">
        <v>72</v>
      </c>
      <c r="H838" s="5">
        <v>73.888888888888886</v>
      </c>
      <c r="I838" s="5">
        <v>-1.8888888888888857</v>
      </c>
      <c r="J838" s="2" t="s">
        <v>188</v>
      </c>
      <c r="K838" s="22">
        <v>150000</v>
      </c>
      <c r="L838" s="10">
        <v>324000</v>
      </c>
      <c r="M838" s="8">
        <v>22500</v>
      </c>
      <c r="N838" s="9">
        <v>22500</v>
      </c>
      <c r="O838" s="9">
        <v>332500</v>
      </c>
      <c r="P838" s="10">
        <v>-8500</v>
      </c>
      <c r="Q838" s="152">
        <v>45775</v>
      </c>
    </row>
    <row r="839" spans="1:17" ht="57.75" thickBot="1" x14ac:dyDescent="0.3">
      <c r="A839" s="1">
        <v>2967</v>
      </c>
      <c r="B839" s="2" t="s">
        <v>226</v>
      </c>
      <c r="C839" s="4" t="s">
        <v>223</v>
      </c>
      <c r="D839" s="2">
        <v>22375673</v>
      </c>
      <c r="E839" s="3">
        <v>45647</v>
      </c>
      <c r="F839" s="3">
        <v>45748</v>
      </c>
      <c r="G839" s="4">
        <v>72</v>
      </c>
      <c r="H839" s="5">
        <v>74.777777777777771</v>
      </c>
      <c r="I839" s="5">
        <v>-2.7777777777777715</v>
      </c>
      <c r="J839" s="2" t="s">
        <v>188</v>
      </c>
      <c r="K839" s="7">
        <v>150000</v>
      </c>
      <c r="L839" s="7">
        <v>324000</v>
      </c>
      <c r="M839" s="8">
        <v>22500</v>
      </c>
      <c r="N839" s="9">
        <v>22500</v>
      </c>
      <c r="O839" s="9">
        <v>336500</v>
      </c>
      <c r="P839" s="10">
        <v>-12500</v>
      </c>
      <c r="Q839" s="152">
        <v>45775</v>
      </c>
    </row>
    <row r="840" spans="1:17" ht="57.75" thickBot="1" x14ac:dyDescent="0.3">
      <c r="A840" s="1">
        <v>3115</v>
      </c>
      <c r="B840" s="2" t="s">
        <v>290</v>
      </c>
      <c r="C840" s="2" t="s">
        <v>291</v>
      </c>
      <c r="D840" s="2"/>
      <c r="E840" s="3">
        <v>45735</v>
      </c>
      <c r="F840" s="3">
        <v>45763</v>
      </c>
      <c r="G840" s="4">
        <v>20</v>
      </c>
      <c r="H840" s="5" t="e">
        <v>#DIV/0!</v>
      </c>
      <c r="I840" s="5" t="e">
        <v>#DIV/0!</v>
      </c>
      <c r="J840" s="6" t="s">
        <v>293</v>
      </c>
      <c r="K840" s="10">
        <v>50000</v>
      </c>
      <c r="L840" s="10">
        <v>75000</v>
      </c>
      <c r="M840" s="8"/>
      <c r="N840" s="9">
        <v>75000</v>
      </c>
      <c r="O840" s="9">
        <v>75000</v>
      </c>
      <c r="P840" s="10">
        <v>0</v>
      </c>
      <c r="Q840" s="152">
        <v>45775</v>
      </c>
    </row>
    <row r="841" spans="1:17" ht="24" thickBot="1" x14ac:dyDescent="0.3">
      <c r="A841" s="1">
        <v>3160</v>
      </c>
      <c r="B841" s="2" t="s">
        <v>707</v>
      </c>
      <c r="C841" s="2"/>
      <c r="D841" s="2"/>
      <c r="E841" s="3">
        <v>45770</v>
      </c>
      <c r="F841" s="3">
        <v>45777</v>
      </c>
      <c r="G841" s="4">
        <v>5</v>
      </c>
      <c r="H841" s="5" t="e">
        <v>#DIV/0!</v>
      </c>
      <c r="I841" s="5" t="e">
        <v>#DIV/0!</v>
      </c>
      <c r="J841" s="2" t="s">
        <v>403</v>
      </c>
      <c r="K841" s="7">
        <v>100000</v>
      </c>
      <c r="L841" s="7">
        <v>130000</v>
      </c>
      <c r="M841" s="8"/>
      <c r="N841" s="9">
        <v>130000</v>
      </c>
      <c r="O841" s="9">
        <v>130000</v>
      </c>
      <c r="P841" s="10">
        <v>0</v>
      </c>
      <c r="Q841" s="152">
        <v>45775</v>
      </c>
    </row>
    <row r="842" spans="1:17" ht="46.5" thickBot="1" x14ac:dyDescent="0.3">
      <c r="A842" s="1">
        <v>3021</v>
      </c>
      <c r="B842" s="2" t="s">
        <v>406</v>
      </c>
      <c r="C842" s="2" t="s">
        <v>407</v>
      </c>
      <c r="D842" s="2"/>
      <c r="E842" s="3">
        <v>45681</v>
      </c>
      <c r="F842" s="3">
        <v>45793</v>
      </c>
      <c r="G842" s="4">
        <v>80</v>
      </c>
      <c r="H842" s="5">
        <v>80.123456790123456</v>
      </c>
      <c r="I842" s="5">
        <v>-0.12345679012345556</v>
      </c>
      <c r="J842" s="6" t="s">
        <v>408</v>
      </c>
      <c r="K842" s="7">
        <v>30000</v>
      </c>
      <c r="L842" s="7">
        <v>64800</v>
      </c>
      <c r="M842" s="21">
        <v>4050</v>
      </c>
      <c r="N842" s="9">
        <v>16200</v>
      </c>
      <c r="O842" s="9">
        <v>64900</v>
      </c>
      <c r="P842" s="10">
        <v>-100</v>
      </c>
      <c r="Q842" s="152">
        <v>45775</v>
      </c>
    </row>
    <row r="843" spans="1:17" ht="46.5" thickBot="1" x14ac:dyDescent="0.3">
      <c r="A843" s="1">
        <v>3078</v>
      </c>
      <c r="B843" s="2" t="s">
        <v>406</v>
      </c>
      <c r="C843" s="2" t="s">
        <v>407</v>
      </c>
      <c r="D843" s="2"/>
      <c r="E843" s="3">
        <v>45712</v>
      </c>
      <c r="F843" s="3">
        <v>45824</v>
      </c>
      <c r="G843" s="4">
        <v>80</v>
      </c>
      <c r="H843" s="5">
        <v>80</v>
      </c>
      <c r="I843" s="5">
        <v>0</v>
      </c>
      <c r="J843" s="6" t="s">
        <v>409</v>
      </c>
      <c r="K843" s="26">
        <v>50000</v>
      </c>
      <c r="L843" s="7">
        <v>108000</v>
      </c>
      <c r="M843" s="21">
        <v>6750</v>
      </c>
      <c r="N843" s="9">
        <v>54000</v>
      </c>
      <c r="O843" s="9">
        <v>108000</v>
      </c>
      <c r="P843" s="10">
        <v>0</v>
      </c>
      <c r="Q843" s="152">
        <v>45775</v>
      </c>
    </row>
    <row r="844" spans="1:17" ht="57.75" thickBot="1" x14ac:dyDescent="0.3">
      <c r="A844" s="1">
        <v>2770</v>
      </c>
      <c r="B844" s="2" t="s">
        <v>290</v>
      </c>
      <c r="C844" s="2" t="s">
        <v>291</v>
      </c>
      <c r="D844" s="2"/>
      <c r="E844" s="3">
        <v>45523</v>
      </c>
      <c r="F844" s="3">
        <f>WORKDAY(E844,G844)</f>
        <v>45747</v>
      </c>
      <c r="G844" s="4">
        <v>160</v>
      </c>
      <c r="H844" s="5">
        <f>(EP844* 5)/M844</f>
        <v>0</v>
      </c>
      <c r="I844" s="5">
        <f>G844-H844</f>
        <v>160</v>
      </c>
      <c r="J844" s="6" t="s">
        <v>292</v>
      </c>
      <c r="K844" s="7">
        <v>300000</v>
      </c>
      <c r="L844" s="7">
        <v>900000</v>
      </c>
      <c r="M844" s="8">
        <f>(L844/G844)*5</f>
        <v>28125</v>
      </c>
      <c r="N844" s="9">
        <v>700</v>
      </c>
      <c r="O844" s="9">
        <v>900000</v>
      </c>
      <c r="P844" s="10">
        <v>0</v>
      </c>
      <c r="Q844" s="152">
        <v>45775</v>
      </c>
    </row>
    <row r="845" spans="1:17" ht="57.75" thickBot="1" x14ac:dyDescent="0.3">
      <c r="A845" s="1">
        <v>2912</v>
      </c>
      <c r="B845" s="2" t="s">
        <v>146</v>
      </c>
      <c r="C845" s="2" t="s">
        <v>147</v>
      </c>
      <c r="D845" s="2"/>
      <c r="E845" s="3">
        <v>45609</v>
      </c>
      <c r="F845" s="3">
        <v>45777</v>
      </c>
      <c r="G845" s="4">
        <v>120</v>
      </c>
      <c r="H845" s="5">
        <v>120</v>
      </c>
      <c r="I845" s="5">
        <v>0</v>
      </c>
      <c r="J845" s="6" t="s">
        <v>148</v>
      </c>
      <c r="K845" s="7">
        <v>50000</v>
      </c>
      <c r="L845" s="7">
        <v>132000</v>
      </c>
      <c r="M845" s="8">
        <v>5500</v>
      </c>
      <c r="N845" s="9">
        <v>22000</v>
      </c>
      <c r="O845" s="9">
        <v>132000</v>
      </c>
      <c r="P845" s="10">
        <v>0</v>
      </c>
      <c r="Q845" s="152">
        <v>45782</v>
      </c>
    </row>
    <row r="846" spans="1:17" ht="57.75" thickBot="1" x14ac:dyDescent="0.3">
      <c r="A846" s="1">
        <v>3005</v>
      </c>
      <c r="B846" s="2" t="s">
        <v>146</v>
      </c>
      <c r="C846" s="2" t="s">
        <v>147</v>
      </c>
      <c r="D846" s="2"/>
      <c r="E846" s="3">
        <v>45673</v>
      </c>
      <c r="F846" s="3">
        <v>45785</v>
      </c>
      <c r="G846" s="4">
        <v>80</v>
      </c>
      <c r="H846" s="5">
        <v>80</v>
      </c>
      <c r="I846" s="5">
        <v>0</v>
      </c>
      <c r="J846" s="6" t="s">
        <v>149</v>
      </c>
      <c r="K846" s="7">
        <v>100000</v>
      </c>
      <c r="L846" s="7">
        <v>216000</v>
      </c>
      <c r="M846" s="350">
        <v>13500</v>
      </c>
      <c r="N846" s="9">
        <v>54000</v>
      </c>
      <c r="O846" s="9">
        <v>216000</v>
      </c>
      <c r="P846" s="10">
        <v>0</v>
      </c>
      <c r="Q846" s="152">
        <v>45782</v>
      </c>
    </row>
    <row r="847" spans="1:17" ht="46.5" thickBot="1" x14ac:dyDescent="0.3">
      <c r="A847" s="1">
        <v>3010</v>
      </c>
      <c r="B847" s="2" t="s">
        <v>179</v>
      </c>
      <c r="C847" s="2" t="s">
        <v>180</v>
      </c>
      <c r="D847" s="2"/>
      <c r="E847" s="3">
        <v>45675</v>
      </c>
      <c r="F847" s="3">
        <v>45776</v>
      </c>
      <c r="G847" s="4">
        <v>72</v>
      </c>
      <c r="H847" s="5">
        <v>86</v>
      </c>
      <c r="I847" s="5">
        <v>-14</v>
      </c>
      <c r="J847" s="2" t="s">
        <v>182</v>
      </c>
      <c r="K847" s="10">
        <v>20000</v>
      </c>
      <c r="L847" s="10">
        <v>43200</v>
      </c>
      <c r="M847" s="8">
        <v>3000</v>
      </c>
      <c r="N847" s="9">
        <v>9600</v>
      </c>
      <c r="O847" s="9">
        <v>51600</v>
      </c>
      <c r="P847" s="10">
        <v>-8400</v>
      </c>
      <c r="Q847" s="152">
        <v>45782</v>
      </c>
    </row>
    <row r="848" spans="1:17" ht="35.25" thickBot="1" x14ac:dyDescent="0.3">
      <c r="A848" s="1">
        <v>2930</v>
      </c>
      <c r="B848" s="2" t="s">
        <v>246</v>
      </c>
      <c r="C848" s="2" t="s">
        <v>247</v>
      </c>
      <c r="D848" s="2">
        <v>27212523</v>
      </c>
      <c r="E848" s="3">
        <v>45621</v>
      </c>
      <c r="F848" s="3">
        <v>45775</v>
      </c>
      <c r="G848" s="4">
        <v>110</v>
      </c>
      <c r="H848" s="5">
        <v>110</v>
      </c>
      <c r="I848" s="5">
        <v>0</v>
      </c>
      <c r="J848" s="16" t="s">
        <v>249</v>
      </c>
      <c r="K848" s="10">
        <v>80000</v>
      </c>
      <c r="L848" s="10">
        <v>211200</v>
      </c>
      <c r="M848" s="8">
        <v>9600</v>
      </c>
      <c r="N848" s="9">
        <v>19200</v>
      </c>
      <c r="O848" s="9">
        <v>211200</v>
      </c>
      <c r="P848" s="10">
        <v>0</v>
      </c>
      <c r="Q848" s="152">
        <v>45782</v>
      </c>
    </row>
    <row r="849" spans="1:17" ht="57.75" thickBot="1" x14ac:dyDescent="0.3">
      <c r="A849" s="1">
        <v>3003</v>
      </c>
      <c r="B849" s="2" t="s">
        <v>274</v>
      </c>
      <c r="C849" s="2" t="s">
        <v>270</v>
      </c>
      <c r="D849" s="2"/>
      <c r="E849" s="3">
        <v>45672</v>
      </c>
      <c r="F849" s="3">
        <v>45772</v>
      </c>
      <c r="G849" s="4">
        <v>72</v>
      </c>
      <c r="H849" s="5">
        <v>72</v>
      </c>
      <c r="I849" s="5">
        <v>0</v>
      </c>
      <c r="J849" s="2" t="s">
        <v>227</v>
      </c>
      <c r="K849" s="7">
        <v>50000</v>
      </c>
      <c r="L849" s="7">
        <v>108000</v>
      </c>
      <c r="M849" s="8">
        <v>7500</v>
      </c>
      <c r="N849" s="9">
        <v>3000</v>
      </c>
      <c r="O849" s="9">
        <v>108000</v>
      </c>
      <c r="P849" s="10">
        <v>0</v>
      </c>
      <c r="Q849" s="152">
        <v>45782</v>
      </c>
    </row>
    <row r="850" spans="1:17" ht="24" thickBot="1" x14ac:dyDescent="0.3">
      <c r="A850" s="1">
        <v>2915</v>
      </c>
      <c r="B850" s="2" t="s">
        <v>286</v>
      </c>
      <c r="C850" s="2" t="s">
        <v>287</v>
      </c>
      <c r="D850" s="2"/>
      <c r="E850" s="3">
        <v>45611</v>
      </c>
      <c r="F850" s="3">
        <v>45779</v>
      </c>
      <c r="G850" s="4">
        <v>120</v>
      </c>
      <c r="H850" s="5">
        <v>120.06060606060606</v>
      </c>
      <c r="I850" s="5">
        <v>-6.0606060606062329E-2</v>
      </c>
      <c r="J850" s="6" t="s">
        <v>288</v>
      </c>
      <c r="K850" s="7">
        <v>150000</v>
      </c>
      <c r="L850" s="7">
        <v>396000</v>
      </c>
      <c r="M850" s="21">
        <v>16500</v>
      </c>
      <c r="N850" s="9">
        <v>66200</v>
      </c>
      <c r="O850" s="9">
        <v>396200</v>
      </c>
      <c r="P850" s="10">
        <v>-200</v>
      </c>
      <c r="Q850" s="152">
        <v>45782</v>
      </c>
    </row>
    <row r="851" spans="1:17" ht="46.5" thickBot="1" x14ac:dyDescent="0.3">
      <c r="A851" s="1">
        <v>2854</v>
      </c>
      <c r="B851" s="2" t="s">
        <v>316</v>
      </c>
      <c r="C851" s="2" t="s">
        <v>317</v>
      </c>
      <c r="D851" s="2"/>
      <c r="E851" s="3">
        <v>45577</v>
      </c>
      <c r="F851" s="3">
        <v>45678</v>
      </c>
      <c r="G851" s="4">
        <v>72</v>
      </c>
      <c r="H851" s="5">
        <v>75</v>
      </c>
      <c r="I851" s="5">
        <v>-3</v>
      </c>
      <c r="J851" s="2" t="s">
        <v>318</v>
      </c>
      <c r="K851" s="10">
        <v>15000</v>
      </c>
      <c r="L851" s="10">
        <v>32400</v>
      </c>
      <c r="M851" s="8">
        <v>2250</v>
      </c>
      <c r="N851" s="9">
        <v>2250</v>
      </c>
      <c r="O851" s="9">
        <v>33750</v>
      </c>
      <c r="P851" s="10">
        <v>-1350</v>
      </c>
      <c r="Q851" s="152">
        <v>45782</v>
      </c>
    </row>
    <row r="852" spans="1:17" ht="35.25" thickBot="1" x14ac:dyDescent="0.3">
      <c r="A852" s="1">
        <v>2900</v>
      </c>
      <c r="B852" s="2" t="s">
        <v>359</v>
      </c>
      <c r="C852" s="2" t="s">
        <v>360</v>
      </c>
      <c r="D852" s="2"/>
      <c r="E852" s="3">
        <v>45605</v>
      </c>
      <c r="F852" s="3">
        <v>45772</v>
      </c>
      <c r="G852" s="4">
        <v>120</v>
      </c>
      <c r="H852" s="5">
        <v>120.00644537544312</v>
      </c>
      <c r="I852" s="5">
        <v>-6.4453754431212928E-3</v>
      </c>
      <c r="J852" s="16" t="s">
        <v>361</v>
      </c>
      <c r="K852" s="7">
        <v>141000</v>
      </c>
      <c r="L852" s="7">
        <v>372360</v>
      </c>
      <c r="M852" s="8">
        <v>15515</v>
      </c>
      <c r="N852" s="9">
        <v>49950</v>
      </c>
      <c r="O852" s="9">
        <v>372380</v>
      </c>
      <c r="P852" s="10">
        <v>-20</v>
      </c>
      <c r="Q852" s="152">
        <v>45782</v>
      </c>
    </row>
    <row r="853" spans="1:17" ht="57.75" thickBot="1" x14ac:dyDescent="0.3">
      <c r="A853" s="1">
        <v>2885</v>
      </c>
      <c r="B853" s="2" t="s">
        <v>369</v>
      </c>
      <c r="C853" s="2" t="s">
        <v>370</v>
      </c>
      <c r="D853" s="2"/>
      <c r="E853" s="3">
        <v>45593</v>
      </c>
      <c r="F853" s="3">
        <v>45733</v>
      </c>
      <c r="G853" s="4">
        <v>100</v>
      </c>
      <c r="H853" s="5">
        <v>100</v>
      </c>
      <c r="I853" s="5">
        <v>0</v>
      </c>
      <c r="J853" s="6" t="s">
        <v>372</v>
      </c>
      <c r="K853" s="10">
        <v>200000</v>
      </c>
      <c r="L853" s="10">
        <v>432000</v>
      </c>
      <c r="M853" s="8">
        <v>21600</v>
      </c>
      <c r="N853" s="9">
        <v>86400</v>
      </c>
      <c r="O853" s="9">
        <v>432000</v>
      </c>
      <c r="P853" s="10">
        <v>0</v>
      </c>
      <c r="Q853" s="152">
        <v>45782</v>
      </c>
    </row>
    <row r="854" spans="1:17" ht="35.25" thickBot="1" x14ac:dyDescent="0.3">
      <c r="A854" s="1">
        <v>2706</v>
      </c>
      <c r="B854" s="2" t="s">
        <v>172</v>
      </c>
      <c r="C854" s="2" t="s">
        <v>173</v>
      </c>
      <c r="D854" s="44"/>
      <c r="E854" s="3">
        <v>45483</v>
      </c>
      <c r="F854" s="3">
        <v>45763</v>
      </c>
      <c r="G854" s="4">
        <v>200</v>
      </c>
      <c r="H854" s="5">
        <v>200</v>
      </c>
      <c r="I854" s="5">
        <v>0</v>
      </c>
      <c r="J854" s="355" t="s">
        <v>175</v>
      </c>
      <c r="K854" s="7">
        <v>300000</v>
      </c>
      <c r="L854" s="7">
        <v>990000</v>
      </c>
      <c r="M854" s="8">
        <v>24750</v>
      </c>
      <c r="N854" s="9">
        <v>99000</v>
      </c>
      <c r="O854" s="9">
        <v>990000</v>
      </c>
      <c r="P854" s="10">
        <v>0</v>
      </c>
      <c r="Q854" s="152">
        <v>45789</v>
      </c>
    </row>
    <row r="855" spans="1:17" ht="35.25" thickBot="1" x14ac:dyDescent="0.3">
      <c r="A855" s="1">
        <v>3039</v>
      </c>
      <c r="B855" s="2" t="s">
        <v>199</v>
      </c>
      <c r="C855" s="2" t="s">
        <v>196</v>
      </c>
      <c r="D855" s="44"/>
      <c r="E855" s="3">
        <v>45693</v>
      </c>
      <c r="F855" s="3">
        <v>45793</v>
      </c>
      <c r="G855" s="4">
        <v>72</v>
      </c>
      <c r="H855" s="5">
        <v>72</v>
      </c>
      <c r="I855" s="5">
        <v>0</v>
      </c>
      <c r="J855" s="155" t="s">
        <v>200</v>
      </c>
      <c r="K855" s="7">
        <v>150000</v>
      </c>
      <c r="L855" s="7">
        <v>324000</v>
      </c>
      <c r="M855" s="8">
        <v>22500</v>
      </c>
      <c r="N855" s="9">
        <v>33000</v>
      </c>
      <c r="O855" s="9">
        <v>324000</v>
      </c>
      <c r="P855" s="10">
        <v>0</v>
      </c>
      <c r="Q855" s="152">
        <v>45789</v>
      </c>
    </row>
    <row r="856" spans="1:17" ht="35.25" thickBot="1" x14ac:dyDescent="0.3">
      <c r="A856" s="1">
        <v>3020</v>
      </c>
      <c r="B856" s="2" t="s">
        <v>204</v>
      </c>
      <c r="C856" s="2" t="s">
        <v>205</v>
      </c>
      <c r="D856" s="44"/>
      <c r="E856" s="3">
        <v>45681</v>
      </c>
      <c r="F856" s="3">
        <v>45793</v>
      </c>
      <c r="G856" s="4">
        <v>80</v>
      </c>
      <c r="H856" s="5">
        <v>80</v>
      </c>
      <c r="I856" s="5">
        <v>0</v>
      </c>
      <c r="J856" s="355" t="s">
        <v>206</v>
      </c>
      <c r="K856" s="7">
        <v>100000</v>
      </c>
      <c r="L856" s="7">
        <v>216000</v>
      </c>
      <c r="M856" s="8">
        <v>13500</v>
      </c>
      <c r="N856" s="9">
        <v>54000</v>
      </c>
      <c r="O856" s="9">
        <v>216000</v>
      </c>
      <c r="P856" s="10">
        <v>0</v>
      </c>
      <c r="Q856" s="152">
        <v>45789</v>
      </c>
    </row>
    <row r="857" spans="1:17" ht="46.5" thickBot="1" x14ac:dyDescent="0.3">
      <c r="A857" s="1">
        <v>2923</v>
      </c>
      <c r="B857" s="2" t="s">
        <v>215</v>
      </c>
      <c r="C857" s="2" t="s">
        <v>216</v>
      </c>
      <c r="D857" s="44"/>
      <c r="E857" s="3">
        <v>45618</v>
      </c>
      <c r="F857" s="3">
        <v>45730</v>
      </c>
      <c r="G857" s="4">
        <v>80</v>
      </c>
      <c r="H857" s="5">
        <v>80</v>
      </c>
      <c r="I857" s="5">
        <v>0</v>
      </c>
      <c r="J857" s="355" t="s">
        <v>218</v>
      </c>
      <c r="K857" s="10">
        <v>300000</v>
      </c>
      <c r="L857" s="10">
        <v>648000</v>
      </c>
      <c r="M857" s="8">
        <v>40500</v>
      </c>
      <c r="N857" s="9">
        <v>162000</v>
      </c>
      <c r="O857" s="9">
        <v>648000</v>
      </c>
      <c r="P857" s="10">
        <v>0</v>
      </c>
      <c r="Q857" s="152">
        <v>45789</v>
      </c>
    </row>
    <row r="858" spans="1:17" ht="57.75" thickBot="1" x14ac:dyDescent="0.3">
      <c r="A858" s="1">
        <v>2953</v>
      </c>
      <c r="B858" s="2" t="s">
        <v>299</v>
      </c>
      <c r="C858" s="2" t="s">
        <v>300</v>
      </c>
      <c r="D858" s="44"/>
      <c r="E858" s="3">
        <v>45641</v>
      </c>
      <c r="F858" s="3">
        <v>45807</v>
      </c>
      <c r="G858" s="4">
        <v>120</v>
      </c>
      <c r="H858" s="5">
        <v>120</v>
      </c>
      <c r="I858" s="5">
        <v>0</v>
      </c>
      <c r="J858" s="357" t="s">
        <v>301</v>
      </c>
      <c r="K858" s="367">
        <v>100000</v>
      </c>
      <c r="L858" s="10">
        <v>264000</v>
      </c>
      <c r="M858" s="8">
        <v>11000</v>
      </c>
      <c r="N858" s="9">
        <v>88000</v>
      </c>
      <c r="O858" s="9">
        <v>264000</v>
      </c>
      <c r="P858" s="10">
        <v>0</v>
      </c>
      <c r="Q858" s="152">
        <v>45789</v>
      </c>
    </row>
    <row r="859" spans="1:17" ht="57.75" thickBot="1" x14ac:dyDescent="0.3">
      <c r="A859" s="1">
        <v>2980</v>
      </c>
      <c r="B859" s="2" t="s">
        <v>299</v>
      </c>
      <c r="C859" s="2" t="s">
        <v>300</v>
      </c>
      <c r="D859" s="44"/>
      <c r="E859" s="3">
        <v>45656</v>
      </c>
      <c r="F859" s="3">
        <v>45768</v>
      </c>
      <c r="G859" s="4">
        <v>80</v>
      </c>
      <c r="H859" s="5">
        <v>80</v>
      </c>
      <c r="I859" s="5">
        <v>0</v>
      </c>
      <c r="J859" s="357" t="s">
        <v>302</v>
      </c>
      <c r="K859" s="7">
        <v>50000</v>
      </c>
      <c r="L859" s="7">
        <v>108000</v>
      </c>
      <c r="M859" s="21">
        <v>6750</v>
      </c>
      <c r="N859" s="9">
        <v>27000</v>
      </c>
      <c r="O859" s="9">
        <v>108000</v>
      </c>
      <c r="P859" s="10">
        <v>0</v>
      </c>
      <c r="Q859" s="152">
        <v>45789</v>
      </c>
    </row>
    <row r="860" spans="1:17" ht="91.5" thickBot="1" x14ac:dyDescent="0.3">
      <c r="A860" s="1">
        <v>3046</v>
      </c>
      <c r="B860" s="2" t="s">
        <v>334</v>
      </c>
      <c r="C860" s="2" t="s">
        <v>335</v>
      </c>
      <c r="D860" s="44"/>
      <c r="E860" s="3">
        <v>45696</v>
      </c>
      <c r="F860" s="3">
        <v>45797</v>
      </c>
      <c r="G860" s="4">
        <v>72</v>
      </c>
      <c r="H860" s="5">
        <v>72</v>
      </c>
      <c r="I860" s="5">
        <v>0</v>
      </c>
      <c r="J860" s="155" t="s">
        <v>162</v>
      </c>
      <c r="K860" s="7">
        <v>60000</v>
      </c>
      <c r="L860" s="7">
        <v>129600</v>
      </c>
      <c r="M860" s="21">
        <v>9000</v>
      </c>
      <c r="N860" s="9">
        <v>21600</v>
      </c>
      <c r="O860" s="9">
        <v>129600</v>
      </c>
      <c r="P860" s="10">
        <v>0</v>
      </c>
      <c r="Q860" s="152">
        <v>45789</v>
      </c>
    </row>
    <row r="861" spans="1:17" ht="91.5" thickBot="1" x14ac:dyDescent="0.3">
      <c r="A861" s="1">
        <v>3055</v>
      </c>
      <c r="B861" s="2" t="s">
        <v>334</v>
      </c>
      <c r="C861" s="2" t="s">
        <v>335</v>
      </c>
      <c r="D861" s="44"/>
      <c r="E861" s="3">
        <v>45701</v>
      </c>
      <c r="F861" s="3">
        <v>45803</v>
      </c>
      <c r="G861" s="4">
        <v>72</v>
      </c>
      <c r="H861" s="5">
        <v>72</v>
      </c>
      <c r="I861" s="5">
        <v>0</v>
      </c>
      <c r="J861" s="155" t="s">
        <v>181</v>
      </c>
      <c r="K861" s="7">
        <v>30000</v>
      </c>
      <c r="L861" s="7">
        <v>64800</v>
      </c>
      <c r="M861" s="8">
        <v>4500</v>
      </c>
      <c r="N861" s="9">
        <v>10800</v>
      </c>
      <c r="O861" s="9">
        <v>64800</v>
      </c>
      <c r="P861" s="10">
        <v>0</v>
      </c>
      <c r="Q861" s="152">
        <v>45789</v>
      </c>
    </row>
    <row r="862" spans="1:17" ht="25.5" thickBot="1" x14ac:dyDescent="0.3">
      <c r="A862" s="1">
        <v>3092</v>
      </c>
      <c r="B862" s="2" t="s">
        <v>355</v>
      </c>
      <c r="C862" s="2" t="s">
        <v>356</v>
      </c>
      <c r="D862" s="44"/>
      <c r="E862" s="3">
        <v>45722</v>
      </c>
      <c r="F862" s="3">
        <v>45750</v>
      </c>
      <c r="G862" s="4">
        <v>20</v>
      </c>
      <c r="H862" s="5" t="e">
        <v>#DIV/0!</v>
      </c>
      <c r="I862" s="5" t="e">
        <v>#DIV/0!</v>
      </c>
      <c r="J862" s="355" t="s">
        <v>293</v>
      </c>
      <c r="K862" s="7">
        <v>45000</v>
      </c>
      <c r="L862" s="7">
        <v>67500</v>
      </c>
      <c r="M862" s="8"/>
      <c r="N862" s="166">
        <v>37500</v>
      </c>
      <c r="O862" s="9">
        <v>67500</v>
      </c>
      <c r="P862" s="10">
        <v>0</v>
      </c>
      <c r="Q862" s="152">
        <v>45789</v>
      </c>
    </row>
    <row r="863" spans="1:17" ht="25.5" thickBot="1" x14ac:dyDescent="0.3">
      <c r="A863" s="1">
        <v>3093</v>
      </c>
      <c r="B863" s="2" t="s">
        <v>355</v>
      </c>
      <c r="C863" s="2" t="s">
        <v>356</v>
      </c>
      <c r="D863" s="44"/>
      <c r="E863" s="3">
        <v>45722</v>
      </c>
      <c r="F863" s="3">
        <v>45750</v>
      </c>
      <c r="G863" s="4">
        <v>20</v>
      </c>
      <c r="H863" s="5" t="e">
        <v>#DIV/0!</v>
      </c>
      <c r="I863" s="5" t="e">
        <v>#DIV/0!</v>
      </c>
      <c r="J863" s="355" t="s">
        <v>293</v>
      </c>
      <c r="K863" s="7">
        <v>40000</v>
      </c>
      <c r="L863" s="7">
        <v>60000</v>
      </c>
      <c r="M863" s="21"/>
      <c r="N863" s="9">
        <v>60000</v>
      </c>
      <c r="O863" s="9">
        <v>60000</v>
      </c>
      <c r="P863" s="10">
        <v>0</v>
      </c>
      <c r="Q863" s="152">
        <v>45789</v>
      </c>
    </row>
    <row r="864" spans="1:17" ht="15.75" thickBot="1" x14ac:dyDescent="0.3">
      <c r="A864" s="1">
        <v>3152</v>
      </c>
      <c r="B864" s="2" t="s">
        <v>367</v>
      </c>
      <c r="C864" s="2"/>
      <c r="D864" s="44"/>
      <c r="E864" s="3">
        <v>45759</v>
      </c>
      <c r="F864" s="3">
        <v>45786</v>
      </c>
      <c r="G864" s="4">
        <v>20</v>
      </c>
      <c r="H864" s="5" t="e">
        <v>#DIV/0!</v>
      </c>
      <c r="I864" s="5" t="e">
        <v>#DIV/0!</v>
      </c>
      <c r="J864" s="355" t="s">
        <v>368</v>
      </c>
      <c r="K864" s="7">
        <v>30000</v>
      </c>
      <c r="L864" s="7">
        <v>48000</v>
      </c>
      <c r="M864" s="21"/>
      <c r="N864" s="9">
        <v>48000</v>
      </c>
      <c r="O864" s="9">
        <v>48000</v>
      </c>
      <c r="P864" s="10">
        <v>0</v>
      </c>
      <c r="Q864" s="152">
        <v>45789</v>
      </c>
    </row>
    <row r="865" spans="1:17" ht="15.75" thickBot="1" x14ac:dyDescent="0.3">
      <c r="A865" s="1">
        <v>3178</v>
      </c>
      <c r="B865" s="2" t="s">
        <v>367</v>
      </c>
      <c r="C865" s="2"/>
      <c r="D865" s="44"/>
      <c r="E865" s="3">
        <v>45779</v>
      </c>
      <c r="F865" s="3">
        <v>45807</v>
      </c>
      <c r="G865" s="4">
        <v>20</v>
      </c>
      <c r="H865" s="5" t="e">
        <v>#DIV/0!</v>
      </c>
      <c r="I865" s="5" t="e">
        <v>#DIV/0!</v>
      </c>
      <c r="J865" s="355" t="s">
        <v>368</v>
      </c>
      <c r="K865" s="7">
        <v>40000</v>
      </c>
      <c r="L865" s="7">
        <v>60000</v>
      </c>
      <c r="M865" s="21"/>
      <c r="N865" s="9">
        <v>60000</v>
      </c>
      <c r="O865" s="9">
        <v>60000</v>
      </c>
      <c r="P865" s="10">
        <v>0</v>
      </c>
      <c r="Q865" s="152">
        <v>45789</v>
      </c>
    </row>
    <row r="866" spans="1:17" ht="46.5" thickBot="1" x14ac:dyDescent="0.3">
      <c r="A866" s="1">
        <v>2894</v>
      </c>
      <c r="B866" s="2" t="s">
        <v>376</v>
      </c>
      <c r="C866" s="2"/>
      <c r="D866" s="44"/>
      <c r="E866" s="3">
        <v>45598</v>
      </c>
      <c r="F866" s="3">
        <v>45765</v>
      </c>
      <c r="G866" s="4">
        <v>120</v>
      </c>
      <c r="H866" s="5">
        <v>120</v>
      </c>
      <c r="I866" s="5">
        <v>0</v>
      </c>
      <c r="J866" s="355" t="s">
        <v>153</v>
      </c>
      <c r="K866" s="7">
        <v>100000</v>
      </c>
      <c r="L866" s="7">
        <v>264000</v>
      </c>
      <c r="M866" s="8">
        <v>11000</v>
      </c>
      <c r="N866" s="9">
        <v>44000</v>
      </c>
      <c r="O866" s="9">
        <v>264000</v>
      </c>
      <c r="P866" s="10">
        <v>0</v>
      </c>
      <c r="Q866" s="152">
        <v>45789</v>
      </c>
    </row>
    <row r="867" spans="1:17" ht="35.25" thickBot="1" x14ac:dyDescent="0.3">
      <c r="A867" s="1">
        <v>3050</v>
      </c>
      <c r="B867" s="2" t="s">
        <v>385</v>
      </c>
      <c r="C867" s="2" t="s">
        <v>386</v>
      </c>
      <c r="D867" s="44"/>
      <c r="E867" s="3">
        <v>45698</v>
      </c>
      <c r="F867" s="3">
        <v>45798</v>
      </c>
      <c r="G867" s="4">
        <v>72</v>
      </c>
      <c r="H867" s="5">
        <v>72</v>
      </c>
      <c r="I867" s="5">
        <v>0</v>
      </c>
      <c r="J867" s="155" t="s">
        <v>161</v>
      </c>
      <c r="K867" s="7">
        <v>100000</v>
      </c>
      <c r="L867" s="7">
        <v>216000</v>
      </c>
      <c r="M867" s="8">
        <v>15000</v>
      </c>
      <c r="N867" s="43">
        <v>58900</v>
      </c>
      <c r="O867" s="9">
        <v>216000</v>
      </c>
      <c r="P867" s="7">
        <v>0</v>
      </c>
      <c r="Q867" s="152">
        <v>45789</v>
      </c>
    </row>
    <row r="868" spans="1:17" ht="24" thickBot="1" x14ac:dyDescent="0.3">
      <c r="A868" s="1">
        <v>3126</v>
      </c>
      <c r="B868" s="2" t="s">
        <v>402</v>
      </c>
      <c r="C868" s="2"/>
      <c r="D868" s="44"/>
      <c r="E868" s="3">
        <v>45742</v>
      </c>
      <c r="F868" s="3">
        <v>45763</v>
      </c>
      <c r="G868" s="4">
        <v>15</v>
      </c>
      <c r="H868" s="5" t="e">
        <v>#DIV/0!</v>
      </c>
      <c r="I868" s="5" t="e">
        <v>#DIV/0!</v>
      </c>
      <c r="J868" s="355" t="s">
        <v>403</v>
      </c>
      <c r="K868" s="7">
        <v>30000</v>
      </c>
      <c r="L868" s="7">
        <v>45000</v>
      </c>
      <c r="M868" s="8"/>
      <c r="N868" s="43">
        <v>5000</v>
      </c>
      <c r="O868" s="9">
        <v>45000</v>
      </c>
      <c r="P868" s="7">
        <v>0</v>
      </c>
      <c r="Q868" s="152">
        <v>45789</v>
      </c>
    </row>
    <row r="869" spans="1:17" ht="24" thickBot="1" x14ac:dyDescent="0.3">
      <c r="A869" s="1">
        <v>3141</v>
      </c>
      <c r="B869" s="2" t="s">
        <v>402</v>
      </c>
      <c r="C869" s="2"/>
      <c r="D869" s="44"/>
      <c r="E869" s="3">
        <v>45750</v>
      </c>
      <c r="F869" s="3">
        <v>45771</v>
      </c>
      <c r="G869" s="4">
        <v>15</v>
      </c>
      <c r="H869" s="5" t="e">
        <v>#DIV/0!</v>
      </c>
      <c r="I869" s="5" t="e">
        <v>#DIV/0!</v>
      </c>
      <c r="J869" s="355" t="s">
        <v>403</v>
      </c>
      <c r="K869" s="7">
        <v>10000</v>
      </c>
      <c r="L869" s="7">
        <v>15000</v>
      </c>
      <c r="M869" s="8"/>
      <c r="N869" s="43">
        <v>15000</v>
      </c>
      <c r="O869" s="9">
        <v>15000</v>
      </c>
      <c r="P869" s="7">
        <v>0</v>
      </c>
      <c r="Q869" s="152">
        <v>45789</v>
      </c>
    </row>
    <row r="870" spans="1:17" ht="24" thickBot="1" x14ac:dyDescent="0.3">
      <c r="A870" s="1">
        <v>3159</v>
      </c>
      <c r="B870" s="2" t="s">
        <v>402</v>
      </c>
      <c r="C870" s="2"/>
      <c r="D870" s="44"/>
      <c r="E870" s="3">
        <v>45768</v>
      </c>
      <c r="F870" s="3">
        <v>45789</v>
      </c>
      <c r="G870" s="4">
        <v>15</v>
      </c>
      <c r="H870" s="5" t="e">
        <v>#DIV/0!</v>
      </c>
      <c r="I870" s="5" t="e">
        <v>#DIV/0!</v>
      </c>
      <c r="J870" s="355" t="s">
        <v>403</v>
      </c>
      <c r="K870" s="7">
        <v>40000</v>
      </c>
      <c r="L870" s="7">
        <v>60000</v>
      </c>
      <c r="M870" s="8"/>
      <c r="N870" s="43">
        <v>60000</v>
      </c>
      <c r="O870" s="9">
        <v>60000</v>
      </c>
      <c r="P870" s="7">
        <v>0</v>
      </c>
      <c r="Q870" s="152">
        <v>45789</v>
      </c>
    </row>
    <row r="871" spans="1:17" ht="24" thickBot="1" x14ac:dyDescent="0.3">
      <c r="A871" s="1">
        <v>3164</v>
      </c>
      <c r="B871" s="2" t="s">
        <v>402</v>
      </c>
      <c r="C871" s="2"/>
      <c r="D871" s="44"/>
      <c r="E871" s="3">
        <v>45771</v>
      </c>
      <c r="F871" s="3">
        <v>45792</v>
      </c>
      <c r="G871" s="4">
        <v>15</v>
      </c>
      <c r="H871" s="5" t="e">
        <v>#DIV/0!</v>
      </c>
      <c r="I871" s="5" t="e">
        <v>#DIV/0!</v>
      </c>
      <c r="J871" s="355" t="s">
        <v>403</v>
      </c>
      <c r="K871" s="7">
        <v>30000</v>
      </c>
      <c r="L871" s="7">
        <v>45000</v>
      </c>
      <c r="M871" s="8"/>
      <c r="N871" s="43">
        <v>45000</v>
      </c>
      <c r="O871" s="9">
        <v>45000</v>
      </c>
      <c r="P871" s="7">
        <v>0</v>
      </c>
      <c r="Q871" s="152">
        <v>45789</v>
      </c>
    </row>
    <row r="872" spans="1:17" ht="46.5" thickBot="1" x14ac:dyDescent="0.3">
      <c r="A872" s="1">
        <v>2997</v>
      </c>
      <c r="B872" s="2" t="s">
        <v>447</v>
      </c>
      <c r="C872" s="2" t="s">
        <v>448</v>
      </c>
      <c r="D872" s="44"/>
      <c r="E872" s="3">
        <v>45667</v>
      </c>
      <c r="F872" s="3">
        <v>45779</v>
      </c>
      <c r="G872" s="4">
        <v>80</v>
      </c>
      <c r="H872" s="5">
        <v>80</v>
      </c>
      <c r="I872" s="5">
        <v>0</v>
      </c>
      <c r="J872" s="355" t="s">
        <v>449</v>
      </c>
      <c r="K872" s="7">
        <v>60000</v>
      </c>
      <c r="L872" s="7">
        <v>158400</v>
      </c>
      <c r="M872" s="8">
        <v>9900</v>
      </c>
      <c r="N872" s="43">
        <v>49200</v>
      </c>
      <c r="O872" s="9">
        <v>158400</v>
      </c>
      <c r="P872" s="7">
        <v>0</v>
      </c>
      <c r="Q872" s="152">
        <v>45789</v>
      </c>
    </row>
    <row r="873" spans="1:17" ht="35.25" thickBot="1" x14ac:dyDescent="0.3">
      <c r="A873" s="1">
        <v>3011</v>
      </c>
      <c r="B873" s="2" t="s">
        <v>467</v>
      </c>
      <c r="C873" s="2" t="s">
        <v>468</v>
      </c>
      <c r="D873" s="44"/>
      <c r="E873" s="3">
        <v>45677</v>
      </c>
      <c r="F873" s="3">
        <v>45777</v>
      </c>
      <c r="G873" s="4">
        <v>72</v>
      </c>
      <c r="H873" s="5">
        <v>72</v>
      </c>
      <c r="I873" s="5">
        <v>0</v>
      </c>
      <c r="J873" s="192" t="s">
        <v>443</v>
      </c>
      <c r="K873" s="7">
        <v>300000</v>
      </c>
      <c r="L873" s="7">
        <v>648000</v>
      </c>
      <c r="M873" s="8">
        <v>45000</v>
      </c>
      <c r="N873" s="9">
        <v>23000</v>
      </c>
      <c r="O873" s="9">
        <v>648000</v>
      </c>
      <c r="P873" s="10">
        <v>0</v>
      </c>
      <c r="Q873" s="152">
        <v>45789</v>
      </c>
    </row>
    <row r="874" spans="1:17" ht="46.5" thickBot="1" x14ac:dyDescent="0.3">
      <c r="A874" s="1">
        <v>2846</v>
      </c>
      <c r="B874" s="2" t="s">
        <v>215</v>
      </c>
      <c r="C874" s="2" t="s">
        <v>216</v>
      </c>
      <c r="D874" s="44"/>
      <c r="E874" s="3">
        <v>45573</v>
      </c>
      <c r="F874" s="3">
        <v>45685</v>
      </c>
      <c r="G874" s="4">
        <v>80</v>
      </c>
      <c r="H874" s="5">
        <v>80</v>
      </c>
      <c r="I874" s="5">
        <v>0</v>
      </c>
      <c r="J874" s="355" t="s">
        <v>217</v>
      </c>
      <c r="K874" s="10">
        <v>500000</v>
      </c>
      <c r="L874" s="10">
        <v>1080000</v>
      </c>
      <c r="M874" s="8">
        <v>67500</v>
      </c>
      <c r="N874" s="9">
        <v>70000</v>
      </c>
      <c r="O874" s="9">
        <v>1080000</v>
      </c>
      <c r="P874" s="10">
        <v>0</v>
      </c>
      <c r="Q874" s="152">
        <v>45796</v>
      </c>
    </row>
    <row r="875" spans="1:17" ht="35.25" thickBot="1" x14ac:dyDescent="0.3">
      <c r="A875" s="1">
        <v>2931</v>
      </c>
      <c r="B875" s="2" t="s">
        <v>278</v>
      </c>
      <c r="C875" s="2" t="s">
        <v>208</v>
      </c>
      <c r="D875" s="44"/>
      <c r="E875" s="3">
        <v>45621</v>
      </c>
      <c r="F875" s="3">
        <v>45775</v>
      </c>
      <c r="G875" s="4">
        <v>110</v>
      </c>
      <c r="H875" s="5">
        <v>110</v>
      </c>
      <c r="I875" s="5">
        <v>0</v>
      </c>
      <c r="J875" s="192" t="s">
        <v>279</v>
      </c>
      <c r="K875" s="7">
        <v>100000</v>
      </c>
      <c r="L875" s="7">
        <v>264000</v>
      </c>
      <c r="M875" s="21">
        <v>12000</v>
      </c>
      <c r="N875" s="9">
        <v>12000</v>
      </c>
      <c r="O875" s="9">
        <v>264000</v>
      </c>
      <c r="P875" s="10">
        <v>0</v>
      </c>
      <c r="Q875" s="152">
        <v>45796</v>
      </c>
    </row>
    <row r="876" spans="1:17" ht="91.5" thickBot="1" x14ac:dyDescent="0.3">
      <c r="A876" s="1">
        <v>3086</v>
      </c>
      <c r="B876" s="2" t="s">
        <v>334</v>
      </c>
      <c r="C876" s="2" t="s">
        <v>335</v>
      </c>
      <c r="D876" s="44"/>
      <c r="E876" s="3">
        <v>45716</v>
      </c>
      <c r="F876" s="3">
        <v>45818</v>
      </c>
      <c r="G876" s="4">
        <v>72</v>
      </c>
      <c r="H876" s="5">
        <v>72</v>
      </c>
      <c r="I876" s="5">
        <v>0</v>
      </c>
      <c r="J876" s="155" t="s">
        <v>227</v>
      </c>
      <c r="K876" s="10">
        <v>60000</v>
      </c>
      <c r="L876" s="10">
        <v>129600</v>
      </c>
      <c r="M876" s="21">
        <v>9000</v>
      </c>
      <c r="N876" s="9">
        <v>30600</v>
      </c>
      <c r="O876" s="9">
        <v>129600</v>
      </c>
      <c r="P876" s="10">
        <v>0</v>
      </c>
      <c r="Q876" s="152">
        <v>45796</v>
      </c>
    </row>
    <row r="877" spans="1:17" ht="15.75" thickBot="1" x14ac:dyDescent="0.3">
      <c r="A877" s="1">
        <v>3162</v>
      </c>
      <c r="B877" s="2" t="s">
        <v>367</v>
      </c>
      <c r="C877" s="2"/>
      <c r="D877" s="44"/>
      <c r="E877" s="3">
        <v>45770</v>
      </c>
      <c r="F877" s="3">
        <v>45798</v>
      </c>
      <c r="G877" s="4">
        <v>20</v>
      </c>
      <c r="H877" s="5" t="e">
        <v>#DIV/0!</v>
      </c>
      <c r="I877" s="5" t="e">
        <v>#DIV/0!</v>
      </c>
      <c r="J877" s="355" t="s">
        <v>368</v>
      </c>
      <c r="K877" s="10">
        <v>30000</v>
      </c>
      <c r="L877" s="10">
        <v>45000</v>
      </c>
      <c r="M877" s="8"/>
      <c r="N877" s="9">
        <v>45000</v>
      </c>
      <c r="O877" s="9">
        <v>45000</v>
      </c>
      <c r="P877" s="7">
        <v>0</v>
      </c>
      <c r="Q877" s="152">
        <v>45796</v>
      </c>
    </row>
    <row r="878" spans="1:17" ht="24" thickBot="1" x14ac:dyDescent="0.3">
      <c r="A878" s="1">
        <v>3153</v>
      </c>
      <c r="B878" s="2" t="s">
        <v>1200</v>
      </c>
      <c r="C878" s="2" t="s">
        <v>430</v>
      </c>
      <c r="D878" s="44"/>
      <c r="E878" s="3">
        <v>45761</v>
      </c>
      <c r="F878" s="3">
        <v>45785</v>
      </c>
      <c r="G878" s="4">
        <v>18</v>
      </c>
      <c r="H878" s="5" t="e">
        <v>#DIV/0!</v>
      </c>
      <c r="I878" s="5" t="e">
        <v>#DIV/0!</v>
      </c>
      <c r="J878" s="355" t="s">
        <v>403</v>
      </c>
      <c r="K878" s="10">
        <v>250000</v>
      </c>
      <c r="L878" s="10">
        <v>350000</v>
      </c>
      <c r="M878" s="8"/>
      <c r="N878" s="9">
        <v>350000</v>
      </c>
      <c r="O878" s="9">
        <v>350000</v>
      </c>
      <c r="P878" s="7">
        <v>0</v>
      </c>
      <c r="Q878" s="152">
        <v>45796</v>
      </c>
    </row>
    <row r="879" spans="1:17" ht="35.25" thickBot="1" x14ac:dyDescent="0.3">
      <c r="A879" s="1">
        <v>3113</v>
      </c>
      <c r="B879" s="2" t="s">
        <v>453</v>
      </c>
      <c r="C879" s="2"/>
      <c r="D879" s="44"/>
      <c r="E879" s="3">
        <v>45734</v>
      </c>
      <c r="F879" s="3">
        <v>45832</v>
      </c>
      <c r="G879" s="4">
        <v>70</v>
      </c>
      <c r="H879" s="5">
        <v>70</v>
      </c>
      <c r="I879" s="5">
        <v>0</v>
      </c>
      <c r="J879" s="192" t="s">
        <v>454</v>
      </c>
      <c r="K879" s="7">
        <v>50000</v>
      </c>
      <c r="L879" s="7">
        <v>108500</v>
      </c>
      <c r="M879" s="8">
        <v>7750</v>
      </c>
      <c r="N879" s="9">
        <v>46500</v>
      </c>
      <c r="O879" s="9">
        <v>108500</v>
      </c>
      <c r="P879" s="10">
        <v>0</v>
      </c>
      <c r="Q879" s="152">
        <v>45796</v>
      </c>
    </row>
    <row r="880" spans="1:17" ht="69" thickBot="1" x14ac:dyDescent="0.3">
      <c r="A880" s="1">
        <v>3034</v>
      </c>
      <c r="B880" s="2" t="s">
        <v>251</v>
      </c>
      <c r="C880" s="2" t="s">
        <v>252</v>
      </c>
      <c r="D880" s="44"/>
      <c r="E880" s="3">
        <v>45688</v>
      </c>
      <c r="F880" s="3">
        <v>45800</v>
      </c>
      <c r="G880" s="4">
        <v>80</v>
      </c>
      <c r="H880" s="371">
        <v>80</v>
      </c>
      <c r="I880" s="371">
        <v>0</v>
      </c>
      <c r="J880" s="355" t="s">
        <v>253</v>
      </c>
      <c r="K880" s="7">
        <v>400000</v>
      </c>
      <c r="L880" s="7">
        <v>864000</v>
      </c>
      <c r="M880" s="8">
        <v>54000</v>
      </c>
      <c r="N880" s="9">
        <v>216000</v>
      </c>
      <c r="O880" s="9">
        <v>864000</v>
      </c>
      <c r="P880" s="10">
        <v>0</v>
      </c>
      <c r="Q880" s="152">
        <v>45803</v>
      </c>
    </row>
    <row r="881" spans="1:17" ht="91.5" thickBot="1" x14ac:dyDescent="0.3">
      <c r="A881" s="1">
        <v>3099</v>
      </c>
      <c r="B881" s="2" t="s">
        <v>334</v>
      </c>
      <c r="C881" s="2" t="s">
        <v>335</v>
      </c>
      <c r="D881" s="44"/>
      <c r="E881" s="3">
        <v>45726</v>
      </c>
      <c r="F881" s="3">
        <v>45826</v>
      </c>
      <c r="G881" s="4">
        <v>72</v>
      </c>
      <c r="H881" s="371">
        <v>72</v>
      </c>
      <c r="I881" s="371">
        <v>0</v>
      </c>
      <c r="J881" s="155" t="s">
        <v>227</v>
      </c>
      <c r="K881" s="368">
        <v>50000</v>
      </c>
      <c r="L881" s="7">
        <v>108000</v>
      </c>
      <c r="M881" s="21">
        <v>7500</v>
      </c>
      <c r="N881" s="9">
        <v>33000</v>
      </c>
      <c r="O881" s="9">
        <v>108000</v>
      </c>
      <c r="P881" s="7">
        <v>0</v>
      </c>
      <c r="Q881" s="152">
        <v>45803</v>
      </c>
    </row>
    <row r="882" spans="1:17" ht="57.75" thickBot="1" x14ac:dyDescent="0.3">
      <c r="A882" s="1">
        <v>3220</v>
      </c>
      <c r="B882" s="2" t="s">
        <v>369</v>
      </c>
      <c r="C882" s="2" t="s">
        <v>370</v>
      </c>
      <c r="D882" s="44"/>
      <c r="E882" s="3">
        <v>45806</v>
      </c>
      <c r="F882" s="3">
        <v>45807</v>
      </c>
      <c r="G882" s="4">
        <v>1</v>
      </c>
      <c r="H882" s="371" t="e">
        <v>#DIV/0!</v>
      </c>
      <c r="I882" s="371" t="e">
        <v>#DIV/0!</v>
      </c>
      <c r="J882" s="355" t="s">
        <v>368</v>
      </c>
      <c r="K882" s="7">
        <v>100000</v>
      </c>
      <c r="L882" s="7">
        <v>120000</v>
      </c>
      <c r="M882" s="8"/>
      <c r="N882" s="9">
        <v>120000</v>
      </c>
      <c r="O882" s="9">
        <v>120000</v>
      </c>
      <c r="P882" s="7">
        <v>0</v>
      </c>
      <c r="Q882" s="152">
        <v>45803</v>
      </c>
    </row>
    <row r="883" spans="1:17" ht="35.25" thickBot="1" x14ac:dyDescent="0.3">
      <c r="A883" s="1">
        <v>3103</v>
      </c>
      <c r="B883" s="2" t="s">
        <v>385</v>
      </c>
      <c r="C883" s="2" t="s">
        <v>386</v>
      </c>
      <c r="D883" s="44"/>
      <c r="E883" s="3">
        <v>45728</v>
      </c>
      <c r="F883" s="3">
        <v>45828</v>
      </c>
      <c r="G883" s="4">
        <v>72</v>
      </c>
      <c r="H883" s="371">
        <v>72</v>
      </c>
      <c r="I883" s="371">
        <v>0</v>
      </c>
      <c r="J883" s="155" t="s">
        <v>227</v>
      </c>
      <c r="K883" s="10">
        <v>50000</v>
      </c>
      <c r="L883" s="10">
        <v>108000</v>
      </c>
      <c r="M883" s="8">
        <v>7500</v>
      </c>
      <c r="N883" s="9">
        <v>55500</v>
      </c>
      <c r="O883" s="9">
        <v>108000</v>
      </c>
      <c r="P883" s="7">
        <v>0</v>
      </c>
      <c r="Q883" s="152">
        <v>45803</v>
      </c>
    </row>
    <row r="884" spans="1:17" ht="80.25" thickBot="1" x14ac:dyDescent="0.3">
      <c r="A884" s="1">
        <v>2789</v>
      </c>
      <c r="B884" s="2" t="s">
        <v>431</v>
      </c>
      <c r="C884" s="2" t="s">
        <v>432</v>
      </c>
      <c r="D884" s="44"/>
      <c r="E884" s="3">
        <v>45537</v>
      </c>
      <c r="F884" s="3">
        <v>45705</v>
      </c>
      <c r="G884" s="4">
        <v>120</v>
      </c>
      <c r="H884" s="371">
        <v>120</v>
      </c>
      <c r="I884" s="371">
        <v>0</v>
      </c>
      <c r="J884" s="155" t="s">
        <v>435</v>
      </c>
      <c r="K884" s="7">
        <v>600000</v>
      </c>
      <c r="L884" s="7">
        <v>1584000</v>
      </c>
      <c r="M884" s="8">
        <v>66000</v>
      </c>
      <c r="N884" s="9"/>
      <c r="O884" s="9">
        <v>1584000</v>
      </c>
      <c r="P884" s="10">
        <v>0</v>
      </c>
      <c r="Q884" s="152">
        <v>45803</v>
      </c>
    </row>
    <row r="885" spans="1:17" ht="57.75" thickBot="1" x14ac:dyDescent="0.3">
      <c r="A885" s="1">
        <v>2852</v>
      </c>
      <c r="B885" s="2" t="s">
        <v>222</v>
      </c>
      <c r="C885" s="4" t="s">
        <v>223</v>
      </c>
      <c r="D885" s="2">
        <v>22375673</v>
      </c>
      <c r="E885" s="3">
        <v>45575</v>
      </c>
      <c r="F885" s="3">
        <v>45799</v>
      </c>
      <c r="G885" s="4">
        <v>160</v>
      </c>
      <c r="H885" s="371">
        <v>160</v>
      </c>
      <c r="I885" s="371">
        <v>0</v>
      </c>
      <c r="J885" s="355" t="s">
        <v>224</v>
      </c>
      <c r="K885" s="7">
        <v>400000</v>
      </c>
      <c r="L885" s="7">
        <v>1200000</v>
      </c>
      <c r="M885" s="8">
        <v>37500</v>
      </c>
      <c r="N885" s="9">
        <v>150000</v>
      </c>
      <c r="O885" s="9">
        <v>1200000</v>
      </c>
      <c r="P885" s="10">
        <v>0</v>
      </c>
      <c r="Q885" s="152">
        <v>45810</v>
      </c>
    </row>
    <row r="886" spans="1:17" ht="25.5" thickBot="1" x14ac:dyDescent="0.3">
      <c r="A886" s="1">
        <v>3170</v>
      </c>
      <c r="B886" s="2" t="s">
        <v>275</v>
      </c>
      <c r="C886" s="2"/>
      <c r="D886" s="2"/>
      <c r="E886" s="3">
        <v>45772</v>
      </c>
      <c r="F886" s="3">
        <v>45797</v>
      </c>
      <c r="G886" s="4">
        <v>17</v>
      </c>
      <c r="H886" s="371" t="e">
        <v>#DIV/0!</v>
      </c>
      <c r="I886" s="371" t="e">
        <v>#DIV/0!</v>
      </c>
      <c r="J886" s="355" t="s">
        <v>1199</v>
      </c>
      <c r="K886" s="7">
        <v>100000</v>
      </c>
      <c r="L886" s="7">
        <v>150000</v>
      </c>
      <c r="M886" s="21"/>
      <c r="N886" s="9">
        <v>150000</v>
      </c>
      <c r="O886" s="9">
        <v>150000</v>
      </c>
      <c r="P886" s="10">
        <v>0</v>
      </c>
      <c r="Q886" s="152">
        <v>45810</v>
      </c>
    </row>
    <row r="887" spans="1:17" ht="35.25" thickBot="1" x14ac:dyDescent="0.3">
      <c r="A887" s="1">
        <v>3027</v>
      </c>
      <c r="B887" s="2" t="s">
        <v>278</v>
      </c>
      <c r="C887" s="2" t="s">
        <v>208</v>
      </c>
      <c r="D887" s="2"/>
      <c r="E887" s="3">
        <v>45684</v>
      </c>
      <c r="F887" s="3">
        <v>45784</v>
      </c>
      <c r="G887" s="4">
        <v>72</v>
      </c>
      <c r="H887" s="371">
        <v>72</v>
      </c>
      <c r="I887" s="371">
        <v>0</v>
      </c>
      <c r="J887" s="155" t="s">
        <v>161</v>
      </c>
      <c r="K887" s="7">
        <v>100000</v>
      </c>
      <c r="L887" s="7">
        <v>216000</v>
      </c>
      <c r="M887" s="21">
        <v>15000</v>
      </c>
      <c r="N887" s="9">
        <v>3600</v>
      </c>
      <c r="O887" s="9">
        <v>216000</v>
      </c>
      <c r="P887" s="10">
        <v>0</v>
      </c>
      <c r="Q887" s="152">
        <v>45810</v>
      </c>
    </row>
    <row r="888" spans="1:17" ht="49.5" thickBot="1" x14ac:dyDescent="0.3">
      <c r="A888" s="1">
        <v>3222</v>
      </c>
      <c r="B888" s="155" t="s">
        <v>557</v>
      </c>
      <c r="C888" s="155" t="s">
        <v>559</v>
      </c>
      <c r="D888" s="155"/>
      <c r="E888" s="3">
        <v>45807</v>
      </c>
      <c r="F888" s="156">
        <v>45205</v>
      </c>
      <c r="G888" s="4">
        <v>5</v>
      </c>
      <c r="H888" s="157" t="e">
        <v>#VALUE!</v>
      </c>
      <c r="I888" s="157" t="e">
        <v>#VALUE!</v>
      </c>
      <c r="J888" s="363" t="s">
        <v>550</v>
      </c>
      <c r="K888" s="158">
        <v>100000</v>
      </c>
      <c r="L888" s="158">
        <v>130000</v>
      </c>
      <c r="M888" s="8"/>
      <c r="N888" s="9">
        <v>130000</v>
      </c>
      <c r="O888" s="9">
        <v>130000</v>
      </c>
      <c r="P888" s="10">
        <v>0</v>
      </c>
      <c r="Q888" s="152">
        <v>45810</v>
      </c>
    </row>
    <row r="889" spans="1:17" ht="69" thickBot="1" x14ac:dyDescent="0.3">
      <c r="A889" s="1">
        <v>2946</v>
      </c>
      <c r="B889" s="2" t="s">
        <v>362</v>
      </c>
      <c r="C889" s="2" t="s">
        <v>363</v>
      </c>
      <c r="D889" s="2">
        <v>27242809519</v>
      </c>
      <c r="E889" s="3">
        <v>45633</v>
      </c>
      <c r="F889" s="3">
        <v>45744</v>
      </c>
      <c r="G889" s="4">
        <v>80</v>
      </c>
      <c r="H889" s="371">
        <v>84.444444444444443</v>
      </c>
      <c r="I889" s="371">
        <v>-4.4444444444444429</v>
      </c>
      <c r="J889" s="355" t="s">
        <v>154</v>
      </c>
      <c r="K889" s="10">
        <v>50000</v>
      </c>
      <c r="L889" s="10">
        <v>108000</v>
      </c>
      <c r="M889" s="8">
        <v>6750</v>
      </c>
      <c r="N889" s="9">
        <v>60000</v>
      </c>
      <c r="O889" s="9">
        <v>114000</v>
      </c>
      <c r="P889" s="10">
        <v>-6000</v>
      </c>
      <c r="Q889" s="152">
        <v>45810</v>
      </c>
    </row>
    <row r="890" spans="1:17" ht="57.75" thickBot="1" x14ac:dyDescent="0.3">
      <c r="A890" s="1">
        <v>2897</v>
      </c>
      <c r="B890" s="2" t="s">
        <v>369</v>
      </c>
      <c r="C890" s="2" t="s">
        <v>370</v>
      </c>
      <c r="D890" s="2"/>
      <c r="E890" s="3">
        <v>45593</v>
      </c>
      <c r="F890" s="3">
        <v>45733</v>
      </c>
      <c r="G890" s="4">
        <v>100</v>
      </c>
      <c r="H890" s="371">
        <v>100</v>
      </c>
      <c r="I890" s="371">
        <v>0</v>
      </c>
      <c r="J890" s="355" t="s">
        <v>373</v>
      </c>
      <c r="K890" s="10">
        <v>100000</v>
      </c>
      <c r="L890" s="10">
        <v>216000</v>
      </c>
      <c r="M890" s="8">
        <v>10800</v>
      </c>
      <c r="N890" s="9">
        <v>21600</v>
      </c>
      <c r="O890" s="9">
        <v>216000</v>
      </c>
      <c r="P890" s="10">
        <v>0</v>
      </c>
      <c r="Q890" s="152">
        <v>45810</v>
      </c>
    </row>
    <row r="891" spans="1:17" ht="57.75" thickBot="1" x14ac:dyDescent="0.3">
      <c r="A891" s="1">
        <v>2932</v>
      </c>
      <c r="B891" s="2" t="s">
        <v>369</v>
      </c>
      <c r="C891" s="2" t="s">
        <v>370</v>
      </c>
      <c r="D891" s="2"/>
      <c r="E891" s="3">
        <v>45623</v>
      </c>
      <c r="F891" s="3">
        <v>45763</v>
      </c>
      <c r="G891" s="4">
        <v>100</v>
      </c>
      <c r="H891" s="371">
        <v>100</v>
      </c>
      <c r="I891" s="371">
        <v>0</v>
      </c>
      <c r="J891" s="355" t="s">
        <v>374</v>
      </c>
      <c r="K891" s="10">
        <v>150000</v>
      </c>
      <c r="L891" s="10">
        <v>324000</v>
      </c>
      <c r="M891" s="8">
        <v>16200</v>
      </c>
      <c r="N891" s="9">
        <v>64800</v>
      </c>
      <c r="O891" s="9">
        <v>324000</v>
      </c>
      <c r="P891" s="10">
        <v>0</v>
      </c>
      <c r="Q891" s="152">
        <v>45810</v>
      </c>
    </row>
    <row r="892" spans="1:17" ht="57.75" thickBot="1" x14ac:dyDescent="0.3">
      <c r="A892" s="1">
        <v>2696</v>
      </c>
      <c r="B892" s="2" t="s">
        <v>404</v>
      </c>
      <c r="C892" s="2" t="s">
        <v>405</v>
      </c>
      <c r="D892" s="2">
        <v>24172612</v>
      </c>
      <c r="E892" s="3">
        <v>45479</v>
      </c>
      <c r="F892" s="3">
        <v>45580</v>
      </c>
      <c r="G892" s="4">
        <v>72</v>
      </c>
      <c r="H892" s="371">
        <v>72</v>
      </c>
      <c r="I892" s="371">
        <v>0</v>
      </c>
      <c r="J892" s="155" t="s">
        <v>227</v>
      </c>
      <c r="K892" s="7">
        <v>50000</v>
      </c>
      <c r="L892" s="7">
        <v>108000</v>
      </c>
      <c r="M892" s="8">
        <v>7500</v>
      </c>
      <c r="N892" s="9">
        <v>6000</v>
      </c>
      <c r="O892" s="9">
        <v>108000</v>
      </c>
      <c r="P892" s="7">
        <v>0</v>
      </c>
      <c r="Q892" s="152">
        <v>45810</v>
      </c>
    </row>
    <row r="893" spans="1:17" ht="56.25" thickBot="1" x14ac:dyDescent="0.3">
      <c r="A893" s="1">
        <v>3051</v>
      </c>
      <c r="B893" s="27" t="s">
        <v>144</v>
      </c>
      <c r="C893" s="27" t="s">
        <v>145</v>
      </c>
      <c r="D893" s="2"/>
      <c r="E893" s="3">
        <v>45699</v>
      </c>
      <c r="F893" s="3">
        <v>45811</v>
      </c>
      <c r="G893" s="4">
        <v>80</v>
      </c>
      <c r="H893" s="5">
        <v>80</v>
      </c>
      <c r="I893" s="5">
        <v>0</v>
      </c>
      <c r="J893" s="355" t="s">
        <v>306</v>
      </c>
      <c r="K893" s="10">
        <v>100000</v>
      </c>
      <c r="L893" s="10">
        <v>216000</v>
      </c>
      <c r="M893" s="8">
        <v>13500</v>
      </c>
      <c r="N893" s="9">
        <v>54000</v>
      </c>
      <c r="O893" s="9">
        <v>216000</v>
      </c>
      <c r="P893" s="10">
        <v>0</v>
      </c>
      <c r="Q893" s="152">
        <v>45817</v>
      </c>
    </row>
    <row r="894" spans="1:17" ht="38.25" thickBot="1" x14ac:dyDescent="0.3">
      <c r="A894" s="1">
        <v>2998</v>
      </c>
      <c r="B894" s="27" t="s">
        <v>166</v>
      </c>
      <c r="C894" s="27" t="s">
        <v>167</v>
      </c>
      <c r="D894" s="2"/>
      <c r="E894" s="3">
        <v>45668</v>
      </c>
      <c r="F894" s="3">
        <v>45779</v>
      </c>
      <c r="G894" s="4">
        <v>80</v>
      </c>
      <c r="H894" s="5">
        <v>80</v>
      </c>
      <c r="I894" s="5">
        <v>0</v>
      </c>
      <c r="J894" s="355" t="s">
        <v>168</v>
      </c>
      <c r="K894" s="7">
        <v>80000</v>
      </c>
      <c r="L894" s="7">
        <v>172800</v>
      </c>
      <c r="M894" s="8">
        <v>10800</v>
      </c>
      <c r="N894" s="9">
        <v>43200</v>
      </c>
      <c r="O894" s="9">
        <v>172800</v>
      </c>
      <c r="P894" s="10">
        <v>0</v>
      </c>
      <c r="Q894" s="152">
        <v>45817</v>
      </c>
    </row>
    <row r="895" spans="1:17" ht="37.5" thickBot="1" x14ac:dyDescent="0.3">
      <c r="A895" s="1">
        <v>3053</v>
      </c>
      <c r="B895" s="27" t="s">
        <v>230</v>
      </c>
      <c r="C895" s="27" t="s">
        <v>231</v>
      </c>
      <c r="D895" s="2">
        <v>14154231</v>
      </c>
      <c r="E895" s="3">
        <v>45699</v>
      </c>
      <c r="F895" s="3">
        <v>45811</v>
      </c>
      <c r="G895" s="4">
        <v>80</v>
      </c>
      <c r="H895" s="371">
        <v>80</v>
      </c>
      <c r="I895" s="371">
        <v>0</v>
      </c>
      <c r="J895" s="355" t="s">
        <v>232</v>
      </c>
      <c r="K895" s="7">
        <v>300000</v>
      </c>
      <c r="L895" s="7">
        <v>648000</v>
      </c>
      <c r="M895" s="8">
        <v>40500</v>
      </c>
      <c r="N895" s="9">
        <v>92000</v>
      </c>
      <c r="O895" s="9">
        <v>648000</v>
      </c>
      <c r="P895" s="10">
        <v>0</v>
      </c>
      <c r="Q895" s="152">
        <v>45817</v>
      </c>
    </row>
    <row r="896" spans="1:17" ht="47.25" thickBot="1" x14ac:dyDescent="0.3">
      <c r="A896" s="1">
        <v>3177</v>
      </c>
      <c r="B896" s="27" t="s">
        <v>290</v>
      </c>
      <c r="C896" s="27" t="s">
        <v>291</v>
      </c>
      <c r="D896" s="2"/>
      <c r="E896" s="3">
        <v>45777</v>
      </c>
      <c r="F896" s="3">
        <v>45805</v>
      </c>
      <c r="G896" s="4">
        <v>20</v>
      </c>
      <c r="H896" s="371" t="e">
        <v>#DIV/0!</v>
      </c>
      <c r="I896" s="371" t="e">
        <v>#DIV/0!</v>
      </c>
      <c r="J896" s="355" t="s">
        <v>293</v>
      </c>
      <c r="K896" s="7">
        <v>100000</v>
      </c>
      <c r="L896" s="7">
        <v>150000</v>
      </c>
      <c r="M896" s="21"/>
      <c r="N896" s="9">
        <v>75000</v>
      </c>
      <c r="O896" s="9">
        <v>150000</v>
      </c>
      <c r="P896" s="10">
        <v>0</v>
      </c>
      <c r="Q896" s="152">
        <v>45817</v>
      </c>
    </row>
    <row r="897" spans="1:17" ht="47.25" thickBot="1" x14ac:dyDescent="0.3">
      <c r="A897" s="1">
        <v>2758</v>
      </c>
      <c r="B897" s="27" t="s">
        <v>294</v>
      </c>
      <c r="C897" s="27" t="s">
        <v>291</v>
      </c>
      <c r="D897" s="2"/>
      <c r="E897" s="3">
        <v>45518</v>
      </c>
      <c r="F897" s="3">
        <v>45616</v>
      </c>
      <c r="G897" s="4">
        <v>70</v>
      </c>
      <c r="H897" s="371">
        <v>70</v>
      </c>
      <c r="I897" s="371">
        <v>0</v>
      </c>
      <c r="J897" s="192" t="s">
        <v>295</v>
      </c>
      <c r="K897" s="7">
        <v>50000</v>
      </c>
      <c r="L897" s="7">
        <v>125000</v>
      </c>
      <c r="M897" s="21">
        <v>8928.5714285714294</v>
      </c>
      <c r="N897" s="9">
        <v>30000</v>
      </c>
      <c r="O897" s="9">
        <v>125000</v>
      </c>
      <c r="P897" s="10">
        <v>0</v>
      </c>
      <c r="Q897" s="152">
        <v>45817</v>
      </c>
    </row>
    <row r="898" spans="1:17" ht="25.5" thickBot="1" x14ac:dyDescent="0.3">
      <c r="A898" s="1">
        <v>3193</v>
      </c>
      <c r="B898" s="27" t="s">
        <v>355</v>
      </c>
      <c r="C898" s="27" t="s">
        <v>356</v>
      </c>
      <c r="D898" s="2"/>
      <c r="E898" s="3">
        <v>45791</v>
      </c>
      <c r="F898" s="3">
        <v>45819</v>
      </c>
      <c r="G898" s="4">
        <v>20</v>
      </c>
      <c r="H898" s="371" t="e">
        <v>#DIV/0!</v>
      </c>
      <c r="I898" s="371" t="e">
        <v>#DIV/0!</v>
      </c>
      <c r="J898" s="355" t="s">
        <v>293</v>
      </c>
      <c r="K898" s="7">
        <v>45000</v>
      </c>
      <c r="L898" s="7">
        <v>67500</v>
      </c>
      <c r="M898" s="21"/>
      <c r="N898" s="9">
        <v>17500</v>
      </c>
      <c r="O898" s="9">
        <v>67500</v>
      </c>
      <c r="P898" s="7">
        <v>0</v>
      </c>
      <c r="Q898" s="152">
        <v>45817</v>
      </c>
    </row>
    <row r="899" spans="1:17" ht="15.75" thickBot="1" x14ac:dyDescent="0.3">
      <c r="A899" s="1">
        <v>3196</v>
      </c>
      <c r="B899" s="27" t="s">
        <v>367</v>
      </c>
      <c r="C899" s="27"/>
      <c r="D899" s="2"/>
      <c r="E899" s="3">
        <v>45792</v>
      </c>
      <c r="F899" s="3">
        <v>45820</v>
      </c>
      <c r="G899" s="4">
        <v>20</v>
      </c>
      <c r="H899" s="371" t="e">
        <v>#DIV/0!</v>
      </c>
      <c r="I899" s="371" t="e">
        <v>#DIV/0!</v>
      </c>
      <c r="J899" s="355" t="s">
        <v>368</v>
      </c>
      <c r="K899" s="7">
        <v>70000</v>
      </c>
      <c r="L899" s="7">
        <v>105000</v>
      </c>
      <c r="M899" s="8"/>
      <c r="N899" s="9">
        <v>105000</v>
      </c>
      <c r="O899" s="9">
        <v>105000</v>
      </c>
      <c r="P899" s="7">
        <v>0</v>
      </c>
      <c r="Q899" s="152">
        <v>45817</v>
      </c>
    </row>
    <row r="900" spans="1:17" ht="15.75" thickBot="1" x14ac:dyDescent="0.3">
      <c r="A900" s="1">
        <v>3204</v>
      </c>
      <c r="B900" s="27" t="s">
        <v>367</v>
      </c>
      <c r="C900" s="27"/>
      <c r="D900" s="2"/>
      <c r="E900" s="3">
        <v>45797</v>
      </c>
      <c r="F900" s="3">
        <v>45825</v>
      </c>
      <c r="G900" s="4">
        <v>20</v>
      </c>
      <c r="H900" s="371" t="e">
        <v>#DIV/0!</v>
      </c>
      <c r="I900" s="371" t="e">
        <v>#DIV/0!</v>
      </c>
      <c r="J900" s="355" t="s">
        <v>368</v>
      </c>
      <c r="K900" s="7">
        <v>45000</v>
      </c>
      <c r="L900" s="7">
        <v>72000</v>
      </c>
      <c r="M900" s="8"/>
      <c r="N900" s="9">
        <v>72000</v>
      </c>
      <c r="O900" s="9">
        <v>72000</v>
      </c>
      <c r="P900" s="7">
        <v>0</v>
      </c>
      <c r="Q900" s="152">
        <v>45817</v>
      </c>
    </row>
    <row r="901" spans="1:17" ht="38.25" thickBot="1" x14ac:dyDescent="0.3">
      <c r="A901" s="1">
        <v>2919</v>
      </c>
      <c r="B901" s="27" t="s">
        <v>376</v>
      </c>
      <c r="C901" s="27"/>
      <c r="D901" s="2"/>
      <c r="E901" s="3">
        <v>45616</v>
      </c>
      <c r="F901" s="3">
        <v>45784</v>
      </c>
      <c r="G901" s="4">
        <v>120</v>
      </c>
      <c r="H901" s="371">
        <v>120</v>
      </c>
      <c r="I901" s="371">
        <v>0</v>
      </c>
      <c r="J901" s="355" t="s">
        <v>153</v>
      </c>
      <c r="K901" s="10">
        <v>100000</v>
      </c>
      <c r="L901" s="10">
        <v>264000</v>
      </c>
      <c r="M901" s="8">
        <v>11000</v>
      </c>
      <c r="N901" s="9">
        <v>44000</v>
      </c>
      <c r="O901" s="9">
        <v>264000</v>
      </c>
      <c r="P901" s="7">
        <v>0</v>
      </c>
      <c r="Q901" s="152">
        <v>45817</v>
      </c>
    </row>
    <row r="902" spans="1:17" ht="25.5" thickBot="1" x14ac:dyDescent="0.3">
      <c r="A902" s="1">
        <v>2735</v>
      </c>
      <c r="B902" s="27" t="s">
        <v>381</v>
      </c>
      <c r="C902" s="27"/>
      <c r="D902" s="2"/>
      <c r="E902" s="3">
        <v>45502</v>
      </c>
      <c r="F902" s="3">
        <v>45782</v>
      </c>
      <c r="G902" s="4">
        <v>200</v>
      </c>
      <c r="H902" s="371">
        <v>200</v>
      </c>
      <c r="I902" s="371">
        <v>0</v>
      </c>
      <c r="J902" s="355" t="s">
        <v>382</v>
      </c>
      <c r="K902" s="10">
        <v>100000</v>
      </c>
      <c r="L902" s="10">
        <v>308000</v>
      </c>
      <c r="M902" s="8">
        <v>7700</v>
      </c>
      <c r="N902" s="9">
        <v>30800</v>
      </c>
      <c r="O902" s="9">
        <v>308000</v>
      </c>
      <c r="P902" s="7">
        <v>0</v>
      </c>
      <c r="Q902" s="152">
        <v>45817</v>
      </c>
    </row>
    <row r="903" spans="1:17" ht="20.25" thickBot="1" x14ac:dyDescent="0.3">
      <c r="A903" s="1">
        <v>3029</v>
      </c>
      <c r="B903" s="27" t="s">
        <v>381</v>
      </c>
      <c r="C903" s="27"/>
      <c r="D903" s="2"/>
      <c r="E903" s="3">
        <v>45684</v>
      </c>
      <c r="F903" s="3">
        <v>45796</v>
      </c>
      <c r="G903" s="4">
        <v>80</v>
      </c>
      <c r="H903" s="371">
        <v>80</v>
      </c>
      <c r="I903" s="371">
        <v>0</v>
      </c>
      <c r="J903" s="355" t="s">
        <v>384</v>
      </c>
      <c r="K903" s="7">
        <v>150000</v>
      </c>
      <c r="L903" s="7">
        <v>324000</v>
      </c>
      <c r="M903" s="8">
        <v>20250</v>
      </c>
      <c r="N903" s="9">
        <v>81000</v>
      </c>
      <c r="O903" s="9">
        <v>324000</v>
      </c>
      <c r="P903" s="7">
        <v>0</v>
      </c>
      <c r="Q903" s="152">
        <v>45817</v>
      </c>
    </row>
    <row r="904" spans="1:17" ht="20.25" thickBot="1" x14ac:dyDescent="0.3">
      <c r="A904" s="1">
        <v>3198</v>
      </c>
      <c r="B904" s="27" t="s">
        <v>402</v>
      </c>
      <c r="C904" s="27"/>
      <c r="D904" s="2"/>
      <c r="E904" s="3">
        <v>45793</v>
      </c>
      <c r="F904" s="3">
        <v>45814</v>
      </c>
      <c r="G904" s="4">
        <v>15</v>
      </c>
      <c r="H904" s="371" t="e">
        <v>#DIV/0!</v>
      </c>
      <c r="I904" s="371" t="e">
        <v>#DIV/0!</v>
      </c>
      <c r="J904" s="355" t="s">
        <v>403</v>
      </c>
      <c r="K904" s="7">
        <v>40000</v>
      </c>
      <c r="L904" s="7">
        <v>60000</v>
      </c>
      <c r="M904" s="8"/>
      <c r="N904" s="9">
        <v>60000</v>
      </c>
      <c r="O904" s="9">
        <v>60000</v>
      </c>
      <c r="P904" s="7">
        <v>0</v>
      </c>
      <c r="Q904" s="152">
        <v>45817</v>
      </c>
    </row>
    <row r="905" spans="1:17" ht="20.25" thickBot="1" x14ac:dyDescent="0.3">
      <c r="A905" s="1">
        <v>3202</v>
      </c>
      <c r="B905" s="27" t="s">
        <v>402</v>
      </c>
      <c r="C905" s="27"/>
      <c r="D905" s="2"/>
      <c r="E905" s="3">
        <v>45794</v>
      </c>
      <c r="F905" s="3">
        <v>45814</v>
      </c>
      <c r="G905" s="4">
        <v>15</v>
      </c>
      <c r="H905" s="371" t="e">
        <v>#DIV/0!</v>
      </c>
      <c r="I905" s="371" t="e">
        <v>#DIV/0!</v>
      </c>
      <c r="J905" s="355" t="s">
        <v>403</v>
      </c>
      <c r="K905" s="7">
        <v>40000</v>
      </c>
      <c r="L905" s="7">
        <v>60000</v>
      </c>
      <c r="M905" s="8"/>
      <c r="N905" s="9">
        <v>60000</v>
      </c>
      <c r="O905" s="9">
        <v>60000</v>
      </c>
      <c r="P905" s="7">
        <v>0</v>
      </c>
      <c r="Q905" s="152">
        <v>45817</v>
      </c>
    </row>
    <row r="906" spans="1:17" ht="20.25" thickBot="1" x14ac:dyDescent="0.3">
      <c r="A906" s="1">
        <v>3207</v>
      </c>
      <c r="B906" s="27" t="s">
        <v>402</v>
      </c>
      <c r="C906" s="27"/>
      <c r="D906" s="2"/>
      <c r="E906" s="3">
        <v>45793</v>
      </c>
      <c r="F906" s="3">
        <v>45814</v>
      </c>
      <c r="G906" s="4">
        <v>15</v>
      </c>
      <c r="H906" s="371" t="e">
        <v>#DIV/0!</v>
      </c>
      <c r="I906" s="371" t="e">
        <v>#DIV/0!</v>
      </c>
      <c r="J906" s="355" t="s">
        <v>403</v>
      </c>
      <c r="K906" s="10">
        <v>25000</v>
      </c>
      <c r="L906" s="10">
        <v>37500</v>
      </c>
      <c r="M906" s="8"/>
      <c r="N906" s="9">
        <v>37500</v>
      </c>
      <c r="O906" s="9">
        <v>37500</v>
      </c>
      <c r="P906" s="7">
        <v>0</v>
      </c>
      <c r="Q906" s="152">
        <v>45817</v>
      </c>
    </row>
    <row r="907" spans="1:17" ht="20.25" thickBot="1" x14ac:dyDescent="0.3">
      <c r="A907" s="1">
        <v>3223</v>
      </c>
      <c r="B907" s="27" t="s">
        <v>402</v>
      </c>
      <c r="C907" s="27"/>
      <c r="D907" s="2"/>
      <c r="E907" s="3">
        <v>45807</v>
      </c>
      <c r="F907" s="3">
        <v>45828</v>
      </c>
      <c r="G907" s="4">
        <v>15</v>
      </c>
      <c r="H907" s="371" t="e">
        <v>#DIV/0!</v>
      </c>
      <c r="I907" s="371" t="e">
        <v>#DIV/0!</v>
      </c>
      <c r="J907" s="355" t="s">
        <v>403</v>
      </c>
      <c r="K907" s="7">
        <v>20000</v>
      </c>
      <c r="L907" s="7">
        <v>30000</v>
      </c>
      <c r="M907" s="21"/>
      <c r="N907" s="9">
        <v>30000</v>
      </c>
      <c r="O907" s="9">
        <v>30000</v>
      </c>
      <c r="P907" s="7">
        <v>0</v>
      </c>
      <c r="Q907" s="152">
        <v>45817</v>
      </c>
    </row>
    <row r="908" spans="1:17" ht="38.25" thickBot="1" x14ac:dyDescent="0.3">
      <c r="A908" s="1">
        <v>3083</v>
      </c>
      <c r="B908" s="27" t="s">
        <v>424</v>
      </c>
      <c r="C908" s="27" t="s">
        <v>425</v>
      </c>
      <c r="D908" s="2"/>
      <c r="E908" s="3">
        <v>45714</v>
      </c>
      <c r="F908" s="3">
        <v>45814</v>
      </c>
      <c r="G908" s="4">
        <v>72</v>
      </c>
      <c r="H908" s="371">
        <v>72</v>
      </c>
      <c r="I908" s="371">
        <v>0</v>
      </c>
      <c r="J908" s="155" t="s">
        <v>227</v>
      </c>
      <c r="K908" s="10">
        <v>50000</v>
      </c>
      <c r="L908" s="10">
        <v>108000</v>
      </c>
      <c r="M908" s="8">
        <v>7500</v>
      </c>
      <c r="N908" s="9">
        <v>3000</v>
      </c>
      <c r="O908" s="9">
        <v>108000</v>
      </c>
      <c r="P908" s="7">
        <v>0</v>
      </c>
      <c r="Q908" s="152">
        <v>45817</v>
      </c>
    </row>
    <row r="909" spans="1:17" ht="29.25" thickBot="1" x14ac:dyDescent="0.3">
      <c r="A909" s="1">
        <v>3026</v>
      </c>
      <c r="B909" s="27" t="s">
        <v>169</v>
      </c>
      <c r="C909" s="27" t="s">
        <v>170</v>
      </c>
      <c r="D909" s="2">
        <v>27252034574</v>
      </c>
      <c r="E909" s="3">
        <v>45684</v>
      </c>
      <c r="F909" s="3">
        <v>45784</v>
      </c>
      <c r="G909" s="4">
        <v>72</v>
      </c>
      <c r="H909" s="151">
        <v>72</v>
      </c>
      <c r="I909" s="151">
        <v>0</v>
      </c>
      <c r="J909" s="155" t="s">
        <v>161</v>
      </c>
      <c r="K909" s="10">
        <v>100000</v>
      </c>
      <c r="L909" s="10">
        <v>216000</v>
      </c>
      <c r="M909" s="8">
        <v>15000</v>
      </c>
      <c r="N909" s="9">
        <v>1000</v>
      </c>
      <c r="O909" s="9">
        <v>216000</v>
      </c>
      <c r="P909" s="10">
        <v>0</v>
      </c>
      <c r="Q909" s="152">
        <v>45824</v>
      </c>
    </row>
    <row r="910" spans="1:17" ht="29.25" thickBot="1" x14ac:dyDescent="0.3">
      <c r="A910" s="1">
        <v>3062</v>
      </c>
      <c r="B910" s="27" t="s">
        <v>211</v>
      </c>
      <c r="C910" s="27" t="s">
        <v>208</v>
      </c>
      <c r="D910" s="2"/>
      <c r="E910" s="3">
        <v>45703</v>
      </c>
      <c r="F910" s="3">
        <v>45804</v>
      </c>
      <c r="G910" s="4">
        <v>72</v>
      </c>
      <c r="H910" s="151">
        <v>72</v>
      </c>
      <c r="I910" s="151">
        <v>0</v>
      </c>
      <c r="J910" s="155" t="s">
        <v>161</v>
      </c>
      <c r="K910" s="7">
        <v>100000</v>
      </c>
      <c r="L910" s="7">
        <v>216000</v>
      </c>
      <c r="M910" s="8">
        <v>15000</v>
      </c>
      <c r="N910" s="9">
        <v>6000</v>
      </c>
      <c r="O910" s="9">
        <v>216000</v>
      </c>
      <c r="P910" s="10">
        <v>0</v>
      </c>
      <c r="Q910" s="152">
        <v>45824</v>
      </c>
    </row>
    <row r="911" spans="1:17" ht="49.5" thickBot="1" x14ac:dyDescent="0.3">
      <c r="A911" s="1">
        <v>3238</v>
      </c>
      <c r="B911" s="155" t="s">
        <v>557</v>
      </c>
      <c r="C911" s="155" t="s">
        <v>559</v>
      </c>
      <c r="D911" s="155"/>
      <c r="E911" s="3">
        <v>45912</v>
      </c>
      <c r="F911" s="3">
        <v>45919</v>
      </c>
      <c r="G911" s="4">
        <v>5</v>
      </c>
      <c r="H911" s="375" t="e">
        <v>#VALUE!</v>
      </c>
      <c r="I911" s="375" t="e">
        <v>#VALUE!</v>
      </c>
      <c r="J911" s="6" t="s">
        <v>550</v>
      </c>
      <c r="K911" s="158">
        <v>150000</v>
      </c>
      <c r="L911" s="158">
        <v>195000</v>
      </c>
      <c r="M911" s="21"/>
      <c r="N911" s="9">
        <v>195000</v>
      </c>
      <c r="O911" s="9">
        <v>195000</v>
      </c>
      <c r="P911" s="10">
        <v>0</v>
      </c>
      <c r="Q911" s="152">
        <v>45824</v>
      </c>
    </row>
    <row r="912" spans="1:17" ht="29.25" thickBot="1" x14ac:dyDescent="0.3">
      <c r="A912" s="1">
        <v>3025</v>
      </c>
      <c r="B912" s="27" t="s">
        <v>341</v>
      </c>
      <c r="C912" s="27" t="s">
        <v>342</v>
      </c>
      <c r="D912" s="3" t="s">
        <v>143</v>
      </c>
      <c r="E912" s="3">
        <v>45684</v>
      </c>
      <c r="F912" s="3">
        <v>45784</v>
      </c>
      <c r="G912" s="4">
        <v>72</v>
      </c>
      <c r="H912" s="151">
        <v>72</v>
      </c>
      <c r="I912" s="151">
        <v>0</v>
      </c>
      <c r="J912" s="155" t="s">
        <v>161</v>
      </c>
      <c r="K912" s="7">
        <v>100000</v>
      </c>
      <c r="L912" s="7">
        <v>216000</v>
      </c>
      <c r="M912" s="21">
        <v>15000</v>
      </c>
      <c r="N912" s="9">
        <v>22000</v>
      </c>
      <c r="O912" s="9">
        <v>216000</v>
      </c>
      <c r="P912" s="10">
        <v>0</v>
      </c>
      <c r="Q912" s="152">
        <v>45824</v>
      </c>
    </row>
    <row r="913" spans="1:17" ht="20.25" thickBot="1" x14ac:dyDescent="0.3">
      <c r="A913" s="1">
        <v>3203</v>
      </c>
      <c r="B913" s="27" t="s">
        <v>1200</v>
      </c>
      <c r="C913" s="27" t="s">
        <v>430</v>
      </c>
      <c r="D913" s="2"/>
      <c r="E913" s="3">
        <v>45796</v>
      </c>
      <c r="F913" s="3">
        <v>45820</v>
      </c>
      <c r="G913" s="4">
        <v>18</v>
      </c>
      <c r="H913" s="151" t="e">
        <v>#DIV/0!</v>
      </c>
      <c r="I913" s="151" t="e">
        <v>#DIV/0!</v>
      </c>
      <c r="J913" s="355" t="s">
        <v>403</v>
      </c>
      <c r="K913" s="19">
        <v>250000</v>
      </c>
      <c r="L913" s="7">
        <v>350000</v>
      </c>
      <c r="M913" s="8"/>
      <c r="N913" s="9">
        <v>350000</v>
      </c>
      <c r="O913" s="9">
        <v>350000</v>
      </c>
      <c r="P913" s="7">
        <v>0</v>
      </c>
      <c r="Q913" s="152">
        <v>45824</v>
      </c>
    </row>
    <row r="914" spans="1:17" ht="29.25" thickBot="1" x14ac:dyDescent="0.3">
      <c r="A914" s="1">
        <v>2963</v>
      </c>
      <c r="B914" s="27" t="s">
        <v>156</v>
      </c>
      <c r="C914" s="27" t="s">
        <v>157</v>
      </c>
      <c r="D914" s="2"/>
      <c r="E914" s="3">
        <v>45647</v>
      </c>
      <c r="F914" s="3">
        <v>45800</v>
      </c>
      <c r="G914" s="4">
        <v>110</v>
      </c>
      <c r="H914" s="151">
        <v>112.5</v>
      </c>
      <c r="I914" s="151">
        <v>-2.5</v>
      </c>
      <c r="J914" s="155" t="s">
        <v>158</v>
      </c>
      <c r="K914" s="7">
        <v>300000</v>
      </c>
      <c r="L914" s="7">
        <v>792000</v>
      </c>
      <c r="M914" s="8">
        <v>36000</v>
      </c>
      <c r="N914" s="9">
        <v>120000</v>
      </c>
      <c r="O914" s="9">
        <v>810000</v>
      </c>
      <c r="P914" s="10">
        <v>-18000</v>
      </c>
      <c r="Q914" s="152">
        <v>45831</v>
      </c>
    </row>
    <row r="915" spans="1:17" ht="20.25" thickBot="1" x14ac:dyDescent="0.3">
      <c r="A915" s="1">
        <v>3089</v>
      </c>
      <c r="B915" s="27" t="s">
        <v>159</v>
      </c>
      <c r="C915" s="27" t="s">
        <v>160</v>
      </c>
      <c r="D915" s="2"/>
      <c r="E915" s="3">
        <v>45717</v>
      </c>
      <c r="F915" s="3">
        <v>45818</v>
      </c>
      <c r="G915" s="4">
        <v>72</v>
      </c>
      <c r="H915" s="151">
        <v>74.5</v>
      </c>
      <c r="I915" s="151">
        <v>-2.5</v>
      </c>
      <c r="J915" s="155" t="s">
        <v>162</v>
      </c>
      <c r="K915" s="10">
        <v>60000</v>
      </c>
      <c r="L915" s="10">
        <v>129600</v>
      </c>
      <c r="M915" s="8">
        <v>9000</v>
      </c>
      <c r="N915" s="9">
        <v>3600</v>
      </c>
      <c r="O915" s="9">
        <v>134100</v>
      </c>
      <c r="P915" s="10">
        <v>-4500</v>
      </c>
      <c r="Q915" s="152">
        <v>45831</v>
      </c>
    </row>
    <row r="916" spans="1:17" ht="25.5" thickBot="1" x14ac:dyDescent="0.3">
      <c r="A916" s="1">
        <v>2695</v>
      </c>
      <c r="B916" s="27" t="s">
        <v>195</v>
      </c>
      <c r="C916" s="27" t="s">
        <v>196</v>
      </c>
      <c r="D916" s="2"/>
      <c r="E916" s="3">
        <v>45478</v>
      </c>
      <c r="F916" s="3">
        <v>45674</v>
      </c>
      <c r="G916" s="4">
        <v>140</v>
      </c>
      <c r="H916" s="151">
        <v>140</v>
      </c>
      <c r="I916" s="151">
        <v>0</v>
      </c>
      <c r="J916" s="192" t="s">
        <v>198</v>
      </c>
      <c r="K916" s="7">
        <v>150000</v>
      </c>
      <c r="L916" s="7">
        <v>360220</v>
      </c>
      <c r="M916" s="8">
        <v>12865</v>
      </c>
      <c r="N916" s="9">
        <v>39000</v>
      </c>
      <c r="O916" s="9">
        <v>360220</v>
      </c>
      <c r="P916" s="10">
        <v>0</v>
      </c>
      <c r="Q916" s="152">
        <v>45831</v>
      </c>
    </row>
    <row r="917" spans="1:17" ht="47.25" thickBot="1" x14ac:dyDescent="0.3">
      <c r="A917" s="1">
        <v>3064</v>
      </c>
      <c r="B917" s="27" t="s">
        <v>226</v>
      </c>
      <c r="C917" s="182" t="s">
        <v>223</v>
      </c>
      <c r="D917" s="2">
        <v>22375673</v>
      </c>
      <c r="E917" s="3">
        <v>45705</v>
      </c>
      <c r="F917" s="3">
        <v>45805</v>
      </c>
      <c r="G917" s="4">
        <v>72</v>
      </c>
      <c r="H917" s="151">
        <v>72</v>
      </c>
      <c r="I917" s="151">
        <v>0</v>
      </c>
      <c r="J917" s="155" t="s">
        <v>227</v>
      </c>
      <c r="K917" s="7">
        <v>50000</v>
      </c>
      <c r="L917" s="7">
        <v>108000</v>
      </c>
      <c r="M917" s="8">
        <v>7500</v>
      </c>
      <c r="N917" s="9">
        <v>6500</v>
      </c>
      <c r="O917" s="9">
        <v>108000</v>
      </c>
      <c r="P917" s="10">
        <v>0</v>
      </c>
      <c r="Q917" s="152">
        <v>45831</v>
      </c>
    </row>
    <row r="918" spans="1:17" ht="20.25" thickBot="1" x14ac:dyDescent="0.3">
      <c r="A918" s="1">
        <v>3116</v>
      </c>
      <c r="B918" s="27" t="s">
        <v>239</v>
      </c>
      <c r="C918" s="27" t="s">
        <v>240</v>
      </c>
      <c r="D918" s="2"/>
      <c r="E918" s="3">
        <v>45736</v>
      </c>
      <c r="F918" s="3">
        <v>45834</v>
      </c>
      <c r="G918" s="4">
        <v>70</v>
      </c>
      <c r="H918" s="151">
        <v>70.129617627997405</v>
      </c>
      <c r="I918" s="151">
        <v>-0.12961762799740484</v>
      </c>
      <c r="J918" s="355" t="s">
        <v>241</v>
      </c>
      <c r="K918" s="7">
        <v>500000</v>
      </c>
      <c r="L918" s="7">
        <v>1080100</v>
      </c>
      <c r="M918" s="8">
        <v>77150</v>
      </c>
      <c r="N918" s="9">
        <v>154300</v>
      </c>
      <c r="O918" s="9">
        <v>1082100</v>
      </c>
      <c r="P918" s="10">
        <v>-2000</v>
      </c>
      <c r="Q918" s="152">
        <v>45831</v>
      </c>
    </row>
    <row r="919" spans="1:17" ht="20.25" thickBot="1" x14ac:dyDescent="0.3">
      <c r="A919" s="1">
        <v>2995</v>
      </c>
      <c r="B919" s="27" t="s">
        <v>242</v>
      </c>
      <c r="C919" s="27" t="s">
        <v>243</v>
      </c>
      <c r="D919" s="2"/>
      <c r="E919" s="3">
        <v>45666</v>
      </c>
      <c r="F919" s="3">
        <v>45834</v>
      </c>
      <c r="G919" s="4">
        <v>120</v>
      </c>
      <c r="H919" s="151">
        <v>120</v>
      </c>
      <c r="I919" s="151">
        <v>0</v>
      </c>
      <c r="J919" s="355" t="s">
        <v>244</v>
      </c>
      <c r="K919" s="7">
        <v>40000</v>
      </c>
      <c r="L919" s="7">
        <v>105600</v>
      </c>
      <c r="M919" s="21">
        <v>4400</v>
      </c>
      <c r="N919" s="9">
        <v>17600</v>
      </c>
      <c r="O919" s="9">
        <v>105600</v>
      </c>
      <c r="P919" s="10">
        <v>0</v>
      </c>
      <c r="Q919" s="152">
        <v>45831</v>
      </c>
    </row>
    <row r="920" spans="1:17" ht="38.25" thickBot="1" x14ac:dyDescent="0.3">
      <c r="A920" s="1">
        <v>3024</v>
      </c>
      <c r="B920" s="27" t="s">
        <v>280</v>
      </c>
      <c r="C920" s="27" t="s">
        <v>281</v>
      </c>
      <c r="D920" s="2"/>
      <c r="E920" s="3">
        <v>45682</v>
      </c>
      <c r="F920" s="3">
        <v>45793</v>
      </c>
      <c r="G920" s="4">
        <v>80</v>
      </c>
      <c r="H920" s="151">
        <v>80</v>
      </c>
      <c r="I920" s="151">
        <v>0</v>
      </c>
      <c r="J920" s="355" t="s">
        <v>282</v>
      </c>
      <c r="K920" s="7">
        <v>30000</v>
      </c>
      <c r="L920" s="7">
        <v>64800</v>
      </c>
      <c r="M920" s="8">
        <v>4050</v>
      </c>
      <c r="N920" s="9">
        <v>16200</v>
      </c>
      <c r="O920" s="9">
        <v>64800</v>
      </c>
      <c r="P920" s="10">
        <v>0</v>
      </c>
      <c r="Q920" s="152">
        <v>45831</v>
      </c>
    </row>
    <row r="921" spans="1:17" ht="38.25" thickBot="1" x14ac:dyDescent="0.3">
      <c r="A921" s="1">
        <v>3056</v>
      </c>
      <c r="B921" s="27" t="s">
        <v>280</v>
      </c>
      <c r="C921" s="27" t="s">
        <v>281</v>
      </c>
      <c r="D921" s="2"/>
      <c r="E921" s="3">
        <v>45701</v>
      </c>
      <c r="F921" s="3">
        <v>45813</v>
      </c>
      <c r="G921" s="4">
        <v>80</v>
      </c>
      <c r="H921" s="151">
        <v>80</v>
      </c>
      <c r="I921" s="151">
        <v>0</v>
      </c>
      <c r="J921" s="355" t="s">
        <v>283</v>
      </c>
      <c r="K921" s="7">
        <v>50000</v>
      </c>
      <c r="L921" s="7">
        <v>108000</v>
      </c>
      <c r="M921" s="21">
        <v>6750</v>
      </c>
      <c r="N921" s="9">
        <v>27000</v>
      </c>
      <c r="O921" s="9">
        <v>108000</v>
      </c>
      <c r="P921" s="10">
        <v>0</v>
      </c>
      <c r="Q921" s="152">
        <v>45831</v>
      </c>
    </row>
    <row r="922" spans="1:17" ht="47.25" thickBot="1" x14ac:dyDescent="0.3">
      <c r="A922" s="1">
        <v>3041</v>
      </c>
      <c r="B922" s="27" t="s">
        <v>284</v>
      </c>
      <c r="C922" s="27" t="s">
        <v>285</v>
      </c>
      <c r="D922" s="2"/>
      <c r="E922" s="3">
        <v>45694</v>
      </c>
      <c r="F922" s="3">
        <v>45806</v>
      </c>
      <c r="G922" s="4">
        <v>80</v>
      </c>
      <c r="H922" s="151">
        <v>80</v>
      </c>
      <c r="I922" s="151">
        <v>0</v>
      </c>
      <c r="J922" s="355" t="s">
        <v>282</v>
      </c>
      <c r="K922" s="7">
        <v>30000</v>
      </c>
      <c r="L922" s="7">
        <v>64800</v>
      </c>
      <c r="M922" s="8">
        <v>4050</v>
      </c>
      <c r="N922" s="9"/>
      <c r="O922" s="9">
        <v>64800</v>
      </c>
      <c r="P922" s="10">
        <v>0</v>
      </c>
      <c r="Q922" s="152">
        <v>45831</v>
      </c>
    </row>
    <row r="923" spans="1:17" ht="38.25" thickBot="1" x14ac:dyDescent="0.3">
      <c r="A923" s="1">
        <v>2908</v>
      </c>
      <c r="B923" s="27" t="s">
        <v>316</v>
      </c>
      <c r="C923" s="27" t="s">
        <v>317</v>
      </c>
      <c r="D923" s="2"/>
      <c r="E923" s="3">
        <v>45608</v>
      </c>
      <c r="F923" s="3">
        <v>45708</v>
      </c>
      <c r="G923" s="4">
        <v>72</v>
      </c>
      <c r="H923" s="151">
        <v>72.083333333333329</v>
      </c>
      <c r="I923" s="151">
        <v>-8.3333333333328596E-2</v>
      </c>
      <c r="J923" s="155" t="s">
        <v>182</v>
      </c>
      <c r="K923" s="7">
        <v>20000</v>
      </c>
      <c r="L923" s="7">
        <v>43200</v>
      </c>
      <c r="M923" s="21">
        <v>3000</v>
      </c>
      <c r="N923" s="9">
        <v>4500</v>
      </c>
      <c r="O923" s="9">
        <v>43250</v>
      </c>
      <c r="P923" s="10">
        <v>-50</v>
      </c>
      <c r="Q923" s="152">
        <v>45831</v>
      </c>
    </row>
    <row r="924" spans="1:17" ht="65.25" thickBot="1" x14ac:dyDescent="0.3">
      <c r="A924" s="1">
        <v>2947</v>
      </c>
      <c r="B924" s="27" t="s">
        <v>329</v>
      </c>
      <c r="C924" s="27" t="s">
        <v>330</v>
      </c>
      <c r="D924" s="2"/>
      <c r="E924" s="3">
        <v>45633</v>
      </c>
      <c r="F924" s="3">
        <v>45800</v>
      </c>
      <c r="G924" s="4">
        <v>120</v>
      </c>
      <c r="H924" s="151">
        <v>120</v>
      </c>
      <c r="I924" s="151">
        <v>0</v>
      </c>
      <c r="J924" s="192" t="s">
        <v>332</v>
      </c>
      <c r="K924" s="177">
        <v>150000</v>
      </c>
      <c r="L924" s="10">
        <v>396000</v>
      </c>
      <c r="M924" s="8">
        <v>16500</v>
      </c>
      <c r="N924" s="9">
        <v>11000</v>
      </c>
      <c r="O924" s="9">
        <v>396000</v>
      </c>
      <c r="P924" s="10">
        <v>0</v>
      </c>
      <c r="Q924" s="152">
        <v>45831</v>
      </c>
    </row>
    <row r="925" spans="1:17" ht="25.5" thickBot="1" x14ac:dyDescent="0.3">
      <c r="A925" s="1">
        <v>2861</v>
      </c>
      <c r="B925" s="27" t="s">
        <v>343</v>
      </c>
      <c r="C925" s="27"/>
      <c r="D925" s="2"/>
      <c r="E925" s="3">
        <v>45581</v>
      </c>
      <c r="F925" s="3">
        <v>45805</v>
      </c>
      <c r="G925" s="4">
        <v>160</v>
      </c>
      <c r="H925" s="151">
        <v>160</v>
      </c>
      <c r="I925" s="151">
        <v>0</v>
      </c>
      <c r="J925" s="355" t="s">
        <v>344</v>
      </c>
      <c r="K925" s="7">
        <v>500000</v>
      </c>
      <c r="L925" s="7">
        <v>1500000</v>
      </c>
      <c r="M925" s="8">
        <v>46875</v>
      </c>
      <c r="N925" s="9">
        <v>187500</v>
      </c>
      <c r="O925" s="9">
        <v>1500000</v>
      </c>
      <c r="P925" s="7">
        <v>0</v>
      </c>
      <c r="Q925" s="152">
        <v>45831</v>
      </c>
    </row>
    <row r="926" spans="1:17" ht="25.5" thickBot="1" x14ac:dyDescent="0.3">
      <c r="A926" s="1">
        <v>3194</v>
      </c>
      <c r="B926" s="27" t="s">
        <v>355</v>
      </c>
      <c r="C926" s="27" t="s">
        <v>356</v>
      </c>
      <c r="D926" s="2"/>
      <c r="E926" s="3">
        <v>45791</v>
      </c>
      <c r="F926" s="3">
        <v>45819</v>
      </c>
      <c r="G926" s="4">
        <v>20</v>
      </c>
      <c r="H926" s="151" t="e">
        <v>#DIV/0!</v>
      </c>
      <c r="I926" s="151" t="e">
        <v>#DIV/0!</v>
      </c>
      <c r="J926" s="355" t="s">
        <v>293</v>
      </c>
      <c r="K926" s="7">
        <v>40000</v>
      </c>
      <c r="L926" s="7">
        <v>60000</v>
      </c>
      <c r="M926" s="8"/>
      <c r="N926" s="9">
        <v>37500</v>
      </c>
      <c r="O926" s="9">
        <v>60000</v>
      </c>
      <c r="P926" s="7">
        <v>0</v>
      </c>
      <c r="Q926" s="152">
        <v>45831</v>
      </c>
    </row>
    <row r="927" spans="1:17" ht="47.25" thickBot="1" x14ac:dyDescent="0.3">
      <c r="A927" s="1">
        <v>2707</v>
      </c>
      <c r="B927" s="27" t="s">
        <v>398</v>
      </c>
      <c r="C927" s="27" t="s">
        <v>399</v>
      </c>
      <c r="D927" s="2"/>
      <c r="E927" s="3">
        <v>45483</v>
      </c>
      <c r="F927" s="3">
        <v>45707</v>
      </c>
      <c r="G927" s="4">
        <v>160</v>
      </c>
      <c r="H927" s="151">
        <v>177.53535353535352</v>
      </c>
      <c r="I927" s="151">
        <v>-17.535353535353522</v>
      </c>
      <c r="J927" s="355" t="s">
        <v>400</v>
      </c>
      <c r="K927" s="7">
        <v>300000</v>
      </c>
      <c r="L927" s="7">
        <v>792000</v>
      </c>
      <c r="M927" s="8">
        <v>24750</v>
      </c>
      <c r="N927" s="9">
        <v>100000</v>
      </c>
      <c r="O927" s="9">
        <v>878800</v>
      </c>
      <c r="P927" s="7">
        <v>-86800</v>
      </c>
      <c r="Q927" s="152">
        <v>45831</v>
      </c>
    </row>
    <row r="928" spans="1:17" ht="29.25" thickBot="1" x14ac:dyDescent="0.3">
      <c r="A928" s="392">
        <v>2962</v>
      </c>
      <c r="B928" s="393" t="s">
        <v>151</v>
      </c>
      <c r="C928" s="393" t="s">
        <v>152</v>
      </c>
      <c r="D928" s="394"/>
      <c r="E928" s="395">
        <v>45645</v>
      </c>
      <c r="F928" s="395">
        <v>45813</v>
      </c>
      <c r="G928" s="396">
        <v>120</v>
      </c>
      <c r="H928" s="397">
        <v>120</v>
      </c>
      <c r="I928" s="397">
        <v>0</v>
      </c>
      <c r="J928" s="398" t="s">
        <v>153</v>
      </c>
      <c r="K928" s="491">
        <v>100000</v>
      </c>
      <c r="L928" s="403">
        <v>264000</v>
      </c>
      <c r="M928" s="401">
        <v>11000</v>
      </c>
      <c r="N928" s="402">
        <v>22000</v>
      </c>
      <c r="O928" s="402">
        <v>264000</v>
      </c>
      <c r="P928" s="403">
        <v>0</v>
      </c>
      <c r="Q928" s="152">
        <v>45845</v>
      </c>
    </row>
    <row r="929" spans="1:17" ht="29.25" thickBot="1" x14ac:dyDescent="0.3">
      <c r="A929" s="392">
        <v>3088</v>
      </c>
      <c r="B929" s="393" t="s">
        <v>151</v>
      </c>
      <c r="C929" s="393" t="s">
        <v>152</v>
      </c>
      <c r="D929" s="394"/>
      <c r="E929" s="395">
        <v>45717</v>
      </c>
      <c r="F929" s="395">
        <v>45828</v>
      </c>
      <c r="G929" s="396">
        <v>80</v>
      </c>
      <c r="H929" s="397">
        <v>80</v>
      </c>
      <c r="I929" s="397">
        <v>0</v>
      </c>
      <c r="J929" s="398" t="s">
        <v>154</v>
      </c>
      <c r="K929" s="399">
        <v>50000</v>
      </c>
      <c r="L929" s="400">
        <v>108000</v>
      </c>
      <c r="M929" s="401">
        <v>6750</v>
      </c>
      <c r="N929" s="402">
        <v>13000</v>
      </c>
      <c r="O929" s="402">
        <v>108000</v>
      </c>
      <c r="P929" s="403">
        <v>0</v>
      </c>
      <c r="Q929" s="152">
        <v>45845</v>
      </c>
    </row>
    <row r="930" spans="1:17" ht="29.25" thickBot="1" x14ac:dyDescent="0.3">
      <c r="A930" s="1">
        <v>3247</v>
      </c>
      <c r="B930" s="27" t="s">
        <v>169</v>
      </c>
      <c r="C930" s="27" t="s">
        <v>170</v>
      </c>
      <c r="D930" s="2">
        <v>27252034574</v>
      </c>
      <c r="E930" s="3">
        <v>45826</v>
      </c>
      <c r="F930" s="3">
        <v>45833</v>
      </c>
      <c r="G930" s="4">
        <v>5</v>
      </c>
      <c r="H930" s="377" t="e">
        <v>#DIV/0!</v>
      </c>
      <c r="I930" s="377" t="e">
        <v>#DIV/0!</v>
      </c>
      <c r="J930" s="355" t="s">
        <v>368</v>
      </c>
      <c r="K930" s="7">
        <v>100000</v>
      </c>
      <c r="L930" s="7">
        <v>130000</v>
      </c>
      <c r="M930" s="8"/>
      <c r="N930" s="9">
        <v>25000</v>
      </c>
      <c r="O930" s="9">
        <v>130000</v>
      </c>
      <c r="P930" s="10">
        <v>0</v>
      </c>
      <c r="Q930" s="152">
        <v>45845</v>
      </c>
    </row>
    <row r="931" spans="1:17" ht="25.5" thickBot="1" x14ac:dyDescent="0.3">
      <c r="A931" s="1">
        <v>3016</v>
      </c>
      <c r="B931" s="27" t="s">
        <v>286</v>
      </c>
      <c r="C931" s="27" t="s">
        <v>287</v>
      </c>
      <c r="D931" s="2"/>
      <c r="E931" s="3">
        <v>45679</v>
      </c>
      <c r="F931" s="3">
        <v>45847</v>
      </c>
      <c r="G931" s="4">
        <v>120</v>
      </c>
      <c r="H931" s="377">
        <v>120</v>
      </c>
      <c r="I931" s="377">
        <v>0</v>
      </c>
      <c r="J931" s="355" t="s">
        <v>289</v>
      </c>
      <c r="K931" s="7">
        <v>300000</v>
      </c>
      <c r="L931" s="7">
        <v>792000</v>
      </c>
      <c r="M931" s="8">
        <v>33000</v>
      </c>
      <c r="N931" s="9">
        <v>132000</v>
      </c>
      <c r="O931" s="9">
        <v>792000</v>
      </c>
      <c r="P931" s="10">
        <v>0</v>
      </c>
      <c r="Q931" s="152">
        <v>45845</v>
      </c>
    </row>
    <row r="932" spans="1:17" ht="24" thickBot="1" x14ac:dyDescent="0.3">
      <c r="A932" s="1">
        <v>3277</v>
      </c>
      <c r="B932" s="2" t="s">
        <v>707</v>
      </c>
      <c r="C932" s="2"/>
      <c r="D932" s="2"/>
      <c r="E932" s="3">
        <v>45842</v>
      </c>
      <c r="F932" s="3">
        <v>45777</v>
      </c>
      <c r="G932" s="4">
        <v>5</v>
      </c>
      <c r="H932" s="377" t="e">
        <v>#DIV/0!</v>
      </c>
      <c r="I932" s="377" t="e">
        <v>#DIV/0!</v>
      </c>
      <c r="J932" s="2" t="s">
        <v>403</v>
      </c>
      <c r="K932" s="7">
        <v>100000</v>
      </c>
      <c r="L932" s="7">
        <v>130000</v>
      </c>
      <c r="M932" s="8"/>
      <c r="N932" s="9">
        <v>130000</v>
      </c>
      <c r="O932" s="9">
        <v>130000</v>
      </c>
      <c r="P932" s="10">
        <v>0</v>
      </c>
      <c r="Q932" s="152">
        <v>45845</v>
      </c>
    </row>
    <row r="933" spans="1:17" ht="29.25" thickBot="1" x14ac:dyDescent="0.3">
      <c r="A933" s="1">
        <v>3097</v>
      </c>
      <c r="B933" s="27" t="s">
        <v>307</v>
      </c>
      <c r="C933" s="27" t="s">
        <v>308</v>
      </c>
      <c r="D933" s="2"/>
      <c r="E933" s="3">
        <v>45724</v>
      </c>
      <c r="F933" s="3">
        <v>45825</v>
      </c>
      <c r="G933" s="4">
        <v>72</v>
      </c>
      <c r="H933" s="377">
        <v>72</v>
      </c>
      <c r="I933" s="377">
        <v>0</v>
      </c>
      <c r="J933" s="155" t="s">
        <v>227</v>
      </c>
      <c r="K933" s="10">
        <v>50000</v>
      </c>
      <c r="L933" s="10">
        <v>108000</v>
      </c>
      <c r="M933" s="14">
        <v>7500</v>
      </c>
      <c r="N933" s="9">
        <v>10500</v>
      </c>
      <c r="O933" s="9">
        <v>108000</v>
      </c>
      <c r="P933" s="10">
        <v>0</v>
      </c>
      <c r="Q933" s="152">
        <v>45845</v>
      </c>
    </row>
    <row r="934" spans="1:17" ht="38.25" thickBot="1" x14ac:dyDescent="0.3">
      <c r="A934" s="1">
        <v>2921</v>
      </c>
      <c r="B934" s="27" t="s">
        <v>313</v>
      </c>
      <c r="C934" s="27" t="s">
        <v>314</v>
      </c>
      <c r="D934" s="2"/>
      <c r="E934" s="3">
        <v>45618</v>
      </c>
      <c r="F934" s="3">
        <v>45779</v>
      </c>
      <c r="G934" s="4">
        <v>115</v>
      </c>
      <c r="H934" s="377">
        <v>117.82608695652173</v>
      </c>
      <c r="I934" s="377">
        <v>-2.8260869565217348</v>
      </c>
      <c r="J934" s="155" t="s">
        <v>315</v>
      </c>
      <c r="K934" s="7">
        <v>200000</v>
      </c>
      <c r="L934" s="7">
        <v>529000</v>
      </c>
      <c r="M934" s="21">
        <v>23000</v>
      </c>
      <c r="N934" s="9">
        <v>50000</v>
      </c>
      <c r="O934" s="9">
        <v>542000</v>
      </c>
      <c r="P934" s="10">
        <v>-13000</v>
      </c>
      <c r="Q934" s="152">
        <v>45845</v>
      </c>
    </row>
    <row r="935" spans="1:17" ht="83.25" thickBot="1" x14ac:dyDescent="0.3">
      <c r="A935" s="1">
        <v>3163</v>
      </c>
      <c r="B935" s="27" t="s">
        <v>334</v>
      </c>
      <c r="C935" s="27" t="s">
        <v>335</v>
      </c>
      <c r="D935" s="2">
        <v>27249921551</v>
      </c>
      <c r="E935" s="3">
        <v>45771</v>
      </c>
      <c r="F935" s="3">
        <v>45873</v>
      </c>
      <c r="G935" s="4">
        <v>72</v>
      </c>
      <c r="H935" s="377">
        <v>72</v>
      </c>
      <c r="I935" s="377">
        <v>0</v>
      </c>
      <c r="J935" s="155" t="s">
        <v>227</v>
      </c>
      <c r="K935" s="7">
        <v>50000</v>
      </c>
      <c r="L935" s="7">
        <v>108000</v>
      </c>
      <c r="M935" s="8">
        <v>7500</v>
      </c>
      <c r="N935" s="9">
        <v>33000</v>
      </c>
      <c r="O935" s="9">
        <v>108000</v>
      </c>
      <c r="P935" s="10">
        <v>0</v>
      </c>
      <c r="Q935" s="152">
        <v>45845</v>
      </c>
    </row>
    <row r="936" spans="1:17" ht="15.75" thickBot="1" x14ac:dyDescent="0.3">
      <c r="A936" s="1">
        <v>3245</v>
      </c>
      <c r="B936" s="27" t="s">
        <v>367</v>
      </c>
      <c r="C936" s="27"/>
      <c r="D936" s="2"/>
      <c r="E936" s="3">
        <v>45826</v>
      </c>
      <c r="F936" s="3">
        <v>45820</v>
      </c>
      <c r="G936" s="4">
        <v>20</v>
      </c>
      <c r="H936" s="377" t="e">
        <v>#DIV/0!</v>
      </c>
      <c r="I936" s="377" t="e">
        <v>#DIV/0!</v>
      </c>
      <c r="J936" s="355" t="s">
        <v>368</v>
      </c>
      <c r="K936" s="7">
        <v>50000</v>
      </c>
      <c r="L936" s="7">
        <v>75000</v>
      </c>
      <c r="M936" s="8"/>
      <c r="N936" s="9">
        <v>75000</v>
      </c>
      <c r="O936" s="9">
        <v>75000</v>
      </c>
      <c r="P936" s="7">
        <v>0</v>
      </c>
      <c r="Q936" s="152">
        <v>45845</v>
      </c>
    </row>
    <row r="937" spans="1:17" ht="15.75" thickBot="1" x14ac:dyDescent="0.3">
      <c r="A937" s="17">
        <v>3270</v>
      </c>
      <c r="B937" s="27" t="s">
        <v>367</v>
      </c>
      <c r="C937" s="27"/>
      <c r="D937" s="2"/>
      <c r="E937" s="3">
        <v>45836</v>
      </c>
      <c r="F937" s="3">
        <v>45820</v>
      </c>
      <c r="G937" s="4">
        <v>20</v>
      </c>
      <c r="H937" s="377" t="e">
        <v>#DIV/0!</v>
      </c>
      <c r="I937" s="377" t="e">
        <v>#DIV/0!</v>
      </c>
      <c r="J937" s="355" t="s">
        <v>368</v>
      </c>
      <c r="K937" s="7">
        <v>20000</v>
      </c>
      <c r="L937" s="7">
        <v>30000</v>
      </c>
      <c r="M937" s="8"/>
      <c r="N937" s="9">
        <v>30000</v>
      </c>
      <c r="O937" s="9">
        <v>30000</v>
      </c>
      <c r="P937" s="7">
        <v>0</v>
      </c>
      <c r="Q937" s="152">
        <v>45845</v>
      </c>
    </row>
    <row r="938" spans="1:17" ht="20.25" thickBot="1" x14ac:dyDescent="0.3">
      <c r="A938" s="1">
        <v>3232</v>
      </c>
      <c r="B938" s="27" t="s">
        <v>1239</v>
      </c>
      <c r="C938" s="27"/>
      <c r="D938" s="2"/>
      <c r="E938" s="3">
        <v>45818</v>
      </c>
      <c r="F938" s="3">
        <v>45846</v>
      </c>
      <c r="G938" s="4">
        <v>20</v>
      </c>
      <c r="H938" s="377" t="e">
        <v>#DIV/0!</v>
      </c>
      <c r="I938" s="377" t="e">
        <v>#DIV/0!</v>
      </c>
      <c r="J938" s="355" t="s">
        <v>368</v>
      </c>
      <c r="K938" s="7">
        <v>50000</v>
      </c>
      <c r="L938" s="7">
        <v>75000</v>
      </c>
      <c r="M938" s="8"/>
      <c r="N938" s="9">
        <v>75000</v>
      </c>
      <c r="O938" s="9">
        <v>75000</v>
      </c>
      <c r="P938" s="7">
        <v>0</v>
      </c>
      <c r="Q938" s="152">
        <v>45845</v>
      </c>
    </row>
    <row r="939" spans="1:17" ht="29.25" thickBot="1" x14ac:dyDescent="0.3">
      <c r="A939" s="1">
        <v>3244</v>
      </c>
      <c r="B939" s="27" t="s">
        <v>1242</v>
      </c>
      <c r="C939" s="27"/>
      <c r="D939" s="2"/>
      <c r="E939" s="3">
        <v>45826</v>
      </c>
      <c r="F939" s="3">
        <v>45820</v>
      </c>
      <c r="G939" s="4">
        <v>20</v>
      </c>
      <c r="H939" s="377" t="e">
        <v>#DIV/0!</v>
      </c>
      <c r="I939" s="377" t="e">
        <v>#DIV/0!</v>
      </c>
      <c r="J939" s="355" t="s">
        <v>368</v>
      </c>
      <c r="K939" s="7">
        <v>60000</v>
      </c>
      <c r="L939" s="7">
        <v>90000</v>
      </c>
      <c r="M939" s="8"/>
      <c r="N939" s="9">
        <v>90000</v>
      </c>
      <c r="O939" s="9">
        <v>90000</v>
      </c>
      <c r="P939" s="7">
        <v>0</v>
      </c>
      <c r="Q939" s="152">
        <v>45845</v>
      </c>
    </row>
    <row r="940" spans="1:17" ht="29.25" thickBot="1" x14ac:dyDescent="0.3">
      <c r="A940" s="1">
        <v>3071</v>
      </c>
      <c r="B940" s="27" t="s">
        <v>385</v>
      </c>
      <c r="C940" s="27" t="s">
        <v>386</v>
      </c>
      <c r="D940" s="2"/>
      <c r="E940" s="3">
        <v>45708</v>
      </c>
      <c r="F940" s="3">
        <v>45810</v>
      </c>
      <c r="G940" s="4">
        <v>72</v>
      </c>
      <c r="H940" s="377">
        <v>72</v>
      </c>
      <c r="I940" s="377">
        <v>0</v>
      </c>
      <c r="J940" s="155" t="s">
        <v>161</v>
      </c>
      <c r="K940" s="7">
        <v>100000</v>
      </c>
      <c r="L940" s="7">
        <v>216000</v>
      </c>
      <c r="M940" s="21">
        <v>15000</v>
      </c>
      <c r="N940" s="9">
        <v>7000</v>
      </c>
      <c r="O940" s="9">
        <v>216000</v>
      </c>
      <c r="P940" s="7">
        <v>0</v>
      </c>
      <c r="Q940" s="152">
        <v>45845</v>
      </c>
    </row>
    <row r="941" spans="1:17" ht="20.25" thickBot="1" x14ac:dyDescent="0.3">
      <c r="A941" s="1">
        <v>3121</v>
      </c>
      <c r="B941" s="27" t="s">
        <v>159</v>
      </c>
      <c r="C941" s="27" t="s">
        <v>160</v>
      </c>
      <c r="D941" s="2"/>
      <c r="E941" s="3">
        <v>45738</v>
      </c>
      <c r="F941" s="3">
        <v>45839</v>
      </c>
      <c r="G941" s="4">
        <v>72</v>
      </c>
      <c r="H941" s="377">
        <v>72</v>
      </c>
      <c r="I941" s="377">
        <v>0</v>
      </c>
      <c r="J941" s="155" t="s">
        <v>163</v>
      </c>
      <c r="K941" s="10">
        <v>80000</v>
      </c>
      <c r="L941" s="10">
        <v>172800</v>
      </c>
      <c r="M941" s="8">
        <v>12000</v>
      </c>
      <c r="N941" s="9">
        <v>1800</v>
      </c>
      <c r="O941" s="9">
        <v>172800</v>
      </c>
      <c r="P941" s="7">
        <v>0</v>
      </c>
      <c r="Q941" s="152">
        <v>45852</v>
      </c>
    </row>
    <row r="942" spans="1:17" ht="29.25" thickBot="1" x14ac:dyDescent="0.3">
      <c r="A942" s="1">
        <v>3135</v>
      </c>
      <c r="B942" s="27" t="s">
        <v>186</v>
      </c>
      <c r="C942" s="27" t="s">
        <v>187</v>
      </c>
      <c r="D942" s="2"/>
      <c r="E942" s="3">
        <v>45747</v>
      </c>
      <c r="F942" s="3">
        <v>45847</v>
      </c>
      <c r="G942" s="4">
        <v>72</v>
      </c>
      <c r="H942" s="377">
        <v>72</v>
      </c>
      <c r="I942" s="377">
        <v>0</v>
      </c>
      <c r="J942" s="155" t="s">
        <v>165</v>
      </c>
      <c r="K942" s="20">
        <v>200000</v>
      </c>
      <c r="L942" s="7">
        <v>432000</v>
      </c>
      <c r="M942" s="8">
        <v>30000</v>
      </c>
      <c r="N942" s="9">
        <v>12000</v>
      </c>
      <c r="O942" s="9">
        <v>432000</v>
      </c>
      <c r="P942" s="10">
        <v>0</v>
      </c>
      <c r="Q942" s="152">
        <v>45852</v>
      </c>
    </row>
    <row r="943" spans="1:17" ht="29.25" thickBot="1" x14ac:dyDescent="0.3">
      <c r="A943" s="1">
        <v>2993</v>
      </c>
      <c r="B943" s="27" t="s">
        <v>246</v>
      </c>
      <c r="C943" s="27" t="s">
        <v>247</v>
      </c>
      <c r="D943" s="2">
        <v>27212523</v>
      </c>
      <c r="E943" s="3">
        <v>45665</v>
      </c>
      <c r="F943" s="3">
        <v>45819</v>
      </c>
      <c r="G943" s="4">
        <v>110</v>
      </c>
      <c r="H943" s="377">
        <v>111.98611111111111</v>
      </c>
      <c r="I943" s="377">
        <v>-1.9861111111111143</v>
      </c>
      <c r="J943" s="192" t="s">
        <v>250</v>
      </c>
      <c r="K943" s="7">
        <v>150000</v>
      </c>
      <c r="L943" s="7">
        <v>396000</v>
      </c>
      <c r="M943" s="8">
        <v>18000</v>
      </c>
      <c r="N943" s="9">
        <v>36000</v>
      </c>
      <c r="O943" s="9">
        <v>403150</v>
      </c>
      <c r="P943" s="10">
        <v>-7150</v>
      </c>
      <c r="Q943" s="152">
        <v>45852</v>
      </c>
    </row>
    <row r="944" spans="1:17" ht="29.25" thickBot="1" x14ac:dyDescent="0.3">
      <c r="A944" s="1">
        <v>3052</v>
      </c>
      <c r="B944" s="27" t="s">
        <v>310</v>
      </c>
      <c r="C944" s="27" t="s">
        <v>311</v>
      </c>
      <c r="D944" s="2"/>
      <c r="E944" s="3">
        <v>45699</v>
      </c>
      <c r="F944" s="3">
        <v>45867</v>
      </c>
      <c r="G944" s="4">
        <v>120</v>
      </c>
      <c r="H944" s="377">
        <v>120</v>
      </c>
      <c r="I944" s="377">
        <v>0</v>
      </c>
      <c r="J944" s="355" t="s">
        <v>312</v>
      </c>
      <c r="K944" s="10">
        <v>300000</v>
      </c>
      <c r="L944" s="10">
        <v>792000</v>
      </c>
      <c r="M944" s="21">
        <v>33000</v>
      </c>
      <c r="N944" s="9">
        <v>132000</v>
      </c>
      <c r="O944" s="9">
        <v>792000</v>
      </c>
      <c r="P944" s="10">
        <v>0</v>
      </c>
      <c r="Q944" s="152">
        <v>45852</v>
      </c>
    </row>
    <row r="945" spans="1:17" ht="38.25" thickBot="1" x14ac:dyDescent="0.3">
      <c r="A945" s="1">
        <v>2994</v>
      </c>
      <c r="B945" s="27" t="s">
        <v>345</v>
      </c>
      <c r="C945" s="27" t="s">
        <v>346</v>
      </c>
      <c r="D945" s="2"/>
      <c r="E945" s="3">
        <v>45300</v>
      </c>
      <c r="F945" s="3">
        <v>45468</v>
      </c>
      <c r="G945" s="4">
        <v>120</v>
      </c>
      <c r="H945" s="377">
        <v>120</v>
      </c>
      <c r="I945" s="377">
        <v>0</v>
      </c>
      <c r="J945" s="355" t="s">
        <v>347</v>
      </c>
      <c r="K945" s="7">
        <v>100000</v>
      </c>
      <c r="L945" s="7">
        <v>264000</v>
      </c>
      <c r="M945" s="21">
        <v>11000</v>
      </c>
      <c r="N945" s="9">
        <v>52000</v>
      </c>
      <c r="O945" s="9">
        <v>264000</v>
      </c>
      <c r="P945" s="10">
        <v>0</v>
      </c>
      <c r="Q945" s="152">
        <v>45852</v>
      </c>
    </row>
    <row r="946" spans="1:17" ht="38.25" thickBot="1" x14ac:dyDescent="0.3">
      <c r="A946" s="1">
        <v>3059</v>
      </c>
      <c r="B946" s="27" t="s">
        <v>345</v>
      </c>
      <c r="C946" s="27" t="s">
        <v>346</v>
      </c>
      <c r="D946" s="2"/>
      <c r="E946" s="3">
        <v>45702</v>
      </c>
      <c r="F946" s="3">
        <v>45804</v>
      </c>
      <c r="G946" s="4">
        <v>72</v>
      </c>
      <c r="H946" s="377">
        <v>72</v>
      </c>
      <c r="I946" s="377">
        <v>0</v>
      </c>
      <c r="J946" s="155" t="s">
        <v>348</v>
      </c>
      <c r="K946" s="7">
        <v>70000</v>
      </c>
      <c r="L946" s="7">
        <v>151200</v>
      </c>
      <c r="M946" s="8">
        <v>10500</v>
      </c>
      <c r="N946" s="9">
        <v>6700</v>
      </c>
      <c r="O946" s="9">
        <v>151200</v>
      </c>
      <c r="P946" s="7">
        <v>0</v>
      </c>
      <c r="Q946" s="152">
        <v>45852</v>
      </c>
    </row>
    <row r="947" spans="1:17" ht="38.25" thickBot="1" x14ac:dyDescent="0.3">
      <c r="A947" s="1">
        <v>2985</v>
      </c>
      <c r="B947" s="27" t="s">
        <v>376</v>
      </c>
      <c r="C947" s="27"/>
      <c r="D947" s="2"/>
      <c r="E947" s="3">
        <v>45657</v>
      </c>
      <c r="F947" s="3">
        <v>45825</v>
      </c>
      <c r="G947" s="4">
        <v>120</v>
      </c>
      <c r="H947" s="377">
        <v>120</v>
      </c>
      <c r="I947" s="377">
        <v>0</v>
      </c>
      <c r="J947" s="355" t="s">
        <v>378</v>
      </c>
      <c r="K947" s="7">
        <v>50000</v>
      </c>
      <c r="L947" s="7">
        <v>132000</v>
      </c>
      <c r="M947" s="8">
        <v>5500</v>
      </c>
      <c r="N947" s="9">
        <v>22000</v>
      </c>
      <c r="O947" s="9">
        <v>132000</v>
      </c>
      <c r="P947" s="7">
        <v>0</v>
      </c>
      <c r="Q947" s="152">
        <v>45852</v>
      </c>
    </row>
    <row r="948" spans="1:17" ht="15.75" thickBot="1" x14ac:dyDescent="0.3">
      <c r="A948" s="1">
        <v>3243</v>
      </c>
      <c r="B948" s="2" t="s">
        <v>727</v>
      </c>
      <c r="C948" s="2"/>
      <c r="D948" s="2"/>
      <c r="E948" s="3">
        <v>45825</v>
      </c>
      <c r="F948" s="3">
        <v>45359</v>
      </c>
      <c r="G948" s="4">
        <v>20</v>
      </c>
      <c r="H948" s="377" t="e">
        <v>#DIV/0!</v>
      </c>
      <c r="I948" s="377" t="e">
        <v>#DIV/0!</v>
      </c>
      <c r="J948" s="363" t="s">
        <v>550</v>
      </c>
      <c r="K948" s="7">
        <v>30000</v>
      </c>
      <c r="L948" s="7">
        <v>45000</v>
      </c>
      <c r="M948" s="8"/>
      <c r="N948" s="9">
        <v>45000</v>
      </c>
      <c r="O948" s="9">
        <v>45000</v>
      </c>
      <c r="P948" s="7">
        <v>0</v>
      </c>
      <c r="Q948" s="152">
        <v>45852</v>
      </c>
    </row>
    <row r="949" spans="1:17" ht="15.75" thickBot="1" x14ac:dyDescent="0.3">
      <c r="A949" s="4">
        <v>3252</v>
      </c>
      <c r="B949" s="2" t="s">
        <v>727</v>
      </c>
      <c r="C949" s="2"/>
      <c r="D949" s="2"/>
      <c r="E949" s="3">
        <v>45827</v>
      </c>
      <c r="F949" s="3">
        <v>45359</v>
      </c>
      <c r="G949" s="4">
        <v>20</v>
      </c>
      <c r="H949" s="377" t="e">
        <v>#DIV/0!</v>
      </c>
      <c r="I949" s="377" t="e">
        <v>#DIV/0!</v>
      </c>
      <c r="J949" s="363" t="s">
        <v>550</v>
      </c>
      <c r="K949" s="10">
        <v>40000</v>
      </c>
      <c r="L949" s="10">
        <v>60000</v>
      </c>
      <c r="M949" s="8"/>
      <c r="N949" s="9">
        <v>60000</v>
      </c>
      <c r="O949" s="9">
        <v>60000</v>
      </c>
      <c r="P949" s="7">
        <v>0</v>
      </c>
      <c r="Q949" s="152">
        <v>45852</v>
      </c>
    </row>
    <row r="950" spans="1:17" ht="15.75" thickBot="1" x14ac:dyDescent="0.3">
      <c r="A950" s="4">
        <v>3255</v>
      </c>
      <c r="B950" s="2" t="s">
        <v>727</v>
      </c>
      <c r="C950" s="2"/>
      <c r="D950" s="2"/>
      <c r="E950" s="3">
        <v>45829</v>
      </c>
      <c r="F950" s="3">
        <v>45359</v>
      </c>
      <c r="G950" s="4">
        <v>20</v>
      </c>
      <c r="H950" s="377" t="e">
        <v>#DIV/0!</v>
      </c>
      <c r="I950" s="377" t="e">
        <v>#DIV/0!</v>
      </c>
      <c r="J950" s="363" t="s">
        <v>550</v>
      </c>
      <c r="K950" s="7">
        <v>40000</v>
      </c>
      <c r="L950" s="7">
        <v>60000</v>
      </c>
      <c r="M950" s="8"/>
      <c r="N950" s="9">
        <v>60000</v>
      </c>
      <c r="O950" s="9">
        <v>60000</v>
      </c>
      <c r="P950" s="7">
        <v>0</v>
      </c>
      <c r="Q950" s="152">
        <v>45852</v>
      </c>
    </row>
    <row r="951" spans="1:17" ht="15.75" thickBot="1" x14ac:dyDescent="0.3">
      <c r="A951" s="4">
        <v>3262</v>
      </c>
      <c r="B951" s="2" t="s">
        <v>727</v>
      </c>
      <c r="C951" s="2"/>
      <c r="D951" s="2"/>
      <c r="E951" s="3">
        <v>45833</v>
      </c>
      <c r="F951" s="3">
        <v>45359</v>
      </c>
      <c r="G951" s="4">
        <v>20</v>
      </c>
      <c r="H951" s="377" t="e">
        <v>#DIV/0!</v>
      </c>
      <c r="I951" s="377" t="e">
        <v>#DIV/0!</v>
      </c>
      <c r="J951" s="363" t="s">
        <v>550</v>
      </c>
      <c r="K951" s="10">
        <v>20000</v>
      </c>
      <c r="L951" s="10">
        <v>30000</v>
      </c>
      <c r="M951" s="8"/>
      <c r="N951" s="9">
        <v>30000</v>
      </c>
      <c r="O951" s="9">
        <v>30000</v>
      </c>
      <c r="P951" s="7">
        <v>0</v>
      </c>
      <c r="Q951" s="152">
        <v>45852</v>
      </c>
    </row>
    <row r="952" spans="1:17" ht="15.75" thickBot="1" x14ac:dyDescent="0.3">
      <c r="A952" s="4">
        <v>3267</v>
      </c>
      <c r="B952" s="2" t="s">
        <v>727</v>
      </c>
      <c r="C952" s="2"/>
      <c r="D952" s="2"/>
      <c r="E952" s="3">
        <v>45836</v>
      </c>
      <c r="F952" s="3">
        <v>45359</v>
      </c>
      <c r="G952" s="4">
        <v>20</v>
      </c>
      <c r="H952" s="377" t="e">
        <v>#DIV/0!</v>
      </c>
      <c r="I952" s="377" t="e">
        <v>#DIV/0!</v>
      </c>
      <c r="J952" s="363" t="s">
        <v>550</v>
      </c>
      <c r="K952" s="7">
        <v>20000</v>
      </c>
      <c r="L952" s="7">
        <v>30000</v>
      </c>
      <c r="M952" s="8"/>
      <c r="N952" s="9">
        <v>30000</v>
      </c>
      <c r="O952" s="9">
        <v>30000</v>
      </c>
      <c r="P952" s="7">
        <v>0</v>
      </c>
      <c r="Q952" s="152">
        <v>45852</v>
      </c>
    </row>
    <row r="953" spans="1:17" ht="15.75" thickBot="1" x14ac:dyDescent="0.3">
      <c r="A953" s="4">
        <v>3278</v>
      </c>
      <c r="B953" s="2" t="s">
        <v>727</v>
      </c>
      <c r="C953" s="2"/>
      <c r="D953" s="2"/>
      <c r="E953" s="3">
        <v>45842</v>
      </c>
      <c r="F953" s="3">
        <v>45359</v>
      </c>
      <c r="G953" s="4">
        <v>20</v>
      </c>
      <c r="H953" s="377" t="e">
        <v>#DIV/0!</v>
      </c>
      <c r="I953" s="377" t="e">
        <v>#DIV/0!</v>
      </c>
      <c r="J953" s="363" t="s">
        <v>550</v>
      </c>
      <c r="K953" s="7">
        <v>20000</v>
      </c>
      <c r="L953" s="7">
        <v>30000</v>
      </c>
      <c r="M953" s="8"/>
      <c r="N953" s="9">
        <v>30000</v>
      </c>
      <c r="O953" s="9">
        <v>30000</v>
      </c>
      <c r="P953" s="7">
        <v>0</v>
      </c>
      <c r="Q953" s="152">
        <v>45852</v>
      </c>
    </row>
    <row r="954" spans="1:17" ht="29.25" thickBot="1" x14ac:dyDescent="0.3">
      <c r="A954" s="4">
        <v>3119</v>
      </c>
      <c r="B954" s="27" t="s">
        <v>419</v>
      </c>
      <c r="C954" s="27" t="s">
        <v>420</v>
      </c>
      <c r="D954" s="2"/>
      <c r="E954" s="3">
        <v>45736</v>
      </c>
      <c r="F954" s="3">
        <v>45834</v>
      </c>
      <c r="G954" s="4">
        <v>70</v>
      </c>
      <c r="H954" s="377">
        <v>70</v>
      </c>
      <c r="I954" s="377">
        <v>0</v>
      </c>
      <c r="J954" s="155" t="s">
        <v>422</v>
      </c>
      <c r="K954" s="7">
        <v>150000</v>
      </c>
      <c r="L954" s="7">
        <v>325500</v>
      </c>
      <c r="M954" s="8">
        <v>23250</v>
      </c>
      <c r="N954" s="9">
        <v>23250</v>
      </c>
      <c r="O954" s="9">
        <v>325500</v>
      </c>
      <c r="P954" s="7">
        <v>0</v>
      </c>
      <c r="Q954" s="152">
        <v>45852</v>
      </c>
    </row>
    <row r="955" spans="1:17" ht="29.25" thickBot="1" x14ac:dyDescent="0.3">
      <c r="A955" s="4">
        <v>2990</v>
      </c>
      <c r="B955" s="27" t="s">
        <v>465</v>
      </c>
      <c r="C955" s="405"/>
      <c r="D955" s="2"/>
      <c r="E955" s="3">
        <v>45663</v>
      </c>
      <c r="F955" s="3">
        <v>45831</v>
      </c>
      <c r="G955" s="4">
        <v>120</v>
      </c>
      <c r="H955" s="377">
        <v>120</v>
      </c>
      <c r="I955" s="377">
        <v>0</v>
      </c>
      <c r="J955" s="355" t="s">
        <v>312</v>
      </c>
      <c r="K955" s="404">
        <v>300000</v>
      </c>
      <c r="L955" s="7">
        <v>792000</v>
      </c>
      <c r="M955" s="8">
        <v>33000</v>
      </c>
      <c r="N955" s="9">
        <v>132000</v>
      </c>
      <c r="O955" s="9">
        <v>792000</v>
      </c>
      <c r="P955" s="7">
        <v>0</v>
      </c>
      <c r="Q955" s="152">
        <v>45852</v>
      </c>
    </row>
    <row r="956" spans="1:17" ht="20.25" thickBot="1" x14ac:dyDescent="0.3">
      <c r="A956" s="4">
        <v>2896</v>
      </c>
      <c r="B956" s="27" t="s">
        <v>471</v>
      </c>
      <c r="C956" s="27" t="s">
        <v>472</v>
      </c>
      <c r="D956" s="2"/>
      <c r="E956" s="3">
        <v>45602</v>
      </c>
      <c r="F956" s="3">
        <v>45770</v>
      </c>
      <c r="G956" s="4">
        <v>120</v>
      </c>
      <c r="H956" s="377">
        <v>120</v>
      </c>
      <c r="I956" s="377">
        <v>0</v>
      </c>
      <c r="J956" s="355" t="s">
        <v>473</v>
      </c>
      <c r="K956" s="7">
        <v>1000000</v>
      </c>
      <c r="L956" s="7">
        <v>2640000</v>
      </c>
      <c r="M956" s="8">
        <v>110000</v>
      </c>
      <c r="N956" s="9">
        <v>100000</v>
      </c>
      <c r="O956" s="9">
        <v>2640000</v>
      </c>
      <c r="P956" s="7">
        <v>0</v>
      </c>
      <c r="Q956" s="152">
        <v>45852</v>
      </c>
    </row>
    <row r="957" spans="1:17" ht="47.25" thickBot="1" x14ac:dyDescent="0.3">
      <c r="A957" s="4">
        <v>3127</v>
      </c>
      <c r="B957" s="27" t="s">
        <v>226</v>
      </c>
      <c r="C957" s="182" t="s">
        <v>223</v>
      </c>
      <c r="D957" s="2">
        <v>22375673</v>
      </c>
      <c r="E957" s="3">
        <v>45742</v>
      </c>
      <c r="F957" s="3">
        <v>45842</v>
      </c>
      <c r="G957" s="4">
        <v>72</v>
      </c>
      <c r="H957" s="377">
        <v>72</v>
      </c>
      <c r="I957" s="377">
        <v>0</v>
      </c>
      <c r="J957" s="155" t="s">
        <v>161</v>
      </c>
      <c r="K957" s="10">
        <v>100000</v>
      </c>
      <c r="L957" s="10">
        <v>216000</v>
      </c>
      <c r="M957" s="21">
        <v>15000</v>
      </c>
      <c r="N957" s="9">
        <v>3000</v>
      </c>
      <c r="O957" s="9">
        <v>216000</v>
      </c>
      <c r="P957" s="7">
        <v>0</v>
      </c>
      <c r="Q957" s="152">
        <v>45859</v>
      </c>
    </row>
    <row r="958" spans="1:17" ht="20.25" thickBot="1" x14ac:dyDescent="0.3">
      <c r="A958" s="1">
        <v>3030</v>
      </c>
      <c r="B958" s="27" t="s">
        <v>242</v>
      </c>
      <c r="C958" s="27" t="s">
        <v>243</v>
      </c>
      <c r="D958" s="2"/>
      <c r="E958" s="3">
        <v>45684</v>
      </c>
      <c r="F958" s="3">
        <v>45852</v>
      </c>
      <c r="G958" s="4">
        <v>120</v>
      </c>
      <c r="H958" s="377">
        <v>120</v>
      </c>
      <c r="I958" s="377">
        <v>0</v>
      </c>
      <c r="J958" s="355" t="s">
        <v>245</v>
      </c>
      <c r="K958" s="7">
        <v>100000</v>
      </c>
      <c r="L958" s="7">
        <v>264000</v>
      </c>
      <c r="M958" s="8">
        <v>11000</v>
      </c>
      <c r="N958" s="9">
        <v>44000</v>
      </c>
      <c r="O958" s="9">
        <v>264000</v>
      </c>
      <c r="P958" s="10">
        <v>0</v>
      </c>
      <c r="Q958" s="152">
        <v>45859</v>
      </c>
    </row>
    <row r="959" spans="1:17" ht="20.25" thickBot="1" x14ac:dyDescent="0.3">
      <c r="A959" s="1">
        <v>3150</v>
      </c>
      <c r="B959" s="27" t="s">
        <v>242</v>
      </c>
      <c r="C959" s="27" t="s">
        <v>243</v>
      </c>
      <c r="D959" s="2"/>
      <c r="E959" s="3">
        <v>45758</v>
      </c>
      <c r="F959" s="3">
        <v>45870</v>
      </c>
      <c r="G959" s="4">
        <v>80</v>
      </c>
      <c r="H959" s="377">
        <v>80</v>
      </c>
      <c r="I959" s="377">
        <v>0</v>
      </c>
      <c r="J959" s="355" t="s">
        <v>759</v>
      </c>
      <c r="K959" s="10">
        <v>20000</v>
      </c>
      <c r="L959" s="10">
        <v>43200</v>
      </c>
      <c r="M959" s="8">
        <v>2700</v>
      </c>
      <c r="N959" s="9">
        <v>10800</v>
      </c>
      <c r="O959" s="9">
        <v>43200</v>
      </c>
      <c r="P959" s="10">
        <v>0</v>
      </c>
      <c r="Q959" s="152">
        <v>45859</v>
      </c>
    </row>
    <row r="960" spans="1:17" ht="25.5" thickBot="1" x14ac:dyDescent="0.3">
      <c r="A960" s="1">
        <v>2964</v>
      </c>
      <c r="B960" s="27" t="s">
        <v>261</v>
      </c>
      <c r="C960" s="27"/>
      <c r="D960" s="2"/>
      <c r="E960" s="3">
        <v>45647</v>
      </c>
      <c r="F960" s="3">
        <v>45800</v>
      </c>
      <c r="G960" s="4">
        <v>110</v>
      </c>
      <c r="H960" s="377">
        <v>110</v>
      </c>
      <c r="I960" s="377">
        <v>0</v>
      </c>
      <c r="J960" s="192" t="s">
        <v>262</v>
      </c>
      <c r="K960" s="7">
        <v>100000</v>
      </c>
      <c r="L960" s="7">
        <v>264000</v>
      </c>
      <c r="M960" s="8">
        <v>12000</v>
      </c>
      <c r="N960" s="9">
        <v>24000</v>
      </c>
      <c r="O960" s="9">
        <v>264000</v>
      </c>
      <c r="P960" s="10">
        <v>0</v>
      </c>
      <c r="Q960" s="152">
        <v>45859</v>
      </c>
    </row>
    <row r="961" spans="1:17" ht="29.25" thickBot="1" x14ac:dyDescent="0.3">
      <c r="A961" s="1">
        <v>3124</v>
      </c>
      <c r="B961" s="27" t="s">
        <v>278</v>
      </c>
      <c r="C961" s="27" t="s">
        <v>208</v>
      </c>
      <c r="D961" s="2"/>
      <c r="E961" s="3">
        <v>45741</v>
      </c>
      <c r="F961" s="3">
        <v>45841</v>
      </c>
      <c r="G961" s="4">
        <v>72</v>
      </c>
      <c r="H961" s="377">
        <v>72</v>
      </c>
      <c r="I961" s="377">
        <v>0</v>
      </c>
      <c r="J961" s="155" t="s">
        <v>227</v>
      </c>
      <c r="K961" s="7">
        <v>50000</v>
      </c>
      <c r="L961" s="7">
        <v>108000</v>
      </c>
      <c r="M961" s="8">
        <v>7500</v>
      </c>
      <c r="N961" s="9"/>
      <c r="O961" s="9">
        <v>108000</v>
      </c>
      <c r="P961" s="10">
        <v>0</v>
      </c>
      <c r="Q961" s="152">
        <v>45859</v>
      </c>
    </row>
    <row r="962" spans="1:17" ht="24" thickBot="1" x14ac:dyDescent="0.3">
      <c r="A962" s="1">
        <v>3281</v>
      </c>
      <c r="B962" s="2" t="s">
        <v>707</v>
      </c>
      <c r="C962" s="2"/>
      <c r="D962" s="2"/>
      <c r="E962" s="3">
        <v>45849</v>
      </c>
      <c r="F962" s="3">
        <v>45777</v>
      </c>
      <c r="G962" s="4">
        <v>5</v>
      </c>
      <c r="H962" s="377" t="e">
        <v>#DIV/0!</v>
      </c>
      <c r="I962" s="377" t="e">
        <v>#DIV/0!</v>
      </c>
      <c r="J962" s="2" t="s">
        <v>403</v>
      </c>
      <c r="K962" s="7">
        <v>100000</v>
      </c>
      <c r="L962" s="7">
        <v>130000</v>
      </c>
      <c r="M962" s="8"/>
      <c r="N962" s="9">
        <v>130000</v>
      </c>
      <c r="O962" s="9">
        <v>130000</v>
      </c>
      <c r="P962" s="10">
        <v>0</v>
      </c>
      <c r="Q962" s="152">
        <v>45859</v>
      </c>
    </row>
    <row r="963" spans="1:17" ht="38.25" thickBot="1" x14ac:dyDescent="0.3">
      <c r="A963" s="1">
        <v>3138</v>
      </c>
      <c r="B963" s="27" t="s">
        <v>319</v>
      </c>
      <c r="C963" s="27" t="s">
        <v>317</v>
      </c>
      <c r="D963" s="2"/>
      <c r="E963" s="3">
        <v>45750</v>
      </c>
      <c r="F963" s="3">
        <v>45852</v>
      </c>
      <c r="G963" s="4">
        <v>72</v>
      </c>
      <c r="H963" s="377">
        <v>72</v>
      </c>
      <c r="I963" s="377">
        <v>0</v>
      </c>
      <c r="J963" s="155" t="s">
        <v>181</v>
      </c>
      <c r="K963" s="7">
        <v>30000</v>
      </c>
      <c r="L963" s="7">
        <v>64800</v>
      </c>
      <c r="M963" s="21">
        <v>4500</v>
      </c>
      <c r="N963" s="9">
        <v>1800</v>
      </c>
      <c r="O963" s="9">
        <v>64800</v>
      </c>
      <c r="P963" s="10">
        <v>0</v>
      </c>
      <c r="Q963" s="152">
        <v>45859</v>
      </c>
    </row>
    <row r="964" spans="1:17" ht="38.25" thickBot="1" x14ac:dyDescent="0.3">
      <c r="A964" s="1">
        <v>2983</v>
      </c>
      <c r="B964" s="27" t="s">
        <v>320</v>
      </c>
      <c r="C964" s="27" t="s">
        <v>317</v>
      </c>
      <c r="D964" s="2"/>
      <c r="E964" s="3">
        <v>45657</v>
      </c>
      <c r="F964" s="3">
        <v>45757</v>
      </c>
      <c r="G964" s="4">
        <v>72</v>
      </c>
      <c r="H964" s="377">
        <v>73.666666666666671</v>
      </c>
      <c r="I964" s="377">
        <v>-1.6666666666666714</v>
      </c>
      <c r="J964" s="155" t="s">
        <v>182</v>
      </c>
      <c r="K964" s="7">
        <v>20000</v>
      </c>
      <c r="L964" s="7">
        <v>43200</v>
      </c>
      <c r="M964" s="8">
        <v>3000</v>
      </c>
      <c r="N964" s="9">
        <v>8000</v>
      </c>
      <c r="O964" s="9">
        <v>44200</v>
      </c>
      <c r="P964" s="7">
        <v>-1000</v>
      </c>
      <c r="Q964" s="152">
        <v>45859</v>
      </c>
    </row>
    <row r="965" spans="1:17" ht="20.25" thickBot="1" x14ac:dyDescent="0.3">
      <c r="A965" s="1">
        <v>3065</v>
      </c>
      <c r="B965" s="27" t="s">
        <v>357</v>
      </c>
      <c r="C965" s="27" t="s">
        <v>358</v>
      </c>
      <c r="D965" s="2">
        <v>27329256826</v>
      </c>
      <c r="E965" s="3">
        <v>45705</v>
      </c>
      <c r="F965" s="3">
        <v>45873</v>
      </c>
      <c r="G965" s="4">
        <v>120</v>
      </c>
      <c r="H965" s="377">
        <v>120</v>
      </c>
      <c r="I965" s="377">
        <v>0</v>
      </c>
      <c r="J965" s="355" t="s">
        <v>148</v>
      </c>
      <c r="K965" s="7">
        <v>50000</v>
      </c>
      <c r="L965" s="7">
        <v>132000</v>
      </c>
      <c r="M965" s="8">
        <v>5500</v>
      </c>
      <c r="N965" s="9">
        <v>48000</v>
      </c>
      <c r="O965" s="9">
        <v>132000</v>
      </c>
      <c r="P965" s="7">
        <v>0</v>
      </c>
      <c r="Q965" s="152">
        <v>45859</v>
      </c>
    </row>
    <row r="966" spans="1:17" ht="47.25" thickBot="1" x14ac:dyDescent="0.3">
      <c r="A966" s="1">
        <v>3012</v>
      </c>
      <c r="B966" s="27" t="s">
        <v>410</v>
      </c>
      <c r="C966" s="27" t="s">
        <v>411</v>
      </c>
      <c r="D966" s="2">
        <v>20317686979</v>
      </c>
      <c r="E966" s="3">
        <v>45677</v>
      </c>
      <c r="F966" s="3">
        <v>45845</v>
      </c>
      <c r="G966" s="4">
        <v>120</v>
      </c>
      <c r="H966" s="377">
        <v>120</v>
      </c>
      <c r="I966" s="377">
        <v>0</v>
      </c>
      <c r="J966" s="355" t="s">
        <v>412</v>
      </c>
      <c r="K966" s="10">
        <v>500000</v>
      </c>
      <c r="L966" s="10">
        <v>1320000</v>
      </c>
      <c r="M966" s="8">
        <v>55000</v>
      </c>
      <c r="N966" s="9">
        <v>220000</v>
      </c>
      <c r="O966" s="9">
        <v>1320000</v>
      </c>
      <c r="P966" s="7">
        <v>0</v>
      </c>
      <c r="Q966" s="152">
        <v>45859</v>
      </c>
    </row>
    <row r="967" spans="1:17" ht="29.25" thickBot="1" x14ac:dyDescent="0.3">
      <c r="A967" s="4">
        <v>3084</v>
      </c>
      <c r="B967" s="27" t="s">
        <v>419</v>
      </c>
      <c r="C967" s="27" t="s">
        <v>420</v>
      </c>
      <c r="D967" s="2"/>
      <c r="E967" s="3">
        <v>45714</v>
      </c>
      <c r="F967" s="3">
        <v>45882</v>
      </c>
      <c r="G967" s="4">
        <v>120</v>
      </c>
      <c r="H967" s="377">
        <v>120</v>
      </c>
      <c r="I967" s="377">
        <v>0</v>
      </c>
      <c r="J967" s="355" t="s">
        <v>421</v>
      </c>
      <c r="K967" s="10">
        <v>150000</v>
      </c>
      <c r="L967" s="10">
        <v>396000</v>
      </c>
      <c r="M967" s="8">
        <v>16500</v>
      </c>
      <c r="N967" s="9">
        <v>66000</v>
      </c>
      <c r="O967" s="9">
        <v>396000</v>
      </c>
      <c r="P967" s="7">
        <v>0</v>
      </c>
      <c r="Q967" s="152">
        <v>45859</v>
      </c>
    </row>
    <row r="968" spans="1:17" ht="20.25" thickBot="1" x14ac:dyDescent="0.3">
      <c r="A968" s="4">
        <v>3251</v>
      </c>
      <c r="B968" s="27" t="s">
        <v>1200</v>
      </c>
      <c r="C968" s="27" t="s">
        <v>430</v>
      </c>
      <c r="D968" s="2"/>
      <c r="E968" s="3">
        <v>45827</v>
      </c>
      <c r="F968" s="3">
        <v>45853</v>
      </c>
      <c r="G968" s="4">
        <v>18</v>
      </c>
      <c r="H968" s="377" t="e">
        <v>#DIV/0!</v>
      </c>
      <c r="I968" s="377" t="e">
        <v>#DIV/0!</v>
      </c>
      <c r="J968" s="355" t="s">
        <v>403</v>
      </c>
      <c r="K968" s="7">
        <v>250000</v>
      </c>
      <c r="L968" s="7">
        <v>350000</v>
      </c>
      <c r="M968" s="8"/>
      <c r="N968" s="9">
        <v>350000</v>
      </c>
      <c r="O968" s="9">
        <v>350000</v>
      </c>
      <c r="P968" s="7">
        <v>0</v>
      </c>
      <c r="Q968" s="152">
        <v>45859</v>
      </c>
    </row>
    <row r="969" spans="1:17" ht="56.25" thickBot="1" x14ac:dyDescent="0.3">
      <c r="A969" s="4">
        <v>2970</v>
      </c>
      <c r="B969" s="27" t="s">
        <v>431</v>
      </c>
      <c r="C969" s="27" t="s">
        <v>432</v>
      </c>
      <c r="D969" s="2"/>
      <c r="E969" s="3">
        <v>45650</v>
      </c>
      <c r="F969" s="3">
        <v>45804</v>
      </c>
      <c r="G969" s="4">
        <v>110</v>
      </c>
      <c r="H969" s="377">
        <v>110</v>
      </c>
      <c r="I969" s="377">
        <v>0</v>
      </c>
      <c r="J969" s="155" t="s">
        <v>437</v>
      </c>
      <c r="K969" s="7">
        <v>400000</v>
      </c>
      <c r="L969" s="7">
        <v>1056000</v>
      </c>
      <c r="M969" s="8">
        <v>48000</v>
      </c>
      <c r="N969" s="9"/>
      <c r="O969" s="9">
        <v>1056000</v>
      </c>
      <c r="P969" s="7">
        <v>0</v>
      </c>
      <c r="Q969" s="152">
        <v>45859</v>
      </c>
    </row>
    <row r="970" spans="1:17" ht="56.25" thickBot="1" x14ac:dyDescent="0.3">
      <c r="A970" s="4">
        <v>3043</v>
      </c>
      <c r="B970" s="27" t="s">
        <v>431</v>
      </c>
      <c r="C970" s="27" t="s">
        <v>432</v>
      </c>
      <c r="D970" s="2"/>
      <c r="E970" s="3">
        <v>45695</v>
      </c>
      <c r="F970" s="3">
        <v>45849</v>
      </c>
      <c r="G970" s="4">
        <v>110</v>
      </c>
      <c r="H970" s="377">
        <v>110</v>
      </c>
      <c r="I970" s="377">
        <v>0</v>
      </c>
      <c r="J970" s="155" t="s">
        <v>439</v>
      </c>
      <c r="K970" s="10">
        <v>300000</v>
      </c>
      <c r="L970" s="10">
        <v>792000</v>
      </c>
      <c r="M970" s="8">
        <v>36000</v>
      </c>
      <c r="N970" s="9"/>
      <c r="O970" s="9">
        <v>792000</v>
      </c>
      <c r="P970" s="7">
        <v>0</v>
      </c>
      <c r="Q970" s="152">
        <v>45859</v>
      </c>
    </row>
    <row r="971" spans="1:17" ht="20.25" thickBot="1" x14ac:dyDescent="0.3">
      <c r="A971" s="4">
        <v>3151</v>
      </c>
      <c r="B971" s="27" t="s">
        <v>751</v>
      </c>
      <c r="C971" s="27"/>
      <c r="D971" s="2"/>
      <c r="E971" s="3">
        <v>45759</v>
      </c>
      <c r="F971" s="3">
        <v>45856</v>
      </c>
      <c r="G971" s="4">
        <v>70</v>
      </c>
      <c r="H971" s="377">
        <v>70</v>
      </c>
      <c r="I971" s="377">
        <v>0</v>
      </c>
      <c r="J971" s="192" t="s">
        <v>1191</v>
      </c>
      <c r="K971" s="7">
        <v>80000</v>
      </c>
      <c r="L971" s="7">
        <v>172900</v>
      </c>
      <c r="M971" s="8">
        <v>12350</v>
      </c>
      <c r="N971" s="9">
        <v>22900</v>
      </c>
      <c r="O971" s="9">
        <v>172900</v>
      </c>
      <c r="P971" s="7">
        <v>0</v>
      </c>
      <c r="Q971" s="152">
        <v>45859</v>
      </c>
    </row>
    <row r="972" spans="1:17" ht="38.25" thickBot="1" x14ac:dyDescent="0.3">
      <c r="A972" s="4">
        <v>3073</v>
      </c>
      <c r="B972" s="27" t="s">
        <v>462</v>
      </c>
      <c r="C972" s="27" t="s">
        <v>463</v>
      </c>
      <c r="D972" s="2"/>
      <c r="E972" s="3">
        <v>45708</v>
      </c>
      <c r="F972" s="3">
        <v>45810</v>
      </c>
      <c r="G972" s="4">
        <v>72</v>
      </c>
      <c r="H972" s="377">
        <v>73.333333333333329</v>
      </c>
      <c r="I972" s="377">
        <v>-1.3333333333333286</v>
      </c>
      <c r="J972" s="155" t="s">
        <v>161</v>
      </c>
      <c r="K972" s="7">
        <v>100000</v>
      </c>
      <c r="L972" s="7">
        <v>216000</v>
      </c>
      <c r="M972" s="8">
        <v>15000</v>
      </c>
      <c r="N972" s="9">
        <v>35000</v>
      </c>
      <c r="O972" s="9">
        <v>220000</v>
      </c>
      <c r="P972" s="7">
        <v>-4000</v>
      </c>
      <c r="Q972" s="152">
        <v>45859</v>
      </c>
    </row>
    <row r="973" spans="1:17" ht="47.25" thickBot="1" x14ac:dyDescent="0.3">
      <c r="A973" s="4">
        <v>2982</v>
      </c>
      <c r="B973" s="27" t="s">
        <v>233</v>
      </c>
      <c r="C973" s="27" t="s">
        <v>234</v>
      </c>
      <c r="D973" s="2" t="s">
        <v>235</v>
      </c>
      <c r="E973" s="3">
        <v>45657</v>
      </c>
      <c r="F973" s="3">
        <v>45853</v>
      </c>
      <c r="G973" s="4">
        <v>140</v>
      </c>
      <c r="H973" s="377">
        <v>140</v>
      </c>
      <c r="I973" s="377">
        <v>0</v>
      </c>
      <c r="J973" s="355" t="s">
        <v>237</v>
      </c>
      <c r="K973" s="20">
        <v>150000</v>
      </c>
      <c r="L973" s="7">
        <v>406000</v>
      </c>
      <c r="M973" s="8">
        <v>14500</v>
      </c>
      <c r="N973" s="9">
        <v>14858</v>
      </c>
      <c r="O973" s="9">
        <v>406000</v>
      </c>
      <c r="P973" s="7">
        <v>0</v>
      </c>
      <c r="Q973" s="152">
        <v>45866</v>
      </c>
    </row>
    <row r="974" spans="1:17" ht="38.25" thickBot="1" x14ac:dyDescent="0.3">
      <c r="A974" s="1">
        <v>3095</v>
      </c>
      <c r="B974" s="27" t="s">
        <v>280</v>
      </c>
      <c r="C974" s="27" t="s">
        <v>281</v>
      </c>
      <c r="D974" s="2"/>
      <c r="E974" s="3">
        <v>45723</v>
      </c>
      <c r="F974" s="3">
        <v>45835</v>
      </c>
      <c r="G974" s="4">
        <v>80</v>
      </c>
      <c r="H974" s="377">
        <v>80</v>
      </c>
      <c r="I974" s="377">
        <v>0</v>
      </c>
      <c r="J974" s="355" t="s">
        <v>283</v>
      </c>
      <c r="K974" s="7">
        <v>50000</v>
      </c>
      <c r="L974" s="7">
        <v>108000</v>
      </c>
      <c r="M974" s="8">
        <v>6750</v>
      </c>
      <c r="N974" s="9">
        <v>27000</v>
      </c>
      <c r="O974" s="9">
        <v>108000</v>
      </c>
      <c r="P974" s="10">
        <v>0</v>
      </c>
      <c r="Q974" s="152">
        <v>45866</v>
      </c>
    </row>
    <row r="975" spans="1:17" ht="24" thickBot="1" x14ac:dyDescent="0.3">
      <c r="A975" s="1">
        <v>3309</v>
      </c>
      <c r="B975" s="2" t="s">
        <v>707</v>
      </c>
      <c r="C975" s="2"/>
      <c r="D975" s="2"/>
      <c r="E975" s="3">
        <v>45861</v>
      </c>
      <c r="F975" s="3">
        <v>45777</v>
      </c>
      <c r="G975" s="4">
        <v>5</v>
      </c>
      <c r="H975" s="377" t="e">
        <v>#DIV/0!</v>
      </c>
      <c r="I975" s="377" t="e">
        <v>#DIV/0!</v>
      </c>
      <c r="J975" s="2" t="s">
        <v>403</v>
      </c>
      <c r="K975" s="7">
        <v>100000</v>
      </c>
      <c r="L975" s="7">
        <v>130000</v>
      </c>
      <c r="M975" s="8"/>
      <c r="N975" s="9">
        <v>130000</v>
      </c>
      <c r="O975" s="9">
        <v>130000</v>
      </c>
      <c r="P975" s="10">
        <v>0</v>
      </c>
      <c r="Q975" s="152">
        <v>45866</v>
      </c>
    </row>
    <row r="976" spans="1:17" ht="24" thickBot="1" x14ac:dyDescent="0.3">
      <c r="A976" s="1">
        <v>3310</v>
      </c>
      <c r="B976" s="2" t="s">
        <v>707</v>
      </c>
      <c r="C976" s="2"/>
      <c r="D976" s="2"/>
      <c r="E976" s="3">
        <v>45861</v>
      </c>
      <c r="F976" s="3">
        <v>45777</v>
      </c>
      <c r="G976" s="4">
        <v>5</v>
      </c>
      <c r="H976" s="377" t="e">
        <v>#DIV/0!</v>
      </c>
      <c r="I976" s="377" t="e">
        <v>#DIV/0!</v>
      </c>
      <c r="J976" s="2" t="s">
        <v>403</v>
      </c>
      <c r="K976" s="7">
        <v>130000</v>
      </c>
      <c r="L976" s="7">
        <v>169000</v>
      </c>
      <c r="M976" s="8"/>
      <c r="N976" s="9">
        <v>169000</v>
      </c>
      <c r="O976" s="9">
        <v>169000</v>
      </c>
      <c r="P976" s="10">
        <v>0</v>
      </c>
      <c r="Q976" s="152">
        <v>45866</v>
      </c>
    </row>
    <row r="977" spans="1:17" ht="20.25" thickBot="1" x14ac:dyDescent="0.3">
      <c r="A977" s="1">
        <v>3154</v>
      </c>
      <c r="B977" s="27" t="s">
        <v>663</v>
      </c>
      <c r="C977" s="27" t="s">
        <v>664</v>
      </c>
      <c r="D977" s="28"/>
      <c r="E977" s="3">
        <v>45763</v>
      </c>
      <c r="F977" s="3">
        <v>45863</v>
      </c>
      <c r="G977" s="4">
        <v>72</v>
      </c>
      <c r="H977" s="377">
        <v>72</v>
      </c>
      <c r="I977" s="377">
        <v>0</v>
      </c>
      <c r="J977" s="155" t="s">
        <v>227</v>
      </c>
      <c r="K977" s="7">
        <v>50000</v>
      </c>
      <c r="L977" s="7">
        <v>108000</v>
      </c>
      <c r="M977" s="21">
        <v>7500</v>
      </c>
      <c r="N977" s="9">
        <v>10500</v>
      </c>
      <c r="O977" s="9">
        <v>108000</v>
      </c>
      <c r="P977" s="10">
        <v>0</v>
      </c>
      <c r="Q977" s="152">
        <v>45866</v>
      </c>
    </row>
    <row r="978" spans="1:17" ht="56.25" thickBot="1" x14ac:dyDescent="0.3">
      <c r="A978" s="4">
        <v>3168</v>
      </c>
      <c r="B978" s="27" t="s">
        <v>1214</v>
      </c>
      <c r="C978" s="27" t="s">
        <v>145</v>
      </c>
      <c r="D978" s="2"/>
      <c r="E978" s="3">
        <v>45772</v>
      </c>
      <c r="F978" s="3">
        <v>45874</v>
      </c>
      <c r="G978" s="4">
        <v>72</v>
      </c>
      <c r="H978" s="377">
        <v>72</v>
      </c>
      <c r="I978" s="377">
        <v>0</v>
      </c>
      <c r="J978" s="155" t="s">
        <v>163</v>
      </c>
      <c r="K978" s="7">
        <v>80000</v>
      </c>
      <c r="L978" s="7">
        <v>172800</v>
      </c>
      <c r="M978" s="8">
        <v>12000</v>
      </c>
      <c r="N978" s="9">
        <v>16800</v>
      </c>
      <c r="O978" s="9">
        <v>172800</v>
      </c>
      <c r="P978" s="7">
        <v>0</v>
      </c>
      <c r="Q978" s="152">
        <v>45873</v>
      </c>
    </row>
    <row r="979" spans="1:17" ht="47.25" thickBot="1" x14ac:dyDescent="0.3">
      <c r="A979" s="1">
        <v>3123</v>
      </c>
      <c r="B979" s="27" t="s">
        <v>183</v>
      </c>
      <c r="C979" s="27" t="s">
        <v>184</v>
      </c>
      <c r="D979" s="2"/>
      <c r="E979" s="3">
        <v>45740</v>
      </c>
      <c r="F979" s="3">
        <v>45852</v>
      </c>
      <c r="G979" s="5">
        <v>80</v>
      </c>
      <c r="H979" s="377">
        <v>80</v>
      </c>
      <c r="I979" s="377">
        <v>0</v>
      </c>
      <c r="J979" s="355" t="s">
        <v>185</v>
      </c>
      <c r="K979" s="18">
        <v>1600000</v>
      </c>
      <c r="L979" s="7">
        <v>3456000</v>
      </c>
      <c r="M979" s="8">
        <v>216000</v>
      </c>
      <c r="N979" s="9">
        <v>264000</v>
      </c>
      <c r="O979" s="9">
        <v>3456000</v>
      </c>
      <c r="P979" s="10">
        <v>0</v>
      </c>
      <c r="Q979" s="152">
        <v>45873</v>
      </c>
    </row>
    <row r="980" spans="1:17" ht="25.5" thickBot="1" x14ac:dyDescent="0.3">
      <c r="A980" s="1">
        <v>2824</v>
      </c>
      <c r="B980" s="27" t="s">
        <v>189</v>
      </c>
      <c r="C980" s="27"/>
      <c r="D980" s="2">
        <v>24016318</v>
      </c>
      <c r="E980" s="3">
        <v>45559</v>
      </c>
      <c r="F980" s="3">
        <v>45671</v>
      </c>
      <c r="G980" s="4">
        <v>80</v>
      </c>
      <c r="H980" s="377">
        <v>80</v>
      </c>
      <c r="I980" s="377">
        <v>0</v>
      </c>
      <c r="J980" s="355" t="s">
        <v>190</v>
      </c>
      <c r="K980" s="10">
        <v>1000000</v>
      </c>
      <c r="L980" s="10">
        <v>2160000</v>
      </c>
      <c r="M980" s="8">
        <v>135000</v>
      </c>
      <c r="N980" s="9">
        <v>375000</v>
      </c>
      <c r="O980" s="9">
        <v>2160000</v>
      </c>
      <c r="P980" s="10">
        <v>0</v>
      </c>
      <c r="Q980" s="152">
        <v>45873</v>
      </c>
    </row>
    <row r="981" spans="1:17" ht="20.25" thickBot="1" x14ac:dyDescent="0.3">
      <c r="A981" s="1">
        <v>2974</v>
      </c>
      <c r="B981" s="27" t="s">
        <v>275</v>
      </c>
      <c r="C981" s="27"/>
      <c r="D981" s="2"/>
      <c r="E981" s="3">
        <v>45652</v>
      </c>
      <c r="F981" s="3">
        <v>45764</v>
      </c>
      <c r="G981" s="4">
        <v>80</v>
      </c>
      <c r="H981" s="377">
        <v>80</v>
      </c>
      <c r="I981" s="377">
        <v>0</v>
      </c>
      <c r="J981" s="355" t="s">
        <v>276</v>
      </c>
      <c r="K981" s="7">
        <v>100000</v>
      </c>
      <c r="L981" s="7">
        <v>216000</v>
      </c>
      <c r="M981" s="8">
        <v>13500</v>
      </c>
      <c r="N981" s="9">
        <v>54000</v>
      </c>
      <c r="O981" s="9">
        <v>216000</v>
      </c>
      <c r="P981" s="10">
        <v>0</v>
      </c>
      <c r="Q981" s="152">
        <v>45873</v>
      </c>
    </row>
    <row r="982" spans="1:17" ht="56.25" thickBot="1" x14ac:dyDescent="0.3">
      <c r="A982" s="1">
        <v>3303</v>
      </c>
      <c r="B982" s="27" t="s">
        <v>290</v>
      </c>
      <c r="C982" s="27" t="s">
        <v>1283</v>
      </c>
      <c r="D982" s="2">
        <v>27355741082</v>
      </c>
      <c r="E982" s="3">
        <v>45860</v>
      </c>
      <c r="F982" s="3">
        <v>45881</v>
      </c>
      <c r="G982" s="4">
        <v>15</v>
      </c>
      <c r="H982" s="151" t="e">
        <v>#VALUE!</v>
      </c>
      <c r="I982" s="151" t="e">
        <v>#VALUE!</v>
      </c>
      <c r="J982" s="155" t="s">
        <v>368</v>
      </c>
      <c r="K982" s="10">
        <v>200000</v>
      </c>
      <c r="L982" s="10">
        <v>280000</v>
      </c>
      <c r="M982" s="8" t="s">
        <v>143</v>
      </c>
      <c r="N982" s="9">
        <v>280000</v>
      </c>
      <c r="O982" s="9">
        <v>280000</v>
      </c>
      <c r="P982" s="10">
        <v>0</v>
      </c>
      <c r="Q982" s="152">
        <v>45873</v>
      </c>
    </row>
    <row r="983" spans="1:17" ht="24" thickBot="1" x14ac:dyDescent="0.3">
      <c r="A983" s="1">
        <v>3328</v>
      </c>
      <c r="B983" s="2" t="s">
        <v>707</v>
      </c>
      <c r="C983" s="2"/>
      <c r="D983" s="2"/>
      <c r="E983" s="3">
        <v>45869</v>
      </c>
      <c r="F983" s="3">
        <v>45777</v>
      </c>
      <c r="G983" s="4">
        <v>5</v>
      </c>
      <c r="H983" s="377" t="e">
        <v>#DIV/0!</v>
      </c>
      <c r="I983" s="377" t="e">
        <v>#DIV/0!</v>
      </c>
      <c r="J983" s="2" t="s">
        <v>403</v>
      </c>
      <c r="K983" s="7">
        <v>100000</v>
      </c>
      <c r="L983" s="7">
        <v>130000</v>
      </c>
      <c r="M983" s="21"/>
      <c r="N983" s="9">
        <v>130000</v>
      </c>
      <c r="O983" s="9">
        <v>130000</v>
      </c>
      <c r="P983" s="10">
        <v>0</v>
      </c>
      <c r="Q983" s="152">
        <v>45873</v>
      </c>
    </row>
    <row r="984" spans="1:17" ht="24" thickBot="1" x14ac:dyDescent="0.3">
      <c r="A984" s="1">
        <v>3329</v>
      </c>
      <c r="B984" s="2" t="s">
        <v>707</v>
      </c>
      <c r="C984" s="2"/>
      <c r="D984" s="2"/>
      <c r="E984" s="3">
        <v>45869</v>
      </c>
      <c r="F984" s="3">
        <v>45777</v>
      </c>
      <c r="G984" s="4">
        <v>5</v>
      </c>
      <c r="H984" s="377" t="e">
        <v>#DIV/0!</v>
      </c>
      <c r="I984" s="377" t="e">
        <v>#DIV/0!</v>
      </c>
      <c r="J984" s="2" t="s">
        <v>403</v>
      </c>
      <c r="K984" s="10">
        <v>130000</v>
      </c>
      <c r="L984" s="10">
        <v>169000</v>
      </c>
      <c r="M984" s="21"/>
      <c r="N984" s="9">
        <v>169000</v>
      </c>
      <c r="O984" s="9">
        <v>169000</v>
      </c>
      <c r="P984" s="10">
        <v>0</v>
      </c>
      <c r="Q984" s="152">
        <v>45873</v>
      </c>
    </row>
    <row r="985" spans="1:17" ht="47.25" thickBot="1" x14ac:dyDescent="0.3">
      <c r="A985" s="1">
        <v>3038</v>
      </c>
      <c r="B985" s="27" t="s">
        <v>299</v>
      </c>
      <c r="C985" s="27" t="s">
        <v>300</v>
      </c>
      <c r="D985" s="2"/>
      <c r="E985" s="3">
        <v>45692</v>
      </c>
      <c r="F985" s="3">
        <v>45860</v>
      </c>
      <c r="G985" s="4">
        <v>120</v>
      </c>
      <c r="H985" s="377">
        <v>120</v>
      </c>
      <c r="I985" s="377">
        <v>0</v>
      </c>
      <c r="J985" s="357" t="s">
        <v>303</v>
      </c>
      <c r="K985" s="19">
        <v>100000</v>
      </c>
      <c r="L985" s="7">
        <v>264000</v>
      </c>
      <c r="M985" s="8">
        <v>11000</v>
      </c>
      <c r="N985" s="9">
        <v>44000</v>
      </c>
      <c r="O985" s="9">
        <v>264000</v>
      </c>
      <c r="P985" s="10">
        <v>0</v>
      </c>
      <c r="Q985" s="152">
        <v>45873</v>
      </c>
    </row>
    <row r="986" spans="1:17" ht="38.25" thickBot="1" x14ac:dyDescent="0.3">
      <c r="A986" s="1">
        <v>2950</v>
      </c>
      <c r="B986" s="27" t="s">
        <v>376</v>
      </c>
      <c r="C986" s="27"/>
      <c r="D986" s="2"/>
      <c r="E986" s="3">
        <v>45635</v>
      </c>
      <c r="F986" s="3">
        <v>45859</v>
      </c>
      <c r="G986" s="4">
        <v>160</v>
      </c>
      <c r="H986" s="377">
        <v>160</v>
      </c>
      <c r="I986" s="377">
        <v>0</v>
      </c>
      <c r="J986" s="355" t="s">
        <v>272</v>
      </c>
      <c r="K986" s="22">
        <v>200000</v>
      </c>
      <c r="L986" s="10">
        <v>600000</v>
      </c>
      <c r="M986" s="21">
        <v>18750</v>
      </c>
      <c r="N986" s="9">
        <v>75000</v>
      </c>
      <c r="O986" s="9">
        <v>600000</v>
      </c>
      <c r="P986" s="10">
        <v>0</v>
      </c>
      <c r="Q986" s="152">
        <v>45873</v>
      </c>
    </row>
    <row r="987" spans="1:17" ht="38.25" thickBot="1" x14ac:dyDescent="0.3">
      <c r="A987" s="4">
        <v>3036</v>
      </c>
      <c r="B987" s="27" t="s">
        <v>376</v>
      </c>
      <c r="C987" s="27"/>
      <c r="D987" s="2"/>
      <c r="E987" s="3">
        <v>45688</v>
      </c>
      <c r="F987" s="3">
        <v>45856</v>
      </c>
      <c r="G987" s="4">
        <v>120</v>
      </c>
      <c r="H987" s="377">
        <v>120</v>
      </c>
      <c r="I987" s="377">
        <v>0</v>
      </c>
      <c r="J987" s="355" t="s">
        <v>379</v>
      </c>
      <c r="K987" s="7">
        <v>200000</v>
      </c>
      <c r="L987" s="7">
        <v>528000</v>
      </c>
      <c r="M987" s="8">
        <v>22000</v>
      </c>
      <c r="N987" s="9">
        <v>88000</v>
      </c>
      <c r="O987" s="9">
        <v>528000</v>
      </c>
      <c r="P987" s="7">
        <v>0</v>
      </c>
      <c r="Q987" s="152">
        <v>45873</v>
      </c>
    </row>
    <row r="988" spans="1:17" ht="38.25" thickBot="1" x14ac:dyDescent="0.3">
      <c r="A988" s="4">
        <v>3079</v>
      </c>
      <c r="B988" s="27" t="s">
        <v>376</v>
      </c>
      <c r="C988" s="27"/>
      <c r="D988" s="2"/>
      <c r="E988" s="3">
        <v>45713</v>
      </c>
      <c r="F988" s="3">
        <v>45881</v>
      </c>
      <c r="G988" s="4">
        <v>120</v>
      </c>
      <c r="H988" s="377">
        <v>120</v>
      </c>
      <c r="I988" s="377">
        <v>0</v>
      </c>
      <c r="J988" s="355" t="s">
        <v>153</v>
      </c>
      <c r="K988" s="10">
        <v>100000</v>
      </c>
      <c r="L988" s="10">
        <v>264000</v>
      </c>
      <c r="M988" s="8">
        <v>11000</v>
      </c>
      <c r="N988" s="9">
        <v>44000</v>
      </c>
      <c r="O988" s="9">
        <v>264000</v>
      </c>
      <c r="P988" s="7">
        <v>0</v>
      </c>
      <c r="Q988" s="152">
        <v>45873</v>
      </c>
    </row>
    <row r="989" spans="1:17" ht="29.25" thickBot="1" x14ac:dyDescent="0.3">
      <c r="A989" s="4">
        <v>3114</v>
      </c>
      <c r="B989" s="27" t="s">
        <v>385</v>
      </c>
      <c r="C989" s="27" t="s">
        <v>386</v>
      </c>
      <c r="D989" s="2"/>
      <c r="E989" s="3">
        <v>45734</v>
      </c>
      <c r="F989" s="3">
        <v>45834</v>
      </c>
      <c r="G989" s="4">
        <v>72</v>
      </c>
      <c r="H989" s="377">
        <v>75.333333333333329</v>
      </c>
      <c r="I989" s="377">
        <v>-3.3333333333333286</v>
      </c>
      <c r="J989" s="155" t="s">
        <v>227</v>
      </c>
      <c r="K989" s="10">
        <v>50000</v>
      </c>
      <c r="L989" s="10">
        <v>108000</v>
      </c>
      <c r="M989" s="8">
        <v>7500</v>
      </c>
      <c r="N989" s="9">
        <v>7500</v>
      </c>
      <c r="O989" s="9">
        <v>113000</v>
      </c>
      <c r="P989" s="7">
        <v>-5000</v>
      </c>
      <c r="Q989" s="152">
        <v>45873</v>
      </c>
    </row>
    <row r="990" spans="1:17" ht="29.25" thickBot="1" x14ac:dyDescent="0.3">
      <c r="A990" s="4">
        <v>3136</v>
      </c>
      <c r="B990" s="27" t="s">
        <v>385</v>
      </c>
      <c r="C990" s="27" t="s">
        <v>386</v>
      </c>
      <c r="D990" s="2"/>
      <c r="E990" s="3">
        <v>45748</v>
      </c>
      <c r="F990" s="3">
        <v>45848</v>
      </c>
      <c r="G990" s="4">
        <v>72</v>
      </c>
      <c r="H990" s="377">
        <v>72</v>
      </c>
      <c r="I990" s="377">
        <v>0</v>
      </c>
      <c r="J990" s="155" t="s">
        <v>161</v>
      </c>
      <c r="K990" s="7">
        <v>100000</v>
      </c>
      <c r="L990" s="7">
        <v>216000</v>
      </c>
      <c r="M990" s="8">
        <v>15000</v>
      </c>
      <c r="N990" s="9">
        <v>46000</v>
      </c>
      <c r="O990" s="9">
        <v>216000</v>
      </c>
      <c r="P990" s="7">
        <v>0</v>
      </c>
      <c r="Q990" s="152">
        <v>45873</v>
      </c>
    </row>
    <row r="991" spans="1:17" ht="29.25" thickBot="1" x14ac:dyDescent="0.3">
      <c r="A991" s="4">
        <v>3145</v>
      </c>
      <c r="B991" s="27" t="s">
        <v>385</v>
      </c>
      <c r="C991" s="27" t="s">
        <v>386</v>
      </c>
      <c r="D991" s="2"/>
      <c r="E991" s="3">
        <v>45755</v>
      </c>
      <c r="F991" s="3">
        <v>45855</v>
      </c>
      <c r="G991" s="4">
        <v>72</v>
      </c>
      <c r="H991" s="377">
        <v>72</v>
      </c>
      <c r="I991" s="377">
        <v>0</v>
      </c>
      <c r="J991" s="155" t="s">
        <v>181</v>
      </c>
      <c r="K991" s="10">
        <v>30000</v>
      </c>
      <c r="L991" s="10">
        <v>64800</v>
      </c>
      <c r="M991" s="8">
        <v>4500</v>
      </c>
      <c r="N991" s="9">
        <v>16800</v>
      </c>
      <c r="O991" s="9">
        <v>64800</v>
      </c>
      <c r="P991" s="7">
        <v>0</v>
      </c>
      <c r="Q991" s="152">
        <v>45873</v>
      </c>
    </row>
    <row r="992" spans="1:17" ht="38.25" thickBot="1" x14ac:dyDescent="0.3">
      <c r="A992" s="4">
        <v>3157</v>
      </c>
      <c r="B992" s="27" t="s">
        <v>1216</v>
      </c>
      <c r="C992" s="27"/>
      <c r="D992" s="2"/>
      <c r="E992" s="3">
        <v>45768</v>
      </c>
      <c r="F992" s="3">
        <v>45866</v>
      </c>
      <c r="G992" s="4">
        <v>70</v>
      </c>
      <c r="H992" s="377">
        <v>70</v>
      </c>
      <c r="I992" s="377">
        <v>0</v>
      </c>
      <c r="J992" s="355" t="s">
        <v>409</v>
      </c>
      <c r="K992" s="19">
        <v>50000</v>
      </c>
      <c r="L992" s="7">
        <v>108000</v>
      </c>
      <c r="M992" s="23">
        <v>7714.2857142857147</v>
      </c>
      <c r="N992" s="9">
        <v>27000</v>
      </c>
      <c r="O992" s="9">
        <v>108000</v>
      </c>
      <c r="P992" s="7">
        <v>0</v>
      </c>
      <c r="Q992" s="152">
        <v>45873</v>
      </c>
    </row>
    <row r="993" spans="1:17" ht="29.25" thickBot="1" x14ac:dyDescent="0.3">
      <c r="A993" s="4">
        <v>3132</v>
      </c>
      <c r="B993" s="27" t="s">
        <v>455</v>
      </c>
      <c r="C993" s="27"/>
      <c r="D993" s="2"/>
      <c r="E993" s="3">
        <v>45746</v>
      </c>
      <c r="F993" s="3">
        <v>45846</v>
      </c>
      <c r="G993" s="4">
        <v>72</v>
      </c>
      <c r="H993" s="377">
        <v>72</v>
      </c>
      <c r="I993" s="377">
        <v>0</v>
      </c>
      <c r="J993" s="155" t="s">
        <v>161</v>
      </c>
      <c r="K993" s="7">
        <v>100000</v>
      </c>
      <c r="L993" s="7">
        <v>216000</v>
      </c>
      <c r="M993" s="21">
        <v>15000</v>
      </c>
      <c r="N993" s="9">
        <v>36000</v>
      </c>
      <c r="O993" s="9">
        <v>216000</v>
      </c>
      <c r="P993" s="7">
        <v>0</v>
      </c>
      <c r="Q993" s="152">
        <v>45873</v>
      </c>
    </row>
    <row r="994" spans="1:17" ht="29.25" thickBot="1" x14ac:dyDescent="0.3">
      <c r="A994" s="4">
        <v>3134</v>
      </c>
      <c r="B994" s="27" t="s">
        <v>304</v>
      </c>
      <c r="C994" s="27" t="s">
        <v>305</v>
      </c>
      <c r="D994" s="2"/>
      <c r="E994" s="3">
        <v>45747</v>
      </c>
      <c r="F994" s="3">
        <v>45859</v>
      </c>
      <c r="G994" s="4">
        <v>80</v>
      </c>
      <c r="H994" s="377">
        <v>80</v>
      </c>
      <c r="I994" s="377">
        <v>0</v>
      </c>
      <c r="J994" s="355" t="s">
        <v>306</v>
      </c>
      <c r="K994" s="7">
        <v>100000</v>
      </c>
      <c r="L994" s="7">
        <v>216000</v>
      </c>
      <c r="M994" s="8">
        <v>13500</v>
      </c>
      <c r="N994" s="9">
        <v>54000</v>
      </c>
      <c r="O994" s="9">
        <v>216000</v>
      </c>
      <c r="P994" s="7">
        <v>0</v>
      </c>
      <c r="Q994" s="152">
        <v>45880</v>
      </c>
    </row>
    <row r="995" spans="1:17" ht="15.75" thickBot="1" x14ac:dyDescent="0.3">
      <c r="A995" s="1">
        <v>3285</v>
      </c>
      <c r="B995" s="27" t="s">
        <v>367</v>
      </c>
      <c r="C995" s="27"/>
      <c r="D995" s="2"/>
      <c r="E995" s="3">
        <v>45850</v>
      </c>
      <c r="F995" s="3">
        <v>45820</v>
      </c>
      <c r="G995" s="4">
        <v>20</v>
      </c>
      <c r="H995" s="377" t="e">
        <v>#VALUE!</v>
      </c>
      <c r="I995" s="377" t="e">
        <v>#VALUE!</v>
      </c>
      <c r="J995" s="355" t="s">
        <v>368</v>
      </c>
      <c r="K995" s="7">
        <v>75000</v>
      </c>
      <c r="L995" s="7">
        <v>112500</v>
      </c>
      <c r="M995" s="8" t="s">
        <v>143</v>
      </c>
      <c r="N995" s="9">
        <v>112500</v>
      </c>
      <c r="O995" s="9">
        <v>112500</v>
      </c>
      <c r="P995" s="7">
        <v>0</v>
      </c>
      <c r="Q995" s="152">
        <v>45880</v>
      </c>
    </row>
    <row r="996" spans="1:17" ht="15.75" thickBot="1" x14ac:dyDescent="0.3">
      <c r="A996" s="4">
        <v>3286</v>
      </c>
      <c r="B996" s="27" t="s">
        <v>367</v>
      </c>
      <c r="C996" s="27"/>
      <c r="D996" s="2"/>
      <c r="E996" s="3">
        <v>45850</v>
      </c>
      <c r="F996" s="3">
        <v>45820</v>
      </c>
      <c r="G996" s="4">
        <v>20</v>
      </c>
      <c r="H996" s="377" t="e">
        <v>#DIV/0!</v>
      </c>
      <c r="I996" s="377" t="e">
        <v>#DIV/0!</v>
      </c>
      <c r="J996" s="355" t="s">
        <v>368</v>
      </c>
      <c r="K996" s="10">
        <v>30000</v>
      </c>
      <c r="L996" s="10">
        <v>45000</v>
      </c>
      <c r="M996" s="8"/>
      <c r="N996" s="9">
        <v>45000</v>
      </c>
      <c r="O996" s="9">
        <v>45000</v>
      </c>
      <c r="P996" s="7">
        <v>0</v>
      </c>
      <c r="Q996" s="152">
        <v>45880</v>
      </c>
    </row>
    <row r="997" spans="1:17" ht="20.25" thickBot="1" x14ac:dyDescent="0.3">
      <c r="A997" s="4">
        <v>3293</v>
      </c>
      <c r="B997" s="27" t="s">
        <v>1274</v>
      </c>
      <c r="C997" s="27"/>
      <c r="D997" s="2"/>
      <c r="E997" s="3">
        <v>45854</v>
      </c>
      <c r="F997" s="3">
        <v>45820</v>
      </c>
      <c r="G997" s="4">
        <v>20</v>
      </c>
      <c r="H997" s="377" t="e">
        <v>#DIV/0!</v>
      </c>
      <c r="I997" s="377" t="e">
        <v>#DIV/0!</v>
      </c>
      <c r="J997" s="355" t="s">
        <v>368</v>
      </c>
      <c r="K997" s="7">
        <v>100000</v>
      </c>
      <c r="L997" s="7">
        <v>150000</v>
      </c>
      <c r="M997" s="8"/>
      <c r="N997" s="9">
        <v>150000</v>
      </c>
      <c r="O997" s="9">
        <v>150000</v>
      </c>
      <c r="P997" s="7">
        <v>0</v>
      </c>
      <c r="Q997" s="152">
        <v>45880</v>
      </c>
    </row>
    <row r="998" spans="1:17" ht="56.25" thickBot="1" x14ac:dyDescent="0.3">
      <c r="A998" s="4">
        <v>3186</v>
      </c>
      <c r="B998" s="27" t="s">
        <v>746</v>
      </c>
      <c r="C998" s="27" t="s">
        <v>1212</v>
      </c>
      <c r="D998" s="2"/>
      <c r="E998" s="3">
        <v>45785</v>
      </c>
      <c r="F998" s="3">
        <v>45869</v>
      </c>
      <c r="G998" s="374">
        <v>60</v>
      </c>
      <c r="H998" s="377">
        <v>59.999999999999993</v>
      </c>
      <c r="I998" s="377">
        <v>0</v>
      </c>
      <c r="J998" s="355" t="s">
        <v>1211</v>
      </c>
      <c r="K998" s="10">
        <v>400000</v>
      </c>
      <c r="L998" s="10">
        <v>740000</v>
      </c>
      <c r="M998" s="353">
        <v>61666.666666666672</v>
      </c>
      <c r="N998" s="9">
        <v>247000</v>
      </c>
      <c r="O998" s="9">
        <v>740000</v>
      </c>
      <c r="P998" s="7">
        <v>0</v>
      </c>
      <c r="Q998" s="152">
        <v>45880</v>
      </c>
    </row>
    <row r="999" spans="1:17" ht="15.75" thickBot="1" x14ac:dyDescent="0.3">
      <c r="A999" s="4">
        <v>3289</v>
      </c>
      <c r="B999" s="2" t="s">
        <v>727</v>
      </c>
      <c r="C999" s="2"/>
      <c r="D999" s="2"/>
      <c r="E999" s="3">
        <v>45853</v>
      </c>
      <c r="F999" s="3">
        <v>45359</v>
      </c>
      <c r="G999" s="4">
        <v>20</v>
      </c>
      <c r="H999" s="377" t="e">
        <v>#DIV/0!</v>
      </c>
      <c r="I999" s="377" t="e">
        <v>#DIV/0!</v>
      </c>
      <c r="J999" s="363" t="s">
        <v>550</v>
      </c>
      <c r="K999" s="10">
        <v>40000</v>
      </c>
      <c r="L999" s="10">
        <v>60000</v>
      </c>
      <c r="M999" s="8"/>
      <c r="N999" s="9">
        <v>60000</v>
      </c>
      <c r="O999" s="9">
        <v>60000</v>
      </c>
      <c r="P999" s="7">
        <v>0</v>
      </c>
      <c r="Q999" s="152">
        <v>45880</v>
      </c>
    </row>
    <row r="1000" spans="1:17" ht="15.75" thickBot="1" x14ac:dyDescent="0.3">
      <c r="A1000" s="4">
        <v>3300</v>
      </c>
      <c r="B1000" s="2" t="s">
        <v>727</v>
      </c>
      <c r="C1000" s="2"/>
      <c r="D1000" s="2"/>
      <c r="E1000" s="3">
        <v>45857</v>
      </c>
      <c r="F1000" s="3">
        <v>45359</v>
      </c>
      <c r="G1000" s="4">
        <v>20</v>
      </c>
      <c r="H1000" s="377" t="e">
        <v>#DIV/0!</v>
      </c>
      <c r="I1000" s="377" t="e">
        <v>#DIV/0!</v>
      </c>
      <c r="J1000" s="363" t="s">
        <v>550</v>
      </c>
      <c r="K1000" s="7">
        <v>40000</v>
      </c>
      <c r="L1000" s="7">
        <v>60000</v>
      </c>
      <c r="M1000" s="8"/>
      <c r="N1000" s="9">
        <v>60000</v>
      </c>
      <c r="O1000" s="9">
        <v>60000</v>
      </c>
      <c r="P1000" s="7">
        <v>0</v>
      </c>
      <c r="Q1000" s="152">
        <v>45880</v>
      </c>
    </row>
    <row r="1001" spans="1:17" ht="15.75" thickBot="1" x14ac:dyDescent="0.3">
      <c r="A1001" s="4">
        <v>3306</v>
      </c>
      <c r="B1001" s="2" t="s">
        <v>727</v>
      </c>
      <c r="C1001" s="2"/>
      <c r="D1001" s="2"/>
      <c r="E1001" s="3">
        <v>45860</v>
      </c>
      <c r="F1001" s="3">
        <v>45359</v>
      </c>
      <c r="G1001" s="4">
        <v>20</v>
      </c>
      <c r="H1001" s="377" t="e">
        <v>#DIV/0!</v>
      </c>
      <c r="I1001" s="377" t="e">
        <v>#DIV/0!</v>
      </c>
      <c r="J1001" s="363" t="s">
        <v>550</v>
      </c>
      <c r="K1001" s="7">
        <v>10000</v>
      </c>
      <c r="L1001" s="7">
        <v>15000</v>
      </c>
      <c r="M1001" s="8"/>
      <c r="N1001" s="9">
        <v>15000</v>
      </c>
      <c r="O1001" s="9">
        <v>15000</v>
      </c>
      <c r="P1001" s="7">
        <v>0</v>
      </c>
      <c r="Q1001" s="152">
        <v>45880</v>
      </c>
    </row>
    <row r="1002" spans="1:17" ht="15.75" thickBot="1" x14ac:dyDescent="0.3">
      <c r="A1002" s="4">
        <v>3311</v>
      </c>
      <c r="B1002" s="2" t="s">
        <v>727</v>
      </c>
      <c r="C1002" s="2"/>
      <c r="D1002" s="2"/>
      <c r="E1002" s="3">
        <v>45861</v>
      </c>
      <c r="F1002" s="3">
        <v>45359</v>
      </c>
      <c r="G1002" s="4">
        <v>20</v>
      </c>
      <c r="H1002" s="377" t="e">
        <v>#DIV/0!</v>
      </c>
      <c r="I1002" s="377" t="e">
        <v>#DIV/0!</v>
      </c>
      <c r="J1002" s="363" t="s">
        <v>550</v>
      </c>
      <c r="K1002" s="7">
        <v>10000</v>
      </c>
      <c r="L1002" s="7">
        <v>15000</v>
      </c>
      <c r="M1002" s="8"/>
      <c r="N1002" s="9">
        <v>15000</v>
      </c>
      <c r="O1002" s="9">
        <v>15000</v>
      </c>
      <c r="P1002" s="7">
        <v>0</v>
      </c>
      <c r="Q1002" s="152">
        <v>45880</v>
      </c>
    </row>
    <row r="1003" spans="1:17" ht="15.75" thickBot="1" x14ac:dyDescent="0.3">
      <c r="A1003" s="4">
        <v>3326</v>
      </c>
      <c r="B1003" s="2" t="s">
        <v>727</v>
      </c>
      <c r="C1003" s="2"/>
      <c r="D1003" s="2"/>
      <c r="E1003" s="3">
        <v>45868</v>
      </c>
      <c r="F1003" s="3">
        <v>45359</v>
      </c>
      <c r="G1003" s="4">
        <v>20</v>
      </c>
      <c r="H1003" s="377" t="e">
        <v>#DIV/0!</v>
      </c>
      <c r="I1003" s="377" t="e">
        <v>#DIV/0!</v>
      </c>
      <c r="J1003" s="363" t="s">
        <v>550</v>
      </c>
      <c r="K1003" s="7">
        <v>10000</v>
      </c>
      <c r="L1003" s="7">
        <v>15000</v>
      </c>
      <c r="M1003" s="8"/>
      <c r="N1003" s="9">
        <v>15000</v>
      </c>
      <c r="O1003" s="9">
        <v>15000</v>
      </c>
      <c r="P1003" s="7">
        <v>0</v>
      </c>
      <c r="Q1003" s="152">
        <v>45880</v>
      </c>
    </row>
    <row r="1004" spans="1:17" ht="15.75" thickBot="1" x14ac:dyDescent="0.3">
      <c r="A1004" s="372">
        <v>3336</v>
      </c>
      <c r="B1004" s="2" t="s">
        <v>727</v>
      </c>
      <c r="C1004" s="2"/>
      <c r="D1004" s="2"/>
      <c r="E1004" s="3">
        <v>45877</v>
      </c>
      <c r="F1004" s="3">
        <v>45884</v>
      </c>
      <c r="G1004" s="4">
        <v>5</v>
      </c>
      <c r="H1004" s="377" t="e">
        <v>#DIV/0!</v>
      </c>
      <c r="I1004" s="377" t="e">
        <v>#DIV/0!</v>
      </c>
      <c r="J1004" s="363" t="s">
        <v>550</v>
      </c>
      <c r="K1004" s="7">
        <v>10000</v>
      </c>
      <c r="L1004" s="7">
        <v>15000</v>
      </c>
      <c r="M1004" s="8"/>
      <c r="N1004" s="9">
        <v>15000</v>
      </c>
      <c r="O1004" s="9">
        <v>15000</v>
      </c>
      <c r="P1004" s="7">
        <v>0</v>
      </c>
      <c r="Q1004" s="152">
        <v>45880</v>
      </c>
    </row>
    <row r="1005" spans="1:17" ht="15.75" thickBot="1" x14ac:dyDescent="0.3">
      <c r="A1005" s="372">
        <v>3350</v>
      </c>
      <c r="B1005" s="2" t="s">
        <v>727</v>
      </c>
      <c r="C1005" s="27"/>
      <c r="D1005" s="2"/>
      <c r="E1005" s="3">
        <v>45884</v>
      </c>
      <c r="F1005" s="3">
        <v>45891</v>
      </c>
      <c r="G1005" s="4">
        <v>5</v>
      </c>
      <c r="H1005" s="377" t="e">
        <v>#VALUE!</v>
      </c>
      <c r="I1005" s="377" t="e">
        <v>#VALUE!</v>
      </c>
      <c r="J1005" s="355" t="s">
        <v>368</v>
      </c>
      <c r="K1005" s="10">
        <v>10000</v>
      </c>
      <c r="L1005" s="10">
        <v>15500</v>
      </c>
      <c r="M1005" s="8" t="s">
        <v>143</v>
      </c>
      <c r="N1005" s="9">
        <v>15500</v>
      </c>
      <c r="O1005" s="9">
        <v>15500</v>
      </c>
      <c r="P1005" s="7">
        <v>0</v>
      </c>
      <c r="Q1005" s="152">
        <v>45880</v>
      </c>
    </row>
    <row r="1006" spans="1:17" ht="29.25" thickBot="1" x14ac:dyDescent="0.3">
      <c r="A1006" s="4">
        <v>3182</v>
      </c>
      <c r="B1006" s="27" t="s">
        <v>1207</v>
      </c>
      <c r="C1006" s="27" t="s">
        <v>1208</v>
      </c>
      <c r="D1006" s="2"/>
      <c r="E1006" s="3">
        <v>45785</v>
      </c>
      <c r="F1006" s="3">
        <v>45897</v>
      </c>
      <c r="G1006" s="4">
        <v>80</v>
      </c>
      <c r="H1006" s="377">
        <v>80</v>
      </c>
      <c r="I1006" s="377">
        <v>0</v>
      </c>
      <c r="J1006" s="355" t="s">
        <v>981</v>
      </c>
      <c r="K1006" s="10">
        <v>200000</v>
      </c>
      <c r="L1006" s="10">
        <v>432000</v>
      </c>
      <c r="M1006" s="8">
        <v>27000</v>
      </c>
      <c r="N1006" s="9">
        <v>100000</v>
      </c>
      <c r="O1006" s="9">
        <v>432000</v>
      </c>
      <c r="P1006" s="7">
        <v>0</v>
      </c>
      <c r="Q1006" s="152">
        <v>45887</v>
      </c>
    </row>
    <row r="1007" spans="1:17" ht="20.25" thickBot="1" x14ac:dyDescent="0.3">
      <c r="A1007" s="1">
        <v>3181</v>
      </c>
      <c r="B1007" s="27" t="s">
        <v>242</v>
      </c>
      <c r="C1007" s="27" t="s">
        <v>243</v>
      </c>
      <c r="D1007" s="2"/>
      <c r="E1007" s="3">
        <v>45783</v>
      </c>
      <c r="F1007" s="3">
        <v>45895</v>
      </c>
      <c r="G1007" s="4">
        <v>80</v>
      </c>
      <c r="H1007" s="377">
        <v>80</v>
      </c>
      <c r="I1007" s="377">
        <v>0</v>
      </c>
      <c r="J1007" s="355" t="s">
        <v>759</v>
      </c>
      <c r="K1007" s="7">
        <v>20000</v>
      </c>
      <c r="L1007" s="7">
        <v>43200</v>
      </c>
      <c r="M1007" s="8">
        <v>2700</v>
      </c>
      <c r="N1007" s="9">
        <v>10800</v>
      </c>
      <c r="O1007" s="9">
        <v>43200</v>
      </c>
      <c r="P1007" s="10">
        <v>0</v>
      </c>
      <c r="Q1007" s="152">
        <v>45887</v>
      </c>
    </row>
    <row r="1008" spans="1:17" ht="20.25" thickBot="1" x14ac:dyDescent="0.3">
      <c r="A1008" s="1">
        <v>3195</v>
      </c>
      <c r="B1008" s="27" t="s">
        <v>242</v>
      </c>
      <c r="C1008" s="27" t="s">
        <v>243</v>
      </c>
      <c r="D1008" s="2"/>
      <c r="E1008" s="3">
        <v>45792</v>
      </c>
      <c r="F1008" s="3">
        <v>45904</v>
      </c>
      <c r="G1008" s="4">
        <v>80</v>
      </c>
      <c r="H1008" s="377">
        <v>80</v>
      </c>
      <c r="I1008" s="377">
        <v>0</v>
      </c>
      <c r="J1008" s="355" t="s">
        <v>759</v>
      </c>
      <c r="K1008" s="7">
        <v>20000</v>
      </c>
      <c r="L1008" s="7">
        <v>43200</v>
      </c>
      <c r="M1008" s="8">
        <v>2700</v>
      </c>
      <c r="N1008" s="9">
        <v>10800</v>
      </c>
      <c r="O1008" s="9">
        <v>43200</v>
      </c>
      <c r="P1008" s="10">
        <v>0</v>
      </c>
      <c r="Q1008" s="152">
        <v>45887</v>
      </c>
    </row>
    <row r="1009" spans="1:17" ht="15.75" thickBot="1" x14ac:dyDescent="0.3">
      <c r="A1009" s="1">
        <v>3156</v>
      </c>
      <c r="B1009" s="27" t="s">
        <v>261</v>
      </c>
      <c r="C1009" s="27"/>
      <c r="D1009" s="2"/>
      <c r="E1009" s="3">
        <v>45766</v>
      </c>
      <c r="F1009" s="3">
        <v>45863</v>
      </c>
      <c r="G1009" s="4">
        <v>70</v>
      </c>
      <c r="H1009" s="377">
        <v>70.058327932598829</v>
      </c>
      <c r="I1009" s="377">
        <v>-5.8327932598828625E-2</v>
      </c>
      <c r="J1009" s="192" t="s">
        <v>1194</v>
      </c>
      <c r="K1009" s="7">
        <v>50000</v>
      </c>
      <c r="L1009" s="7">
        <v>108010</v>
      </c>
      <c r="M1009" s="21">
        <v>7715</v>
      </c>
      <c r="N1009" s="9">
        <v>16500</v>
      </c>
      <c r="O1009" s="9">
        <v>108100</v>
      </c>
      <c r="P1009" s="10">
        <v>-90</v>
      </c>
      <c r="Q1009" s="152">
        <v>45887</v>
      </c>
    </row>
    <row r="1010" spans="1:17" ht="29.25" thickBot="1" x14ac:dyDescent="0.3">
      <c r="A1010" s="1">
        <v>3143</v>
      </c>
      <c r="B1010" s="27" t="s">
        <v>296</v>
      </c>
      <c r="C1010" s="27" t="s">
        <v>297</v>
      </c>
      <c r="D1010" s="2">
        <v>13589728</v>
      </c>
      <c r="E1010" s="3">
        <v>45754</v>
      </c>
      <c r="F1010" s="3">
        <v>45866</v>
      </c>
      <c r="G1010" s="4">
        <v>80</v>
      </c>
      <c r="H1010" s="377">
        <v>80</v>
      </c>
      <c r="I1010" s="377">
        <v>0</v>
      </c>
      <c r="J1010" s="355" t="s">
        <v>409</v>
      </c>
      <c r="K1010" s="19">
        <v>50000</v>
      </c>
      <c r="L1010" s="7">
        <v>108000</v>
      </c>
      <c r="M1010" s="8">
        <v>6750</v>
      </c>
      <c r="N1010" s="9">
        <v>27000</v>
      </c>
      <c r="O1010" s="9">
        <v>108000</v>
      </c>
      <c r="P1010" s="10">
        <v>0</v>
      </c>
      <c r="Q1010" s="152">
        <v>45887</v>
      </c>
    </row>
    <row r="1011" spans="1:17" ht="24" thickBot="1" x14ac:dyDescent="0.3">
      <c r="A1011" s="17">
        <v>3338</v>
      </c>
      <c r="B1011" s="2" t="s">
        <v>707</v>
      </c>
      <c r="C1011" s="2"/>
      <c r="D1011" s="2"/>
      <c r="E1011" s="3">
        <v>45877</v>
      </c>
      <c r="F1011" s="3">
        <v>45777</v>
      </c>
      <c r="G1011" s="4">
        <v>5</v>
      </c>
      <c r="H1011" s="377" t="e">
        <v>#DIV/0!</v>
      </c>
      <c r="I1011" s="377" t="e">
        <v>#DIV/0!</v>
      </c>
      <c r="J1011" s="2" t="s">
        <v>403</v>
      </c>
      <c r="K1011" s="10">
        <v>100000</v>
      </c>
      <c r="L1011" s="10">
        <v>130000</v>
      </c>
      <c r="M1011" s="8"/>
      <c r="N1011" s="9">
        <v>130000</v>
      </c>
      <c r="O1011" s="9">
        <v>130000</v>
      </c>
      <c r="P1011" s="7">
        <v>0</v>
      </c>
      <c r="Q1011" s="152">
        <v>45887</v>
      </c>
    </row>
    <row r="1012" spans="1:17" ht="24" thickBot="1" x14ac:dyDescent="0.3">
      <c r="A1012" s="17">
        <v>3339</v>
      </c>
      <c r="B1012" s="2" t="s">
        <v>707</v>
      </c>
      <c r="C1012" s="2"/>
      <c r="D1012" s="2"/>
      <c r="E1012" s="3">
        <v>45877</v>
      </c>
      <c r="F1012" s="3">
        <v>45777</v>
      </c>
      <c r="G1012" s="4">
        <v>5</v>
      </c>
      <c r="H1012" s="377" t="e">
        <v>#DIV/0!</v>
      </c>
      <c r="I1012" s="377" t="e">
        <v>#DIV/0!</v>
      </c>
      <c r="J1012" s="2" t="s">
        <v>403</v>
      </c>
      <c r="K1012" s="7">
        <v>130000</v>
      </c>
      <c r="L1012" s="7">
        <v>169000</v>
      </c>
      <c r="M1012" s="8"/>
      <c r="N1012" s="9">
        <v>169000</v>
      </c>
      <c r="O1012" s="9">
        <v>169000</v>
      </c>
      <c r="P1012" s="7">
        <v>0</v>
      </c>
      <c r="Q1012" s="152">
        <v>45887</v>
      </c>
    </row>
    <row r="1013" spans="1:17" ht="38.25" thickBot="1" x14ac:dyDescent="0.3">
      <c r="A1013" s="25">
        <v>2979</v>
      </c>
      <c r="B1013" s="27" t="s">
        <v>316</v>
      </c>
      <c r="C1013" s="27" t="s">
        <v>317</v>
      </c>
      <c r="D1013" s="2"/>
      <c r="E1013" s="3">
        <v>45656</v>
      </c>
      <c r="F1013" s="3">
        <v>45756</v>
      </c>
      <c r="G1013" s="4">
        <v>72</v>
      </c>
      <c r="H1013" s="377">
        <v>72.083333333333329</v>
      </c>
      <c r="I1013" s="377">
        <v>-8.3333333333328596E-2</v>
      </c>
      <c r="J1013" s="155" t="s">
        <v>182</v>
      </c>
      <c r="K1013" s="22">
        <v>20000</v>
      </c>
      <c r="L1013" s="10">
        <v>43200</v>
      </c>
      <c r="M1013" s="8">
        <v>3000</v>
      </c>
      <c r="N1013" s="9">
        <v>8000</v>
      </c>
      <c r="O1013" s="9">
        <v>43250</v>
      </c>
      <c r="P1013" s="7">
        <v>-50</v>
      </c>
      <c r="Q1013" s="152">
        <v>45887</v>
      </c>
    </row>
    <row r="1014" spans="1:17" ht="29.25" thickBot="1" x14ac:dyDescent="0.3">
      <c r="A1014" s="1">
        <v>3137</v>
      </c>
      <c r="B1014" s="27" t="s">
        <v>416</v>
      </c>
      <c r="C1014" s="27" t="s">
        <v>417</v>
      </c>
      <c r="D1014" s="28"/>
      <c r="E1014" s="3">
        <v>45749</v>
      </c>
      <c r="F1014" s="3">
        <v>45847</v>
      </c>
      <c r="G1014" s="4">
        <v>70</v>
      </c>
      <c r="H1014" s="377">
        <v>70.001512345679018</v>
      </c>
      <c r="I1014" s="377">
        <v>-1.5123456790178125E-3</v>
      </c>
      <c r="J1014" s="192" t="s">
        <v>418</v>
      </c>
      <c r="K1014" s="7">
        <v>300000</v>
      </c>
      <c r="L1014" s="7">
        <v>648000</v>
      </c>
      <c r="M1014" s="8">
        <v>46285.714285714283</v>
      </c>
      <c r="N1014" s="9">
        <v>92500</v>
      </c>
      <c r="O1014" s="9">
        <v>648014</v>
      </c>
      <c r="P1014" s="7">
        <v>-14</v>
      </c>
      <c r="Q1014" s="152">
        <v>45887</v>
      </c>
    </row>
    <row r="1015" spans="1:17" ht="20.25" thickBot="1" x14ac:dyDescent="0.3">
      <c r="A1015" s="4">
        <v>3171</v>
      </c>
      <c r="B1015" s="27" t="s">
        <v>1200</v>
      </c>
      <c r="C1015" s="27" t="s">
        <v>430</v>
      </c>
      <c r="D1015" s="2"/>
      <c r="E1015" s="3">
        <v>45775</v>
      </c>
      <c r="F1015" s="3">
        <v>45875</v>
      </c>
      <c r="G1015" s="4">
        <v>72</v>
      </c>
      <c r="H1015" s="377">
        <v>77.5</v>
      </c>
      <c r="I1015" s="377">
        <v>-5.5</v>
      </c>
      <c r="J1015" s="155" t="s">
        <v>165</v>
      </c>
      <c r="K1015" s="19">
        <v>200000</v>
      </c>
      <c r="L1015" s="7">
        <v>432000</v>
      </c>
      <c r="M1015" s="8">
        <v>30000</v>
      </c>
      <c r="N1015" s="9">
        <v>15000</v>
      </c>
      <c r="O1015" s="9">
        <v>465000</v>
      </c>
      <c r="P1015" s="7">
        <v>-33000</v>
      </c>
      <c r="Q1015" s="152">
        <v>45887</v>
      </c>
    </row>
    <row r="1016" spans="1:17" ht="20.25" thickBot="1" x14ac:dyDescent="0.3">
      <c r="A1016" s="4">
        <v>3209</v>
      </c>
      <c r="B1016" s="27" t="s">
        <v>1200</v>
      </c>
      <c r="C1016" s="27" t="s">
        <v>430</v>
      </c>
      <c r="D1016" s="2"/>
      <c r="E1016" s="3">
        <v>45799</v>
      </c>
      <c r="F1016" s="3">
        <v>45901</v>
      </c>
      <c r="G1016" s="4">
        <v>72</v>
      </c>
      <c r="H1016" s="377">
        <v>72</v>
      </c>
      <c r="I1016" s="377">
        <v>0</v>
      </c>
      <c r="J1016" s="155" t="s">
        <v>161</v>
      </c>
      <c r="K1016" s="7">
        <v>100000</v>
      </c>
      <c r="L1016" s="7">
        <v>216000</v>
      </c>
      <c r="M1016" s="21">
        <v>15000</v>
      </c>
      <c r="N1016" s="9">
        <v>51000</v>
      </c>
      <c r="O1016" s="9">
        <v>216000</v>
      </c>
      <c r="P1016" s="7">
        <v>0</v>
      </c>
      <c r="Q1016" s="152">
        <v>45887</v>
      </c>
    </row>
    <row r="1017" spans="1:17" ht="20.25" thickBot="1" x14ac:dyDescent="0.3">
      <c r="A1017" s="4">
        <v>3319</v>
      </c>
      <c r="B1017" s="27" t="s">
        <v>1200</v>
      </c>
      <c r="C1017" s="27" t="s">
        <v>430</v>
      </c>
      <c r="D1017" s="2"/>
      <c r="E1017" s="3">
        <v>45864</v>
      </c>
      <c r="F1017" s="3">
        <v>45889</v>
      </c>
      <c r="G1017" s="4">
        <v>18</v>
      </c>
      <c r="H1017" s="377" t="e">
        <v>#DIV/0!</v>
      </c>
      <c r="I1017" s="377" t="e">
        <v>#DIV/0!</v>
      </c>
      <c r="J1017" s="355" t="s">
        <v>403</v>
      </c>
      <c r="K1017" s="7">
        <v>250000</v>
      </c>
      <c r="L1017" s="7">
        <v>350000</v>
      </c>
      <c r="M1017" s="8"/>
      <c r="N1017" s="9">
        <v>350000</v>
      </c>
      <c r="O1017" s="9">
        <v>350000</v>
      </c>
      <c r="P1017" s="7">
        <v>0</v>
      </c>
      <c r="Q1017" s="152">
        <v>45887</v>
      </c>
    </row>
    <row r="1018" spans="1:17" ht="29.25" thickBot="1" x14ac:dyDescent="0.3">
      <c r="A1018" s="4">
        <v>3215</v>
      </c>
      <c r="B1018" s="27" t="s">
        <v>930</v>
      </c>
      <c r="C1018" s="27"/>
      <c r="D1018" s="28"/>
      <c r="E1018" s="3">
        <v>45803</v>
      </c>
      <c r="F1018" s="3">
        <v>45901</v>
      </c>
      <c r="G1018" s="4">
        <v>70</v>
      </c>
      <c r="H1018" s="377">
        <v>70</v>
      </c>
      <c r="I1018" s="377">
        <v>0</v>
      </c>
      <c r="J1018" s="16" t="s">
        <v>1227</v>
      </c>
      <c r="K1018" s="7">
        <v>100000</v>
      </c>
      <c r="L1018" s="7">
        <v>217000</v>
      </c>
      <c r="M1018" s="8">
        <v>15500</v>
      </c>
      <c r="N1018" s="9">
        <v>93000</v>
      </c>
      <c r="O1018" s="9">
        <v>217000</v>
      </c>
      <c r="P1018" s="7">
        <v>0</v>
      </c>
      <c r="Q1018" s="152">
        <v>45887</v>
      </c>
    </row>
    <row r="1019" spans="1:17" ht="29.25" thickBot="1" x14ac:dyDescent="0.3">
      <c r="A1019" s="4">
        <v>3218</v>
      </c>
      <c r="B1019" s="27" t="s">
        <v>156</v>
      </c>
      <c r="C1019" s="27" t="s">
        <v>157</v>
      </c>
      <c r="D1019" s="2"/>
      <c r="E1019" s="3">
        <v>45805</v>
      </c>
      <c r="F1019" s="3">
        <v>45905</v>
      </c>
      <c r="G1019" s="4">
        <v>72</v>
      </c>
      <c r="H1019" s="377">
        <v>72</v>
      </c>
      <c r="I1019" s="377">
        <v>0</v>
      </c>
      <c r="J1019" s="155" t="s">
        <v>165</v>
      </c>
      <c r="K1019" s="7">
        <v>200000</v>
      </c>
      <c r="L1019" s="7">
        <v>432000</v>
      </c>
      <c r="M1019" s="8">
        <v>30000</v>
      </c>
      <c r="N1019" s="9">
        <v>154000</v>
      </c>
      <c r="O1019" s="9">
        <v>432000</v>
      </c>
      <c r="P1019" s="7">
        <v>0</v>
      </c>
      <c r="Q1019" s="152">
        <v>45894</v>
      </c>
    </row>
    <row r="1020" spans="1:17" ht="20.25" thickBot="1" x14ac:dyDescent="0.3">
      <c r="A1020" s="1">
        <v>3225</v>
      </c>
      <c r="B1020" s="27" t="s">
        <v>1245</v>
      </c>
      <c r="C1020" s="27" t="s">
        <v>160</v>
      </c>
      <c r="D1020" s="2"/>
      <c r="E1020" s="3">
        <v>45808</v>
      </c>
      <c r="F1020" s="3">
        <v>45909</v>
      </c>
      <c r="G1020" s="4">
        <v>72</v>
      </c>
      <c r="H1020" s="377">
        <v>72</v>
      </c>
      <c r="I1020" s="377">
        <v>0</v>
      </c>
      <c r="J1020" s="155" t="s">
        <v>162</v>
      </c>
      <c r="K1020" s="7">
        <v>60000</v>
      </c>
      <c r="L1020" s="7">
        <v>129600</v>
      </c>
      <c r="M1020" s="8">
        <v>9000</v>
      </c>
      <c r="N1020" s="9">
        <v>6600</v>
      </c>
      <c r="O1020" s="9">
        <v>129600</v>
      </c>
      <c r="P1020" s="10">
        <v>0</v>
      </c>
      <c r="Q1020" s="152">
        <v>45894</v>
      </c>
    </row>
    <row r="1021" spans="1:17" ht="29.25" thickBot="1" x14ac:dyDescent="0.3">
      <c r="A1021" s="1">
        <v>3190</v>
      </c>
      <c r="B1021" s="27" t="s">
        <v>186</v>
      </c>
      <c r="C1021" s="27" t="s">
        <v>187</v>
      </c>
      <c r="D1021" s="2"/>
      <c r="E1021" s="3">
        <v>45790</v>
      </c>
      <c r="F1021" s="3">
        <v>45890</v>
      </c>
      <c r="G1021" s="4">
        <v>72</v>
      </c>
      <c r="H1021" s="377">
        <v>72</v>
      </c>
      <c r="I1021" s="377">
        <v>0</v>
      </c>
      <c r="J1021" s="155" t="s">
        <v>165</v>
      </c>
      <c r="K1021" s="20">
        <v>200000</v>
      </c>
      <c r="L1021" s="7">
        <v>432000</v>
      </c>
      <c r="M1021" s="8">
        <v>30000</v>
      </c>
      <c r="N1021" s="9">
        <v>22000</v>
      </c>
      <c r="O1021" s="9">
        <v>432000</v>
      </c>
      <c r="P1021" s="10">
        <v>0</v>
      </c>
      <c r="Q1021" s="152">
        <v>45894</v>
      </c>
    </row>
    <row r="1022" spans="1:17" ht="38.25" thickBot="1" x14ac:dyDescent="0.3">
      <c r="A1022" s="1">
        <v>2717</v>
      </c>
      <c r="B1022" s="27" t="s">
        <v>1238</v>
      </c>
      <c r="C1022" s="27" t="s">
        <v>322</v>
      </c>
      <c r="D1022" s="2"/>
      <c r="E1022" s="3">
        <v>45490</v>
      </c>
      <c r="F1022" s="3">
        <v>45658</v>
      </c>
      <c r="G1022" s="4">
        <v>120</v>
      </c>
      <c r="H1022" s="377">
        <v>133.03636363636363</v>
      </c>
      <c r="I1022" s="377">
        <v>-13.036363636363632</v>
      </c>
      <c r="J1022" s="355" t="s">
        <v>323</v>
      </c>
      <c r="K1022" s="7">
        <v>150000</v>
      </c>
      <c r="L1022" s="7">
        <v>396000</v>
      </c>
      <c r="M1022" s="8">
        <v>16500</v>
      </c>
      <c r="N1022" s="9">
        <v>40000</v>
      </c>
      <c r="O1022" s="9">
        <v>439020</v>
      </c>
      <c r="P1022" s="10">
        <v>-43020</v>
      </c>
      <c r="Q1022" s="152">
        <v>45894</v>
      </c>
    </row>
    <row r="1023" spans="1:17" ht="24" thickBot="1" x14ac:dyDescent="0.3">
      <c r="A1023" s="17">
        <v>3366</v>
      </c>
      <c r="B1023" s="2" t="s">
        <v>707</v>
      </c>
      <c r="C1023" s="2"/>
      <c r="D1023" s="2"/>
      <c r="E1023" s="3">
        <v>45894</v>
      </c>
      <c r="F1023" s="3">
        <v>45777</v>
      </c>
      <c r="G1023" s="4">
        <v>5</v>
      </c>
      <c r="H1023" s="377" t="e">
        <v>#DIV/0!</v>
      </c>
      <c r="I1023" s="377" t="e">
        <v>#DIV/0!</v>
      </c>
      <c r="J1023" s="2" t="s">
        <v>403</v>
      </c>
      <c r="K1023" s="22">
        <v>300000</v>
      </c>
      <c r="L1023" s="10">
        <v>390000</v>
      </c>
      <c r="M1023" s="8"/>
      <c r="N1023" s="9">
        <v>390000</v>
      </c>
      <c r="O1023" s="9">
        <v>390000</v>
      </c>
      <c r="P1023" s="7">
        <v>0</v>
      </c>
      <c r="Q1023" s="152">
        <v>45894</v>
      </c>
    </row>
    <row r="1024" spans="1:17" ht="29.25" thickBot="1" x14ac:dyDescent="0.3">
      <c r="A1024" s="4">
        <v>3254</v>
      </c>
      <c r="B1024" s="27" t="s">
        <v>169</v>
      </c>
      <c r="C1024" s="27" t="s">
        <v>170</v>
      </c>
      <c r="D1024" s="2">
        <v>27252034574</v>
      </c>
      <c r="E1024" s="3">
        <v>45828</v>
      </c>
      <c r="F1024" s="3">
        <v>45884</v>
      </c>
      <c r="G1024" s="4">
        <v>40</v>
      </c>
      <c r="H1024" s="377">
        <v>40</v>
      </c>
      <c r="I1024" s="377">
        <v>0</v>
      </c>
      <c r="J1024" s="155" t="s">
        <v>1261</v>
      </c>
      <c r="K1024" s="7">
        <v>100000</v>
      </c>
      <c r="L1024" s="7">
        <v>180000</v>
      </c>
      <c r="M1024" s="8">
        <v>22500</v>
      </c>
      <c r="N1024" s="9">
        <v>22500</v>
      </c>
      <c r="O1024" s="9">
        <v>180000</v>
      </c>
      <c r="P1024" s="7">
        <v>0</v>
      </c>
      <c r="Q1024" s="152">
        <v>45901</v>
      </c>
    </row>
    <row r="1025" spans="1:17" ht="46.5" thickBot="1" x14ac:dyDescent="0.3">
      <c r="A1025" s="1">
        <v>3365</v>
      </c>
      <c r="B1025" s="27" t="s">
        <v>172</v>
      </c>
      <c r="C1025" s="27" t="s">
        <v>173</v>
      </c>
      <c r="D1025" s="2" t="s">
        <v>174</v>
      </c>
      <c r="E1025" s="3">
        <v>45892</v>
      </c>
      <c r="F1025" s="3">
        <v>45902</v>
      </c>
      <c r="G1025" s="4">
        <v>7</v>
      </c>
      <c r="H1025" s="377" t="e">
        <v>#DIV/0!</v>
      </c>
      <c r="I1025" s="377" t="e">
        <v>#DIV/0!</v>
      </c>
      <c r="J1025" s="355" t="s">
        <v>1314</v>
      </c>
      <c r="K1025" s="7">
        <v>50000</v>
      </c>
      <c r="L1025" s="7">
        <v>70000</v>
      </c>
      <c r="M1025" s="8"/>
      <c r="N1025" s="9">
        <v>70000</v>
      </c>
      <c r="O1025" s="9">
        <v>70000</v>
      </c>
      <c r="P1025" s="10">
        <v>0</v>
      </c>
      <c r="Q1025" s="152">
        <v>45901</v>
      </c>
    </row>
    <row r="1026" spans="1:17" ht="29.25" thickBot="1" x14ac:dyDescent="0.3">
      <c r="A1026" s="1">
        <v>3169</v>
      </c>
      <c r="B1026" s="27" t="s">
        <v>385</v>
      </c>
      <c r="C1026" s="27" t="s">
        <v>386</v>
      </c>
      <c r="D1026" s="2"/>
      <c r="E1026" s="3">
        <v>45772</v>
      </c>
      <c r="F1026" s="3">
        <v>45874</v>
      </c>
      <c r="G1026" s="4">
        <v>72</v>
      </c>
      <c r="H1026" s="377">
        <v>72</v>
      </c>
      <c r="I1026" s="377">
        <v>0</v>
      </c>
      <c r="J1026" s="155" t="s">
        <v>227</v>
      </c>
      <c r="K1026" s="10">
        <v>50000</v>
      </c>
      <c r="L1026" s="10">
        <v>108000</v>
      </c>
      <c r="M1026" s="8">
        <v>7500</v>
      </c>
      <c r="N1026" s="9">
        <v>29500</v>
      </c>
      <c r="O1026" s="9">
        <v>108000</v>
      </c>
      <c r="P1026" s="10">
        <v>0</v>
      </c>
      <c r="Q1026" s="152">
        <v>45901</v>
      </c>
    </row>
    <row r="1027" spans="1:17" ht="56.25" thickBot="1" x14ac:dyDescent="0.3">
      <c r="A1027" s="4">
        <v>3179</v>
      </c>
      <c r="B1027" s="27" t="s">
        <v>201</v>
      </c>
      <c r="C1027" s="27" t="s">
        <v>202</v>
      </c>
      <c r="D1027" s="2">
        <v>20386454729</v>
      </c>
      <c r="E1027" s="3">
        <v>45780</v>
      </c>
      <c r="F1027" s="3">
        <f>WORKDAY(E1027,G1027)</f>
        <v>45891</v>
      </c>
      <c r="G1027" s="4">
        <v>80</v>
      </c>
      <c r="H1027" s="377">
        <f>(FG1027* 5)/M1027</f>
        <v>0</v>
      </c>
      <c r="I1027" s="377">
        <f>G1027-H1027</f>
        <v>80</v>
      </c>
      <c r="J1027" s="355" t="s">
        <v>273</v>
      </c>
      <c r="K1027" s="10">
        <v>100000</v>
      </c>
      <c r="L1027" s="10">
        <v>216000</v>
      </c>
      <c r="M1027" s="8">
        <f>(L1027/G1027)*5</f>
        <v>13500</v>
      </c>
      <c r="N1027" s="9">
        <v>54000</v>
      </c>
      <c r="O1027" s="9">
        <v>216000</v>
      </c>
      <c r="P1027" s="7">
        <v>0</v>
      </c>
      <c r="Q1027" s="152">
        <v>45901</v>
      </c>
    </row>
    <row r="1028" spans="1:17" ht="20.25" thickBot="1" x14ac:dyDescent="0.3">
      <c r="A1028" s="1">
        <v>3370</v>
      </c>
      <c r="B1028" s="27" t="s">
        <v>275</v>
      </c>
      <c r="C1028" s="27" t="s">
        <v>243</v>
      </c>
      <c r="D1028" s="2"/>
      <c r="E1028" s="3">
        <v>45897</v>
      </c>
      <c r="F1028" s="3">
        <f>WORKDAY(E1028,G1028)</f>
        <v>45911</v>
      </c>
      <c r="G1028" s="4">
        <v>10</v>
      </c>
      <c r="H1028" s="377" t="e">
        <f>(FH1028* 5)/M1028</f>
        <v>#VALUE!</v>
      </c>
      <c r="I1028" s="377" t="e">
        <f>G1028-H1028</f>
        <v>#VALUE!</v>
      </c>
      <c r="J1028" s="355" t="s">
        <v>368</v>
      </c>
      <c r="K1028" s="7">
        <v>80000</v>
      </c>
      <c r="L1028" s="7">
        <v>120000</v>
      </c>
      <c r="M1028" s="8" t="s">
        <v>143</v>
      </c>
      <c r="N1028" s="9">
        <v>120000</v>
      </c>
      <c r="O1028" s="9"/>
      <c r="P1028" s="43">
        <f>SUM(N1028:O1028)</f>
        <v>120000</v>
      </c>
      <c r="Q1028" s="152">
        <v>45901</v>
      </c>
    </row>
    <row r="1029" spans="1:17" ht="56.25" thickBot="1" x14ac:dyDescent="0.3">
      <c r="A1029" s="1">
        <v>3191</v>
      </c>
      <c r="B1029" s="27" t="s">
        <v>144</v>
      </c>
      <c r="C1029" s="27" t="s">
        <v>145</v>
      </c>
      <c r="D1029" s="2"/>
      <c r="E1029" s="3">
        <v>45790</v>
      </c>
      <c r="F1029" s="3">
        <v>45902</v>
      </c>
      <c r="G1029" s="4">
        <v>80</v>
      </c>
      <c r="H1029" s="377">
        <v>80</v>
      </c>
      <c r="I1029" s="377">
        <v>0</v>
      </c>
      <c r="J1029" s="355" t="s">
        <v>306</v>
      </c>
      <c r="K1029" s="10">
        <v>100000</v>
      </c>
      <c r="L1029" s="10">
        <v>216000</v>
      </c>
      <c r="M1029" s="8">
        <v>13500</v>
      </c>
      <c r="N1029" s="9">
        <v>54000</v>
      </c>
      <c r="O1029" s="9">
        <v>216000</v>
      </c>
      <c r="P1029" s="7">
        <v>0</v>
      </c>
      <c r="Q1029" s="152">
        <v>45908</v>
      </c>
    </row>
    <row r="1030" spans="1:17" ht="47.25" thickBot="1" x14ac:dyDescent="0.3">
      <c r="A1030" s="1">
        <v>3096</v>
      </c>
      <c r="B1030" s="27" t="s">
        <v>146</v>
      </c>
      <c r="C1030" s="27" t="s">
        <v>147</v>
      </c>
      <c r="D1030" s="2"/>
      <c r="E1030" s="3">
        <v>45724</v>
      </c>
      <c r="F1030" s="3">
        <v>45891</v>
      </c>
      <c r="G1030" s="4">
        <v>120</v>
      </c>
      <c r="H1030" s="377">
        <v>120</v>
      </c>
      <c r="I1030" s="377">
        <v>0</v>
      </c>
      <c r="J1030" s="355" t="s">
        <v>150</v>
      </c>
      <c r="K1030" s="7">
        <v>60000</v>
      </c>
      <c r="L1030" s="7">
        <v>158400</v>
      </c>
      <c r="M1030" s="14">
        <v>6600</v>
      </c>
      <c r="N1030" s="9">
        <v>36400</v>
      </c>
      <c r="O1030" s="9">
        <v>158400</v>
      </c>
      <c r="P1030" s="10">
        <v>0</v>
      </c>
      <c r="Q1030" s="152">
        <v>45908</v>
      </c>
    </row>
    <row r="1031" spans="1:17" ht="29.25" thickBot="1" x14ac:dyDescent="0.3">
      <c r="A1031" s="1">
        <v>3100</v>
      </c>
      <c r="B1031" s="27" t="s">
        <v>151</v>
      </c>
      <c r="C1031" s="27" t="s">
        <v>152</v>
      </c>
      <c r="D1031" s="2"/>
      <c r="E1031" s="3">
        <v>45726</v>
      </c>
      <c r="F1031" s="3">
        <v>45894</v>
      </c>
      <c r="G1031" s="4">
        <v>120</v>
      </c>
      <c r="H1031" s="377">
        <v>120</v>
      </c>
      <c r="I1031" s="377">
        <v>0</v>
      </c>
      <c r="J1031" s="355" t="s">
        <v>155</v>
      </c>
      <c r="K1031" s="15">
        <v>60000</v>
      </c>
      <c r="L1031" s="7">
        <v>158400</v>
      </c>
      <c r="M1031" s="8">
        <v>6600</v>
      </c>
      <c r="N1031" s="9">
        <v>26400</v>
      </c>
      <c r="O1031" s="9">
        <v>158400</v>
      </c>
      <c r="P1031" s="10">
        <v>0</v>
      </c>
      <c r="Q1031" s="152">
        <v>45908</v>
      </c>
    </row>
    <row r="1032" spans="1:17" ht="29.25" thickBot="1" x14ac:dyDescent="0.3">
      <c r="A1032" s="1">
        <v>3187</v>
      </c>
      <c r="B1032" s="27" t="s">
        <v>151</v>
      </c>
      <c r="C1032" s="27" t="s">
        <v>152</v>
      </c>
      <c r="D1032" s="2"/>
      <c r="E1032" s="3">
        <v>45786</v>
      </c>
      <c r="F1032" s="3">
        <v>45898</v>
      </c>
      <c r="G1032" s="4">
        <v>80</v>
      </c>
      <c r="H1032" s="377">
        <v>80</v>
      </c>
      <c r="I1032" s="377">
        <v>0</v>
      </c>
      <c r="J1032" s="355" t="s">
        <v>1213</v>
      </c>
      <c r="K1032" s="15">
        <v>30000</v>
      </c>
      <c r="L1032" s="7">
        <v>64800</v>
      </c>
      <c r="M1032" s="8">
        <v>4050</v>
      </c>
      <c r="N1032" s="9">
        <v>16200</v>
      </c>
      <c r="O1032" s="9">
        <v>64800</v>
      </c>
      <c r="P1032" s="10">
        <v>0</v>
      </c>
      <c r="Q1032" s="152">
        <v>45908</v>
      </c>
    </row>
    <row r="1033" spans="1:17" ht="20.25" thickBot="1" x14ac:dyDescent="0.3">
      <c r="A1033" s="1">
        <v>3229</v>
      </c>
      <c r="B1033" s="27" t="s">
        <v>159</v>
      </c>
      <c r="C1033" s="27" t="s">
        <v>160</v>
      </c>
      <c r="D1033" s="2"/>
      <c r="E1033" s="3">
        <v>45815</v>
      </c>
      <c r="F1033" s="3">
        <v>45916</v>
      </c>
      <c r="G1033" s="4">
        <v>72</v>
      </c>
      <c r="H1033" s="377">
        <v>72</v>
      </c>
      <c r="I1033" s="377">
        <v>0</v>
      </c>
      <c r="J1033" s="155" t="s">
        <v>162</v>
      </c>
      <c r="K1033" s="7">
        <v>60000</v>
      </c>
      <c r="L1033" s="7">
        <v>129600</v>
      </c>
      <c r="M1033" s="8">
        <v>9000</v>
      </c>
      <c r="N1033" s="9">
        <v>12600</v>
      </c>
      <c r="O1033" s="9">
        <v>129600</v>
      </c>
      <c r="P1033" s="10">
        <v>0</v>
      </c>
      <c r="Q1033" s="152">
        <v>45908</v>
      </c>
    </row>
    <row r="1034" spans="1:17" ht="20.25" thickBot="1" x14ac:dyDescent="0.3">
      <c r="A1034" s="1">
        <v>2975</v>
      </c>
      <c r="B1034" s="27" t="s">
        <v>164</v>
      </c>
      <c r="C1034" s="27" t="s">
        <v>160</v>
      </c>
      <c r="D1034" s="2"/>
      <c r="E1034" s="3">
        <v>45652</v>
      </c>
      <c r="F1034" s="3">
        <v>45754</v>
      </c>
      <c r="G1034" s="4">
        <v>72</v>
      </c>
      <c r="H1034" s="377">
        <v>73.451415628539067</v>
      </c>
      <c r="I1034" s="377">
        <v>-1.4514156285390669</v>
      </c>
      <c r="J1034" s="155" t="s">
        <v>165</v>
      </c>
      <c r="K1034" s="7">
        <v>200000</v>
      </c>
      <c r="L1034" s="7">
        <v>441500</v>
      </c>
      <c r="M1034" s="8">
        <v>30659.722222222223</v>
      </c>
      <c r="N1034" s="9">
        <v>30000</v>
      </c>
      <c r="O1034" s="9">
        <v>450400</v>
      </c>
      <c r="P1034" s="10">
        <v>-8900</v>
      </c>
      <c r="Q1034" s="152">
        <v>45908</v>
      </c>
    </row>
    <row r="1035" spans="1:17" ht="29.25" thickBot="1" x14ac:dyDescent="0.3">
      <c r="A1035" s="1">
        <v>3257</v>
      </c>
      <c r="B1035" s="27" t="s">
        <v>1207</v>
      </c>
      <c r="C1035" s="27" t="s">
        <v>1208</v>
      </c>
      <c r="D1035" s="2"/>
      <c r="E1035" s="3">
        <v>45832</v>
      </c>
      <c r="F1035" s="3">
        <v>45932</v>
      </c>
      <c r="G1035" s="4">
        <v>72</v>
      </c>
      <c r="H1035" s="377">
        <v>72</v>
      </c>
      <c r="I1035" s="377">
        <v>0</v>
      </c>
      <c r="J1035" s="155" t="s">
        <v>188</v>
      </c>
      <c r="K1035" s="7">
        <v>150000</v>
      </c>
      <c r="L1035" s="7">
        <v>324000</v>
      </c>
      <c r="M1035" s="8">
        <v>22500</v>
      </c>
      <c r="N1035" s="9">
        <v>89000</v>
      </c>
      <c r="O1035" s="9">
        <v>324000</v>
      </c>
      <c r="P1035" s="10">
        <v>0</v>
      </c>
      <c r="Q1035" s="152">
        <v>45908</v>
      </c>
    </row>
    <row r="1036" spans="1:17" ht="65.25" thickBot="1" x14ac:dyDescent="0.3">
      <c r="A1036" s="1">
        <v>3112</v>
      </c>
      <c r="B1036" s="27" t="s">
        <v>191</v>
      </c>
      <c r="C1036" s="27" t="s">
        <v>192</v>
      </c>
      <c r="D1036" s="2"/>
      <c r="E1036" s="3">
        <v>45734</v>
      </c>
      <c r="F1036" s="3">
        <v>45902</v>
      </c>
      <c r="G1036" s="4">
        <v>120</v>
      </c>
      <c r="H1036" s="377">
        <v>120</v>
      </c>
      <c r="I1036" s="377">
        <v>0</v>
      </c>
      <c r="J1036" s="356" t="s">
        <v>194</v>
      </c>
      <c r="K1036" s="21">
        <v>70000</v>
      </c>
      <c r="L1036" s="7">
        <v>184800</v>
      </c>
      <c r="M1036" s="8">
        <v>7700</v>
      </c>
      <c r="N1036" s="9">
        <v>30800</v>
      </c>
      <c r="O1036" s="9">
        <v>184800</v>
      </c>
      <c r="P1036" s="10">
        <v>0</v>
      </c>
      <c r="Q1036" s="152">
        <v>45908</v>
      </c>
    </row>
    <row r="1037" spans="1:17" ht="29.25" thickBot="1" x14ac:dyDescent="0.3">
      <c r="A1037" s="1">
        <v>3014</v>
      </c>
      <c r="B1037" s="27" t="s">
        <v>207</v>
      </c>
      <c r="C1037" s="27" t="s">
        <v>208</v>
      </c>
      <c r="D1037" s="2"/>
      <c r="E1037" s="3">
        <v>45678</v>
      </c>
      <c r="F1037" s="3">
        <v>45888</v>
      </c>
      <c r="G1037" s="4">
        <v>150</v>
      </c>
      <c r="H1037" s="377">
        <v>150</v>
      </c>
      <c r="I1037" s="377">
        <v>0</v>
      </c>
      <c r="J1037" s="355" t="s">
        <v>210</v>
      </c>
      <c r="K1037" s="7">
        <v>150000</v>
      </c>
      <c r="L1037" s="7">
        <v>450000</v>
      </c>
      <c r="M1037" s="21">
        <v>15000</v>
      </c>
      <c r="N1037" s="9">
        <v>30000</v>
      </c>
      <c r="O1037" s="9">
        <v>450000</v>
      </c>
      <c r="P1037" s="10">
        <v>0</v>
      </c>
      <c r="Q1037" s="152">
        <v>45908</v>
      </c>
    </row>
    <row r="1038" spans="1:17" ht="24" thickBot="1" x14ac:dyDescent="0.3">
      <c r="A1038" s="1">
        <v>3374</v>
      </c>
      <c r="B1038" s="2" t="s">
        <v>707</v>
      </c>
      <c r="C1038" s="2"/>
      <c r="D1038" s="2"/>
      <c r="E1038" s="3">
        <v>45898</v>
      </c>
      <c r="F1038" s="3">
        <v>45777</v>
      </c>
      <c r="G1038" s="4">
        <v>5</v>
      </c>
      <c r="H1038" s="377" t="e">
        <v>#DIV/0!</v>
      </c>
      <c r="I1038" s="377" t="e">
        <v>#DIV/0!</v>
      </c>
      <c r="J1038" s="2" t="s">
        <v>403</v>
      </c>
      <c r="K1038" s="7">
        <v>300000</v>
      </c>
      <c r="L1038" s="7">
        <v>390000</v>
      </c>
      <c r="M1038" s="8"/>
      <c r="N1038" s="9">
        <v>390000</v>
      </c>
      <c r="O1038" s="9">
        <v>390000</v>
      </c>
      <c r="P1038" s="10">
        <v>0</v>
      </c>
      <c r="Q1038" s="152">
        <v>45908</v>
      </c>
    </row>
    <row r="1039" spans="1:17" ht="47.25" thickBot="1" x14ac:dyDescent="0.3">
      <c r="A1039" s="1">
        <v>3217</v>
      </c>
      <c r="B1039" s="27" t="s">
        <v>299</v>
      </c>
      <c r="C1039" s="27" t="s">
        <v>300</v>
      </c>
      <c r="D1039" s="2"/>
      <c r="E1039" s="3">
        <v>45804</v>
      </c>
      <c r="F1039" s="3">
        <v>45916</v>
      </c>
      <c r="G1039" s="4">
        <v>80</v>
      </c>
      <c r="H1039" s="377">
        <v>80</v>
      </c>
      <c r="I1039" s="377">
        <v>0</v>
      </c>
      <c r="J1039" s="357" t="s">
        <v>1229</v>
      </c>
      <c r="K1039" s="20">
        <v>50000</v>
      </c>
      <c r="L1039" s="7">
        <v>108000</v>
      </c>
      <c r="M1039" s="8">
        <v>6750</v>
      </c>
      <c r="N1039" s="9">
        <v>27000</v>
      </c>
      <c r="O1039" s="9">
        <v>108000</v>
      </c>
      <c r="P1039" s="7">
        <v>0</v>
      </c>
      <c r="Q1039" s="152">
        <v>45908</v>
      </c>
    </row>
    <row r="1040" spans="1:17" ht="83.25" thickBot="1" x14ac:dyDescent="0.3">
      <c r="A1040" s="1">
        <v>3199</v>
      </c>
      <c r="B1040" s="27" t="s">
        <v>334</v>
      </c>
      <c r="C1040" s="27" t="s">
        <v>335</v>
      </c>
      <c r="D1040" s="2">
        <v>27249921551</v>
      </c>
      <c r="E1040" s="3">
        <v>45793</v>
      </c>
      <c r="F1040" s="3">
        <v>45895</v>
      </c>
      <c r="G1040" s="4">
        <v>72</v>
      </c>
      <c r="H1040" s="377">
        <v>72</v>
      </c>
      <c r="I1040" s="377">
        <v>0</v>
      </c>
      <c r="J1040" s="155" t="s">
        <v>161</v>
      </c>
      <c r="K1040" s="10">
        <v>100000</v>
      </c>
      <c r="L1040" s="10">
        <v>216000</v>
      </c>
      <c r="M1040" s="8">
        <v>15000</v>
      </c>
      <c r="N1040" s="9">
        <v>36000</v>
      </c>
      <c r="O1040" s="9">
        <v>216000</v>
      </c>
      <c r="P1040" s="7">
        <v>0</v>
      </c>
      <c r="Q1040" s="152">
        <v>45908</v>
      </c>
    </row>
    <row r="1041" spans="1:17" ht="83.25" thickBot="1" x14ac:dyDescent="0.3">
      <c r="A1041" s="4">
        <v>3208</v>
      </c>
      <c r="B1041" s="27" t="s">
        <v>334</v>
      </c>
      <c r="C1041" s="27" t="s">
        <v>335</v>
      </c>
      <c r="D1041" s="2">
        <v>27249921551</v>
      </c>
      <c r="E1041" s="3">
        <v>45799</v>
      </c>
      <c r="F1041" s="3">
        <v>45901</v>
      </c>
      <c r="G1041" s="4">
        <v>72</v>
      </c>
      <c r="H1041" s="377">
        <v>72</v>
      </c>
      <c r="I1041" s="377">
        <v>0</v>
      </c>
      <c r="J1041" s="155" t="s">
        <v>227</v>
      </c>
      <c r="K1041" s="7">
        <v>70000</v>
      </c>
      <c r="L1041" s="7">
        <v>151200</v>
      </c>
      <c r="M1041" s="8">
        <v>10500</v>
      </c>
      <c r="N1041" s="9">
        <v>35700</v>
      </c>
      <c r="O1041" s="9">
        <v>151200</v>
      </c>
      <c r="P1041" s="7">
        <v>0</v>
      </c>
      <c r="Q1041" s="152">
        <v>45908</v>
      </c>
    </row>
    <row r="1042" spans="1:17" ht="29.25" thickBot="1" x14ac:dyDescent="0.3">
      <c r="A1042" s="4">
        <v>3045</v>
      </c>
      <c r="B1042" s="27" t="s">
        <v>364</v>
      </c>
      <c r="C1042" s="27" t="s">
        <v>365</v>
      </c>
      <c r="D1042" s="2"/>
      <c r="E1042" s="3">
        <v>45695</v>
      </c>
      <c r="F1042" s="3">
        <v>45807</v>
      </c>
      <c r="G1042" s="4">
        <v>80</v>
      </c>
      <c r="H1042" s="377">
        <v>86.296296296296291</v>
      </c>
      <c r="I1042" s="377">
        <v>-6.2962962962962905</v>
      </c>
      <c r="J1042" s="355" t="s">
        <v>366</v>
      </c>
      <c r="K1042" s="7">
        <v>120000</v>
      </c>
      <c r="L1042" s="7">
        <v>259200</v>
      </c>
      <c r="M1042" s="8">
        <v>16200</v>
      </c>
      <c r="N1042" s="9">
        <v>50000</v>
      </c>
      <c r="O1042" s="9">
        <v>279600</v>
      </c>
      <c r="P1042" s="7">
        <v>-20400</v>
      </c>
      <c r="Q1042" s="152">
        <v>45908</v>
      </c>
    </row>
    <row r="1043" spans="1:17" ht="20.25" thickBot="1" x14ac:dyDescent="0.3">
      <c r="A1043" s="4">
        <v>3345</v>
      </c>
      <c r="B1043" s="27" t="s">
        <v>1274</v>
      </c>
      <c r="C1043" s="27"/>
      <c r="D1043" s="2"/>
      <c r="E1043" s="3">
        <v>45881</v>
      </c>
      <c r="F1043" s="3">
        <v>45820</v>
      </c>
      <c r="G1043" s="4">
        <v>20</v>
      </c>
      <c r="H1043" s="377" t="e">
        <v>#VALUE!</v>
      </c>
      <c r="I1043" s="377" t="e">
        <v>#VALUE!</v>
      </c>
      <c r="J1043" s="355" t="s">
        <v>368</v>
      </c>
      <c r="K1043" s="7">
        <v>100000</v>
      </c>
      <c r="L1043" s="7">
        <v>150000</v>
      </c>
      <c r="M1043" s="8" t="s">
        <v>143</v>
      </c>
      <c r="N1043" s="9">
        <v>150000</v>
      </c>
      <c r="O1043" s="9">
        <v>150000</v>
      </c>
      <c r="P1043" s="7">
        <v>0</v>
      </c>
      <c r="Q1043" s="152">
        <v>45908</v>
      </c>
    </row>
    <row r="1044" spans="1:17" ht="15.75" thickBot="1" x14ac:dyDescent="0.3">
      <c r="A1044" s="372">
        <v>3376</v>
      </c>
      <c r="B1044" s="27" t="s">
        <v>1336</v>
      </c>
      <c r="C1044" s="27"/>
      <c r="D1044" s="2"/>
      <c r="E1044" s="3">
        <v>45903</v>
      </c>
      <c r="F1044" s="3">
        <v>45820</v>
      </c>
      <c r="G1044" s="4">
        <v>20</v>
      </c>
      <c r="H1044" s="377" t="e">
        <v>#DIV/0!</v>
      </c>
      <c r="I1044" s="377" t="e">
        <v>#DIV/0!</v>
      </c>
      <c r="J1044" s="355" t="s">
        <v>368</v>
      </c>
      <c r="K1044" s="19">
        <v>20000</v>
      </c>
      <c r="L1044" s="7">
        <v>30000</v>
      </c>
      <c r="M1044" s="8"/>
      <c r="N1044" s="9">
        <v>30000</v>
      </c>
      <c r="O1044" s="9">
        <v>30000</v>
      </c>
      <c r="P1044" s="7">
        <v>0</v>
      </c>
      <c r="Q1044" s="152">
        <v>45908</v>
      </c>
    </row>
    <row r="1045" spans="1:17" ht="20.25" thickBot="1" x14ac:dyDescent="0.3">
      <c r="A1045" s="4">
        <v>3174</v>
      </c>
      <c r="B1045" s="27" t="s">
        <v>381</v>
      </c>
      <c r="C1045" s="27"/>
      <c r="D1045" s="2"/>
      <c r="E1045" s="3">
        <v>45776</v>
      </c>
      <c r="F1045" s="3">
        <v>45888</v>
      </c>
      <c r="G1045" s="4">
        <v>80</v>
      </c>
      <c r="H1045" s="377">
        <v>80</v>
      </c>
      <c r="I1045" s="377">
        <v>0</v>
      </c>
      <c r="J1045" s="355" t="s">
        <v>1202</v>
      </c>
      <c r="K1045" s="7">
        <v>80000</v>
      </c>
      <c r="L1045" s="7">
        <v>172800</v>
      </c>
      <c r="M1045" s="8">
        <v>10800</v>
      </c>
      <c r="N1045" s="9">
        <v>43200</v>
      </c>
      <c r="O1045" s="9">
        <v>172800</v>
      </c>
      <c r="P1045" s="10">
        <v>0</v>
      </c>
      <c r="Q1045" s="152">
        <v>45908</v>
      </c>
    </row>
    <row r="1046" spans="1:17" ht="15.75" thickBot="1" x14ac:dyDescent="0.3">
      <c r="A1046" s="4">
        <v>3352</v>
      </c>
      <c r="B1046" s="2" t="s">
        <v>727</v>
      </c>
      <c r="C1046" s="27"/>
      <c r="D1046" s="2"/>
      <c r="E1046" s="3">
        <v>45884</v>
      </c>
      <c r="F1046" s="3">
        <v>45891</v>
      </c>
      <c r="G1046" s="4">
        <v>5</v>
      </c>
      <c r="H1046" s="377" t="e">
        <v>#DIV/0!</v>
      </c>
      <c r="I1046" s="377" t="e">
        <v>#DIV/0!</v>
      </c>
      <c r="J1046" s="355" t="s">
        <v>368</v>
      </c>
      <c r="K1046" s="10">
        <v>20000</v>
      </c>
      <c r="L1046" s="10">
        <v>30000</v>
      </c>
      <c r="M1046" s="8"/>
      <c r="N1046" s="9">
        <v>30000</v>
      </c>
      <c r="O1046" s="9">
        <v>30000</v>
      </c>
      <c r="P1046" s="7">
        <v>0</v>
      </c>
      <c r="Q1046" s="152">
        <v>45908</v>
      </c>
    </row>
    <row r="1047" spans="1:17" ht="15.75" thickBot="1" x14ac:dyDescent="0.3">
      <c r="A1047" s="4">
        <v>3356</v>
      </c>
      <c r="B1047" s="2" t="s">
        <v>727</v>
      </c>
      <c r="C1047" s="27"/>
      <c r="D1047" s="2"/>
      <c r="E1047" s="3">
        <v>45888</v>
      </c>
      <c r="F1047" s="3">
        <v>45895</v>
      </c>
      <c r="G1047" s="4">
        <v>5</v>
      </c>
      <c r="H1047" s="377" t="e">
        <v>#DIV/0!</v>
      </c>
      <c r="I1047" s="377" t="e">
        <v>#DIV/0!</v>
      </c>
      <c r="J1047" s="355" t="s">
        <v>368</v>
      </c>
      <c r="K1047" s="7">
        <v>50000</v>
      </c>
      <c r="L1047" s="7">
        <v>75000</v>
      </c>
      <c r="M1047" s="21"/>
      <c r="N1047" s="9">
        <v>75000</v>
      </c>
      <c r="O1047" s="9">
        <v>75000</v>
      </c>
      <c r="P1047" s="7">
        <v>0</v>
      </c>
      <c r="Q1047" s="152">
        <v>45908</v>
      </c>
    </row>
    <row r="1048" spans="1:17" ht="15.75" thickBot="1" x14ac:dyDescent="0.3">
      <c r="A1048" s="4">
        <v>3359</v>
      </c>
      <c r="B1048" s="2" t="s">
        <v>727</v>
      </c>
      <c r="C1048" s="27"/>
      <c r="D1048" s="2"/>
      <c r="E1048" s="3">
        <v>45891</v>
      </c>
      <c r="F1048" s="3">
        <v>45912</v>
      </c>
      <c r="G1048" s="4">
        <v>15</v>
      </c>
      <c r="H1048" s="377" t="e">
        <v>#DIV/0!</v>
      </c>
      <c r="I1048" s="377" t="e">
        <v>#DIV/0!</v>
      </c>
      <c r="J1048" s="355" t="s">
        <v>368</v>
      </c>
      <c r="K1048" s="7">
        <v>30000</v>
      </c>
      <c r="L1048" s="7">
        <v>45000</v>
      </c>
      <c r="M1048" s="21"/>
      <c r="N1048" s="9">
        <v>45000</v>
      </c>
      <c r="O1048" s="9">
        <v>45000</v>
      </c>
      <c r="P1048" s="7">
        <v>0</v>
      </c>
      <c r="Q1048" s="152">
        <v>45908</v>
      </c>
    </row>
    <row r="1049" spans="1:17" ht="15.75" thickBot="1" x14ac:dyDescent="0.3">
      <c r="A1049" s="4">
        <v>3369</v>
      </c>
      <c r="B1049" s="2" t="s">
        <v>727</v>
      </c>
      <c r="C1049" s="27"/>
      <c r="D1049" s="2"/>
      <c r="E1049" s="3">
        <v>45891</v>
      </c>
      <c r="F1049" s="3">
        <v>45912</v>
      </c>
      <c r="G1049" s="4">
        <v>15</v>
      </c>
      <c r="H1049" s="377" t="e">
        <v>#DIV/0!</v>
      </c>
      <c r="I1049" s="377" t="e">
        <v>#DIV/0!</v>
      </c>
      <c r="J1049" s="355" t="s">
        <v>368</v>
      </c>
      <c r="K1049" s="7">
        <v>40000</v>
      </c>
      <c r="L1049" s="7">
        <v>60000</v>
      </c>
      <c r="M1049" s="21"/>
      <c r="N1049" s="9">
        <v>60000</v>
      </c>
      <c r="O1049" s="9">
        <v>60000</v>
      </c>
      <c r="P1049" s="7">
        <v>0</v>
      </c>
      <c r="Q1049" s="152">
        <v>45908</v>
      </c>
    </row>
    <row r="1050" spans="1:17" ht="15.75" thickBot="1" x14ac:dyDescent="0.3">
      <c r="A1050" s="4">
        <v>3372</v>
      </c>
      <c r="B1050" s="2" t="s">
        <v>727</v>
      </c>
      <c r="C1050" s="27"/>
      <c r="D1050" s="2"/>
      <c r="E1050" s="3">
        <v>45897</v>
      </c>
      <c r="F1050" s="3">
        <v>45918</v>
      </c>
      <c r="G1050" s="4">
        <v>15</v>
      </c>
      <c r="H1050" s="377" t="e">
        <v>#DIV/0!</v>
      </c>
      <c r="I1050" s="377" t="e">
        <v>#DIV/0!</v>
      </c>
      <c r="J1050" s="355" t="s">
        <v>368</v>
      </c>
      <c r="K1050" s="7">
        <v>30000</v>
      </c>
      <c r="L1050" s="7">
        <v>45000</v>
      </c>
      <c r="M1050" s="8"/>
      <c r="N1050" s="9">
        <v>45000</v>
      </c>
      <c r="O1050" s="9">
        <v>45000</v>
      </c>
      <c r="P1050" s="7">
        <v>0</v>
      </c>
      <c r="Q1050" s="152">
        <v>45908</v>
      </c>
    </row>
    <row r="1051" spans="1:17" ht="38.25" thickBot="1" x14ac:dyDescent="0.3">
      <c r="A1051" s="4">
        <v>3094</v>
      </c>
      <c r="B1051" s="27" t="s">
        <v>469</v>
      </c>
      <c r="C1051" s="27" t="s">
        <v>470</v>
      </c>
      <c r="D1051" s="2"/>
      <c r="E1051" s="3">
        <v>45723</v>
      </c>
      <c r="F1051" s="3">
        <v>45891</v>
      </c>
      <c r="G1051" s="4">
        <v>120</v>
      </c>
      <c r="H1051" s="377">
        <v>120</v>
      </c>
      <c r="I1051" s="377">
        <v>0</v>
      </c>
      <c r="J1051" s="355" t="s">
        <v>1189</v>
      </c>
      <c r="K1051" s="10">
        <v>500000</v>
      </c>
      <c r="L1051" s="10">
        <v>1320000</v>
      </c>
      <c r="M1051" s="23">
        <v>55000</v>
      </c>
      <c r="N1051" s="9">
        <v>220000</v>
      </c>
      <c r="O1051" s="9">
        <v>1320000</v>
      </c>
      <c r="P1051" s="7">
        <v>0</v>
      </c>
      <c r="Q1051" s="152">
        <v>45908</v>
      </c>
    </row>
    <row r="1052" spans="1:17" ht="29.25" thickBot="1" x14ac:dyDescent="0.3">
      <c r="A1052" s="4">
        <v>2959</v>
      </c>
      <c r="B1052" s="27" t="s">
        <v>474</v>
      </c>
      <c r="C1052" s="27" t="s">
        <v>387</v>
      </c>
      <c r="D1052" s="2">
        <v>2034839888</v>
      </c>
      <c r="E1052" s="3">
        <v>45644</v>
      </c>
      <c r="F1052" s="3">
        <v>45868</v>
      </c>
      <c r="G1052" s="4">
        <v>160</v>
      </c>
      <c r="H1052" s="377">
        <v>160</v>
      </c>
      <c r="I1052" s="377">
        <v>0</v>
      </c>
      <c r="J1052" s="355" t="s">
        <v>475</v>
      </c>
      <c r="K1052" s="7">
        <v>350000</v>
      </c>
      <c r="L1052" s="7">
        <v>1050000</v>
      </c>
      <c r="M1052" s="8">
        <v>32812.5</v>
      </c>
      <c r="N1052" s="9">
        <v>256500</v>
      </c>
      <c r="O1052" s="9">
        <v>1050000</v>
      </c>
      <c r="P1052" s="7">
        <v>0</v>
      </c>
      <c r="Q1052" s="152">
        <v>45908</v>
      </c>
    </row>
    <row r="1053" spans="1:17" ht="29.25" thickBot="1" x14ac:dyDescent="0.3">
      <c r="A1053" s="4">
        <v>3001</v>
      </c>
      <c r="B1053" s="27" t="s">
        <v>474</v>
      </c>
      <c r="C1053" s="27" t="s">
        <v>387</v>
      </c>
      <c r="D1053" s="2">
        <v>2034839888</v>
      </c>
      <c r="E1053" s="3">
        <v>45668</v>
      </c>
      <c r="F1053" s="3">
        <v>45835</v>
      </c>
      <c r="G1053" s="4">
        <v>120</v>
      </c>
      <c r="H1053" s="377">
        <v>120</v>
      </c>
      <c r="I1053" s="377">
        <v>0</v>
      </c>
      <c r="J1053" s="355" t="s">
        <v>476</v>
      </c>
      <c r="K1053" s="7">
        <v>50000</v>
      </c>
      <c r="L1053" s="7">
        <v>132000</v>
      </c>
      <c r="M1053" s="21">
        <v>5500</v>
      </c>
      <c r="N1053" s="9">
        <v>22000</v>
      </c>
      <c r="O1053" s="9">
        <v>132000</v>
      </c>
      <c r="P1053" s="7">
        <v>0</v>
      </c>
      <c r="Q1053" s="152">
        <v>45908</v>
      </c>
    </row>
    <row r="1054" spans="1:17" ht="46.5" thickBot="1" x14ac:dyDescent="0.3">
      <c r="A1054" s="4">
        <v>2901</v>
      </c>
      <c r="B1054" s="27" t="s">
        <v>172</v>
      </c>
      <c r="C1054" s="27" t="s">
        <v>173</v>
      </c>
      <c r="D1054" s="2" t="s">
        <v>174</v>
      </c>
      <c r="E1054" s="3">
        <v>45605</v>
      </c>
      <c r="F1054" s="3">
        <v>45884</v>
      </c>
      <c r="G1054" s="4">
        <v>200</v>
      </c>
      <c r="H1054" s="377">
        <v>200.90452261306532</v>
      </c>
      <c r="I1054" s="377">
        <v>-0.90452261306532478</v>
      </c>
      <c r="J1054" s="355" t="s">
        <v>176</v>
      </c>
      <c r="K1054" s="7">
        <v>300000</v>
      </c>
      <c r="L1054" s="7">
        <v>995000</v>
      </c>
      <c r="M1054" s="21">
        <v>24875</v>
      </c>
      <c r="N1054" s="9">
        <v>99950</v>
      </c>
      <c r="O1054" s="9">
        <v>999500</v>
      </c>
      <c r="P1054" s="7">
        <v>-4500</v>
      </c>
      <c r="Q1054" s="152">
        <v>45915</v>
      </c>
    </row>
    <row r="1055" spans="1:17" ht="29.25" thickBot="1" x14ac:dyDescent="0.3">
      <c r="A1055" s="1">
        <v>3211</v>
      </c>
      <c r="B1055" s="27" t="s">
        <v>204</v>
      </c>
      <c r="C1055" s="27" t="s">
        <v>205</v>
      </c>
      <c r="D1055" s="2"/>
      <c r="E1055" s="3">
        <v>45801</v>
      </c>
      <c r="F1055" s="3">
        <v>45912</v>
      </c>
      <c r="G1055" s="4">
        <v>80</v>
      </c>
      <c r="H1055" s="377">
        <v>80</v>
      </c>
      <c r="I1055" s="377">
        <v>0</v>
      </c>
      <c r="J1055" s="355" t="s">
        <v>273</v>
      </c>
      <c r="K1055" s="7">
        <v>100000</v>
      </c>
      <c r="L1055" s="7">
        <v>216000</v>
      </c>
      <c r="M1055" s="23">
        <v>13500</v>
      </c>
      <c r="N1055" s="9">
        <v>54000</v>
      </c>
      <c r="O1055" s="9">
        <v>216000</v>
      </c>
      <c r="P1055" s="10">
        <v>0</v>
      </c>
      <c r="Q1055" s="152">
        <v>45915</v>
      </c>
    </row>
    <row r="1056" spans="1:17" ht="56.25" thickBot="1" x14ac:dyDescent="0.3">
      <c r="A1056" s="1">
        <v>3351</v>
      </c>
      <c r="B1056" s="27" t="s">
        <v>290</v>
      </c>
      <c r="C1056" s="27" t="s">
        <v>1283</v>
      </c>
      <c r="D1056" s="2">
        <v>27355741082</v>
      </c>
      <c r="E1056" s="3">
        <v>45884</v>
      </c>
      <c r="F1056" s="3">
        <v>45912</v>
      </c>
      <c r="G1056" s="4">
        <v>20</v>
      </c>
      <c r="H1056" s="151" t="e">
        <v>#VALUE!</v>
      </c>
      <c r="I1056" s="151" t="e">
        <v>#VALUE!</v>
      </c>
      <c r="J1056" s="155" t="s">
        <v>368</v>
      </c>
      <c r="K1056" s="10">
        <v>150000</v>
      </c>
      <c r="L1056" s="10">
        <v>225000</v>
      </c>
      <c r="M1056" s="21"/>
      <c r="N1056" s="9">
        <v>225000</v>
      </c>
      <c r="O1056" s="9">
        <v>225000</v>
      </c>
      <c r="P1056" s="10">
        <v>0</v>
      </c>
      <c r="Q1056" s="152">
        <v>45915</v>
      </c>
    </row>
    <row r="1057" spans="1:17" ht="24" thickBot="1" x14ac:dyDescent="0.3">
      <c r="A1057" s="1">
        <v>3380</v>
      </c>
      <c r="B1057" s="2" t="s">
        <v>707</v>
      </c>
      <c r="C1057" s="2"/>
      <c r="D1057" s="2"/>
      <c r="E1057" s="3">
        <v>45908</v>
      </c>
      <c r="F1057" s="3">
        <v>45915</v>
      </c>
      <c r="G1057" s="4">
        <v>5</v>
      </c>
      <c r="H1057" s="377" t="e">
        <v>#DIV/0!</v>
      </c>
      <c r="I1057" s="377" t="e">
        <v>#DIV/0!</v>
      </c>
      <c r="J1057" s="2" t="s">
        <v>403</v>
      </c>
      <c r="K1057" s="19">
        <v>300000</v>
      </c>
      <c r="L1057" s="7">
        <v>390000</v>
      </c>
      <c r="M1057" s="8"/>
      <c r="N1057" s="9">
        <v>390000</v>
      </c>
      <c r="O1057" s="9">
        <v>390000</v>
      </c>
      <c r="P1057" s="7">
        <v>0</v>
      </c>
      <c r="Q1057" s="152">
        <v>45915</v>
      </c>
    </row>
    <row r="1058" spans="1:17" ht="47.25" thickBot="1" x14ac:dyDescent="0.3">
      <c r="A1058" s="1">
        <v>3082</v>
      </c>
      <c r="B1058" s="27" t="s">
        <v>299</v>
      </c>
      <c r="C1058" s="27" t="s">
        <v>300</v>
      </c>
      <c r="D1058" s="2"/>
      <c r="E1058" s="3">
        <v>45714</v>
      </c>
      <c r="F1058" s="3">
        <v>45882</v>
      </c>
      <c r="G1058" s="4">
        <v>120</v>
      </c>
      <c r="H1058" s="377">
        <v>120.45454545454545</v>
      </c>
      <c r="I1058" s="377">
        <v>-0.45454545454545325</v>
      </c>
      <c r="J1058" s="357" t="s">
        <v>303</v>
      </c>
      <c r="K1058" s="20">
        <v>100000</v>
      </c>
      <c r="L1058" s="7">
        <v>264000</v>
      </c>
      <c r="M1058" s="21">
        <v>11000</v>
      </c>
      <c r="N1058" s="9">
        <v>44000</v>
      </c>
      <c r="O1058" s="9">
        <v>265000</v>
      </c>
      <c r="P1058" s="7">
        <v>-1000</v>
      </c>
      <c r="Q1058" s="152">
        <v>45915</v>
      </c>
    </row>
    <row r="1059" spans="1:17" ht="38.25" thickBot="1" x14ac:dyDescent="0.3">
      <c r="A1059" s="1">
        <v>3131</v>
      </c>
      <c r="B1059" s="27" t="s">
        <v>376</v>
      </c>
      <c r="C1059" s="27" t="s">
        <v>380</v>
      </c>
      <c r="D1059" s="2"/>
      <c r="E1059" s="3">
        <v>45746</v>
      </c>
      <c r="F1059" s="3">
        <v>45912</v>
      </c>
      <c r="G1059" s="4">
        <v>120</v>
      </c>
      <c r="H1059" s="377">
        <v>120</v>
      </c>
      <c r="I1059" s="377">
        <v>0</v>
      </c>
      <c r="J1059" s="355" t="s">
        <v>153</v>
      </c>
      <c r="K1059" s="19">
        <v>100000</v>
      </c>
      <c r="L1059" s="7">
        <v>264000</v>
      </c>
      <c r="M1059" s="8">
        <v>11000</v>
      </c>
      <c r="N1059" s="9">
        <v>88000</v>
      </c>
      <c r="O1059" s="9">
        <v>264000</v>
      </c>
      <c r="P1059" s="7">
        <v>0</v>
      </c>
      <c r="Q1059" s="152">
        <v>45915</v>
      </c>
    </row>
    <row r="1060" spans="1:17" ht="38.25" thickBot="1" x14ac:dyDescent="0.3">
      <c r="A1060" s="4">
        <v>3226</v>
      </c>
      <c r="B1060" s="27" t="s">
        <v>376</v>
      </c>
      <c r="C1060" s="27" t="s">
        <v>380</v>
      </c>
      <c r="D1060" s="2"/>
      <c r="E1060" s="3">
        <v>45809</v>
      </c>
      <c r="F1060" s="3">
        <v>45975</v>
      </c>
      <c r="G1060" s="4">
        <v>120</v>
      </c>
      <c r="H1060" s="377">
        <v>120</v>
      </c>
      <c r="I1060" s="377">
        <v>0</v>
      </c>
      <c r="J1060" s="355" t="s">
        <v>153</v>
      </c>
      <c r="K1060" s="19">
        <v>100000</v>
      </c>
      <c r="L1060" s="7">
        <v>264000</v>
      </c>
      <c r="M1060" s="8">
        <v>11000</v>
      </c>
      <c r="N1060" s="9">
        <v>176000</v>
      </c>
      <c r="O1060" s="9">
        <v>264000</v>
      </c>
      <c r="P1060" s="7">
        <v>0</v>
      </c>
      <c r="Q1060" s="152">
        <v>45915</v>
      </c>
    </row>
    <row r="1061" spans="1:17" ht="20.25" thickBot="1" x14ac:dyDescent="0.3">
      <c r="A1061" s="4">
        <v>3363</v>
      </c>
      <c r="B1061" s="27" t="s">
        <v>1200</v>
      </c>
      <c r="C1061" s="27" t="s">
        <v>430</v>
      </c>
      <c r="D1061" s="2"/>
      <c r="E1061" s="3">
        <v>45892</v>
      </c>
      <c r="F1061" s="3">
        <v>45917</v>
      </c>
      <c r="G1061" s="4">
        <v>18</v>
      </c>
      <c r="H1061" s="377" t="e">
        <v>#DIV/0!</v>
      </c>
      <c r="I1061" s="377" t="e">
        <v>#DIV/0!</v>
      </c>
      <c r="J1061" s="355" t="s">
        <v>403</v>
      </c>
      <c r="K1061" s="10">
        <v>250000</v>
      </c>
      <c r="L1061" s="10">
        <v>350000</v>
      </c>
      <c r="M1061" s="8"/>
      <c r="N1061" s="9">
        <v>350000</v>
      </c>
      <c r="O1061" s="9">
        <v>350000</v>
      </c>
      <c r="P1061" s="7">
        <v>0</v>
      </c>
      <c r="Q1061" s="152">
        <v>45915</v>
      </c>
    </row>
    <row r="1062" spans="1:17" ht="38.25" thickBot="1" x14ac:dyDescent="0.3">
      <c r="A1062" s="4">
        <v>2978</v>
      </c>
      <c r="B1062" s="27" t="s">
        <v>456</v>
      </c>
      <c r="C1062" s="27" t="s">
        <v>457</v>
      </c>
      <c r="D1062" s="2">
        <v>35869349</v>
      </c>
      <c r="E1062" s="3">
        <v>45654</v>
      </c>
      <c r="F1062" s="3">
        <v>45807</v>
      </c>
      <c r="G1062" s="4">
        <v>110</v>
      </c>
      <c r="H1062" s="377">
        <v>110.90909090909091</v>
      </c>
      <c r="I1062" s="377">
        <v>-0.90909090909090651</v>
      </c>
      <c r="J1062" s="192" t="s">
        <v>458</v>
      </c>
      <c r="K1062" s="7">
        <v>200000</v>
      </c>
      <c r="L1062" s="7">
        <v>484000</v>
      </c>
      <c r="M1062" s="8">
        <v>22000</v>
      </c>
      <c r="N1062" s="9">
        <v>48000</v>
      </c>
      <c r="O1062" s="9">
        <v>488000</v>
      </c>
      <c r="P1062" s="7">
        <v>-4000</v>
      </c>
      <c r="Q1062" s="152">
        <v>45915</v>
      </c>
    </row>
    <row r="1063" spans="1:17" ht="29.25" thickBot="1" x14ac:dyDescent="0.3">
      <c r="A1063" s="4">
        <v>3234</v>
      </c>
      <c r="B1063" s="27" t="s">
        <v>186</v>
      </c>
      <c r="C1063" s="27" t="s">
        <v>187</v>
      </c>
      <c r="D1063" s="2"/>
      <c r="E1063" s="3">
        <v>45818</v>
      </c>
      <c r="F1063" s="3">
        <v>45918</v>
      </c>
      <c r="G1063" s="4">
        <v>72</v>
      </c>
      <c r="H1063" s="377">
        <v>72</v>
      </c>
      <c r="I1063" s="377">
        <v>0</v>
      </c>
      <c r="J1063" s="155" t="s">
        <v>161</v>
      </c>
      <c r="K1063" s="20">
        <v>100000</v>
      </c>
      <c r="L1063" s="7">
        <v>216000</v>
      </c>
      <c r="M1063" s="8">
        <v>15000</v>
      </c>
      <c r="N1063" s="9">
        <v>6000</v>
      </c>
      <c r="O1063" s="9">
        <v>216000</v>
      </c>
      <c r="P1063" s="7">
        <v>0</v>
      </c>
      <c r="Q1063" s="152">
        <v>45915</v>
      </c>
    </row>
    <row r="1064" spans="1:17" ht="29.25" thickBot="1" x14ac:dyDescent="0.3">
      <c r="A1064" s="1">
        <v>2956</v>
      </c>
      <c r="B1064" s="27" t="s">
        <v>1309</v>
      </c>
      <c r="C1064" s="27" t="s">
        <v>208</v>
      </c>
      <c r="D1064" s="2"/>
      <c r="E1064" s="3">
        <v>45642</v>
      </c>
      <c r="F1064" s="3">
        <v>45894</v>
      </c>
      <c r="G1064" s="4">
        <v>180</v>
      </c>
      <c r="H1064" s="377">
        <v>180</v>
      </c>
      <c r="I1064" s="377">
        <v>0</v>
      </c>
      <c r="J1064" s="355" t="s">
        <v>209</v>
      </c>
      <c r="K1064" s="10">
        <v>150000</v>
      </c>
      <c r="L1064" s="10">
        <v>405000</v>
      </c>
      <c r="M1064" s="8">
        <v>11250</v>
      </c>
      <c r="N1064" s="9">
        <v>45000</v>
      </c>
      <c r="O1064" s="9">
        <v>405000</v>
      </c>
      <c r="P1064" s="10">
        <v>0</v>
      </c>
      <c r="Q1064" s="152">
        <v>45915</v>
      </c>
    </row>
    <row r="1065" spans="1:17" ht="20.25" thickBot="1" x14ac:dyDescent="0.3">
      <c r="A1065" s="1">
        <v>3028</v>
      </c>
      <c r="B1065" s="27" t="s">
        <v>275</v>
      </c>
      <c r="C1065" s="27"/>
      <c r="D1065" s="2"/>
      <c r="E1065" s="3">
        <v>45684</v>
      </c>
      <c r="F1065" s="3">
        <v>45796</v>
      </c>
      <c r="G1065" s="4">
        <v>80</v>
      </c>
      <c r="H1065" s="377">
        <v>127.11111111111111</v>
      </c>
      <c r="I1065" s="377">
        <v>16.444444444444443</v>
      </c>
      <c r="J1065" s="355" t="s">
        <v>277</v>
      </c>
      <c r="K1065" s="10">
        <v>50000</v>
      </c>
      <c r="L1065" s="10">
        <v>108000</v>
      </c>
      <c r="M1065" s="8">
        <v>6750</v>
      </c>
      <c r="N1065" s="167"/>
      <c r="O1065" s="9">
        <v>171600</v>
      </c>
      <c r="P1065" s="11">
        <v>12.711111111111112</v>
      </c>
      <c r="Q1065" s="152">
        <v>45915</v>
      </c>
    </row>
    <row r="1066" spans="1:17" ht="29.25" thickBot="1" x14ac:dyDescent="0.3">
      <c r="A1066" s="1">
        <v>3236</v>
      </c>
      <c r="B1066" s="27" t="s">
        <v>278</v>
      </c>
      <c r="C1066" s="27" t="s">
        <v>208</v>
      </c>
      <c r="D1066" s="2"/>
      <c r="E1066" s="3">
        <v>45819</v>
      </c>
      <c r="F1066" s="3">
        <v>45919</v>
      </c>
      <c r="G1066" s="4">
        <v>72</v>
      </c>
      <c r="H1066" s="377">
        <v>71.333333333333329</v>
      </c>
      <c r="I1066" s="377">
        <v>0.6666666666666714</v>
      </c>
      <c r="J1066" s="155" t="s">
        <v>161</v>
      </c>
      <c r="K1066" s="7">
        <v>100000</v>
      </c>
      <c r="L1066" s="7">
        <v>216000</v>
      </c>
      <c r="M1066" s="8">
        <v>15000</v>
      </c>
      <c r="N1066" s="9">
        <v>2000</v>
      </c>
      <c r="O1066" s="9">
        <v>214000</v>
      </c>
      <c r="P1066" s="7">
        <v>0</v>
      </c>
      <c r="Q1066" s="152">
        <v>45915</v>
      </c>
    </row>
    <row r="1067" spans="1:17" ht="24" thickBot="1" x14ac:dyDescent="0.3">
      <c r="A1067" s="1">
        <v>3401</v>
      </c>
      <c r="B1067" s="2" t="s">
        <v>707</v>
      </c>
      <c r="C1067" s="2"/>
      <c r="D1067" s="2"/>
      <c r="E1067" s="3">
        <v>45916</v>
      </c>
      <c r="F1067" s="3">
        <v>45923</v>
      </c>
      <c r="G1067" s="4">
        <v>5</v>
      </c>
      <c r="H1067" s="377" t="e">
        <v>#DIV/0!</v>
      </c>
      <c r="I1067" s="377" t="e">
        <v>#DIV/0!</v>
      </c>
      <c r="J1067" s="2" t="s">
        <v>403</v>
      </c>
      <c r="K1067" s="177">
        <v>300000</v>
      </c>
      <c r="L1067" s="10">
        <v>390000</v>
      </c>
      <c r="M1067" s="8"/>
      <c r="N1067" s="9">
        <v>390000</v>
      </c>
      <c r="O1067" s="9">
        <v>390000</v>
      </c>
      <c r="P1067" s="7">
        <v>0</v>
      </c>
      <c r="Q1067" s="152">
        <v>45915</v>
      </c>
    </row>
    <row r="1068" spans="1:17" ht="20.25" thickBot="1" x14ac:dyDescent="0.3">
      <c r="A1068" s="1">
        <v>3272</v>
      </c>
      <c r="B1068" s="27" t="s">
        <v>159</v>
      </c>
      <c r="C1068" s="27" t="s">
        <v>160</v>
      </c>
      <c r="D1068" s="2"/>
      <c r="E1068" s="3">
        <v>45838</v>
      </c>
      <c r="F1068" s="3">
        <v>45938</v>
      </c>
      <c r="G1068" s="4">
        <v>72</v>
      </c>
      <c r="H1068" s="377">
        <v>72</v>
      </c>
      <c r="I1068" s="377">
        <v>0</v>
      </c>
      <c r="J1068" s="155" t="s">
        <v>161</v>
      </c>
      <c r="K1068" s="10">
        <v>100000</v>
      </c>
      <c r="L1068" s="10">
        <v>216000</v>
      </c>
      <c r="M1068" s="8">
        <v>15000</v>
      </c>
      <c r="N1068" s="9">
        <v>10800</v>
      </c>
      <c r="O1068" s="9">
        <v>216000</v>
      </c>
      <c r="P1068" s="7">
        <v>0</v>
      </c>
      <c r="Q1068" s="152">
        <v>45922</v>
      </c>
    </row>
    <row r="1069" spans="1:17" ht="25.5" thickBot="1" x14ac:dyDescent="0.3">
      <c r="A1069" s="1">
        <v>2617</v>
      </c>
      <c r="B1069" s="27" t="s">
        <v>195</v>
      </c>
      <c r="C1069" s="27" t="s">
        <v>196</v>
      </c>
      <c r="D1069" s="2"/>
      <c r="E1069" s="3">
        <v>45422</v>
      </c>
      <c r="F1069" s="3">
        <v>45618</v>
      </c>
      <c r="G1069" s="4">
        <v>140</v>
      </c>
      <c r="H1069" s="377">
        <v>140</v>
      </c>
      <c r="I1069" s="485">
        <v>0</v>
      </c>
      <c r="J1069" s="487" t="s">
        <v>197</v>
      </c>
      <c r="K1069" s="10">
        <v>250000</v>
      </c>
      <c r="L1069" s="7">
        <v>660100</v>
      </c>
      <c r="M1069" s="8">
        <v>23575</v>
      </c>
      <c r="N1069" s="9">
        <v>37750</v>
      </c>
      <c r="O1069" s="9">
        <v>660100</v>
      </c>
      <c r="P1069" s="10">
        <v>0</v>
      </c>
      <c r="Q1069" s="152">
        <v>45922</v>
      </c>
    </row>
    <row r="1070" spans="1:17" ht="47.25" thickBot="1" x14ac:dyDescent="0.3">
      <c r="A1070" s="4">
        <v>3258</v>
      </c>
      <c r="B1070" s="27" t="s">
        <v>226</v>
      </c>
      <c r="C1070" s="182" t="s">
        <v>223</v>
      </c>
      <c r="D1070" s="2">
        <v>22375673</v>
      </c>
      <c r="E1070" s="3">
        <v>45832</v>
      </c>
      <c r="F1070" s="3">
        <v>45932</v>
      </c>
      <c r="G1070" s="4">
        <v>72</v>
      </c>
      <c r="H1070" s="377">
        <v>72</v>
      </c>
      <c r="I1070" s="485">
        <v>0</v>
      </c>
      <c r="J1070" s="488" t="s">
        <v>188</v>
      </c>
      <c r="K1070" s="10">
        <v>150000</v>
      </c>
      <c r="L1070" s="7">
        <v>324000</v>
      </c>
      <c r="M1070" s="8">
        <v>22500</v>
      </c>
      <c r="N1070" s="9">
        <v>129500</v>
      </c>
      <c r="O1070" s="9">
        <v>324000</v>
      </c>
      <c r="P1070" s="7">
        <v>0</v>
      </c>
      <c r="Q1070" s="152">
        <v>45922</v>
      </c>
    </row>
    <row r="1071" spans="1:17" ht="20.25" thickBot="1" x14ac:dyDescent="0.3">
      <c r="A1071" s="4">
        <v>3259</v>
      </c>
      <c r="B1071" s="27" t="s">
        <v>239</v>
      </c>
      <c r="C1071" s="27" t="s">
        <v>240</v>
      </c>
      <c r="D1071" s="2"/>
      <c r="E1071" s="3">
        <v>45832</v>
      </c>
      <c r="F1071" s="3">
        <v>45930</v>
      </c>
      <c r="G1071" s="4">
        <v>70</v>
      </c>
      <c r="H1071" s="377">
        <v>70</v>
      </c>
      <c r="I1071" s="485">
        <v>0</v>
      </c>
      <c r="J1071" s="489" t="s">
        <v>1257</v>
      </c>
      <c r="K1071" s="10">
        <v>700000</v>
      </c>
      <c r="L1071" s="7">
        <v>1512000</v>
      </c>
      <c r="M1071" s="8">
        <v>108000</v>
      </c>
      <c r="N1071" s="9">
        <v>216000</v>
      </c>
      <c r="O1071" s="9">
        <v>1512000</v>
      </c>
      <c r="P1071" s="7">
        <v>0</v>
      </c>
      <c r="Q1071" s="152">
        <v>45922</v>
      </c>
    </row>
    <row r="1072" spans="1:17" ht="29.25" thickBot="1" x14ac:dyDescent="0.3">
      <c r="A1072" s="4">
        <v>3388</v>
      </c>
      <c r="B1072" s="27" t="s">
        <v>1334</v>
      </c>
      <c r="C1072" s="27" t="s">
        <v>1337</v>
      </c>
      <c r="D1072" s="2">
        <v>27350892988</v>
      </c>
      <c r="E1072" s="3">
        <v>45910</v>
      </c>
      <c r="F1072" s="3">
        <v>45938</v>
      </c>
      <c r="G1072" s="4">
        <v>20</v>
      </c>
      <c r="H1072" s="377">
        <v>20</v>
      </c>
      <c r="I1072" s="486">
        <v>0</v>
      </c>
      <c r="J1072" s="488" t="s">
        <v>1335</v>
      </c>
      <c r="K1072" s="7">
        <v>200000</v>
      </c>
      <c r="L1072" s="7">
        <v>280000</v>
      </c>
      <c r="M1072" s="21">
        <v>70000</v>
      </c>
      <c r="N1072" s="9">
        <v>70000</v>
      </c>
      <c r="O1072" s="9">
        <v>280000</v>
      </c>
      <c r="P1072" s="7">
        <v>0</v>
      </c>
      <c r="Q1072" s="152">
        <v>45922</v>
      </c>
    </row>
    <row r="1073" spans="1:17" ht="29.25" thickBot="1" x14ac:dyDescent="0.3">
      <c r="A1073" s="4">
        <v>2996</v>
      </c>
      <c r="B1073" s="27" t="s">
        <v>246</v>
      </c>
      <c r="C1073" s="27" t="s">
        <v>247</v>
      </c>
      <c r="D1073" s="2">
        <v>27212523</v>
      </c>
      <c r="E1073" s="3">
        <v>45667</v>
      </c>
      <c r="F1073" s="3">
        <v>45821</v>
      </c>
      <c r="G1073" s="4">
        <v>110</v>
      </c>
      <c r="H1073" s="377">
        <v>126.51041666666667</v>
      </c>
      <c r="I1073" s="485">
        <v>-16.510416666666671</v>
      </c>
      <c r="J1073" s="487" t="s">
        <v>249</v>
      </c>
      <c r="K1073" s="7">
        <v>80000</v>
      </c>
      <c r="L1073" s="7">
        <v>211200</v>
      </c>
      <c r="M1073" s="21">
        <v>9600</v>
      </c>
      <c r="N1073" s="9">
        <v>60000</v>
      </c>
      <c r="O1073" s="9">
        <v>242900</v>
      </c>
      <c r="P1073" s="7">
        <v>-31700</v>
      </c>
      <c r="Q1073" s="152">
        <v>45922</v>
      </c>
    </row>
    <row r="1074" spans="1:17" ht="38.25" thickBot="1" x14ac:dyDescent="0.3">
      <c r="A1074" s="1">
        <v>3140</v>
      </c>
      <c r="B1074" s="27" t="s">
        <v>274</v>
      </c>
      <c r="C1074" s="27" t="s">
        <v>270</v>
      </c>
      <c r="D1074" s="2"/>
      <c r="E1074" s="3">
        <v>45750</v>
      </c>
      <c r="F1074" s="3">
        <v>45852</v>
      </c>
      <c r="G1074" s="4">
        <v>72</v>
      </c>
      <c r="H1074" s="377">
        <v>72</v>
      </c>
      <c r="I1074" s="377">
        <v>0</v>
      </c>
      <c r="J1074" s="155" t="s">
        <v>161</v>
      </c>
      <c r="K1074" s="7">
        <v>100000</v>
      </c>
      <c r="L1074" s="7">
        <v>216000</v>
      </c>
      <c r="M1074" s="8">
        <v>15000</v>
      </c>
      <c r="N1074" s="9">
        <v>6000</v>
      </c>
      <c r="O1074" s="9">
        <v>216000</v>
      </c>
      <c r="P1074" s="10">
        <v>0</v>
      </c>
      <c r="Q1074" s="152">
        <v>45922</v>
      </c>
    </row>
    <row r="1075" spans="1:17" ht="65.25" thickBot="1" x14ac:dyDescent="0.3">
      <c r="A1075" s="1">
        <v>3335</v>
      </c>
      <c r="B1075" s="27" t="s">
        <v>1300</v>
      </c>
      <c r="C1075" s="27" t="s">
        <v>1301</v>
      </c>
      <c r="D1075" s="2"/>
      <c r="E1075" s="3">
        <v>45878</v>
      </c>
      <c r="F1075" s="3">
        <v>45961</v>
      </c>
      <c r="G1075" s="4">
        <v>60</v>
      </c>
      <c r="H1075" s="377">
        <v>60</v>
      </c>
      <c r="I1075" s="151">
        <v>0</v>
      </c>
      <c r="J1075" s="355" t="s">
        <v>1302</v>
      </c>
      <c r="K1075" s="7">
        <v>400000</v>
      </c>
      <c r="L1075" s="7">
        <v>768000</v>
      </c>
      <c r="M1075" s="8">
        <v>64000</v>
      </c>
      <c r="N1075" s="9">
        <v>256000</v>
      </c>
      <c r="O1075" s="9">
        <v>768000</v>
      </c>
      <c r="P1075" s="10">
        <v>0</v>
      </c>
      <c r="Q1075" s="152">
        <v>45922</v>
      </c>
    </row>
    <row r="1076" spans="1:17" ht="46.5" thickBot="1" x14ac:dyDescent="0.3">
      <c r="A1076" s="1">
        <v>3400</v>
      </c>
      <c r="B1076" s="27" t="s">
        <v>172</v>
      </c>
      <c r="C1076" s="27" t="s">
        <v>173</v>
      </c>
      <c r="D1076" s="2" t="s">
        <v>174</v>
      </c>
      <c r="E1076" s="3">
        <v>45916</v>
      </c>
      <c r="F1076" s="3">
        <v>45923</v>
      </c>
      <c r="G1076" s="4">
        <v>5</v>
      </c>
      <c r="H1076" s="355" t="s">
        <v>368</v>
      </c>
      <c r="I1076" s="10">
        <v>100000</v>
      </c>
      <c r="J1076" s="10">
        <v>145000</v>
      </c>
      <c r="K1076" s="21"/>
      <c r="L1076" s="7">
        <v>145000</v>
      </c>
      <c r="M1076" s="8"/>
      <c r="N1076" s="9">
        <v>45000</v>
      </c>
      <c r="O1076" s="9">
        <v>145000</v>
      </c>
      <c r="P1076" s="10">
        <v>0</v>
      </c>
      <c r="Q1076" s="152">
        <v>45929</v>
      </c>
    </row>
    <row r="1077" spans="1:17" ht="47.25" thickBot="1" x14ac:dyDescent="0.3">
      <c r="A1077" s="1">
        <v>3240</v>
      </c>
      <c r="B1077" s="27" t="s">
        <v>294</v>
      </c>
      <c r="C1077" s="27" t="s">
        <v>291</v>
      </c>
      <c r="D1077" s="2"/>
      <c r="E1077" s="3">
        <v>45822</v>
      </c>
      <c r="F1077" s="3">
        <v>45923</v>
      </c>
      <c r="G1077" s="4">
        <v>72</v>
      </c>
      <c r="H1077" s="155" t="s">
        <v>165</v>
      </c>
      <c r="I1077" s="10">
        <v>200000</v>
      </c>
      <c r="J1077" s="10">
        <v>432000</v>
      </c>
      <c r="K1077" s="21">
        <v>30000</v>
      </c>
      <c r="L1077" s="7">
        <v>432000</v>
      </c>
      <c r="M1077" s="8">
        <v>30000</v>
      </c>
      <c r="N1077" s="9">
        <v>42000</v>
      </c>
      <c r="O1077" s="9">
        <v>432000</v>
      </c>
      <c r="P1077" s="10">
        <v>0</v>
      </c>
      <c r="Q1077" s="152">
        <v>45929</v>
      </c>
    </row>
    <row r="1078" spans="1:17" ht="38.25" thickBot="1" x14ac:dyDescent="0.3">
      <c r="A1078" s="1">
        <v>3175</v>
      </c>
      <c r="B1078" s="27" t="s">
        <v>406</v>
      </c>
      <c r="C1078" s="27" t="s">
        <v>407</v>
      </c>
      <c r="D1078" s="2"/>
      <c r="E1078" s="3">
        <v>45777</v>
      </c>
      <c r="F1078" s="3">
        <v>45945</v>
      </c>
      <c r="G1078" s="4">
        <v>120</v>
      </c>
      <c r="H1078" s="355" t="s">
        <v>153</v>
      </c>
      <c r="I1078" s="10">
        <v>100000</v>
      </c>
      <c r="J1078" s="10">
        <v>264000</v>
      </c>
      <c r="K1078" s="21">
        <v>11000</v>
      </c>
      <c r="L1078" s="7">
        <v>264000</v>
      </c>
      <c r="M1078" s="8">
        <v>11000</v>
      </c>
      <c r="N1078" s="9">
        <v>98000</v>
      </c>
      <c r="O1078" s="9">
        <v>264000</v>
      </c>
      <c r="P1078" s="10">
        <v>0</v>
      </c>
      <c r="Q1078" s="152">
        <v>45929</v>
      </c>
    </row>
    <row r="1079" spans="1:17" ht="35.25" thickBot="1" x14ac:dyDescent="0.3">
      <c r="A1079" s="1">
        <v>3241</v>
      </c>
      <c r="B1079" s="2" t="s">
        <v>739</v>
      </c>
      <c r="C1079" s="2" t="s">
        <v>740</v>
      </c>
      <c r="D1079" s="2">
        <v>24324078</v>
      </c>
      <c r="E1079" s="3">
        <v>45822</v>
      </c>
      <c r="F1079" s="3">
        <v>45933</v>
      </c>
      <c r="G1079" s="29">
        <v>80</v>
      </c>
      <c r="H1079" s="2" t="s">
        <v>351</v>
      </c>
      <c r="I1079" s="10">
        <v>100000</v>
      </c>
      <c r="J1079" s="10">
        <v>216000</v>
      </c>
      <c r="K1079" s="21">
        <v>13500</v>
      </c>
      <c r="L1079" s="7">
        <v>216000</v>
      </c>
      <c r="M1079" s="8">
        <v>13500</v>
      </c>
      <c r="N1079" s="9">
        <v>54000</v>
      </c>
      <c r="O1079" s="9">
        <v>216000</v>
      </c>
      <c r="P1079" s="10">
        <v>0</v>
      </c>
      <c r="Q1079" s="152">
        <v>45929</v>
      </c>
    </row>
    <row r="1080" spans="1:17" ht="29.25" thickBot="1" x14ac:dyDescent="0.3">
      <c r="A1080" s="17">
        <v>3422</v>
      </c>
      <c r="B1080" s="27" t="s">
        <v>1357</v>
      </c>
      <c r="C1080" s="27"/>
      <c r="D1080" s="2"/>
      <c r="E1080" s="3">
        <v>45930</v>
      </c>
      <c r="F1080" s="3">
        <v>45937</v>
      </c>
      <c r="G1080" s="4">
        <v>5</v>
      </c>
      <c r="H1080" s="155" t="s">
        <v>368</v>
      </c>
      <c r="I1080" s="10">
        <v>20000</v>
      </c>
      <c r="J1080" s="10">
        <v>26000</v>
      </c>
      <c r="K1080" s="21" t="s">
        <v>143</v>
      </c>
      <c r="L1080" s="7">
        <v>26000</v>
      </c>
      <c r="M1080" s="8" t="s">
        <v>143</v>
      </c>
      <c r="N1080" s="43">
        <v>26000</v>
      </c>
      <c r="O1080" s="9">
        <v>26000</v>
      </c>
      <c r="P1080" s="7">
        <v>0</v>
      </c>
      <c r="Q1080" s="152">
        <v>45929</v>
      </c>
    </row>
    <row r="1081" spans="1:17" ht="83.25" thickBot="1" x14ac:dyDescent="0.3">
      <c r="A1081" s="4">
        <v>3221</v>
      </c>
      <c r="B1081" s="27" t="s">
        <v>334</v>
      </c>
      <c r="C1081" s="27" t="s">
        <v>335</v>
      </c>
      <c r="D1081" s="2">
        <v>27249921551</v>
      </c>
      <c r="E1081" s="3">
        <v>45806</v>
      </c>
      <c r="F1081" s="3">
        <v>45908</v>
      </c>
      <c r="G1081" s="4">
        <v>72</v>
      </c>
      <c r="H1081" s="377">
        <v>72</v>
      </c>
      <c r="I1081" s="377">
        <v>0</v>
      </c>
      <c r="J1081" s="155" t="s">
        <v>464</v>
      </c>
      <c r="K1081" s="177">
        <v>70000</v>
      </c>
      <c r="L1081" s="10">
        <v>151200</v>
      </c>
      <c r="M1081" s="8">
        <v>10500</v>
      </c>
      <c r="N1081" s="9">
        <v>14700</v>
      </c>
      <c r="O1081" s="9">
        <v>151200</v>
      </c>
      <c r="P1081" s="7">
        <v>0</v>
      </c>
      <c r="Q1081" s="152">
        <v>45936</v>
      </c>
    </row>
    <row r="1082" spans="1:17" ht="25.5" thickBot="1" x14ac:dyDescent="0.3">
      <c r="A1082" s="4">
        <v>3263</v>
      </c>
      <c r="B1082" s="27" t="s">
        <v>355</v>
      </c>
      <c r="C1082" s="27" t="s">
        <v>356</v>
      </c>
      <c r="D1082" s="2"/>
      <c r="E1082" s="3">
        <v>45834</v>
      </c>
      <c r="F1082" s="3">
        <v>45862</v>
      </c>
      <c r="G1082" s="4">
        <v>20</v>
      </c>
      <c r="H1082" s="377" t="e">
        <v>#VALUE!</v>
      </c>
      <c r="I1082" s="377" t="e">
        <v>#VALUE!</v>
      </c>
      <c r="J1082" s="355" t="s">
        <v>293</v>
      </c>
      <c r="K1082" s="7">
        <v>50000</v>
      </c>
      <c r="L1082" s="7">
        <v>130000</v>
      </c>
      <c r="M1082" s="8" t="s">
        <v>1359</v>
      </c>
      <c r="N1082" s="9">
        <v>90000</v>
      </c>
      <c r="O1082" s="9">
        <v>130000</v>
      </c>
      <c r="P1082" s="7">
        <v>0</v>
      </c>
      <c r="Q1082" s="152">
        <v>45936</v>
      </c>
    </row>
    <row r="1083" spans="1:17" ht="47.25" thickBot="1" x14ac:dyDescent="0.3">
      <c r="A1083" s="4">
        <v>3308</v>
      </c>
      <c r="B1083" s="27" t="s">
        <v>1286</v>
      </c>
      <c r="C1083" s="27" t="s">
        <v>1287</v>
      </c>
      <c r="D1083" s="2"/>
      <c r="E1083" s="3">
        <v>45861</v>
      </c>
      <c r="F1083" s="3">
        <v>45938</v>
      </c>
      <c r="G1083" s="4">
        <v>55</v>
      </c>
      <c r="H1083" s="377">
        <v>55</v>
      </c>
      <c r="I1083" s="377">
        <v>0</v>
      </c>
      <c r="J1083" s="155" t="s">
        <v>1288</v>
      </c>
      <c r="K1083" s="10">
        <v>300000</v>
      </c>
      <c r="L1083" s="10">
        <v>565730</v>
      </c>
      <c r="M1083" s="8">
        <v>51430</v>
      </c>
      <c r="N1083" s="9">
        <v>51430</v>
      </c>
      <c r="O1083" s="9">
        <v>565730</v>
      </c>
      <c r="P1083" s="7">
        <v>0</v>
      </c>
      <c r="Q1083" s="152">
        <v>45936</v>
      </c>
    </row>
    <row r="1084" spans="1:17" ht="15.75" thickBot="1" x14ac:dyDescent="0.3">
      <c r="A1084" s="4">
        <v>3389</v>
      </c>
      <c r="B1084" s="27" t="s">
        <v>1336</v>
      </c>
      <c r="C1084" s="27"/>
      <c r="D1084" s="2"/>
      <c r="E1084" s="3">
        <v>45910</v>
      </c>
      <c r="F1084" s="3">
        <v>45820</v>
      </c>
      <c r="G1084" s="4">
        <v>20</v>
      </c>
      <c r="H1084" s="377" t="e">
        <v>#DIV/0!</v>
      </c>
      <c r="I1084" s="377" t="e">
        <v>#DIV/0!</v>
      </c>
      <c r="J1084" s="355" t="s">
        <v>368</v>
      </c>
      <c r="K1084" s="7">
        <v>50000</v>
      </c>
      <c r="L1084" s="7">
        <v>75000</v>
      </c>
      <c r="M1084" s="8"/>
      <c r="N1084" s="9">
        <v>75000</v>
      </c>
      <c r="O1084" s="9">
        <v>75000</v>
      </c>
      <c r="P1084" s="7">
        <v>0</v>
      </c>
      <c r="Q1084" s="152">
        <v>45936</v>
      </c>
    </row>
    <row r="1085" spans="1:17" ht="15.75" thickBot="1" x14ac:dyDescent="0.3">
      <c r="A1085" s="372">
        <v>3424</v>
      </c>
      <c r="B1085" s="27" t="s">
        <v>1336</v>
      </c>
      <c r="C1085" s="27"/>
      <c r="D1085" s="2"/>
      <c r="E1085" s="3">
        <v>45931</v>
      </c>
      <c r="F1085" s="3">
        <v>45945</v>
      </c>
      <c r="G1085" s="4">
        <v>10</v>
      </c>
      <c r="H1085" s="377" t="e">
        <v>#DIV/0!</v>
      </c>
      <c r="I1085" s="377" t="e">
        <v>#DIV/0!</v>
      </c>
      <c r="J1085" s="355" t="s">
        <v>368</v>
      </c>
      <c r="K1085" s="7">
        <v>15000</v>
      </c>
      <c r="L1085" s="7">
        <v>22500</v>
      </c>
      <c r="M1085" s="8"/>
      <c r="N1085" s="9">
        <v>22500</v>
      </c>
      <c r="O1085" s="9">
        <v>22500</v>
      </c>
      <c r="P1085" s="7">
        <v>0</v>
      </c>
      <c r="Q1085" s="152">
        <v>45936</v>
      </c>
    </row>
    <row r="1086" spans="1:17" ht="20.25" thickBot="1" x14ac:dyDescent="0.3">
      <c r="A1086" s="4">
        <v>3384</v>
      </c>
      <c r="B1086" s="27" t="s">
        <v>1274</v>
      </c>
      <c r="C1086" s="27"/>
      <c r="D1086" s="2"/>
      <c r="E1086" s="3">
        <v>45909</v>
      </c>
      <c r="F1086" s="3">
        <v>45820</v>
      </c>
      <c r="G1086" s="4">
        <v>20</v>
      </c>
      <c r="H1086" s="377" t="e">
        <v>#VALUE!</v>
      </c>
      <c r="I1086" s="377" t="e">
        <v>#VALUE!</v>
      </c>
      <c r="J1086" s="355" t="s">
        <v>368</v>
      </c>
      <c r="K1086" s="10">
        <v>100000</v>
      </c>
      <c r="L1086" s="10">
        <v>150000</v>
      </c>
      <c r="M1086" s="8" t="s">
        <v>143</v>
      </c>
      <c r="N1086" s="9">
        <v>150000</v>
      </c>
      <c r="O1086" s="9">
        <v>150000</v>
      </c>
      <c r="P1086" s="7">
        <v>0</v>
      </c>
      <c r="Q1086" s="152">
        <v>45936</v>
      </c>
    </row>
    <row r="1087" spans="1:17" ht="47.25" thickBot="1" x14ac:dyDescent="0.3">
      <c r="A1087" s="4">
        <v>3249</v>
      </c>
      <c r="B1087" s="27" t="s">
        <v>369</v>
      </c>
      <c r="C1087" s="27" t="s">
        <v>370</v>
      </c>
      <c r="D1087" s="2"/>
      <c r="E1087" s="3">
        <v>45826</v>
      </c>
      <c r="F1087" s="3">
        <v>45938</v>
      </c>
      <c r="G1087" s="4">
        <v>80</v>
      </c>
      <c r="H1087" s="377">
        <v>80</v>
      </c>
      <c r="I1087" s="377">
        <v>0</v>
      </c>
      <c r="J1087" s="355" t="s">
        <v>991</v>
      </c>
      <c r="K1087" s="10">
        <v>300000</v>
      </c>
      <c r="L1087" s="10">
        <v>648000</v>
      </c>
      <c r="M1087" s="8">
        <v>40500</v>
      </c>
      <c r="N1087" s="9">
        <v>162000</v>
      </c>
      <c r="O1087" s="9">
        <v>648000</v>
      </c>
      <c r="P1087" s="7">
        <v>0</v>
      </c>
      <c r="Q1087" s="152">
        <v>45936</v>
      </c>
    </row>
    <row r="1088" spans="1:17" ht="49.5" thickBot="1" x14ac:dyDescent="0.3">
      <c r="A1088" s="4">
        <v>3261</v>
      </c>
      <c r="B1088" s="155" t="s">
        <v>543</v>
      </c>
      <c r="C1088" s="155" t="s">
        <v>407</v>
      </c>
      <c r="D1088" s="155"/>
      <c r="E1088" s="3">
        <v>45832</v>
      </c>
      <c r="F1088" s="156">
        <v>45138</v>
      </c>
      <c r="G1088" s="4">
        <v>72</v>
      </c>
      <c r="H1088" s="377">
        <v>72</v>
      </c>
      <c r="I1088" s="377">
        <v>0</v>
      </c>
      <c r="J1088" s="2" t="s">
        <v>181</v>
      </c>
      <c r="K1088" s="158">
        <v>30000</v>
      </c>
      <c r="L1088" s="158">
        <v>64800</v>
      </c>
      <c r="M1088" s="8">
        <v>4500</v>
      </c>
      <c r="N1088" s="9">
        <v>24300</v>
      </c>
      <c r="O1088" s="9">
        <v>64800</v>
      </c>
      <c r="P1088" s="7">
        <v>0</v>
      </c>
      <c r="Q1088" s="152">
        <v>45936</v>
      </c>
    </row>
    <row r="1089" spans="1:17" ht="15.75" thickBot="1" x14ac:dyDescent="0.3">
      <c r="A1089" s="4">
        <v>3393</v>
      </c>
      <c r="B1089" s="2" t="s">
        <v>727</v>
      </c>
      <c r="C1089" s="27"/>
      <c r="D1089" s="2"/>
      <c r="E1089" s="3">
        <v>45912</v>
      </c>
      <c r="F1089" s="3">
        <v>45940</v>
      </c>
      <c r="G1089" s="4">
        <v>20</v>
      </c>
      <c r="H1089" s="377" t="e">
        <v>#DIV/0!</v>
      </c>
      <c r="I1089" s="377" t="e">
        <v>#DIV/0!</v>
      </c>
      <c r="J1089" s="355" t="s">
        <v>368</v>
      </c>
      <c r="K1089" s="7">
        <v>50000</v>
      </c>
      <c r="L1089" s="7">
        <v>80000</v>
      </c>
      <c r="M1089" s="8"/>
      <c r="N1089" s="9">
        <v>80000</v>
      </c>
      <c r="O1089" s="9">
        <v>80000</v>
      </c>
      <c r="P1089" s="7">
        <v>0</v>
      </c>
      <c r="Q1089" s="152">
        <v>45936</v>
      </c>
    </row>
    <row r="1090" spans="1:17" ht="15.75" thickBot="1" x14ac:dyDescent="0.3">
      <c r="A1090" s="4">
        <v>3396</v>
      </c>
      <c r="B1090" s="2" t="s">
        <v>727</v>
      </c>
      <c r="C1090" s="27"/>
      <c r="D1090" s="2"/>
      <c r="E1090" s="3">
        <v>45913</v>
      </c>
      <c r="F1090" s="3">
        <v>45933</v>
      </c>
      <c r="G1090" s="4">
        <v>15</v>
      </c>
      <c r="H1090" s="377" t="e">
        <v>#DIV/0!</v>
      </c>
      <c r="I1090" s="377" t="e">
        <v>#DIV/0!</v>
      </c>
      <c r="J1090" s="355" t="s">
        <v>368</v>
      </c>
      <c r="K1090" s="7">
        <v>40000</v>
      </c>
      <c r="L1090" s="7">
        <v>64000</v>
      </c>
      <c r="M1090" s="8"/>
      <c r="N1090" s="9">
        <v>64000</v>
      </c>
      <c r="O1090" s="9">
        <v>64000</v>
      </c>
      <c r="P1090" s="7">
        <v>0</v>
      </c>
      <c r="Q1090" s="152">
        <v>45936</v>
      </c>
    </row>
    <row r="1091" spans="1:17" ht="15.75" thickBot="1" x14ac:dyDescent="0.3">
      <c r="A1091" s="4">
        <v>3402</v>
      </c>
      <c r="B1091" s="2" t="s">
        <v>727</v>
      </c>
      <c r="C1091" s="27"/>
      <c r="D1091" s="2"/>
      <c r="E1091" s="3">
        <v>45917</v>
      </c>
      <c r="F1091" s="3">
        <v>45938</v>
      </c>
      <c r="G1091" s="4">
        <v>15</v>
      </c>
      <c r="H1091" s="377" t="e">
        <v>#DIV/0!</v>
      </c>
      <c r="I1091" s="377" t="e">
        <v>#DIV/0!</v>
      </c>
      <c r="J1091" s="355" t="s">
        <v>368</v>
      </c>
      <c r="K1091" s="7">
        <v>30000</v>
      </c>
      <c r="L1091" s="7">
        <v>48000</v>
      </c>
      <c r="M1091" s="8"/>
      <c r="N1091" s="9">
        <v>48000</v>
      </c>
      <c r="O1091" s="9">
        <v>48000</v>
      </c>
      <c r="P1091" s="7">
        <v>0</v>
      </c>
      <c r="Q1091" s="152">
        <v>45936</v>
      </c>
    </row>
    <row r="1092" spans="1:17" ht="15.75" thickBot="1" x14ac:dyDescent="0.3">
      <c r="A1092" s="4">
        <v>3408</v>
      </c>
      <c r="B1092" s="2" t="s">
        <v>727</v>
      </c>
      <c r="C1092" s="27"/>
      <c r="D1092" s="2"/>
      <c r="E1092" s="3">
        <v>45920</v>
      </c>
      <c r="F1092" s="3">
        <v>45940</v>
      </c>
      <c r="G1092" s="4">
        <v>15</v>
      </c>
      <c r="H1092" s="377" t="e">
        <v>#DIV/0!</v>
      </c>
      <c r="I1092" s="377" t="e">
        <v>#DIV/0!</v>
      </c>
      <c r="J1092" s="355" t="s">
        <v>368</v>
      </c>
      <c r="K1092" s="7">
        <v>40000</v>
      </c>
      <c r="L1092" s="7">
        <v>64000</v>
      </c>
      <c r="M1092" s="8"/>
      <c r="N1092" s="9">
        <v>64000</v>
      </c>
      <c r="O1092" s="9">
        <v>64000</v>
      </c>
      <c r="P1092" s="7">
        <v>0</v>
      </c>
      <c r="Q1092" s="152">
        <v>45936</v>
      </c>
    </row>
    <row r="1093" spans="1:17" ht="15.75" thickBot="1" x14ac:dyDescent="0.3">
      <c r="A1093" s="4">
        <v>3411</v>
      </c>
      <c r="B1093" s="2" t="s">
        <v>727</v>
      </c>
      <c r="C1093" s="27"/>
      <c r="D1093" s="2"/>
      <c r="E1093" s="3">
        <v>45922</v>
      </c>
      <c r="F1093" s="3">
        <v>45943</v>
      </c>
      <c r="G1093" s="4">
        <v>15</v>
      </c>
      <c r="H1093" s="377" t="e">
        <v>#DIV/0!</v>
      </c>
      <c r="I1093" s="377" t="e">
        <v>#DIV/0!</v>
      </c>
      <c r="J1093" s="355" t="s">
        <v>368</v>
      </c>
      <c r="K1093" s="10">
        <v>30000</v>
      </c>
      <c r="L1093" s="10">
        <v>48000</v>
      </c>
      <c r="M1093" s="21"/>
      <c r="N1093" s="9">
        <v>48000</v>
      </c>
      <c r="O1093" s="9">
        <v>48000</v>
      </c>
      <c r="P1093" s="7">
        <v>0</v>
      </c>
      <c r="Q1093" s="152">
        <v>45936</v>
      </c>
    </row>
    <row r="1094" spans="1:17" ht="29.25" thickBot="1" x14ac:dyDescent="0.3">
      <c r="A1094" s="4">
        <v>3397</v>
      </c>
      <c r="B1094" s="27" t="s">
        <v>151</v>
      </c>
      <c r="C1094" s="27" t="s">
        <v>152</v>
      </c>
      <c r="D1094" s="2"/>
      <c r="E1094" s="3">
        <v>45915</v>
      </c>
      <c r="F1094" s="3">
        <v>45940</v>
      </c>
      <c r="G1094" s="4">
        <v>19</v>
      </c>
      <c r="H1094" s="377" t="e">
        <v>#DIV/0!</v>
      </c>
      <c r="I1094" s="377" t="e">
        <v>#DIV/0!</v>
      </c>
      <c r="J1094" s="355" t="s">
        <v>948</v>
      </c>
      <c r="K1094" s="19">
        <v>100000</v>
      </c>
      <c r="L1094" s="7">
        <v>150000</v>
      </c>
      <c r="M1094" s="8"/>
      <c r="N1094" s="9">
        <v>150000</v>
      </c>
      <c r="O1094" s="9">
        <v>150000</v>
      </c>
      <c r="P1094" s="7">
        <v>0</v>
      </c>
      <c r="Q1094" s="152">
        <v>45943</v>
      </c>
    </row>
    <row r="1095" spans="1:17" ht="38.25" thickBot="1" x14ac:dyDescent="0.3">
      <c r="A1095" s="1">
        <v>3334</v>
      </c>
      <c r="B1095" s="27" t="s">
        <v>179</v>
      </c>
      <c r="C1095" s="27" t="s">
        <v>180</v>
      </c>
      <c r="D1095" s="2"/>
      <c r="E1095" s="3">
        <v>45877</v>
      </c>
      <c r="F1095" s="3">
        <v>45940</v>
      </c>
      <c r="G1095" s="4">
        <v>45</v>
      </c>
      <c r="H1095" s="377">
        <v>45</v>
      </c>
      <c r="I1095" s="377">
        <v>0</v>
      </c>
      <c r="J1095" s="155" t="s">
        <v>1299</v>
      </c>
      <c r="K1095" s="7">
        <v>67100</v>
      </c>
      <c r="L1095" s="7">
        <v>94500</v>
      </c>
      <c r="M1095" s="8">
        <v>10500</v>
      </c>
      <c r="N1095" s="9">
        <v>11000</v>
      </c>
      <c r="O1095" s="9">
        <v>94500</v>
      </c>
      <c r="P1095" s="10">
        <v>0</v>
      </c>
      <c r="Q1095" s="152">
        <v>45943</v>
      </c>
    </row>
    <row r="1096" spans="1:17" ht="20.25" thickBot="1" x14ac:dyDescent="0.3">
      <c r="A1096" s="1">
        <v>3111</v>
      </c>
      <c r="B1096" s="27" t="s">
        <v>275</v>
      </c>
      <c r="C1096" s="27"/>
      <c r="D1096" s="2"/>
      <c r="E1096" s="3">
        <v>45733</v>
      </c>
      <c r="F1096" s="3">
        <v>45845</v>
      </c>
      <c r="G1096" s="4">
        <v>80</v>
      </c>
      <c r="H1096" s="377">
        <v>94.074074074074076</v>
      </c>
      <c r="I1096" s="377">
        <v>-14.074074074074076</v>
      </c>
      <c r="J1096" s="355" t="s">
        <v>277</v>
      </c>
      <c r="K1096" s="10">
        <v>50000</v>
      </c>
      <c r="L1096" s="10">
        <v>108000</v>
      </c>
      <c r="M1096" s="8">
        <v>6750</v>
      </c>
      <c r="N1096" s="9">
        <v>54000</v>
      </c>
      <c r="O1096" s="9">
        <v>127000</v>
      </c>
      <c r="P1096" s="10">
        <v>-19000</v>
      </c>
      <c r="Q1096" s="152">
        <v>45943</v>
      </c>
    </row>
    <row r="1097" spans="1:17" ht="29.25" thickBot="1" x14ac:dyDescent="0.3">
      <c r="A1097" s="1">
        <v>3206</v>
      </c>
      <c r="B1097" s="27" t="s">
        <v>278</v>
      </c>
      <c r="C1097" s="27" t="s">
        <v>208</v>
      </c>
      <c r="D1097" s="2"/>
      <c r="E1097" s="3">
        <v>45798</v>
      </c>
      <c r="F1097" s="3">
        <v>45952</v>
      </c>
      <c r="G1097" s="4">
        <v>110</v>
      </c>
      <c r="H1097" s="377">
        <v>110</v>
      </c>
      <c r="I1097" s="377">
        <v>0</v>
      </c>
      <c r="J1097" s="192" t="s">
        <v>279</v>
      </c>
      <c r="K1097" s="7">
        <v>100000</v>
      </c>
      <c r="L1097" s="7">
        <v>264000</v>
      </c>
      <c r="M1097" s="8">
        <v>12000</v>
      </c>
      <c r="N1097" s="9">
        <v>24000</v>
      </c>
      <c r="O1097" s="9">
        <v>264000</v>
      </c>
      <c r="P1097" s="7">
        <v>0</v>
      </c>
      <c r="Q1097" s="152">
        <v>45943</v>
      </c>
    </row>
    <row r="1098" spans="1:17" ht="20.25" thickBot="1" x14ac:dyDescent="0.3">
      <c r="A1098" s="1">
        <v>3149</v>
      </c>
      <c r="B1098" s="27" t="s">
        <v>286</v>
      </c>
      <c r="C1098" s="27" t="s">
        <v>287</v>
      </c>
      <c r="D1098" s="2"/>
      <c r="E1098" s="3">
        <v>45758</v>
      </c>
      <c r="F1098" s="3">
        <v>45982</v>
      </c>
      <c r="G1098" s="4">
        <v>160</v>
      </c>
      <c r="H1098" s="377">
        <v>160</v>
      </c>
      <c r="I1098" s="377">
        <v>0</v>
      </c>
      <c r="J1098" s="355" t="s">
        <v>1190</v>
      </c>
      <c r="K1098" s="7">
        <v>250000</v>
      </c>
      <c r="L1098" s="7">
        <v>750400</v>
      </c>
      <c r="M1098" s="8">
        <v>23450</v>
      </c>
      <c r="N1098" s="9">
        <v>187000</v>
      </c>
      <c r="O1098" s="9">
        <v>750400</v>
      </c>
      <c r="P1098" s="7">
        <v>0</v>
      </c>
      <c r="Q1098" s="152">
        <v>45943</v>
      </c>
    </row>
    <row r="1099" spans="1:17" ht="56.25" thickBot="1" x14ac:dyDescent="0.3">
      <c r="A1099" s="4">
        <v>3399</v>
      </c>
      <c r="B1099" s="27" t="s">
        <v>290</v>
      </c>
      <c r="C1099" s="27" t="s">
        <v>1283</v>
      </c>
      <c r="D1099" s="2">
        <v>27355741082</v>
      </c>
      <c r="E1099" s="3">
        <v>45915</v>
      </c>
      <c r="F1099" s="3">
        <v>45943</v>
      </c>
      <c r="G1099" s="4">
        <v>20</v>
      </c>
      <c r="H1099" s="377" t="e">
        <v>#DIV/0!</v>
      </c>
      <c r="I1099" s="151" t="e">
        <v>#VALUE!</v>
      </c>
      <c r="J1099" s="355" t="s">
        <v>368</v>
      </c>
      <c r="K1099" s="7">
        <v>150000</v>
      </c>
      <c r="L1099" s="7">
        <v>225000</v>
      </c>
      <c r="M1099" s="8"/>
      <c r="N1099" s="9">
        <v>225000</v>
      </c>
      <c r="O1099" s="9">
        <v>225000</v>
      </c>
      <c r="P1099" s="7">
        <v>0</v>
      </c>
      <c r="Q1099" s="152">
        <v>45943</v>
      </c>
    </row>
    <row r="1100" spans="1:17" ht="24" thickBot="1" x14ac:dyDescent="0.3">
      <c r="A1100" s="4">
        <v>3428</v>
      </c>
      <c r="B1100" s="2" t="s">
        <v>707</v>
      </c>
      <c r="C1100" s="2"/>
      <c r="D1100" s="2"/>
      <c r="E1100" s="3">
        <v>45937</v>
      </c>
      <c r="F1100" s="3">
        <v>45923</v>
      </c>
      <c r="G1100" s="4">
        <v>5</v>
      </c>
      <c r="H1100" s="377" t="e">
        <v>#DIV/0!</v>
      </c>
      <c r="I1100" s="377" t="e">
        <v>#DIV/0!</v>
      </c>
      <c r="J1100" s="2" t="s">
        <v>403</v>
      </c>
      <c r="K1100" s="20">
        <v>150000</v>
      </c>
      <c r="L1100" s="7">
        <v>195000</v>
      </c>
      <c r="M1100" s="8"/>
      <c r="N1100" s="9">
        <v>195000</v>
      </c>
      <c r="O1100" s="9">
        <v>195000</v>
      </c>
      <c r="P1100" s="7">
        <v>0</v>
      </c>
      <c r="Q1100" s="152">
        <v>45943</v>
      </c>
    </row>
    <row r="1101" spans="1:17" ht="38.25" thickBot="1" x14ac:dyDescent="0.3">
      <c r="A1101" s="4">
        <v>3085</v>
      </c>
      <c r="B1101" s="27" t="s">
        <v>316</v>
      </c>
      <c r="C1101" s="27" t="s">
        <v>317</v>
      </c>
      <c r="D1101" s="2"/>
      <c r="E1101" s="3">
        <v>45715</v>
      </c>
      <c r="F1101" s="3">
        <v>45817</v>
      </c>
      <c r="G1101" s="4">
        <v>72</v>
      </c>
      <c r="H1101" s="377">
        <v>72</v>
      </c>
      <c r="I1101" s="377">
        <v>0</v>
      </c>
      <c r="J1101" s="155" t="s">
        <v>318</v>
      </c>
      <c r="K1101" s="7">
        <v>15000</v>
      </c>
      <c r="L1101" s="7">
        <v>32400</v>
      </c>
      <c r="M1101" s="8">
        <v>2250</v>
      </c>
      <c r="N1101" s="9">
        <v>2650</v>
      </c>
      <c r="O1101" s="9">
        <v>32400</v>
      </c>
      <c r="P1101" s="7">
        <v>0</v>
      </c>
      <c r="Q1101" s="152">
        <v>45943</v>
      </c>
    </row>
    <row r="1102" spans="1:17" ht="29.25" thickBot="1" x14ac:dyDescent="0.3">
      <c r="A1102" s="4">
        <v>3173</v>
      </c>
      <c r="B1102" s="27" t="s">
        <v>385</v>
      </c>
      <c r="C1102" s="426" t="s">
        <v>386</v>
      </c>
      <c r="D1102" s="2"/>
      <c r="E1102" s="3">
        <v>45776</v>
      </c>
      <c r="F1102" s="3">
        <v>45876</v>
      </c>
      <c r="G1102" s="4">
        <v>72</v>
      </c>
      <c r="H1102" s="377">
        <v>72</v>
      </c>
      <c r="I1102" s="377">
        <v>0</v>
      </c>
      <c r="J1102" s="155" t="s">
        <v>161</v>
      </c>
      <c r="K1102" s="7">
        <v>100000</v>
      </c>
      <c r="L1102" s="7">
        <v>216000</v>
      </c>
      <c r="M1102" s="8">
        <v>15000</v>
      </c>
      <c r="N1102" s="9">
        <v>7500</v>
      </c>
      <c r="O1102" s="9">
        <v>216000</v>
      </c>
      <c r="P1102" s="7">
        <v>0</v>
      </c>
      <c r="Q1102" s="152">
        <v>45943</v>
      </c>
    </row>
    <row r="1103" spans="1:17" ht="29.25" thickBot="1" x14ac:dyDescent="0.3">
      <c r="A1103" s="4">
        <v>3192</v>
      </c>
      <c r="B1103" s="27" t="s">
        <v>385</v>
      </c>
      <c r="C1103" s="27" t="s">
        <v>386</v>
      </c>
      <c r="D1103" s="2"/>
      <c r="E1103" s="3">
        <v>45791</v>
      </c>
      <c r="F1103" s="3">
        <v>45891</v>
      </c>
      <c r="G1103" s="4">
        <v>72</v>
      </c>
      <c r="H1103" s="377">
        <v>74.666666666666671</v>
      </c>
      <c r="I1103" s="377">
        <v>-2.6666666666666714</v>
      </c>
      <c r="J1103" s="155" t="s">
        <v>161</v>
      </c>
      <c r="K1103" s="10">
        <v>100000</v>
      </c>
      <c r="L1103" s="10">
        <v>216000</v>
      </c>
      <c r="M1103" s="8">
        <v>15000</v>
      </c>
      <c r="N1103" s="9">
        <v>15000</v>
      </c>
      <c r="O1103" s="9">
        <v>224000</v>
      </c>
      <c r="P1103" s="7">
        <v>-8000</v>
      </c>
      <c r="Q1103" s="152">
        <v>45943</v>
      </c>
    </row>
    <row r="1104" spans="1:17" ht="38.25" thickBot="1" x14ac:dyDescent="0.3">
      <c r="A1104" s="4">
        <v>3242</v>
      </c>
      <c r="B1104" s="27" t="s">
        <v>406</v>
      </c>
      <c r="C1104" s="27" t="s">
        <v>407</v>
      </c>
      <c r="D1104" s="2"/>
      <c r="E1104" s="3">
        <v>45825</v>
      </c>
      <c r="F1104" s="3">
        <v>45937</v>
      </c>
      <c r="G1104" s="4">
        <v>80</v>
      </c>
      <c r="H1104" s="377">
        <v>80</v>
      </c>
      <c r="I1104" s="377">
        <v>0</v>
      </c>
      <c r="J1104" s="355" t="s">
        <v>409</v>
      </c>
      <c r="K1104" s="476">
        <v>50000</v>
      </c>
      <c r="L1104" s="10">
        <v>108000</v>
      </c>
      <c r="M1104" s="8">
        <v>6750</v>
      </c>
      <c r="N1104" s="9">
        <v>30000</v>
      </c>
      <c r="O1104" s="9">
        <v>108000</v>
      </c>
      <c r="P1104" s="7">
        <v>0</v>
      </c>
      <c r="Q1104" s="152">
        <v>45943</v>
      </c>
    </row>
    <row r="1105" spans="1:17" ht="56.25" thickBot="1" x14ac:dyDescent="0.3">
      <c r="A1105" s="4">
        <v>2208</v>
      </c>
      <c r="B1105" s="27" t="s">
        <v>431</v>
      </c>
      <c r="C1105" s="27" t="s">
        <v>432</v>
      </c>
      <c r="D1105" s="2"/>
      <c r="E1105" s="3">
        <v>45153</v>
      </c>
      <c r="F1105" s="3">
        <v>45884</v>
      </c>
      <c r="G1105" s="4">
        <v>523</v>
      </c>
      <c r="H1105" s="377">
        <v>523.45086206896553</v>
      </c>
      <c r="I1105" s="377">
        <v>-0.45086206896553449</v>
      </c>
      <c r="J1105" s="355" t="s">
        <v>433</v>
      </c>
      <c r="K1105" s="7">
        <v>1000000</v>
      </c>
      <c r="L1105" s="7">
        <v>3480000</v>
      </c>
      <c r="M1105" s="477">
        <v>33269.598470363286</v>
      </c>
      <c r="N1105" s="9">
        <v>268000</v>
      </c>
      <c r="O1105" s="9">
        <v>3483000</v>
      </c>
      <c r="P1105" s="7">
        <v>-3000</v>
      </c>
      <c r="Q1105" s="152">
        <v>45943</v>
      </c>
    </row>
    <row r="1106" spans="1:17" ht="56.25" thickBot="1" x14ac:dyDescent="0.3">
      <c r="A1106" s="4">
        <v>2632</v>
      </c>
      <c r="B1106" s="27" t="s">
        <v>431</v>
      </c>
      <c r="C1106" s="27" t="s">
        <v>432</v>
      </c>
      <c r="D1106" s="2"/>
      <c r="E1106" s="3">
        <v>45433</v>
      </c>
      <c r="F1106" s="3">
        <v>45769</v>
      </c>
      <c r="G1106" s="4">
        <v>240</v>
      </c>
      <c r="H1106" s="377">
        <v>240</v>
      </c>
      <c r="I1106" s="377">
        <v>0</v>
      </c>
      <c r="J1106" s="355" t="s">
        <v>434</v>
      </c>
      <c r="K1106" s="22">
        <v>800000</v>
      </c>
      <c r="L1106" s="10">
        <v>2232000</v>
      </c>
      <c r="M1106" s="8">
        <v>46500</v>
      </c>
      <c r="N1106" s="9">
        <v>191000</v>
      </c>
      <c r="O1106" s="9">
        <v>2232000</v>
      </c>
      <c r="P1106" s="7">
        <v>0</v>
      </c>
      <c r="Q1106" s="152">
        <v>45943</v>
      </c>
    </row>
    <row r="1107" spans="1:17" ht="29.25" thickBot="1" x14ac:dyDescent="0.3">
      <c r="A1107" s="4">
        <v>3288</v>
      </c>
      <c r="B1107" s="27" t="s">
        <v>186</v>
      </c>
      <c r="C1107" s="27" t="s">
        <v>187</v>
      </c>
      <c r="D1107" s="2"/>
      <c r="E1107" s="3">
        <v>45852</v>
      </c>
      <c r="F1107" s="3">
        <v>45952</v>
      </c>
      <c r="G1107" s="4">
        <v>72</v>
      </c>
      <c r="H1107" s="377">
        <v>72.5</v>
      </c>
      <c r="I1107" s="377">
        <v>-0.5</v>
      </c>
      <c r="J1107" s="155" t="s">
        <v>165</v>
      </c>
      <c r="K1107" s="20">
        <v>200000</v>
      </c>
      <c r="L1107" s="7">
        <v>432000</v>
      </c>
      <c r="M1107" s="8">
        <v>30000</v>
      </c>
      <c r="N1107" s="9">
        <v>15000</v>
      </c>
      <c r="O1107" s="9">
        <v>435000</v>
      </c>
      <c r="P1107" s="7">
        <v>-3000</v>
      </c>
      <c r="Q1107" s="152">
        <v>45950</v>
      </c>
    </row>
    <row r="1108" spans="1:17" ht="65.25" thickBot="1" x14ac:dyDescent="0.3">
      <c r="A1108" s="1">
        <v>3246</v>
      </c>
      <c r="B1108" s="27" t="s">
        <v>191</v>
      </c>
      <c r="C1108" s="27" t="s">
        <v>192</v>
      </c>
      <c r="D1108" s="2"/>
      <c r="E1108" s="3">
        <v>45826</v>
      </c>
      <c r="F1108" s="3">
        <v>45938</v>
      </c>
      <c r="G1108" s="4">
        <v>80</v>
      </c>
      <c r="H1108" s="377">
        <v>80.105820105820101</v>
      </c>
      <c r="I1108" s="377">
        <v>-0.10582010582010071</v>
      </c>
      <c r="J1108" s="356" t="s">
        <v>1243</v>
      </c>
      <c r="K1108" s="21">
        <v>70000</v>
      </c>
      <c r="L1108" s="7">
        <v>151200</v>
      </c>
      <c r="M1108" s="8">
        <v>9450</v>
      </c>
      <c r="N1108" s="9">
        <v>38000</v>
      </c>
      <c r="O1108" s="9">
        <v>151400</v>
      </c>
      <c r="P1108" s="10">
        <v>-200</v>
      </c>
      <c r="Q1108" s="152">
        <v>45950</v>
      </c>
    </row>
    <row r="1109" spans="1:17" ht="24" thickBot="1" x14ac:dyDescent="0.3">
      <c r="A1109" s="1">
        <v>3449</v>
      </c>
      <c r="B1109" s="2" t="s">
        <v>707</v>
      </c>
      <c r="C1109" s="2"/>
      <c r="D1109" s="2"/>
      <c r="E1109" s="3">
        <v>45948</v>
      </c>
      <c r="F1109" s="3">
        <v>45923</v>
      </c>
      <c r="G1109" s="4">
        <v>5</v>
      </c>
      <c r="H1109" s="377" t="e">
        <v>#DIV/0!</v>
      </c>
      <c r="I1109" s="377" t="e">
        <v>#DIV/0!</v>
      </c>
      <c r="J1109" s="2" t="s">
        <v>403</v>
      </c>
      <c r="K1109" s="177">
        <v>100000</v>
      </c>
      <c r="L1109" s="10">
        <v>130000</v>
      </c>
      <c r="M1109" s="8"/>
      <c r="N1109" s="9">
        <v>130000</v>
      </c>
      <c r="O1109" s="9">
        <v>130000</v>
      </c>
      <c r="P1109" s="10">
        <v>0</v>
      </c>
      <c r="Q1109" s="152">
        <v>45950</v>
      </c>
    </row>
    <row r="1110" spans="1:17" ht="65.25" thickBot="1" x14ac:dyDescent="0.3">
      <c r="A1110" s="4">
        <v>3017</v>
      </c>
      <c r="B1110" s="27" t="s">
        <v>329</v>
      </c>
      <c r="C1110" s="27" t="s">
        <v>330</v>
      </c>
      <c r="D1110" s="2"/>
      <c r="E1110" s="3">
        <v>45679</v>
      </c>
      <c r="F1110" s="3">
        <v>45847</v>
      </c>
      <c r="G1110" s="4">
        <v>120</v>
      </c>
      <c r="H1110" s="377">
        <v>120</v>
      </c>
      <c r="I1110" s="377">
        <v>0</v>
      </c>
      <c r="J1110" s="192" t="s">
        <v>332</v>
      </c>
      <c r="K1110" s="177">
        <v>150000</v>
      </c>
      <c r="L1110" s="10">
        <v>396000</v>
      </c>
      <c r="M1110" s="8">
        <v>16500</v>
      </c>
      <c r="N1110" s="9">
        <v>28000</v>
      </c>
      <c r="O1110" s="9">
        <v>396000</v>
      </c>
      <c r="P1110" s="7">
        <v>0</v>
      </c>
      <c r="Q1110" s="152">
        <v>45950</v>
      </c>
    </row>
    <row r="1111" spans="1:17" ht="29.25" thickBot="1" x14ac:dyDescent="0.3">
      <c r="A1111" s="4">
        <v>3142</v>
      </c>
      <c r="B1111" s="27" t="s">
        <v>423</v>
      </c>
      <c r="C1111" s="27" t="s">
        <v>420</v>
      </c>
      <c r="D1111" s="2"/>
      <c r="E1111" s="3">
        <v>45751</v>
      </c>
      <c r="F1111" s="3">
        <v>45853</v>
      </c>
      <c r="G1111" s="4">
        <v>72</v>
      </c>
      <c r="H1111" s="377">
        <v>74.222222222222229</v>
      </c>
      <c r="I1111" s="377">
        <v>-2.2222222222222285</v>
      </c>
      <c r="J1111" s="155" t="s">
        <v>188</v>
      </c>
      <c r="K1111" s="7">
        <v>150000</v>
      </c>
      <c r="L1111" s="7">
        <v>324000</v>
      </c>
      <c r="M1111" s="8">
        <v>22500</v>
      </c>
      <c r="N1111" s="9">
        <v>20500</v>
      </c>
      <c r="O1111" s="9">
        <v>334000</v>
      </c>
      <c r="P1111" s="7">
        <v>-10000</v>
      </c>
      <c r="Q1111" s="152">
        <v>45950</v>
      </c>
    </row>
    <row r="1112" spans="1:17" ht="20.25" thickBot="1" x14ac:dyDescent="0.3">
      <c r="A1112" s="4">
        <v>3406</v>
      </c>
      <c r="B1112" s="27" t="s">
        <v>1200</v>
      </c>
      <c r="C1112" s="27" t="s">
        <v>430</v>
      </c>
      <c r="D1112" s="2"/>
      <c r="E1112" s="3">
        <v>45920</v>
      </c>
      <c r="F1112" s="3">
        <v>45945</v>
      </c>
      <c r="G1112" s="4">
        <v>18</v>
      </c>
      <c r="H1112" s="377" t="e">
        <v>#DIV/0!</v>
      </c>
      <c r="I1112" s="377" t="e">
        <v>#DIV/0!</v>
      </c>
      <c r="J1112" s="355" t="s">
        <v>403</v>
      </c>
      <c r="K1112" s="10">
        <v>250000</v>
      </c>
      <c r="L1112" s="10">
        <v>350000</v>
      </c>
      <c r="M1112" s="21"/>
      <c r="N1112" s="9">
        <v>300000</v>
      </c>
      <c r="O1112" s="9">
        <v>350000</v>
      </c>
      <c r="P1112" s="7">
        <v>0</v>
      </c>
      <c r="Q1112" s="152">
        <v>45950</v>
      </c>
    </row>
    <row r="1113" spans="1:17" ht="56.25" thickBot="1" x14ac:dyDescent="0.3">
      <c r="A1113" s="4">
        <v>3317</v>
      </c>
      <c r="B1113" s="27" t="s">
        <v>1214</v>
      </c>
      <c r="C1113" s="27" t="s">
        <v>145</v>
      </c>
      <c r="D1113" s="2"/>
      <c r="E1113" s="3">
        <v>45863</v>
      </c>
      <c r="F1113" s="3">
        <v>45975</v>
      </c>
      <c r="G1113" s="4">
        <v>80</v>
      </c>
      <c r="H1113" s="377">
        <v>80</v>
      </c>
      <c r="I1113" s="377">
        <v>0</v>
      </c>
      <c r="J1113" s="355" t="s">
        <v>1291</v>
      </c>
      <c r="K1113" s="7">
        <v>100000</v>
      </c>
      <c r="L1113" s="7">
        <v>216000</v>
      </c>
      <c r="M1113" s="8">
        <v>13500</v>
      </c>
      <c r="N1113" s="9">
        <v>108000</v>
      </c>
      <c r="O1113" s="9">
        <v>216000</v>
      </c>
      <c r="P1113" s="7">
        <v>0</v>
      </c>
      <c r="Q1113" s="152">
        <v>45957</v>
      </c>
    </row>
    <row r="1114" spans="1:17" ht="24" thickBot="1" x14ac:dyDescent="0.3">
      <c r="A1114" s="1">
        <v>3459</v>
      </c>
      <c r="B1114" s="2" t="s">
        <v>707</v>
      </c>
      <c r="C1114" s="2"/>
      <c r="D1114" s="2"/>
      <c r="E1114" s="3">
        <v>45954</v>
      </c>
      <c r="F1114" s="3">
        <v>45961</v>
      </c>
      <c r="G1114" s="4">
        <v>5</v>
      </c>
      <c r="H1114" s="377" t="e">
        <v>#DIV/0!</v>
      </c>
      <c r="I1114" s="377" t="e">
        <v>#DIV/0!</v>
      </c>
      <c r="J1114" s="2" t="s">
        <v>403</v>
      </c>
      <c r="K1114" s="177">
        <v>200000</v>
      </c>
      <c r="L1114" s="10">
        <v>260000</v>
      </c>
      <c r="M1114" s="8"/>
      <c r="N1114" s="9">
        <v>260000</v>
      </c>
      <c r="O1114" s="9">
        <v>260000</v>
      </c>
      <c r="P1114" s="10">
        <v>0</v>
      </c>
      <c r="Q1114" s="152">
        <v>45957</v>
      </c>
    </row>
    <row r="1115" spans="1:17" ht="38.25" thickBot="1" x14ac:dyDescent="0.3">
      <c r="A1115" s="4">
        <v>3315</v>
      </c>
      <c r="B1115" s="27" t="s">
        <v>424</v>
      </c>
      <c r="C1115" s="27" t="s">
        <v>425</v>
      </c>
      <c r="D1115" s="2"/>
      <c r="E1115" s="3">
        <v>45863</v>
      </c>
      <c r="F1115" s="3">
        <f>WORKDAY(E1115,G1115)</f>
        <v>45965</v>
      </c>
      <c r="G1115" s="4">
        <v>72</v>
      </c>
      <c r="H1115" s="377">
        <f>('prest.canc.'!O1116* 5)/M1115</f>
        <v>1760</v>
      </c>
      <c r="I1115" s="377">
        <f>G1115-H1115</f>
        <v>-1688</v>
      </c>
      <c r="J1115" s="155" t="s">
        <v>227</v>
      </c>
      <c r="K1115" s="10">
        <v>50000</v>
      </c>
      <c r="L1115" s="10">
        <v>108000</v>
      </c>
      <c r="M1115" s="8">
        <f>(L1115/G1115)*5</f>
        <v>7500</v>
      </c>
      <c r="N1115" s="9">
        <v>15000</v>
      </c>
      <c r="O1115" s="9">
        <v>108000</v>
      </c>
      <c r="P1115" s="7">
        <f>SUM('prest.canc.'!L1116-O1115)</f>
        <v>2532000</v>
      </c>
      <c r="Q1115" s="152">
        <v>45957</v>
      </c>
    </row>
    <row r="1116" spans="1:17" ht="20.25" thickBot="1" x14ac:dyDescent="0.3">
      <c r="A1116" s="4">
        <v>3189</v>
      </c>
      <c r="B1116" s="27" t="s">
        <v>721</v>
      </c>
      <c r="C1116" s="27"/>
      <c r="D1116" s="2">
        <v>22375673</v>
      </c>
      <c r="E1116" s="3">
        <v>45790</v>
      </c>
      <c r="F1116" s="3">
        <v>45958</v>
      </c>
      <c r="G1116" s="4">
        <v>120</v>
      </c>
      <c r="H1116" s="377">
        <v>120</v>
      </c>
      <c r="I1116" s="377">
        <v>0</v>
      </c>
      <c r="J1116" s="363" t="s">
        <v>1217</v>
      </c>
      <c r="K1116" s="10">
        <v>1000000</v>
      </c>
      <c r="L1116" s="10">
        <v>2640000</v>
      </c>
      <c r="M1116" s="21">
        <v>110000</v>
      </c>
      <c r="N1116" s="455">
        <v>440000</v>
      </c>
      <c r="O1116" s="9">
        <v>2640000</v>
      </c>
      <c r="P1116" s="7">
        <v>0</v>
      </c>
      <c r="Q1116" s="152">
        <v>45964</v>
      </c>
    </row>
    <row r="1117" spans="1:17" ht="25.5" thickBot="1" x14ac:dyDescent="0.3">
      <c r="A1117" s="1">
        <v>2739</v>
      </c>
      <c r="B1117" s="27" t="s">
        <v>195</v>
      </c>
      <c r="C1117" s="27" t="s">
        <v>196</v>
      </c>
      <c r="D1117" s="2"/>
      <c r="E1117" s="3">
        <v>45506</v>
      </c>
      <c r="F1117" s="3">
        <v>45702</v>
      </c>
      <c r="G1117" s="4">
        <v>140</v>
      </c>
      <c r="H1117" s="377">
        <v>140</v>
      </c>
      <c r="I1117" s="377">
        <v>0</v>
      </c>
      <c r="J1117" s="192" t="s">
        <v>197</v>
      </c>
      <c r="K1117" s="10">
        <v>250000</v>
      </c>
      <c r="L1117" s="10">
        <v>660100</v>
      </c>
      <c r="M1117" s="8">
        <v>23575</v>
      </c>
      <c r="N1117" s="9">
        <v>28200</v>
      </c>
      <c r="O1117" s="9">
        <v>660100</v>
      </c>
      <c r="P1117" s="10">
        <v>0</v>
      </c>
      <c r="Q1117" s="152">
        <v>45964</v>
      </c>
    </row>
    <row r="1118" spans="1:17" ht="56.25" thickBot="1" x14ac:dyDescent="0.3">
      <c r="A1118" s="1">
        <v>3109</v>
      </c>
      <c r="B1118" s="27" t="s">
        <v>201</v>
      </c>
      <c r="C1118" s="27" t="s">
        <v>202</v>
      </c>
      <c r="D1118" s="2">
        <v>20386454729</v>
      </c>
      <c r="E1118" s="3">
        <v>45733</v>
      </c>
      <c r="F1118" s="3">
        <v>45901</v>
      </c>
      <c r="G1118" s="4">
        <v>120</v>
      </c>
      <c r="H1118" s="377">
        <v>123.63636363636364</v>
      </c>
      <c r="I1118" s="377">
        <v>-3.6363636363636402</v>
      </c>
      <c r="J1118" s="355" t="s">
        <v>1327</v>
      </c>
      <c r="K1118" s="19">
        <v>300000</v>
      </c>
      <c r="L1118" s="7">
        <v>792000</v>
      </c>
      <c r="M1118" s="8">
        <v>33000</v>
      </c>
      <c r="N1118" s="9">
        <v>102000</v>
      </c>
      <c r="O1118" s="9">
        <v>816000</v>
      </c>
      <c r="P1118" s="10">
        <v>-24000</v>
      </c>
      <c r="Q1118" s="152">
        <v>45964</v>
      </c>
    </row>
    <row r="1119" spans="1:17" ht="24" thickBot="1" x14ac:dyDescent="0.3">
      <c r="A1119" s="1">
        <v>3472</v>
      </c>
      <c r="B1119" s="2" t="s">
        <v>707</v>
      </c>
      <c r="C1119" s="2"/>
      <c r="D1119" s="2"/>
      <c r="E1119" s="3">
        <v>45961</v>
      </c>
      <c r="F1119" s="3">
        <v>45968</v>
      </c>
      <c r="G1119" s="4">
        <v>5</v>
      </c>
      <c r="H1119" s="377" t="e">
        <v>#DIV/0!</v>
      </c>
      <c r="I1119" s="377" t="e">
        <v>#DIV/0!</v>
      </c>
      <c r="J1119" s="2" t="s">
        <v>403</v>
      </c>
      <c r="K1119" s="20">
        <v>100000</v>
      </c>
      <c r="L1119" s="7">
        <v>130000</v>
      </c>
      <c r="M1119" s="8"/>
      <c r="N1119" s="9">
        <v>130000</v>
      </c>
      <c r="O1119" s="9">
        <v>130000</v>
      </c>
      <c r="P1119" s="10">
        <v>0</v>
      </c>
      <c r="Q1119" s="152">
        <v>45964</v>
      </c>
    </row>
    <row r="1120" spans="1:17" ht="47.25" thickBot="1" x14ac:dyDescent="0.3">
      <c r="A1120" s="4">
        <v>3269</v>
      </c>
      <c r="B1120" s="27" t="s">
        <v>369</v>
      </c>
      <c r="C1120" s="27" t="s">
        <v>370</v>
      </c>
      <c r="D1120" s="2"/>
      <c r="E1120" s="3">
        <v>45836</v>
      </c>
      <c r="F1120" s="3">
        <v>45947</v>
      </c>
      <c r="G1120" s="4">
        <v>80</v>
      </c>
      <c r="H1120" s="377">
        <v>80</v>
      </c>
      <c r="I1120" s="377">
        <v>0</v>
      </c>
      <c r="J1120" s="355" t="s">
        <v>1262</v>
      </c>
      <c r="K1120" s="10">
        <v>150000</v>
      </c>
      <c r="L1120" s="10">
        <v>324000</v>
      </c>
      <c r="M1120" s="8">
        <v>20250</v>
      </c>
      <c r="N1120" s="9">
        <v>81000</v>
      </c>
      <c r="O1120" s="9">
        <v>324000</v>
      </c>
      <c r="P1120" s="7">
        <v>0</v>
      </c>
      <c r="Q1120" s="152">
        <v>45964</v>
      </c>
    </row>
    <row r="1121" spans="1:17" ht="47.25" thickBot="1" x14ac:dyDescent="0.3">
      <c r="A1121" s="4">
        <v>3299</v>
      </c>
      <c r="B1121" s="27" t="s">
        <v>369</v>
      </c>
      <c r="C1121" s="27" t="s">
        <v>370</v>
      </c>
      <c r="D1121" s="2"/>
      <c r="E1121" s="3">
        <v>45857</v>
      </c>
      <c r="F1121" s="3">
        <v>45968</v>
      </c>
      <c r="G1121" s="4">
        <v>80</v>
      </c>
      <c r="H1121" s="377">
        <v>80</v>
      </c>
      <c r="I1121" s="377">
        <v>0</v>
      </c>
      <c r="J1121" s="355" t="s">
        <v>914</v>
      </c>
      <c r="K1121" s="19">
        <v>200000</v>
      </c>
      <c r="L1121" s="7">
        <v>432000</v>
      </c>
      <c r="M1121" s="21">
        <v>27000</v>
      </c>
      <c r="N1121" s="9">
        <v>108000</v>
      </c>
      <c r="O1121" s="9">
        <v>432000</v>
      </c>
      <c r="P1121" s="7">
        <v>0</v>
      </c>
      <c r="Q1121" s="152">
        <v>45964</v>
      </c>
    </row>
    <row r="1122" spans="1:17" ht="29.25" thickBot="1" x14ac:dyDescent="0.3">
      <c r="A1122" s="4">
        <v>3216</v>
      </c>
      <c r="B1122" s="27" t="s">
        <v>385</v>
      </c>
      <c r="C1122" s="27" t="s">
        <v>386</v>
      </c>
      <c r="D1122" s="2"/>
      <c r="E1122" s="3">
        <v>45804</v>
      </c>
      <c r="F1122" s="3">
        <v>45904</v>
      </c>
      <c r="G1122" s="4">
        <v>72</v>
      </c>
      <c r="H1122" s="377">
        <v>75.900000000000006</v>
      </c>
      <c r="I1122" s="377">
        <v>-3.9000000000000057</v>
      </c>
      <c r="J1122" s="155" t="s">
        <v>161</v>
      </c>
      <c r="K1122" s="7">
        <v>100000</v>
      </c>
      <c r="L1122" s="7">
        <v>216000</v>
      </c>
      <c r="M1122" s="21">
        <v>15000</v>
      </c>
      <c r="N1122" s="9">
        <v>15000</v>
      </c>
      <c r="O1122" s="9">
        <v>227700</v>
      </c>
      <c r="P1122" s="7">
        <v>-11700</v>
      </c>
      <c r="Q1122" s="152">
        <v>45964</v>
      </c>
    </row>
    <row r="1123" spans="1:17" ht="29.25" thickBot="1" x14ac:dyDescent="0.3">
      <c r="A1123" s="4">
        <v>3298</v>
      </c>
      <c r="B1123" s="27" t="s">
        <v>1280</v>
      </c>
      <c r="C1123" s="27" t="s">
        <v>466</v>
      </c>
      <c r="D1123" s="2"/>
      <c r="E1123" s="3">
        <v>45857</v>
      </c>
      <c r="F1123" s="3">
        <v>45958</v>
      </c>
      <c r="G1123" s="4">
        <v>72</v>
      </c>
      <c r="H1123" s="377">
        <v>72</v>
      </c>
      <c r="I1123" s="377">
        <v>0</v>
      </c>
      <c r="J1123" s="155" t="s">
        <v>181</v>
      </c>
      <c r="K1123" s="7">
        <v>30000</v>
      </c>
      <c r="L1123" s="7">
        <v>64800</v>
      </c>
      <c r="M1123" s="21">
        <v>4500</v>
      </c>
      <c r="N1123" s="9">
        <v>16800</v>
      </c>
      <c r="O1123" s="9">
        <v>64800</v>
      </c>
      <c r="P1123" s="7">
        <v>0</v>
      </c>
      <c r="Q1123" s="152">
        <v>45964</v>
      </c>
    </row>
    <row r="1124" spans="1:17" ht="24" thickBot="1" x14ac:dyDescent="0.3">
      <c r="A1124" s="4">
        <v>3068</v>
      </c>
      <c r="B1124" s="2" t="s">
        <v>159</v>
      </c>
      <c r="C1124" s="2" t="s">
        <v>160</v>
      </c>
      <c r="D1124" s="2"/>
      <c r="E1124" s="3">
        <v>45706</v>
      </c>
      <c r="F1124" s="3">
        <v>45806</v>
      </c>
      <c r="G1124" s="4">
        <v>72</v>
      </c>
      <c r="H1124" s="5">
        <v>72</v>
      </c>
      <c r="I1124" s="5">
        <v>0</v>
      </c>
      <c r="J1124" s="155" t="s">
        <v>161</v>
      </c>
      <c r="K1124" s="10">
        <v>100000</v>
      </c>
      <c r="L1124" s="10">
        <v>216000</v>
      </c>
      <c r="M1124" s="8">
        <v>15000</v>
      </c>
      <c r="N1124" s="9">
        <v>3600</v>
      </c>
      <c r="O1124" s="9">
        <v>216000</v>
      </c>
      <c r="P1124" s="7">
        <v>0</v>
      </c>
      <c r="Q1124" s="152">
        <v>45971</v>
      </c>
    </row>
    <row r="1125" spans="1:17" ht="29.25" thickBot="1" x14ac:dyDescent="0.3">
      <c r="A1125" s="1">
        <v>3210</v>
      </c>
      <c r="B1125" s="27" t="s">
        <v>151</v>
      </c>
      <c r="C1125" s="27" t="s">
        <v>152</v>
      </c>
      <c r="D1125" s="2"/>
      <c r="E1125" s="3">
        <v>45800</v>
      </c>
      <c r="F1125" s="3">
        <v>45968</v>
      </c>
      <c r="G1125" s="4">
        <v>120</v>
      </c>
      <c r="H1125" s="377">
        <v>120</v>
      </c>
      <c r="I1125" s="377">
        <v>0</v>
      </c>
      <c r="J1125" s="355" t="s">
        <v>383</v>
      </c>
      <c r="K1125" s="427">
        <v>50000</v>
      </c>
      <c r="L1125" s="10">
        <v>132000</v>
      </c>
      <c r="M1125" s="8">
        <v>5500</v>
      </c>
      <c r="N1125" s="9">
        <v>22600</v>
      </c>
      <c r="O1125" s="9">
        <v>132000</v>
      </c>
      <c r="P1125" s="10">
        <v>0</v>
      </c>
      <c r="Q1125" s="152">
        <v>45971</v>
      </c>
    </row>
    <row r="1126" spans="1:17" ht="29.25" thickBot="1" x14ac:dyDescent="0.3">
      <c r="A1126" s="1">
        <v>3323</v>
      </c>
      <c r="B1126" s="27" t="s">
        <v>151</v>
      </c>
      <c r="C1126" s="27" t="s">
        <v>152</v>
      </c>
      <c r="D1126" s="2"/>
      <c r="E1126" s="3">
        <v>45867</v>
      </c>
      <c r="F1126" s="3">
        <v>45979</v>
      </c>
      <c r="G1126" s="4">
        <v>80</v>
      </c>
      <c r="H1126" s="377">
        <v>80</v>
      </c>
      <c r="I1126" s="377">
        <v>0</v>
      </c>
      <c r="J1126" s="355" t="s">
        <v>1294</v>
      </c>
      <c r="K1126" s="10">
        <v>35000</v>
      </c>
      <c r="L1126" s="10">
        <v>75600</v>
      </c>
      <c r="M1126" s="8">
        <v>4725</v>
      </c>
      <c r="N1126" s="9">
        <v>18900</v>
      </c>
      <c r="O1126" s="9">
        <v>75600</v>
      </c>
      <c r="P1126" s="10">
        <v>0</v>
      </c>
      <c r="Q1126" s="152">
        <v>45971</v>
      </c>
    </row>
    <row r="1127" spans="1:17" ht="56.25" thickBot="1" x14ac:dyDescent="0.3">
      <c r="A1127" s="4">
        <v>3460</v>
      </c>
      <c r="B1127" s="27" t="s">
        <v>290</v>
      </c>
      <c r="C1127" s="27" t="s">
        <v>1283</v>
      </c>
      <c r="D1127" s="2">
        <v>27355741082</v>
      </c>
      <c r="E1127" s="3">
        <v>45954</v>
      </c>
      <c r="F1127" s="3">
        <v>45961</v>
      </c>
      <c r="G1127" s="4">
        <v>5</v>
      </c>
      <c r="H1127" s="377" t="e">
        <v>#DIV/0!</v>
      </c>
      <c r="I1127" s="377" t="e">
        <v>#DIV/0!</v>
      </c>
      <c r="J1127" s="355" t="s">
        <v>368</v>
      </c>
      <c r="K1127" s="7">
        <v>100000</v>
      </c>
      <c r="L1127" s="7">
        <v>130000</v>
      </c>
      <c r="M1127" s="8"/>
      <c r="N1127" s="9">
        <v>130000</v>
      </c>
      <c r="O1127" s="9">
        <v>130000</v>
      </c>
      <c r="P1127" s="7">
        <v>0</v>
      </c>
      <c r="Q1127" s="152">
        <v>45971</v>
      </c>
    </row>
    <row r="1128" spans="1:17" ht="24" thickBot="1" x14ac:dyDescent="0.3">
      <c r="A1128" s="4">
        <v>3479</v>
      </c>
      <c r="B1128" s="2" t="s">
        <v>707</v>
      </c>
      <c r="C1128" s="2"/>
      <c r="D1128" s="2"/>
      <c r="E1128" s="3">
        <v>45969</v>
      </c>
      <c r="F1128" s="3">
        <v>45975</v>
      </c>
      <c r="G1128" s="4">
        <v>5</v>
      </c>
      <c r="H1128" s="377" t="e">
        <v>#DIV/0!</v>
      </c>
      <c r="I1128" s="377" t="e">
        <v>#DIV/0!</v>
      </c>
      <c r="J1128" s="2" t="s">
        <v>403</v>
      </c>
      <c r="K1128" s="20">
        <v>100000</v>
      </c>
      <c r="L1128" s="7">
        <v>130000</v>
      </c>
      <c r="M1128" s="8"/>
      <c r="N1128" s="9">
        <v>130000</v>
      </c>
      <c r="O1128" s="9">
        <v>130000</v>
      </c>
      <c r="P1128" s="7">
        <v>0</v>
      </c>
      <c r="Q1128" s="152">
        <v>45971</v>
      </c>
    </row>
    <row r="1129" spans="1:17" ht="47.25" thickBot="1" x14ac:dyDescent="0.3">
      <c r="A1129" s="4">
        <v>3375</v>
      </c>
      <c r="B1129" s="27" t="s">
        <v>299</v>
      </c>
      <c r="C1129" s="27" t="s">
        <v>300</v>
      </c>
      <c r="D1129" s="2"/>
      <c r="E1129" s="3">
        <v>45899</v>
      </c>
      <c r="F1129" s="3">
        <v>45982</v>
      </c>
      <c r="G1129" s="4">
        <v>60</v>
      </c>
      <c r="H1129" s="377">
        <v>60</v>
      </c>
      <c r="I1129" s="377">
        <v>0</v>
      </c>
      <c r="J1129" s="357" t="s">
        <v>1319</v>
      </c>
      <c r="K1129" s="20">
        <v>50000</v>
      </c>
      <c r="L1129" s="7">
        <v>96000</v>
      </c>
      <c r="M1129" s="8">
        <v>8000</v>
      </c>
      <c r="N1129" s="9">
        <v>32000</v>
      </c>
      <c r="O1129" s="9">
        <v>96000</v>
      </c>
      <c r="P1129" s="7">
        <v>0</v>
      </c>
      <c r="Q1129" s="152">
        <v>45971</v>
      </c>
    </row>
    <row r="1130" spans="1:17" ht="38.25" thickBot="1" x14ac:dyDescent="0.3">
      <c r="A1130" s="4">
        <v>3081</v>
      </c>
      <c r="B1130" s="27" t="s">
        <v>1238</v>
      </c>
      <c r="C1130" s="27" t="s">
        <v>322</v>
      </c>
      <c r="D1130" s="2"/>
      <c r="E1130" s="3">
        <v>45714</v>
      </c>
      <c r="F1130" s="3">
        <v>45826</v>
      </c>
      <c r="G1130" s="4">
        <v>80</v>
      </c>
      <c r="H1130" s="377">
        <v>80.740740740740748</v>
      </c>
      <c r="I1130" s="377">
        <v>-0.74074074074074758</v>
      </c>
      <c r="J1130" s="355" t="s">
        <v>325</v>
      </c>
      <c r="K1130" s="7">
        <v>100000</v>
      </c>
      <c r="L1130" s="7">
        <v>216000</v>
      </c>
      <c r="M1130" s="21">
        <v>13500</v>
      </c>
      <c r="N1130" s="9">
        <v>60000</v>
      </c>
      <c r="O1130" s="9">
        <v>218000</v>
      </c>
      <c r="P1130" s="7">
        <v>-2000</v>
      </c>
      <c r="Q1130" s="152">
        <v>45971</v>
      </c>
    </row>
    <row r="1131" spans="1:17" ht="83.25" thickBot="1" x14ac:dyDescent="0.3">
      <c r="A1131" s="4">
        <v>3284</v>
      </c>
      <c r="B1131" s="27" t="s">
        <v>334</v>
      </c>
      <c r="C1131" s="27" t="s">
        <v>335</v>
      </c>
      <c r="D1131" s="2">
        <v>27249921551</v>
      </c>
      <c r="E1131" s="3">
        <v>45850</v>
      </c>
      <c r="F1131" s="3">
        <v>45951</v>
      </c>
      <c r="G1131" s="4">
        <v>72</v>
      </c>
      <c r="H1131" s="377">
        <v>72</v>
      </c>
      <c r="I1131" s="377">
        <v>0</v>
      </c>
      <c r="J1131" s="155" t="s">
        <v>161</v>
      </c>
      <c r="K1131" s="10">
        <v>100000</v>
      </c>
      <c r="L1131" s="10">
        <v>216000</v>
      </c>
      <c r="M1131" s="21">
        <v>15000</v>
      </c>
      <c r="N1131" s="9">
        <v>62700</v>
      </c>
      <c r="O1131" s="9">
        <v>216000</v>
      </c>
      <c r="P1131" s="7">
        <v>0</v>
      </c>
      <c r="Q1131" s="152">
        <v>45971</v>
      </c>
    </row>
    <row r="1132" spans="1:17" ht="38.25" thickBot="1" x14ac:dyDescent="0.3">
      <c r="A1132" s="4">
        <v>3101</v>
      </c>
      <c r="B1132" s="27" t="s">
        <v>686</v>
      </c>
      <c r="C1132" s="27" t="s">
        <v>346</v>
      </c>
      <c r="D1132" s="2"/>
      <c r="E1132" s="3">
        <v>45726</v>
      </c>
      <c r="F1132" s="3">
        <v>45880</v>
      </c>
      <c r="G1132" s="4">
        <v>110</v>
      </c>
      <c r="H1132" s="377">
        <v>113.47222222222223</v>
      </c>
      <c r="I1132" s="377">
        <v>-3.4722222222222285</v>
      </c>
      <c r="J1132" s="155" t="s">
        <v>349</v>
      </c>
      <c r="K1132" s="20">
        <v>150000</v>
      </c>
      <c r="L1132" s="7">
        <v>396000</v>
      </c>
      <c r="M1132" s="8">
        <v>18000</v>
      </c>
      <c r="N1132" s="9">
        <v>36000</v>
      </c>
      <c r="O1132" s="9">
        <v>408500</v>
      </c>
      <c r="P1132" s="7">
        <v>-12500</v>
      </c>
      <c r="Q1132" s="152">
        <v>45971</v>
      </c>
    </row>
    <row r="1133" spans="1:17" ht="15.75" thickBot="1" x14ac:dyDescent="0.3">
      <c r="A1133" s="4">
        <v>3433</v>
      </c>
      <c r="B1133" s="27" t="s">
        <v>1336</v>
      </c>
      <c r="C1133" s="27"/>
      <c r="D1133" s="2"/>
      <c r="E1133" s="3">
        <v>45939</v>
      </c>
      <c r="F1133" s="3">
        <v>45953</v>
      </c>
      <c r="G1133" s="4">
        <v>10</v>
      </c>
      <c r="H1133" s="377" t="e">
        <v>#DIV/0!</v>
      </c>
      <c r="I1133" s="377" t="e">
        <v>#DIV/0!</v>
      </c>
      <c r="J1133" s="355" t="s">
        <v>368</v>
      </c>
      <c r="K1133" s="7">
        <v>100000</v>
      </c>
      <c r="L1133" s="7">
        <v>150000</v>
      </c>
      <c r="M1133" s="21"/>
      <c r="N1133" s="9">
        <v>150000</v>
      </c>
      <c r="O1133" s="9">
        <v>150000</v>
      </c>
      <c r="P1133" s="7">
        <v>0</v>
      </c>
      <c r="Q1133" s="152">
        <v>45971</v>
      </c>
    </row>
    <row r="1134" spans="1:17" ht="15.75" thickBot="1" x14ac:dyDescent="0.3">
      <c r="A1134" s="4">
        <v>3439</v>
      </c>
      <c r="B1134" s="27" t="s">
        <v>1336</v>
      </c>
      <c r="C1134" s="27"/>
      <c r="D1134" s="2"/>
      <c r="E1134" s="3">
        <v>45943</v>
      </c>
      <c r="F1134" s="3">
        <v>45971</v>
      </c>
      <c r="G1134" s="4">
        <v>20</v>
      </c>
      <c r="H1134" s="377" t="e">
        <v>#DIV/0!</v>
      </c>
      <c r="I1134" s="377" t="e">
        <v>#DIV/0!</v>
      </c>
      <c r="J1134" s="355" t="s">
        <v>368</v>
      </c>
      <c r="K1134" s="26">
        <v>50000</v>
      </c>
      <c r="L1134" s="7">
        <v>80000</v>
      </c>
      <c r="M1134" s="21"/>
      <c r="N1134" s="9">
        <v>80000</v>
      </c>
      <c r="O1134" s="9">
        <v>80000</v>
      </c>
      <c r="P1134" s="7">
        <v>0</v>
      </c>
      <c r="Q1134" s="152">
        <v>45971</v>
      </c>
    </row>
    <row r="1135" spans="1:17" ht="20.25" thickBot="1" x14ac:dyDescent="0.3">
      <c r="A1135" s="4">
        <v>3434</v>
      </c>
      <c r="B1135" s="27" t="s">
        <v>1274</v>
      </c>
      <c r="C1135" s="27"/>
      <c r="D1135" s="2"/>
      <c r="E1135" s="3">
        <v>45939</v>
      </c>
      <c r="F1135" s="3">
        <v>45820</v>
      </c>
      <c r="G1135" s="4">
        <v>20</v>
      </c>
      <c r="H1135" s="377" t="e">
        <v>#DIV/0!</v>
      </c>
      <c r="I1135" s="377" t="e">
        <v>#DIV/0!</v>
      </c>
      <c r="J1135" s="355" t="s">
        <v>368</v>
      </c>
      <c r="K1135" s="7">
        <v>100000</v>
      </c>
      <c r="L1135" s="7">
        <v>150000</v>
      </c>
      <c r="M1135" s="21"/>
      <c r="N1135" s="9">
        <v>150000</v>
      </c>
      <c r="O1135" s="9">
        <v>150000</v>
      </c>
      <c r="P1135" s="7">
        <v>0</v>
      </c>
      <c r="Q1135" s="152">
        <v>45971</v>
      </c>
    </row>
    <row r="1136" spans="1:17" ht="15.75" thickBot="1" x14ac:dyDescent="0.3">
      <c r="A1136" s="4">
        <v>3435</v>
      </c>
      <c r="B1136" s="2" t="s">
        <v>727</v>
      </c>
      <c r="C1136" s="27"/>
      <c r="D1136" s="2"/>
      <c r="E1136" s="3">
        <v>45939</v>
      </c>
      <c r="F1136" s="3">
        <v>45967</v>
      </c>
      <c r="G1136" s="4">
        <v>20</v>
      </c>
      <c r="H1136" s="377" t="e">
        <v>#DIV/0!</v>
      </c>
      <c r="I1136" s="377" t="e">
        <v>#DIV/0!</v>
      </c>
      <c r="J1136" s="355" t="s">
        <v>368</v>
      </c>
      <c r="K1136" s="7">
        <v>220000</v>
      </c>
      <c r="L1136" s="7">
        <v>352000</v>
      </c>
      <c r="M1136" s="8"/>
      <c r="N1136" s="9">
        <v>352000</v>
      </c>
      <c r="O1136" s="9">
        <v>352000</v>
      </c>
      <c r="P1136" s="7">
        <v>0</v>
      </c>
      <c r="Q1136" s="152">
        <v>45971</v>
      </c>
    </row>
    <row r="1137" spans="1:17" ht="15.75" thickBot="1" x14ac:dyDescent="0.3">
      <c r="A1137" s="4">
        <v>3468</v>
      </c>
      <c r="B1137" s="2" t="s">
        <v>727</v>
      </c>
      <c r="C1137" s="27"/>
      <c r="D1137" s="2"/>
      <c r="E1137" s="3">
        <v>45959</v>
      </c>
      <c r="F1137" s="3">
        <v>45987</v>
      </c>
      <c r="G1137" s="4">
        <v>20</v>
      </c>
      <c r="H1137" s="377" t="e">
        <v>#DIV/0!</v>
      </c>
      <c r="I1137" s="377" t="e">
        <v>#DIV/0!</v>
      </c>
      <c r="J1137" s="355" t="s">
        <v>368</v>
      </c>
      <c r="K1137" s="7">
        <v>20000</v>
      </c>
      <c r="L1137" s="7">
        <v>32000</v>
      </c>
      <c r="M1137" s="8"/>
      <c r="N1137" s="9">
        <v>32000</v>
      </c>
      <c r="O1137" s="9">
        <v>32000</v>
      </c>
      <c r="P1137" s="7">
        <v>0</v>
      </c>
      <c r="Q1137" s="152">
        <v>45971</v>
      </c>
    </row>
    <row r="1138" spans="1:17" ht="15.75" thickBot="1" x14ac:dyDescent="0.3">
      <c r="A1138" s="4">
        <v>3470</v>
      </c>
      <c r="B1138" s="2" t="s">
        <v>727</v>
      </c>
      <c r="C1138" s="27"/>
      <c r="D1138" s="2"/>
      <c r="E1138" s="3">
        <v>45960</v>
      </c>
      <c r="F1138" s="3">
        <v>45988</v>
      </c>
      <c r="G1138" s="4">
        <v>20</v>
      </c>
      <c r="H1138" s="377" t="e">
        <v>#DIV/0!</v>
      </c>
      <c r="I1138" s="377" t="e">
        <v>#DIV/0!</v>
      </c>
      <c r="J1138" s="355" t="s">
        <v>368</v>
      </c>
      <c r="K1138" s="7">
        <v>15000</v>
      </c>
      <c r="L1138" s="7">
        <v>24000</v>
      </c>
      <c r="M1138" s="8"/>
      <c r="N1138" s="9">
        <v>24000</v>
      </c>
      <c r="O1138" s="9">
        <v>24000</v>
      </c>
      <c r="P1138" s="7">
        <v>0</v>
      </c>
      <c r="Q1138" s="152">
        <v>45971</v>
      </c>
    </row>
    <row r="1139" spans="1:17" ht="20.25" thickBot="1" x14ac:dyDescent="0.3">
      <c r="A1139" s="4">
        <v>3324</v>
      </c>
      <c r="B1139" s="27" t="s">
        <v>663</v>
      </c>
      <c r="C1139" s="27" t="s">
        <v>664</v>
      </c>
      <c r="D1139" s="28"/>
      <c r="E1139" s="3">
        <v>45868</v>
      </c>
      <c r="F1139" s="3">
        <v>45968</v>
      </c>
      <c r="G1139" s="4">
        <v>72</v>
      </c>
      <c r="H1139" s="377">
        <v>72</v>
      </c>
      <c r="I1139" s="377">
        <v>0</v>
      </c>
      <c r="J1139" s="155" t="s">
        <v>165</v>
      </c>
      <c r="K1139" s="7">
        <v>200000</v>
      </c>
      <c r="L1139" s="7">
        <v>432000</v>
      </c>
      <c r="M1139" s="8">
        <v>30000</v>
      </c>
      <c r="N1139" s="9">
        <v>42000</v>
      </c>
      <c r="O1139" s="9">
        <v>432000</v>
      </c>
      <c r="P1139" s="7">
        <v>0</v>
      </c>
      <c r="Q1139" s="152">
        <v>45971</v>
      </c>
    </row>
    <row r="1140" spans="1:17" ht="20.25" thickBot="1" x14ac:dyDescent="0.3">
      <c r="A1140" s="1">
        <v>3239</v>
      </c>
      <c r="B1140" s="27" t="s">
        <v>242</v>
      </c>
      <c r="C1140" s="27" t="s">
        <v>243</v>
      </c>
      <c r="D1140" s="2"/>
      <c r="E1140" s="3">
        <v>45821</v>
      </c>
      <c r="F1140" s="3">
        <v>45989</v>
      </c>
      <c r="G1140" s="4">
        <v>120</v>
      </c>
      <c r="H1140" s="377">
        <v>120</v>
      </c>
      <c r="I1140" s="377">
        <v>0</v>
      </c>
      <c r="J1140" s="355" t="s">
        <v>965</v>
      </c>
      <c r="K1140" s="7">
        <v>50000</v>
      </c>
      <c r="L1140" s="7">
        <v>132000</v>
      </c>
      <c r="M1140" s="8">
        <v>5500</v>
      </c>
      <c r="N1140" s="9">
        <v>22000</v>
      </c>
      <c r="O1140" s="9">
        <v>132000</v>
      </c>
      <c r="P1140" s="7">
        <v>0</v>
      </c>
      <c r="Q1140" s="152">
        <v>45978</v>
      </c>
    </row>
    <row r="1141" spans="1:17" ht="20.25" thickBot="1" x14ac:dyDescent="0.3">
      <c r="A1141" s="1">
        <v>3292</v>
      </c>
      <c r="B1141" s="27" t="s">
        <v>242</v>
      </c>
      <c r="C1141" s="27" t="s">
        <v>243</v>
      </c>
      <c r="D1141" s="2"/>
      <c r="E1141" s="3">
        <v>45854</v>
      </c>
      <c r="F1141" s="3">
        <v>45966</v>
      </c>
      <c r="G1141" s="4">
        <v>80</v>
      </c>
      <c r="H1141" s="377">
        <v>80</v>
      </c>
      <c r="I1141" s="377">
        <v>0</v>
      </c>
      <c r="J1141" s="355" t="s">
        <v>759</v>
      </c>
      <c r="K1141" s="7">
        <v>20000</v>
      </c>
      <c r="L1141" s="7">
        <v>43200</v>
      </c>
      <c r="M1141" s="8">
        <v>2700</v>
      </c>
      <c r="N1141" s="9">
        <v>10800</v>
      </c>
      <c r="O1141" s="9">
        <v>43200</v>
      </c>
      <c r="P1141" s="7">
        <v>0</v>
      </c>
      <c r="Q1141" s="152">
        <v>45978</v>
      </c>
    </row>
    <row r="1142" spans="1:17" ht="46.5" thickBot="1" x14ac:dyDescent="0.3">
      <c r="A1142" s="1">
        <v>2575</v>
      </c>
      <c r="B1142" s="27" t="s">
        <v>257</v>
      </c>
      <c r="C1142" s="27" t="s">
        <v>258</v>
      </c>
      <c r="D1142" s="2" t="s">
        <v>259</v>
      </c>
      <c r="E1142" s="3">
        <v>45397</v>
      </c>
      <c r="F1142" s="3">
        <v>45565</v>
      </c>
      <c r="G1142" s="4">
        <v>120</v>
      </c>
      <c r="H1142" s="377">
        <v>148.06896551724137</v>
      </c>
      <c r="I1142" s="377">
        <v>-28.068965517241367</v>
      </c>
      <c r="J1142" s="355" t="s">
        <v>260</v>
      </c>
      <c r="K1142" s="7">
        <v>150000</v>
      </c>
      <c r="L1142" s="7">
        <v>435000</v>
      </c>
      <c r="M1142" s="21">
        <v>18125</v>
      </c>
      <c r="N1142" s="9">
        <v>300000</v>
      </c>
      <c r="O1142" s="9">
        <v>536750</v>
      </c>
      <c r="P1142" s="7">
        <v>-101750</v>
      </c>
      <c r="Q1142" s="152">
        <v>45978</v>
      </c>
    </row>
    <row r="1143" spans="1:17" ht="38.25" thickBot="1" x14ac:dyDescent="0.3">
      <c r="A1143" s="4">
        <v>3280</v>
      </c>
      <c r="B1143" s="27" t="s">
        <v>1270</v>
      </c>
      <c r="C1143" s="27" t="s">
        <v>281</v>
      </c>
      <c r="D1143" s="2"/>
      <c r="E1143" s="3">
        <v>45847</v>
      </c>
      <c r="F1143" s="3">
        <v>45959</v>
      </c>
      <c r="G1143" s="4">
        <v>80</v>
      </c>
      <c r="H1143" s="377">
        <v>80.123456790123456</v>
      </c>
      <c r="I1143" s="377">
        <v>-0.12345679012345556</v>
      </c>
      <c r="J1143" s="355" t="s">
        <v>282</v>
      </c>
      <c r="K1143" s="7">
        <v>30000</v>
      </c>
      <c r="L1143" s="7">
        <v>64800</v>
      </c>
      <c r="M1143" s="8">
        <v>4050</v>
      </c>
      <c r="N1143" s="9">
        <v>16300</v>
      </c>
      <c r="O1143" s="9">
        <v>64900</v>
      </c>
      <c r="P1143" s="7">
        <v>-100</v>
      </c>
      <c r="Q1143" s="152">
        <v>45978</v>
      </c>
    </row>
    <row r="1144" spans="1:17" ht="24" thickBot="1" x14ac:dyDescent="0.3">
      <c r="A1144" s="4">
        <v>3497</v>
      </c>
      <c r="B1144" s="2" t="s">
        <v>707</v>
      </c>
      <c r="C1144" s="2"/>
      <c r="D1144" s="2"/>
      <c r="E1144" s="3">
        <v>45976</v>
      </c>
      <c r="F1144" s="3">
        <v>45982</v>
      </c>
      <c r="G1144" s="4">
        <v>5</v>
      </c>
      <c r="H1144" s="377" t="e">
        <v>#DIV/0!</v>
      </c>
      <c r="I1144" s="377" t="e">
        <v>#DIV/0!</v>
      </c>
      <c r="J1144" s="2" t="s">
        <v>403</v>
      </c>
      <c r="K1144" s="20">
        <v>100000</v>
      </c>
      <c r="L1144" s="7">
        <v>130000</v>
      </c>
      <c r="M1144" s="8"/>
      <c r="N1144" s="9">
        <v>130000</v>
      </c>
      <c r="O1144" s="9">
        <v>130000</v>
      </c>
      <c r="P1144" s="7">
        <v>0</v>
      </c>
      <c r="Q1144" s="152">
        <v>45978</v>
      </c>
    </row>
    <row r="1145" spans="1:17" ht="29.25" thickBot="1" x14ac:dyDescent="0.3">
      <c r="A1145" s="4">
        <v>3237</v>
      </c>
      <c r="B1145" s="27" t="s">
        <v>385</v>
      </c>
      <c r="C1145" s="27" t="s">
        <v>386</v>
      </c>
      <c r="D1145" s="2"/>
      <c r="E1145" s="3">
        <v>45819</v>
      </c>
      <c r="F1145" s="3">
        <v>45919</v>
      </c>
      <c r="G1145" s="4">
        <v>72</v>
      </c>
      <c r="H1145" s="377">
        <v>72.333333333333329</v>
      </c>
      <c r="I1145" s="377">
        <v>-0.3333333333333286</v>
      </c>
      <c r="J1145" s="155" t="s">
        <v>227</v>
      </c>
      <c r="K1145" s="7">
        <v>50000</v>
      </c>
      <c r="L1145" s="7">
        <v>108000</v>
      </c>
      <c r="M1145" s="8">
        <v>7500</v>
      </c>
      <c r="N1145" s="9">
        <v>7500</v>
      </c>
      <c r="O1145" s="9">
        <v>108500</v>
      </c>
      <c r="P1145" s="7">
        <v>-500</v>
      </c>
      <c r="Q1145" s="152">
        <v>45978</v>
      </c>
    </row>
    <row r="1146" spans="1:17" ht="46.5" thickBot="1" x14ac:dyDescent="0.3">
      <c r="A1146" s="4">
        <v>3332</v>
      </c>
      <c r="B1146" s="2" t="s">
        <v>609</v>
      </c>
      <c r="C1146" s="2" t="s">
        <v>610</v>
      </c>
      <c r="D1146" s="2"/>
      <c r="E1146" s="3">
        <v>45876</v>
      </c>
      <c r="F1146" s="3">
        <v>45978</v>
      </c>
      <c r="G1146" s="4">
        <v>72</v>
      </c>
      <c r="H1146" s="377">
        <v>72</v>
      </c>
      <c r="I1146" s="377">
        <v>0</v>
      </c>
      <c r="J1146" s="155" t="s">
        <v>162</v>
      </c>
      <c r="K1146" s="7">
        <v>60000</v>
      </c>
      <c r="L1146" s="7">
        <v>129600</v>
      </c>
      <c r="M1146" s="21">
        <v>9000</v>
      </c>
      <c r="N1146" s="9">
        <v>3600</v>
      </c>
      <c r="O1146" s="9">
        <v>129600</v>
      </c>
      <c r="P1146" s="7">
        <v>0</v>
      </c>
      <c r="Q1146" s="152">
        <v>45978</v>
      </c>
    </row>
    <row r="1147" spans="1:17" ht="38.25" thickBot="1" x14ac:dyDescent="0.3">
      <c r="A1147" s="4">
        <v>3318</v>
      </c>
      <c r="B1147" s="27" t="s">
        <v>316</v>
      </c>
      <c r="C1147" s="27" t="s">
        <v>317</v>
      </c>
      <c r="D1147" s="2"/>
      <c r="E1147" s="3">
        <v>45864</v>
      </c>
      <c r="F1147" s="3">
        <f t="shared" ref="F1147" si="1">WORKDAY(E1147,G1147)</f>
        <v>45965</v>
      </c>
      <c r="G1147" s="4">
        <v>72</v>
      </c>
      <c r="H1147" s="377">
        <f t="shared" ref="H1147" si="2">(FS1147* 5)/M1147</f>
        <v>0</v>
      </c>
      <c r="I1147" s="377">
        <f t="shared" ref="I1147" si="3">G1147-H1147</f>
        <v>72</v>
      </c>
      <c r="J1147" s="155" t="s">
        <v>227</v>
      </c>
      <c r="K1147" s="20">
        <v>10000</v>
      </c>
      <c r="L1147" s="7">
        <v>21600</v>
      </c>
      <c r="M1147" s="8">
        <f t="shared" ref="M1147" si="4">(L1147/G1147)*5</f>
        <v>1500</v>
      </c>
      <c r="N1147" s="9">
        <v>7100</v>
      </c>
      <c r="O1147" s="9">
        <v>21600</v>
      </c>
      <c r="P1147" s="7">
        <v>0</v>
      </c>
      <c r="Q1147" s="152">
        <v>45985</v>
      </c>
    </row>
  </sheetData>
  <sortState xmlns:xlrd2="http://schemas.microsoft.com/office/spreadsheetml/2017/richdata2" ref="A2:R1146">
    <sortCondition ref="Q2:Q1146"/>
  </sortState>
  <pageMargins left="0.7" right="0.7" top="0.75" bottom="0.75" header="0.3" footer="0.3"/>
  <pageSetup paperSize="9" orientation="portrait" horizontalDpi="360" verticalDpi="36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8F72A-ECA8-4C6E-9AD1-33F0FC69CAC2}">
  <dimension ref="A1:L293"/>
  <sheetViews>
    <sheetView workbookViewId="0">
      <pane ySplit="1" topLeftCell="A275" activePane="bottomLeft" state="frozen"/>
      <selection pane="bottomLeft" activeCell="C294" sqref="C294"/>
    </sheetView>
  </sheetViews>
  <sheetFormatPr baseColWidth="10" defaultRowHeight="15" x14ac:dyDescent="0.25"/>
  <cols>
    <col min="2" max="2" width="15.28515625" bestFit="1" customWidth="1"/>
    <col min="3" max="3" width="14.42578125" bestFit="1" customWidth="1"/>
    <col min="4" max="4" width="9.140625" bestFit="1" customWidth="1"/>
    <col min="5" max="5" width="14.42578125" customWidth="1"/>
    <col min="6" max="6" width="15.28515625" bestFit="1" customWidth="1"/>
    <col min="7" max="7" width="14.140625" customWidth="1"/>
    <col min="9" max="9" width="15" bestFit="1" customWidth="1"/>
  </cols>
  <sheetData>
    <row r="1" spans="1:9" x14ac:dyDescent="0.25">
      <c r="A1" t="s">
        <v>1001</v>
      </c>
      <c r="B1" t="s">
        <v>1002</v>
      </c>
      <c r="C1" t="s">
        <v>1003</v>
      </c>
      <c r="D1" s="210" t="s">
        <v>480</v>
      </c>
      <c r="E1" t="s">
        <v>1004</v>
      </c>
      <c r="F1" t="s">
        <v>1005</v>
      </c>
      <c r="G1" t="s">
        <v>1006</v>
      </c>
      <c r="H1" t="s">
        <v>1007</v>
      </c>
      <c r="I1" t="s">
        <v>1008</v>
      </c>
    </row>
    <row r="2" spans="1:9" x14ac:dyDescent="0.25">
      <c r="A2" s="211" t="s">
        <v>1009</v>
      </c>
      <c r="B2">
        <v>159</v>
      </c>
      <c r="C2">
        <v>38710</v>
      </c>
    </row>
    <row r="3" spans="1:9" x14ac:dyDescent="0.25">
      <c r="A3" s="211" t="s">
        <v>1010</v>
      </c>
      <c r="B3">
        <v>162</v>
      </c>
      <c r="C3">
        <v>49385</v>
      </c>
    </row>
    <row r="4" spans="1:9" x14ac:dyDescent="0.25">
      <c r="A4" s="211" t="s">
        <v>1011</v>
      </c>
      <c r="B4">
        <v>156</v>
      </c>
      <c r="C4">
        <v>38520</v>
      </c>
    </row>
    <row r="5" spans="1:9" x14ac:dyDescent="0.25">
      <c r="A5" s="211" t="s">
        <v>1012</v>
      </c>
      <c r="B5">
        <v>156</v>
      </c>
      <c r="C5">
        <v>30100</v>
      </c>
    </row>
    <row r="6" spans="1:9" x14ac:dyDescent="0.25">
      <c r="A6" s="211" t="s">
        <v>1013</v>
      </c>
      <c r="B6">
        <v>156</v>
      </c>
      <c r="C6">
        <v>51315</v>
      </c>
    </row>
    <row r="7" spans="1:9" x14ac:dyDescent="0.25">
      <c r="A7" s="211" t="s">
        <v>1014</v>
      </c>
      <c r="B7">
        <v>145</v>
      </c>
      <c r="C7">
        <v>61520</v>
      </c>
    </row>
    <row r="8" spans="1:9" x14ac:dyDescent="0.25">
      <c r="A8" s="211" t="s">
        <v>1015</v>
      </c>
      <c r="B8">
        <v>147</v>
      </c>
      <c r="C8">
        <v>58260</v>
      </c>
      <c r="D8">
        <v>47.53</v>
      </c>
    </row>
    <row r="9" spans="1:9" x14ac:dyDescent="0.25">
      <c r="A9" s="211" t="s">
        <v>1016</v>
      </c>
      <c r="B9">
        <v>141</v>
      </c>
      <c r="C9">
        <v>47680</v>
      </c>
      <c r="D9">
        <v>38.5</v>
      </c>
    </row>
    <row r="10" spans="1:9" x14ac:dyDescent="0.25">
      <c r="A10" s="211" t="s">
        <v>1017</v>
      </c>
      <c r="B10">
        <v>139</v>
      </c>
      <c r="C10">
        <v>52320</v>
      </c>
      <c r="D10">
        <v>42.07</v>
      </c>
    </row>
    <row r="11" spans="1:9" x14ac:dyDescent="0.25">
      <c r="A11" s="211" t="s">
        <v>1018</v>
      </c>
      <c r="B11">
        <v>140</v>
      </c>
      <c r="C11">
        <v>62290</v>
      </c>
      <c r="D11">
        <v>51.47</v>
      </c>
    </row>
    <row r="12" spans="1:9" x14ac:dyDescent="0.25">
      <c r="A12" s="211" t="s">
        <v>1019</v>
      </c>
      <c r="B12">
        <v>137</v>
      </c>
      <c r="C12">
        <v>58200</v>
      </c>
      <c r="D12">
        <v>48.63</v>
      </c>
    </row>
    <row r="13" spans="1:9" x14ac:dyDescent="0.25">
      <c r="A13" s="211" t="s">
        <v>1020</v>
      </c>
      <c r="B13">
        <v>140</v>
      </c>
      <c r="C13">
        <v>63200</v>
      </c>
      <c r="D13">
        <v>52</v>
      </c>
    </row>
    <row r="14" spans="1:9" x14ac:dyDescent="0.25">
      <c r="A14" s="211" t="s">
        <v>1021</v>
      </c>
      <c r="B14">
        <v>137</v>
      </c>
      <c r="C14">
        <v>80920</v>
      </c>
      <c r="D14">
        <v>67.680000000000007</v>
      </c>
    </row>
    <row r="15" spans="1:9" x14ac:dyDescent="0.25">
      <c r="A15" s="211" t="s">
        <v>1022</v>
      </c>
      <c r="B15">
        <v>138</v>
      </c>
      <c r="C15">
        <v>63365</v>
      </c>
      <c r="D15">
        <v>52.33</v>
      </c>
    </row>
    <row r="16" spans="1:9" x14ac:dyDescent="0.25">
      <c r="A16" s="211" t="s">
        <v>1023</v>
      </c>
      <c r="B16">
        <v>137</v>
      </c>
      <c r="C16">
        <v>87380</v>
      </c>
      <c r="D16">
        <v>71.8</v>
      </c>
    </row>
    <row r="17" spans="1:5" x14ac:dyDescent="0.25">
      <c r="A17" s="211" t="s">
        <v>1024</v>
      </c>
      <c r="B17">
        <v>141</v>
      </c>
      <c r="C17">
        <v>86620</v>
      </c>
      <c r="D17">
        <v>69.930000000000007</v>
      </c>
    </row>
    <row r="18" spans="1:5" x14ac:dyDescent="0.25">
      <c r="A18" s="211" t="s">
        <v>1025</v>
      </c>
      <c r="B18">
        <v>137</v>
      </c>
      <c r="C18">
        <v>44670</v>
      </c>
      <c r="D18">
        <v>37.14</v>
      </c>
    </row>
    <row r="19" spans="1:5" x14ac:dyDescent="0.25">
      <c r="A19" s="211" t="s">
        <v>1026</v>
      </c>
      <c r="B19">
        <v>137</v>
      </c>
      <c r="C19">
        <v>74950</v>
      </c>
      <c r="D19">
        <v>58.89</v>
      </c>
    </row>
    <row r="20" spans="1:5" x14ac:dyDescent="0.25">
      <c r="A20" s="211" t="s">
        <v>1027</v>
      </c>
      <c r="B20">
        <v>136</v>
      </c>
      <c r="C20">
        <v>92190</v>
      </c>
      <c r="D20">
        <v>74.19</v>
      </c>
    </row>
    <row r="21" spans="1:5" x14ac:dyDescent="0.25">
      <c r="A21" s="211" t="s">
        <v>1028</v>
      </c>
      <c r="B21">
        <v>136</v>
      </c>
      <c r="C21">
        <v>90850</v>
      </c>
      <c r="D21">
        <v>72.22</v>
      </c>
    </row>
    <row r="22" spans="1:5" x14ac:dyDescent="0.25">
      <c r="A22" s="211" t="s">
        <v>1029</v>
      </c>
      <c r="B22">
        <v>129</v>
      </c>
      <c r="C22">
        <v>64965</v>
      </c>
      <c r="D22">
        <v>53.3</v>
      </c>
    </row>
    <row r="23" spans="1:5" x14ac:dyDescent="0.25">
      <c r="A23" s="211" t="s">
        <v>1030</v>
      </c>
      <c r="B23">
        <v>134</v>
      </c>
      <c r="C23">
        <v>52860</v>
      </c>
      <c r="D23">
        <v>42.26</v>
      </c>
    </row>
    <row r="24" spans="1:5" x14ac:dyDescent="0.25">
      <c r="A24" s="211" t="s">
        <v>1031</v>
      </c>
      <c r="B24">
        <v>136</v>
      </c>
      <c r="C24">
        <v>106170</v>
      </c>
      <c r="D24">
        <v>83.25</v>
      </c>
    </row>
    <row r="25" spans="1:5" x14ac:dyDescent="0.25">
      <c r="A25" s="211" t="s">
        <v>1032</v>
      </c>
      <c r="B25">
        <v>138</v>
      </c>
      <c r="C25">
        <v>87790</v>
      </c>
      <c r="D25">
        <v>67.84</v>
      </c>
    </row>
    <row r="26" spans="1:5" x14ac:dyDescent="0.25">
      <c r="A26" s="211" t="s">
        <v>1033</v>
      </c>
      <c r="B26">
        <v>136</v>
      </c>
      <c r="C26">
        <v>53375</v>
      </c>
      <c r="D26">
        <v>41.52</v>
      </c>
    </row>
    <row r="27" spans="1:5" x14ac:dyDescent="0.25">
      <c r="A27" s="211" t="s">
        <v>1034</v>
      </c>
      <c r="B27">
        <v>131</v>
      </c>
      <c r="C27">
        <v>62780</v>
      </c>
      <c r="D27">
        <v>50.48</v>
      </c>
    </row>
    <row r="28" spans="1:5" x14ac:dyDescent="0.25">
      <c r="A28" s="211" t="s">
        <v>1035</v>
      </c>
      <c r="B28">
        <v>135</v>
      </c>
      <c r="C28">
        <v>79345</v>
      </c>
      <c r="D28">
        <v>60.38</v>
      </c>
    </row>
    <row r="29" spans="1:5" x14ac:dyDescent="0.25">
      <c r="A29" s="211" t="s">
        <v>1036</v>
      </c>
      <c r="B29">
        <v>133</v>
      </c>
      <c r="C29">
        <v>86380</v>
      </c>
      <c r="D29">
        <v>66.540000000000006</v>
      </c>
      <c r="E29">
        <v>57.351999999999997</v>
      </c>
    </row>
    <row r="30" spans="1:5" x14ac:dyDescent="0.25">
      <c r="A30" s="211" t="s">
        <v>1037</v>
      </c>
      <c r="B30">
        <v>133</v>
      </c>
      <c r="C30">
        <v>107180</v>
      </c>
      <c r="D30">
        <v>82.72</v>
      </c>
      <c r="E30">
        <v>60.328000000000003</v>
      </c>
    </row>
    <row r="31" spans="1:5" x14ac:dyDescent="0.25">
      <c r="A31" s="211" t="s">
        <v>1038</v>
      </c>
      <c r="B31">
        <v>135</v>
      </c>
      <c r="C31">
        <v>72910</v>
      </c>
      <c r="D31">
        <v>55.2</v>
      </c>
      <c r="E31">
        <v>63.64</v>
      </c>
    </row>
    <row r="32" spans="1:5" x14ac:dyDescent="0.25">
      <c r="A32" s="211" t="s">
        <v>1039</v>
      </c>
      <c r="B32">
        <v>137</v>
      </c>
      <c r="C32">
        <v>108660</v>
      </c>
      <c r="D32">
        <v>79.459999999999994</v>
      </c>
      <c r="E32">
        <v>68.86</v>
      </c>
    </row>
    <row r="33" spans="1:5" x14ac:dyDescent="0.25">
      <c r="A33" s="211" t="s">
        <v>1040</v>
      </c>
      <c r="B33">
        <v>134</v>
      </c>
      <c r="C33">
        <v>88420</v>
      </c>
      <c r="D33">
        <v>63.44</v>
      </c>
      <c r="E33">
        <v>69.471999999999994</v>
      </c>
    </row>
    <row r="34" spans="1:5" x14ac:dyDescent="0.25">
      <c r="A34" s="211" t="s">
        <v>1041</v>
      </c>
      <c r="B34">
        <v>135</v>
      </c>
      <c r="C34">
        <v>93690</v>
      </c>
      <c r="D34">
        <v>67.150000000000006</v>
      </c>
      <c r="E34">
        <v>69.593999999999994</v>
      </c>
    </row>
    <row r="35" spans="1:5" x14ac:dyDescent="0.25">
      <c r="A35" s="211" t="s">
        <v>1042</v>
      </c>
      <c r="B35">
        <v>141</v>
      </c>
      <c r="C35">
        <v>115420</v>
      </c>
      <c r="D35">
        <v>79.819999999999993</v>
      </c>
      <c r="E35">
        <v>69.013999999999996</v>
      </c>
    </row>
    <row r="36" spans="1:5" x14ac:dyDescent="0.25">
      <c r="A36" s="211" t="s">
        <v>1043</v>
      </c>
      <c r="B36">
        <v>137</v>
      </c>
      <c r="C36">
        <v>52490</v>
      </c>
      <c r="D36">
        <v>36.14</v>
      </c>
      <c r="E36">
        <v>65.02</v>
      </c>
    </row>
    <row r="37" spans="1:5" x14ac:dyDescent="0.25">
      <c r="A37" s="212" t="s">
        <v>1044</v>
      </c>
      <c r="B37">
        <v>136</v>
      </c>
      <c r="C37">
        <v>104410</v>
      </c>
      <c r="D37">
        <v>71.98</v>
      </c>
      <c r="E37">
        <v>63.706000000000003</v>
      </c>
    </row>
    <row r="38" spans="1:5" x14ac:dyDescent="0.25">
      <c r="A38" s="212" t="s">
        <v>1045</v>
      </c>
      <c r="B38">
        <v>141</v>
      </c>
      <c r="C38">
        <v>128490</v>
      </c>
      <c r="D38">
        <v>83.18</v>
      </c>
      <c r="E38">
        <v>67.653999999999996</v>
      </c>
    </row>
    <row r="39" spans="1:5" x14ac:dyDescent="0.25">
      <c r="A39" s="212" t="s">
        <v>1046</v>
      </c>
      <c r="B39">
        <v>142</v>
      </c>
      <c r="C39">
        <v>97990</v>
      </c>
      <c r="D39">
        <v>62.67</v>
      </c>
      <c r="E39">
        <v>66.757999999999996</v>
      </c>
    </row>
    <row r="40" spans="1:5" x14ac:dyDescent="0.25">
      <c r="A40" s="212" t="s">
        <v>1047</v>
      </c>
      <c r="B40">
        <v>141</v>
      </c>
      <c r="C40">
        <v>83850</v>
      </c>
      <c r="D40">
        <v>54.13</v>
      </c>
      <c r="E40">
        <v>61.62</v>
      </c>
    </row>
    <row r="41" spans="1:5" x14ac:dyDescent="0.25">
      <c r="A41" s="212" t="s">
        <v>1048</v>
      </c>
      <c r="B41">
        <v>141</v>
      </c>
      <c r="C41">
        <v>83480</v>
      </c>
      <c r="D41">
        <v>53.23</v>
      </c>
      <c r="E41">
        <v>65.037999999999997</v>
      </c>
    </row>
    <row r="42" spans="1:5" x14ac:dyDescent="0.25">
      <c r="A42" s="212" t="s">
        <v>1049</v>
      </c>
      <c r="B42">
        <v>144</v>
      </c>
      <c r="C42">
        <v>106670</v>
      </c>
      <c r="D42">
        <v>66.73</v>
      </c>
      <c r="E42">
        <v>63.988</v>
      </c>
    </row>
    <row r="43" spans="1:5" x14ac:dyDescent="0.25">
      <c r="A43" s="212" t="s">
        <v>1050</v>
      </c>
      <c r="B43">
        <v>145</v>
      </c>
      <c r="C43">
        <v>97680</v>
      </c>
      <c r="D43">
        <v>60.65</v>
      </c>
      <c r="E43">
        <v>59.481999999999999</v>
      </c>
    </row>
    <row r="44" spans="1:5" x14ac:dyDescent="0.25">
      <c r="A44" s="212" t="s">
        <v>1051</v>
      </c>
      <c r="B44">
        <v>145</v>
      </c>
      <c r="C44">
        <v>76680</v>
      </c>
      <c r="D44">
        <v>46.66</v>
      </c>
      <c r="E44">
        <v>56.28</v>
      </c>
    </row>
    <row r="45" spans="1:5" x14ac:dyDescent="0.25">
      <c r="A45" s="212" t="s">
        <v>1052</v>
      </c>
      <c r="B45">
        <v>146</v>
      </c>
      <c r="C45">
        <v>109170</v>
      </c>
      <c r="D45">
        <v>64.87</v>
      </c>
      <c r="E45">
        <v>58.427999999999997</v>
      </c>
    </row>
    <row r="46" spans="1:5" x14ac:dyDescent="0.25">
      <c r="A46" s="212" t="s">
        <v>1053</v>
      </c>
      <c r="B46">
        <v>147</v>
      </c>
      <c r="C46">
        <v>113260</v>
      </c>
      <c r="D46">
        <v>65.7</v>
      </c>
      <c r="E46">
        <v>60.921999999999997</v>
      </c>
    </row>
    <row r="47" spans="1:5" x14ac:dyDescent="0.25">
      <c r="A47" s="212" t="s">
        <v>1054</v>
      </c>
      <c r="B47">
        <v>147</v>
      </c>
      <c r="C47">
        <v>117010</v>
      </c>
      <c r="D47">
        <v>67.7</v>
      </c>
      <c r="E47">
        <v>61.116</v>
      </c>
    </row>
    <row r="48" spans="1:5" x14ac:dyDescent="0.25">
      <c r="A48" s="212" t="s">
        <v>1055</v>
      </c>
      <c r="B48">
        <v>147</v>
      </c>
      <c r="C48">
        <v>78830</v>
      </c>
      <c r="D48">
        <v>46.16</v>
      </c>
      <c r="E48">
        <v>59.245600000000003</v>
      </c>
    </row>
    <row r="49" spans="1:6" x14ac:dyDescent="0.25">
      <c r="A49" s="212" t="s">
        <v>1056</v>
      </c>
      <c r="B49">
        <v>148</v>
      </c>
      <c r="C49">
        <v>69850</v>
      </c>
      <c r="D49">
        <v>39.65</v>
      </c>
      <c r="E49">
        <v>56.816000000000003</v>
      </c>
    </row>
    <row r="50" spans="1:6" x14ac:dyDescent="0.25">
      <c r="A50" s="212" t="s">
        <v>1057</v>
      </c>
      <c r="B50">
        <v>152</v>
      </c>
      <c r="C50">
        <v>129950</v>
      </c>
      <c r="D50">
        <v>72.66</v>
      </c>
      <c r="E50" s="213">
        <v>59.456000000000003</v>
      </c>
    </row>
    <row r="51" spans="1:6" x14ac:dyDescent="0.25">
      <c r="A51" s="212" t="s">
        <v>1058</v>
      </c>
      <c r="B51">
        <v>154</v>
      </c>
      <c r="C51">
        <v>133590</v>
      </c>
      <c r="D51">
        <v>73.87</v>
      </c>
      <c r="E51">
        <v>60.008000000000003</v>
      </c>
    </row>
    <row r="52" spans="1:6" x14ac:dyDescent="0.25">
      <c r="A52" s="212" t="s">
        <v>1059</v>
      </c>
      <c r="B52">
        <v>158</v>
      </c>
      <c r="C52">
        <v>137890</v>
      </c>
      <c r="D52">
        <v>74.25</v>
      </c>
      <c r="E52">
        <v>61.317999999999998</v>
      </c>
    </row>
    <row r="53" spans="1:6" x14ac:dyDescent="0.25">
      <c r="A53" s="212" t="s">
        <v>1060</v>
      </c>
      <c r="B53">
        <v>159</v>
      </c>
      <c r="C53">
        <v>109140</v>
      </c>
      <c r="D53">
        <v>58.39</v>
      </c>
      <c r="E53">
        <v>63.764000000000003</v>
      </c>
    </row>
    <row r="54" spans="1:6" x14ac:dyDescent="0.25">
      <c r="A54" s="212" t="s">
        <v>1061</v>
      </c>
      <c r="B54">
        <v>161</v>
      </c>
      <c r="C54" s="49">
        <v>142920</v>
      </c>
      <c r="D54">
        <v>76.84</v>
      </c>
      <c r="E54">
        <v>71.201999999999998</v>
      </c>
    </row>
    <row r="55" spans="1:6" x14ac:dyDescent="0.25">
      <c r="A55" s="212" t="s">
        <v>1062</v>
      </c>
      <c r="B55">
        <v>162</v>
      </c>
      <c r="C55">
        <v>116140</v>
      </c>
      <c r="D55">
        <v>60.61</v>
      </c>
      <c r="E55">
        <v>68.792000000000002</v>
      </c>
    </row>
    <row r="56" spans="1:6" x14ac:dyDescent="0.25">
      <c r="A56" s="212" t="s">
        <v>1063</v>
      </c>
      <c r="B56">
        <v>163</v>
      </c>
      <c r="C56">
        <v>131040</v>
      </c>
      <c r="D56">
        <v>68.040000000000006</v>
      </c>
      <c r="E56">
        <v>67.626000000000005</v>
      </c>
    </row>
    <row r="57" spans="1:6" x14ac:dyDescent="0.25">
      <c r="A57" s="212" t="s">
        <v>1064</v>
      </c>
      <c r="B57">
        <v>159</v>
      </c>
      <c r="C57">
        <v>43769</v>
      </c>
      <c r="D57">
        <v>22.9</v>
      </c>
      <c r="E57">
        <v>57.356000000000002</v>
      </c>
      <c r="F57" t="s">
        <v>1065</v>
      </c>
    </row>
    <row r="58" spans="1:6" x14ac:dyDescent="0.25">
      <c r="A58" s="212" t="s">
        <v>1066</v>
      </c>
      <c r="B58">
        <v>159</v>
      </c>
      <c r="C58">
        <v>108370</v>
      </c>
      <c r="D58">
        <v>56.82</v>
      </c>
      <c r="E58">
        <v>57.042000000000002</v>
      </c>
      <c r="F58" t="s">
        <v>1067</v>
      </c>
    </row>
    <row r="59" spans="1:6" x14ac:dyDescent="0.25">
      <c r="A59" s="212" t="s">
        <v>1068</v>
      </c>
      <c r="B59">
        <v>158</v>
      </c>
      <c r="C59">
        <v>162630</v>
      </c>
      <c r="D59">
        <v>84.68</v>
      </c>
      <c r="E59">
        <v>58.61</v>
      </c>
    </row>
    <row r="60" spans="1:6" x14ac:dyDescent="0.25">
      <c r="A60" s="212" t="s">
        <v>1069</v>
      </c>
      <c r="B60">
        <v>160</v>
      </c>
      <c r="C60">
        <v>107518</v>
      </c>
      <c r="D60">
        <v>55.52</v>
      </c>
      <c r="E60">
        <v>57.591999999999999</v>
      </c>
    </row>
    <row r="61" spans="1:6" x14ac:dyDescent="0.25">
      <c r="A61" s="212" t="s">
        <v>1070</v>
      </c>
      <c r="B61">
        <v>156</v>
      </c>
      <c r="C61">
        <v>120700</v>
      </c>
      <c r="D61">
        <v>62.39</v>
      </c>
      <c r="E61">
        <v>56.462000000000003</v>
      </c>
    </row>
    <row r="62" spans="1:6" x14ac:dyDescent="0.25">
      <c r="A62" s="212" t="s">
        <v>1071</v>
      </c>
      <c r="B62">
        <v>154</v>
      </c>
      <c r="C62">
        <v>93790</v>
      </c>
      <c r="D62">
        <v>47.93</v>
      </c>
      <c r="E62">
        <v>61.468000000000004</v>
      </c>
    </row>
    <row r="63" spans="1:6" x14ac:dyDescent="0.25">
      <c r="A63" s="212" t="s">
        <v>1072</v>
      </c>
      <c r="B63">
        <v>157</v>
      </c>
      <c r="C63">
        <v>140610</v>
      </c>
      <c r="D63">
        <v>70.86</v>
      </c>
      <c r="E63">
        <f>AVERAGE(D59:D63)</f>
        <v>64.27600000000001</v>
      </c>
    </row>
    <row r="64" spans="1:6" x14ac:dyDescent="0.25">
      <c r="A64" s="212" t="s">
        <v>1073</v>
      </c>
      <c r="B64">
        <v>158</v>
      </c>
      <c r="C64">
        <v>151090</v>
      </c>
      <c r="D64">
        <v>75.239999999999995</v>
      </c>
      <c r="E64">
        <v>62.387999999999998</v>
      </c>
    </row>
    <row r="65" spans="1:5" x14ac:dyDescent="0.25">
      <c r="A65" s="212" t="s">
        <v>1074</v>
      </c>
      <c r="B65">
        <v>160</v>
      </c>
      <c r="C65">
        <v>154510</v>
      </c>
      <c r="D65">
        <v>73.09</v>
      </c>
      <c r="E65">
        <v>65.902000000000001</v>
      </c>
    </row>
    <row r="66" spans="1:5" x14ac:dyDescent="0.25">
      <c r="A66" s="212" t="s">
        <v>1075</v>
      </c>
      <c r="B66">
        <v>152</v>
      </c>
      <c r="C66">
        <v>89314</v>
      </c>
      <c r="D66">
        <v>44.36</v>
      </c>
      <c r="E66">
        <v>62.295999999999999</v>
      </c>
    </row>
    <row r="67" spans="1:5" x14ac:dyDescent="0.25">
      <c r="A67" s="212" t="s">
        <v>1076</v>
      </c>
      <c r="B67">
        <v>153</v>
      </c>
      <c r="C67">
        <v>149475</v>
      </c>
      <c r="D67">
        <v>73.489999999999995</v>
      </c>
      <c r="E67">
        <f>AVERAGE(D63:D67)</f>
        <v>67.408000000000001</v>
      </c>
    </row>
    <row r="68" spans="1:5" x14ac:dyDescent="0.25">
      <c r="A68" s="212" t="s">
        <v>1077</v>
      </c>
      <c r="B68">
        <v>151</v>
      </c>
      <c r="C68">
        <v>159240</v>
      </c>
      <c r="D68">
        <v>76.64</v>
      </c>
      <c r="E68">
        <v>68.563999999999993</v>
      </c>
    </row>
    <row r="69" spans="1:5" x14ac:dyDescent="0.25">
      <c r="A69" s="212" t="s">
        <v>1078</v>
      </c>
      <c r="B69">
        <v>149</v>
      </c>
      <c r="C69">
        <v>117250</v>
      </c>
      <c r="D69">
        <v>57.46</v>
      </c>
      <c r="E69">
        <v>65.007999999999996</v>
      </c>
    </row>
    <row r="70" spans="1:5" x14ac:dyDescent="0.25">
      <c r="A70" s="212" t="s">
        <v>1079</v>
      </c>
      <c r="B70">
        <v>150</v>
      </c>
      <c r="C70">
        <v>112735</v>
      </c>
      <c r="D70">
        <v>53.78</v>
      </c>
      <c r="E70">
        <v>61.146000000000001</v>
      </c>
    </row>
    <row r="71" spans="1:5" x14ac:dyDescent="0.25">
      <c r="A71" s="212" t="s">
        <v>1080</v>
      </c>
      <c r="B71">
        <v>146</v>
      </c>
      <c r="C71">
        <v>113910</v>
      </c>
      <c r="D71">
        <v>56.2</v>
      </c>
      <c r="E71">
        <v>63.514000000000003</v>
      </c>
    </row>
    <row r="72" spans="1:5" x14ac:dyDescent="0.25">
      <c r="A72" s="212" t="s">
        <v>1081</v>
      </c>
      <c r="B72">
        <v>152</v>
      </c>
      <c r="C72">
        <v>175515</v>
      </c>
      <c r="D72">
        <v>80.84</v>
      </c>
      <c r="E72">
        <v>64.983999999999995</v>
      </c>
    </row>
    <row r="73" spans="1:5" x14ac:dyDescent="0.25">
      <c r="A73" s="212" t="s">
        <v>1082</v>
      </c>
      <c r="B73">
        <v>151</v>
      </c>
      <c r="C73">
        <v>146455</v>
      </c>
      <c r="D73">
        <v>66.989999999999995</v>
      </c>
      <c r="E73">
        <v>63.054000000000002</v>
      </c>
    </row>
    <row r="74" spans="1:5" x14ac:dyDescent="0.25">
      <c r="A74" s="212" t="s">
        <v>1083</v>
      </c>
      <c r="B74">
        <v>146</v>
      </c>
      <c r="C74">
        <v>97400</v>
      </c>
      <c r="D74">
        <v>45.59</v>
      </c>
      <c r="E74">
        <v>60.68</v>
      </c>
    </row>
    <row r="75" spans="1:5" x14ac:dyDescent="0.25">
      <c r="A75" s="212" t="s">
        <v>1084</v>
      </c>
      <c r="B75">
        <v>151</v>
      </c>
      <c r="C75">
        <v>104995</v>
      </c>
      <c r="D75">
        <v>48.97</v>
      </c>
      <c r="E75" s="214">
        <v>59.688000000000002</v>
      </c>
    </row>
    <row r="76" spans="1:5" x14ac:dyDescent="0.25">
      <c r="A76" s="212" t="s">
        <v>1085</v>
      </c>
      <c r="B76">
        <v>148</v>
      </c>
      <c r="C76">
        <v>185010</v>
      </c>
      <c r="D76">
        <v>85.32</v>
      </c>
      <c r="E76">
        <v>65.542000000000002</v>
      </c>
    </row>
    <row r="77" spans="1:5" x14ac:dyDescent="0.25">
      <c r="A77" s="212" t="s">
        <v>1086</v>
      </c>
      <c r="B77">
        <v>150</v>
      </c>
      <c r="C77">
        <v>110010</v>
      </c>
      <c r="D77">
        <v>49.56</v>
      </c>
      <c r="E77">
        <v>59.286000000000001</v>
      </c>
    </row>
    <row r="78" spans="1:5" x14ac:dyDescent="0.25">
      <c r="A78" s="212" t="s">
        <v>1087</v>
      </c>
      <c r="B78">
        <v>150</v>
      </c>
      <c r="C78">
        <v>135820</v>
      </c>
      <c r="D78">
        <v>61.62</v>
      </c>
      <c r="E78">
        <v>61.3675</v>
      </c>
    </row>
    <row r="79" spans="1:5" x14ac:dyDescent="0.25">
      <c r="A79" s="212" t="s">
        <v>1088</v>
      </c>
      <c r="B79">
        <v>147</v>
      </c>
      <c r="C79">
        <v>131840</v>
      </c>
      <c r="D79">
        <v>61.89</v>
      </c>
      <c r="E79">
        <v>61.472000000000001</v>
      </c>
    </row>
    <row r="80" spans="1:5" x14ac:dyDescent="0.25">
      <c r="A80" s="212" t="s">
        <v>1089</v>
      </c>
      <c r="B80">
        <v>152</v>
      </c>
      <c r="C80">
        <v>195350</v>
      </c>
      <c r="D80">
        <v>83.75</v>
      </c>
      <c r="E80">
        <v>68.427999999999997</v>
      </c>
    </row>
    <row r="81" spans="1:5" x14ac:dyDescent="0.25">
      <c r="A81" s="212" t="s">
        <v>1090</v>
      </c>
      <c r="B81">
        <v>147</v>
      </c>
      <c r="C81">
        <v>187128</v>
      </c>
      <c r="D81">
        <v>84.42</v>
      </c>
      <c r="E81">
        <v>68.248000000000005</v>
      </c>
    </row>
    <row r="82" spans="1:5" x14ac:dyDescent="0.25">
      <c r="A82" s="212" t="s">
        <v>1091</v>
      </c>
      <c r="B82">
        <v>148</v>
      </c>
      <c r="C82">
        <v>151970</v>
      </c>
      <c r="D82">
        <v>65.900000000000006</v>
      </c>
      <c r="E82">
        <v>71.516000000000005</v>
      </c>
    </row>
    <row r="83" spans="1:5" x14ac:dyDescent="0.25">
      <c r="A83" s="212" t="s">
        <v>1092</v>
      </c>
      <c r="B83">
        <v>146</v>
      </c>
      <c r="C83">
        <v>172220</v>
      </c>
      <c r="D83">
        <v>72.27</v>
      </c>
      <c r="E83">
        <v>73.646000000000001</v>
      </c>
    </row>
    <row r="84" spans="1:5" x14ac:dyDescent="0.25">
      <c r="A84" s="212" t="s">
        <v>1093</v>
      </c>
      <c r="B84">
        <v>148</v>
      </c>
      <c r="C84">
        <v>143755</v>
      </c>
      <c r="D84">
        <v>62.18</v>
      </c>
      <c r="E84">
        <v>73.739999999999995</v>
      </c>
    </row>
    <row r="85" spans="1:5" x14ac:dyDescent="0.25">
      <c r="A85" s="215" t="s">
        <v>1094</v>
      </c>
      <c r="B85">
        <v>152</v>
      </c>
      <c r="C85">
        <v>257550</v>
      </c>
      <c r="D85">
        <v>109.35</v>
      </c>
      <c r="E85">
        <v>78.823999999999998</v>
      </c>
    </row>
    <row r="86" spans="1:5" x14ac:dyDescent="0.25">
      <c r="A86" s="212" t="s">
        <v>1095</v>
      </c>
      <c r="B86">
        <v>153</v>
      </c>
      <c r="C86">
        <v>208020</v>
      </c>
      <c r="D86">
        <v>86.68</v>
      </c>
      <c r="E86">
        <v>79.275999999999996</v>
      </c>
    </row>
    <row r="87" spans="1:5" x14ac:dyDescent="0.25">
      <c r="A87" s="212" t="s">
        <v>1096</v>
      </c>
      <c r="B87">
        <v>159</v>
      </c>
      <c r="C87">
        <v>113710</v>
      </c>
      <c r="D87">
        <v>44.35</v>
      </c>
      <c r="E87">
        <v>74.965999999999994</v>
      </c>
    </row>
    <row r="88" spans="1:5" x14ac:dyDescent="0.25">
      <c r="A88" s="212" t="s">
        <v>1097</v>
      </c>
      <c r="B88">
        <v>154</v>
      </c>
      <c r="C88">
        <v>139780</v>
      </c>
      <c r="D88">
        <v>56.49</v>
      </c>
      <c r="E88">
        <v>71.81</v>
      </c>
    </row>
    <row r="89" spans="1:5" x14ac:dyDescent="0.25">
      <c r="A89" s="216" t="s">
        <v>1098</v>
      </c>
      <c r="B89">
        <v>155</v>
      </c>
      <c r="C89">
        <v>246783</v>
      </c>
      <c r="D89">
        <v>93.31</v>
      </c>
      <c r="E89">
        <v>78.036000000000001</v>
      </c>
    </row>
    <row r="90" spans="1:5" x14ac:dyDescent="0.25">
      <c r="A90" s="216" t="s">
        <v>1099</v>
      </c>
      <c r="B90">
        <v>160</v>
      </c>
      <c r="C90">
        <v>210800</v>
      </c>
      <c r="D90">
        <v>81.849999999999994</v>
      </c>
      <c r="E90" s="214">
        <v>70.206999999999994</v>
      </c>
    </row>
    <row r="91" spans="1:5" x14ac:dyDescent="0.25">
      <c r="A91" s="216" t="s">
        <v>1100</v>
      </c>
      <c r="B91">
        <v>157</v>
      </c>
      <c r="C91">
        <v>148030</v>
      </c>
      <c r="D91">
        <v>58.41</v>
      </c>
      <c r="E91">
        <v>66.882000000000005</v>
      </c>
    </row>
    <row r="92" spans="1:5" x14ac:dyDescent="0.25">
      <c r="A92" s="216" t="s">
        <v>1101</v>
      </c>
      <c r="B92">
        <v>158</v>
      </c>
      <c r="C92">
        <v>112280</v>
      </c>
      <c r="D92">
        <v>43.71</v>
      </c>
      <c r="E92">
        <v>66.754000000000005</v>
      </c>
    </row>
    <row r="93" spans="1:5" x14ac:dyDescent="0.25">
      <c r="A93" s="216" t="s">
        <v>1102</v>
      </c>
      <c r="B93">
        <v>161</v>
      </c>
      <c r="C93">
        <v>194160</v>
      </c>
      <c r="D93">
        <v>75.59</v>
      </c>
      <c r="E93">
        <v>70.573999999999998</v>
      </c>
    </row>
    <row r="94" spans="1:5" x14ac:dyDescent="0.25">
      <c r="A94" s="216" t="s">
        <v>1103</v>
      </c>
      <c r="B94">
        <v>165</v>
      </c>
      <c r="C94">
        <v>300880</v>
      </c>
      <c r="D94">
        <v>114.96</v>
      </c>
      <c r="E94">
        <v>74.903999999999996</v>
      </c>
    </row>
    <row r="95" spans="1:5" x14ac:dyDescent="0.25">
      <c r="A95" s="216" t="s">
        <v>1104</v>
      </c>
      <c r="B95">
        <v>165</v>
      </c>
      <c r="C95">
        <v>176010</v>
      </c>
      <c r="D95">
        <v>66.37</v>
      </c>
      <c r="E95">
        <v>71.808000000000007</v>
      </c>
    </row>
    <row r="96" spans="1:5" x14ac:dyDescent="0.25">
      <c r="A96" s="216" t="s">
        <v>1105</v>
      </c>
      <c r="B96">
        <v>157</v>
      </c>
      <c r="C96">
        <v>132940</v>
      </c>
      <c r="D96">
        <v>51.31</v>
      </c>
      <c r="E96" s="214">
        <v>70.388000000000005</v>
      </c>
    </row>
    <row r="97" spans="1:7" x14ac:dyDescent="0.25">
      <c r="A97" s="217" t="s">
        <v>1106</v>
      </c>
      <c r="B97">
        <v>168</v>
      </c>
      <c r="C97">
        <v>130990</v>
      </c>
      <c r="D97">
        <v>46.5</v>
      </c>
      <c r="E97">
        <v>70.945999999999998</v>
      </c>
    </row>
    <row r="98" spans="1:7" x14ac:dyDescent="0.25">
      <c r="A98" s="216" t="s">
        <v>1107</v>
      </c>
      <c r="B98">
        <v>162</v>
      </c>
      <c r="C98">
        <v>370648</v>
      </c>
      <c r="D98">
        <v>129.07</v>
      </c>
      <c r="E98">
        <v>81.641999999999996</v>
      </c>
    </row>
    <row r="99" spans="1:7" x14ac:dyDescent="0.25">
      <c r="A99" s="216" t="s">
        <v>1108</v>
      </c>
      <c r="B99">
        <v>160</v>
      </c>
      <c r="C99">
        <v>244730</v>
      </c>
      <c r="D99">
        <v>87.73</v>
      </c>
      <c r="E99">
        <v>76.195999999999998</v>
      </c>
    </row>
    <row r="100" spans="1:7" x14ac:dyDescent="0.25">
      <c r="A100" s="216" t="s">
        <v>1109</v>
      </c>
      <c r="B100">
        <v>158</v>
      </c>
      <c r="C100">
        <v>138390</v>
      </c>
      <c r="D100">
        <v>48.97</v>
      </c>
      <c r="E100">
        <v>72.715999999999994</v>
      </c>
      <c r="F100">
        <v>61</v>
      </c>
      <c r="G100" t="s">
        <v>143</v>
      </c>
    </row>
    <row r="101" spans="1:7" x14ac:dyDescent="0.25">
      <c r="A101" s="216" t="s">
        <v>1110</v>
      </c>
      <c r="B101">
        <v>164</v>
      </c>
      <c r="C101">
        <v>205480</v>
      </c>
      <c r="D101">
        <v>72.11</v>
      </c>
      <c r="E101">
        <v>76.876000000000005</v>
      </c>
      <c r="F101">
        <v>62</v>
      </c>
    </row>
    <row r="102" spans="1:7" x14ac:dyDescent="0.25">
      <c r="A102" s="216" t="s">
        <v>1111</v>
      </c>
      <c r="B102">
        <v>164</v>
      </c>
      <c r="C102">
        <v>316830</v>
      </c>
      <c r="D102">
        <v>110.44</v>
      </c>
      <c r="E102">
        <v>89.664000000000001</v>
      </c>
      <c r="F102">
        <v>86</v>
      </c>
    </row>
    <row r="103" spans="1:7" x14ac:dyDescent="0.25">
      <c r="A103" s="216" t="s">
        <v>1112</v>
      </c>
      <c r="B103">
        <v>162</v>
      </c>
      <c r="C103">
        <v>182290</v>
      </c>
      <c r="D103">
        <v>62.29</v>
      </c>
      <c r="E103">
        <v>76.308000000000007</v>
      </c>
      <c r="F103">
        <v>67</v>
      </c>
    </row>
    <row r="104" spans="1:7" x14ac:dyDescent="0.25">
      <c r="A104" s="216" t="s">
        <v>1113</v>
      </c>
      <c r="B104">
        <v>164</v>
      </c>
      <c r="C104">
        <v>233470</v>
      </c>
      <c r="D104">
        <v>79.209999999999994</v>
      </c>
      <c r="E104">
        <v>74.603999999999999</v>
      </c>
      <c r="F104">
        <v>73</v>
      </c>
    </row>
    <row r="105" spans="1:7" x14ac:dyDescent="0.25">
      <c r="A105" s="216" t="s">
        <v>1114</v>
      </c>
      <c r="B105">
        <v>164</v>
      </c>
      <c r="C105">
        <v>169400</v>
      </c>
      <c r="D105">
        <v>55.39</v>
      </c>
      <c r="E105">
        <v>75.888000000000005</v>
      </c>
      <c r="F105">
        <v>60</v>
      </c>
    </row>
    <row r="106" spans="1:7" x14ac:dyDescent="0.25">
      <c r="A106" s="216" t="s">
        <v>1115</v>
      </c>
      <c r="B106">
        <v>168</v>
      </c>
      <c r="C106">
        <v>319080</v>
      </c>
      <c r="D106">
        <v>104.5</v>
      </c>
      <c r="E106">
        <v>82.366</v>
      </c>
      <c r="F106">
        <v>88</v>
      </c>
    </row>
    <row r="107" spans="1:7" x14ac:dyDescent="0.25">
      <c r="A107" s="216" t="s">
        <v>1116</v>
      </c>
      <c r="B107">
        <v>168</v>
      </c>
      <c r="C107">
        <v>385120</v>
      </c>
      <c r="D107">
        <v>123.01</v>
      </c>
      <c r="E107">
        <v>84.88</v>
      </c>
      <c r="F107">
        <v>93</v>
      </c>
    </row>
    <row r="108" spans="1:7" x14ac:dyDescent="0.25">
      <c r="A108" s="216" t="s">
        <v>1117</v>
      </c>
      <c r="B108">
        <v>169</v>
      </c>
      <c r="C108">
        <v>210770</v>
      </c>
      <c r="D108">
        <v>65.7</v>
      </c>
      <c r="E108">
        <v>85.561999999999998</v>
      </c>
      <c r="F108">
        <v>73</v>
      </c>
    </row>
    <row r="109" spans="1:7" x14ac:dyDescent="0.25">
      <c r="A109" s="216" t="s">
        <v>1118</v>
      </c>
      <c r="B109">
        <v>169</v>
      </c>
      <c r="C109">
        <v>163420</v>
      </c>
      <c r="D109">
        <v>50.98</v>
      </c>
      <c r="E109">
        <v>79.915999999999997</v>
      </c>
      <c r="F109">
        <v>69</v>
      </c>
    </row>
    <row r="110" spans="1:7" x14ac:dyDescent="0.25">
      <c r="A110" s="216" t="s">
        <v>1119</v>
      </c>
      <c r="B110">
        <v>169</v>
      </c>
      <c r="C110">
        <v>270790</v>
      </c>
      <c r="D110">
        <v>84.18</v>
      </c>
      <c r="E110">
        <v>85.674000000000007</v>
      </c>
      <c r="F110">
        <v>84</v>
      </c>
    </row>
    <row r="111" spans="1:7" x14ac:dyDescent="0.25">
      <c r="A111" s="216" t="s">
        <v>1120</v>
      </c>
      <c r="B111">
        <v>175</v>
      </c>
      <c r="C111">
        <v>392910</v>
      </c>
      <c r="D111">
        <v>115.8</v>
      </c>
      <c r="E111">
        <v>87.933999999999997</v>
      </c>
      <c r="F111">
        <v>89</v>
      </c>
    </row>
    <row r="112" spans="1:7" x14ac:dyDescent="0.25">
      <c r="A112" s="216" t="s">
        <v>1121</v>
      </c>
      <c r="B112">
        <v>179</v>
      </c>
      <c r="C112">
        <v>199510</v>
      </c>
      <c r="D112">
        <v>57.69</v>
      </c>
      <c r="E112">
        <v>74.87</v>
      </c>
      <c r="F112">
        <v>77</v>
      </c>
    </row>
    <row r="113" spans="1:9" x14ac:dyDescent="0.25">
      <c r="A113" s="216" t="s">
        <v>1122</v>
      </c>
      <c r="B113">
        <v>174</v>
      </c>
      <c r="C113">
        <v>311495</v>
      </c>
      <c r="D113">
        <v>88.34</v>
      </c>
      <c r="E113">
        <v>79.397999999999996</v>
      </c>
      <c r="F113">
        <v>90</v>
      </c>
    </row>
    <row r="114" spans="1:9" x14ac:dyDescent="0.25">
      <c r="A114" s="216" t="s">
        <v>1123</v>
      </c>
      <c r="B114">
        <v>177</v>
      </c>
      <c r="C114">
        <v>260920</v>
      </c>
      <c r="D114">
        <v>72.61</v>
      </c>
      <c r="E114">
        <v>83.724000000000004</v>
      </c>
      <c r="F114">
        <v>83</v>
      </c>
    </row>
    <row r="115" spans="1:9" x14ac:dyDescent="0.25">
      <c r="A115" s="216" t="s">
        <v>1124</v>
      </c>
      <c r="B115">
        <v>176</v>
      </c>
      <c r="C115">
        <v>422635</v>
      </c>
      <c r="D115">
        <v>114</v>
      </c>
      <c r="E115">
        <f>AVERAGE(D111:D115)</f>
        <v>89.688000000000017</v>
      </c>
      <c r="F115">
        <v>98</v>
      </c>
    </row>
    <row r="116" spans="1:9" x14ac:dyDescent="0.25">
      <c r="A116" s="216" t="s">
        <v>1125</v>
      </c>
      <c r="B116">
        <v>176</v>
      </c>
      <c r="C116">
        <v>277870</v>
      </c>
      <c r="D116">
        <v>75.48</v>
      </c>
      <c r="E116">
        <v>81.623999999999995</v>
      </c>
      <c r="F116">
        <v>87</v>
      </c>
    </row>
    <row r="117" spans="1:9" x14ac:dyDescent="0.25">
      <c r="A117" s="216" t="s">
        <v>1126</v>
      </c>
      <c r="B117">
        <v>175</v>
      </c>
      <c r="C117">
        <v>291150</v>
      </c>
      <c r="D117">
        <v>77.430000000000007</v>
      </c>
      <c r="E117">
        <v>85.572000000000003</v>
      </c>
      <c r="F117">
        <v>86</v>
      </c>
    </row>
    <row r="118" spans="1:9" x14ac:dyDescent="0.25">
      <c r="A118" s="216" t="s">
        <v>1127</v>
      </c>
      <c r="B118">
        <v>176</v>
      </c>
      <c r="C118">
        <v>213460</v>
      </c>
      <c r="D118">
        <v>56.28</v>
      </c>
      <c r="E118">
        <v>79.16</v>
      </c>
      <c r="F118">
        <v>70</v>
      </c>
    </row>
    <row r="119" spans="1:9" x14ac:dyDescent="0.25">
      <c r="A119" s="216" t="s">
        <v>1128</v>
      </c>
      <c r="B119">
        <v>179</v>
      </c>
      <c r="C119">
        <v>393660</v>
      </c>
      <c r="D119">
        <v>99.99</v>
      </c>
      <c r="E119">
        <v>84.635999999999996</v>
      </c>
      <c r="F119">
        <v>100</v>
      </c>
    </row>
    <row r="120" spans="1:9" x14ac:dyDescent="0.25">
      <c r="A120" s="216" t="s">
        <v>1129</v>
      </c>
      <c r="B120">
        <v>179</v>
      </c>
      <c r="C120">
        <v>371550</v>
      </c>
      <c r="D120">
        <v>94.62</v>
      </c>
      <c r="E120">
        <v>80.760000000000005</v>
      </c>
      <c r="F120">
        <v>92</v>
      </c>
    </row>
    <row r="121" spans="1:9" x14ac:dyDescent="0.25">
      <c r="A121" s="216" t="s">
        <v>1130</v>
      </c>
      <c r="B121">
        <v>180</v>
      </c>
      <c r="C121">
        <v>344154</v>
      </c>
      <c r="D121">
        <v>84.67</v>
      </c>
      <c r="E121">
        <v>82.597999999999999</v>
      </c>
      <c r="F121">
        <v>76</v>
      </c>
    </row>
    <row r="122" spans="1:9" x14ac:dyDescent="0.25">
      <c r="A122" s="216" t="s">
        <v>1131</v>
      </c>
      <c r="B122">
        <v>180</v>
      </c>
      <c r="C122">
        <v>201820</v>
      </c>
      <c r="D122">
        <v>48.6</v>
      </c>
      <c r="E122">
        <v>76.831999999999994</v>
      </c>
      <c r="F122">
        <v>69</v>
      </c>
    </row>
    <row r="123" spans="1:9" x14ac:dyDescent="0.25">
      <c r="A123" s="216" t="s">
        <v>1132</v>
      </c>
      <c r="B123">
        <v>180</v>
      </c>
      <c r="C123">
        <v>322640</v>
      </c>
      <c r="D123">
        <v>78.150000000000006</v>
      </c>
      <c r="E123">
        <v>81.206000000000003</v>
      </c>
      <c r="F123">
        <v>72</v>
      </c>
    </row>
    <row r="124" spans="1:9" x14ac:dyDescent="0.25">
      <c r="A124" s="216" t="s">
        <v>1133</v>
      </c>
      <c r="B124">
        <v>183</v>
      </c>
      <c r="C124">
        <v>376160</v>
      </c>
      <c r="D124">
        <v>88.99</v>
      </c>
      <c r="E124">
        <v>79.006</v>
      </c>
      <c r="F124">
        <v>96</v>
      </c>
    </row>
    <row r="125" spans="1:9" x14ac:dyDescent="0.25">
      <c r="A125" s="216" t="s">
        <v>1134</v>
      </c>
      <c r="B125">
        <v>180</v>
      </c>
      <c r="C125">
        <v>353750</v>
      </c>
      <c r="D125">
        <v>85.74</v>
      </c>
      <c r="E125">
        <v>77.23</v>
      </c>
      <c r="F125">
        <v>85</v>
      </c>
      <c r="H125" t="s">
        <v>143</v>
      </c>
      <c r="I125" t="s">
        <v>143</v>
      </c>
    </row>
    <row r="126" spans="1:9" x14ac:dyDescent="0.25">
      <c r="A126" s="216" t="s">
        <v>1135</v>
      </c>
      <c r="B126">
        <v>184</v>
      </c>
      <c r="C126">
        <v>326480</v>
      </c>
      <c r="D126">
        <v>75.813999999999993</v>
      </c>
      <c r="E126">
        <v>75.457999999999998</v>
      </c>
      <c r="F126">
        <v>87</v>
      </c>
      <c r="H126" t="s">
        <v>143</v>
      </c>
    </row>
    <row r="127" spans="1:9" x14ac:dyDescent="0.25">
      <c r="A127" s="216" t="s">
        <v>1136</v>
      </c>
      <c r="B127">
        <v>187</v>
      </c>
      <c r="C127">
        <v>317380</v>
      </c>
      <c r="D127">
        <v>73.06</v>
      </c>
      <c r="E127">
        <v>80.350800000000007</v>
      </c>
      <c r="F127">
        <v>75</v>
      </c>
    </row>
    <row r="128" spans="1:9" x14ac:dyDescent="0.25">
      <c r="A128" s="216" t="s">
        <v>1137</v>
      </c>
      <c r="B128">
        <v>187</v>
      </c>
      <c r="C128">
        <v>373720</v>
      </c>
      <c r="D128">
        <v>85.92</v>
      </c>
      <c r="E128">
        <v>81.904799999999994</v>
      </c>
      <c r="F128">
        <v>93</v>
      </c>
    </row>
    <row r="129" spans="1:7" x14ac:dyDescent="0.25">
      <c r="A129" s="216" t="s">
        <v>1138</v>
      </c>
      <c r="B129">
        <v>184</v>
      </c>
      <c r="C129">
        <v>458840</v>
      </c>
      <c r="D129">
        <v>105.2</v>
      </c>
      <c r="E129">
        <v>85.146799999999999</v>
      </c>
      <c r="F129">
        <v>94</v>
      </c>
      <c r="G129" t="s">
        <v>143</v>
      </c>
    </row>
    <row r="130" spans="1:7" x14ac:dyDescent="0.25">
      <c r="A130" s="216" t="s">
        <v>1139</v>
      </c>
      <c r="B130">
        <v>183</v>
      </c>
      <c r="C130">
        <v>324310</v>
      </c>
      <c r="D130">
        <v>72.459999999999994</v>
      </c>
      <c r="E130">
        <f>AVERAGE(D126:D130)</f>
        <v>82.490799999999993</v>
      </c>
      <c r="F130">
        <v>88</v>
      </c>
    </row>
    <row r="131" spans="1:7" x14ac:dyDescent="0.25">
      <c r="A131" s="216" t="s">
        <v>1140</v>
      </c>
      <c r="B131">
        <v>186</v>
      </c>
      <c r="C131">
        <v>282190</v>
      </c>
      <c r="D131">
        <v>62.12</v>
      </c>
      <c r="E131">
        <f>AVERAGE(D127:D131)</f>
        <v>79.751999999999995</v>
      </c>
      <c r="F131">
        <v>73</v>
      </c>
    </row>
    <row r="132" spans="1:7" x14ac:dyDescent="0.25">
      <c r="A132" s="216" t="s">
        <v>11</v>
      </c>
      <c r="B132">
        <v>189</v>
      </c>
      <c r="C132">
        <v>425950</v>
      </c>
      <c r="D132">
        <v>92.38</v>
      </c>
      <c r="E132">
        <v>85.92</v>
      </c>
      <c r="F132">
        <v>91</v>
      </c>
    </row>
    <row r="133" spans="1:7" x14ac:dyDescent="0.25">
      <c r="A133" s="216" t="s">
        <v>12</v>
      </c>
      <c r="B133">
        <v>189</v>
      </c>
      <c r="C133">
        <v>545710</v>
      </c>
      <c r="D133">
        <v>117</v>
      </c>
      <c r="E133">
        <v>89.831999999999994</v>
      </c>
      <c r="F133">
        <v>115</v>
      </c>
    </row>
    <row r="134" spans="1:7" x14ac:dyDescent="0.25">
      <c r="A134" s="216" t="s">
        <v>13</v>
      </c>
      <c r="B134">
        <v>193</v>
      </c>
      <c r="C134">
        <v>320440</v>
      </c>
      <c r="D134">
        <v>65.56</v>
      </c>
      <c r="E134">
        <v>81.903999999999996</v>
      </c>
      <c r="F134">
        <v>83</v>
      </c>
    </row>
    <row r="135" spans="1:7" x14ac:dyDescent="0.25">
      <c r="A135" s="216" t="s">
        <v>14</v>
      </c>
      <c r="B135">
        <v>194</v>
      </c>
      <c r="C135">
        <v>267300</v>
      </c>
      <c r="D135">
        <v>53.53</v>
      </c>
      <c r="E135">
        <v>78.117999999999995</v>
      </c>
      <c r="F135">
        <v>70</v>
      </c>
    </row>
    <row r="136" spans="1:7" x14ac:dyDescent="0.25">
      <c r="A136" s="216" t="s">
        <v>15</v>
      </c>
      <c r="B136">
        <v>201</v>
      </c>
      <c r="C136">
        <v>437990</v>
      </c>
      <c r="D136">
        <v>85.77</v>
      </c>
      <c r="E136">
        <v>82.847999999999999</v>
      </c>
      <c r="F136">
        <v>72</v>
      </c>
    </row>
    <row r="137" spans="1:7" x14ac:dyDescent="0.25">
      <c r="A137" s="216" t="s">
        <v>16</v>
      </c>
      <c r="B137">
        <v>193</v>
      </c>
      <c r="C137">
        <v>555160</v>
      </c>
      <c r="D137">
        <v>114.59</v>
      </c>
      <c r="E137">
        <v>87.29</v>
      </c>
      <c r="F137">
        <v>105</v>
      </c>
    </row>
    <row r="138" spans="1:7" x14ac:dyDescent="0.25">
      <c r="A138" s="216" t="s">
        <v>17</v>
      </c>
      <c r="B138">
        <v>193</v>
      </c>
      <c r="C138">
        <v>381170</v>
      </c>
      <c r="D138">
        <v>77.347999999999999</v>
      </c>
      <c r="E138">
        <v>79.3596</v>
      </c>
      <c r="F138">
        <v>93</v>
      </c>
    </row>
    <row r="139" spans="1:7" x14ac:dyDescent="0.25">
      <c r="A139" s="216" t="s">
        <v>18</v>
      </c>
      <c r="B139">
        <v>195</v>
      </c>
      <c r="C139">
        <v>348150</v>
      </c>
      <c r="D139" s="214">
        <v>72.197500000000005</v>
      </c>
      <c r="E139">
        <v>80.687100000000001</v>
      </c>
      <c r="F139">
        <v>81</v>
      </c>
    </row>
    <row r="140" spans="1:7" x14ac:dyDescent="0.25">
      <c r="A140" s="216" t="s">
        <v>19</v>
      </c>
      <c r="B140">
        <v>191</v>
      </c>
      <c r="C140">
        <v>273210</v>
      </c>
      <c r="D140">
        <v>55.43</v>
      </c>
      <c r="E140">
        <v>81.067099999999996</v>
      </c>
      <c r="F140">
        <v>56</v>
      </c>
    </row>
    <row r="141" spans="1:7" x14ac:dyDescent="0.25">
      <c r="A141" s="218" t="s">
        <v>20</v>
      </c>
      <c r="B141">
        <v>194</v>
      </c>
      <c r="C141">
        <v>501185</v>
      </c>
      <c r="D141">
        <v>99.9</v>
      </c>
      <c r="E141">
        <v>83.893100000000004</v>
      </c>
      <c r="F141">
        <v>101</v>
      </c>
    </row>
    <row r="142" spans="1:7" x14ac:dyDescent="0.25">
      <c r="A142" s="218" t="s">
        <v>1141</v>
      </c>
      <c r="B142">
        <v>191</v>
      </c>
      <c r="C142">
        <v>451740</v>
      </c>
      <c r="D142">
        <v>86.47</v>
      </c>
      <c r="E142">
        <v>78.269099999999995</v>
      </c>
      <c r="F142">
        <v>86</v>
      </c>
    </row>
    <row r="143" spans="1:7" x14ac:dyDescent="0.25">
      <c r="A143" s="218" t="s">
        <v>22</v>
      </c>
      <c r="B143">
        <v>190</v>
      </c>
      <c r="C143">
        <v>383280</v>
      </c>
      <c r="D143">
        <v>72.819999999999993</v>
      </c>
      <c r="E143">
        <v>77</v>
      </c>
      <c r="F143">
        <v>86</v>
      </c>
    </row>
    <row r="144" spans="1:7" x14ac:dyDescent="0.25">
      <c r="A144" s="218" t="s">
        <v>23</v>
      </c>
      <c r="B144">
        <v>192</v>
      </c>
      <c r="C144">
        <v>246145</v>
      </c>
      <c r="D144">
        <v>45.37</v>
      </c>
      <c r="E144">
        <v>71.998000000000005</v>
      </c>
      <c r="F144">
        <v>57</v>
      </c>
    </row>
    <row r="145" spans="1:7" x14ac:dyDescent="0.25">
      <c r="A145" s="218" t="s">
        <v>24</v>
      </c>
      <c r="B145">
        <v>195</v>
      </c>
      <c r="C145">
        <v>221170</v>
      </c>
      <c r="D145">
        <v>41.67</v>
      </c>
      <c r="E145">
        <v>69.245999999999995</v>
      </c>
      <c r="F145">
        <v>45</v>
      </c>
      <c r="G145" t="s">
        <v>1142</v>
      </c>
    </row>
    <row r="146" spans="1:7" x14ac:dyDescent="0.25">
      <c r="A146" s="218" t="s">
        <v>1143</v>
      </c>
      <c r="B146">
        <v>194</v>
      </c>
      <c r="C146">
        <v>310360</v>
      </c>
      <c r="D146">
        <v>57.21</v>
      </c>
      <c r="E146">
        <v>60.707999999999998</v>
      </c>
      <c r="F146">
        <v>47</v>
      </c>
    </row>
    <row r="147" spans="1:7" x14ac:dyDescent="0.25">
      <c r="A147" s="218" t="s">
        <v>26</v>
      </c>
      <c r="B147">
        <v>193</v>
      </c>
      <c r="C147">
        <v>526940</v>
      </c>
      <c r="D147">
        <v>95.88</v>
      </c>
      <c r="E147">
        <v>62.59</v>
      </c>
      <c r="F147">
        <v>96</v>
      </c>
    </row>
    <row r="148" spans="1:7" x14ac:dyDescent="0.25">
      <c r="A148" s="218" t="s">
        <v>27</v>
      </c>
      <c r="B148">
        <v>201</v>
      </c>
      <c r="C148">
        <v>261080</v>
      </c>
      <c r="D148">
        <v>46.03</v>
      </c>
      <c r="E148">
        <v>57.231999999999999</v>
      </c>
      <c r="F148">
        <v>69</v>
      </c>
    </row>
    <row r="149" spans="1:7" x14ac:dyDescent="0.25">
      <c r="A149" s="218" t="s">
        <v>28</v>
      </c>
      <c r="B149">
        <v>200</v>
      </c>
      <c r="C149">
        <v>425380</v>
      </c>
      <c r="D149">
        <v>73.760000000000005</v>
      </c>
      <c r="E149">
        <v>62.91</v>
      </c>
      <c r="F149">
        <v>77</v>
      </c>
    </row>
    <row r="150" spans="1:7" x14ac:dyDescent="0.25">
      <c r="A150" s="218" t="s">
        <v>29</v>
      </c>
      <c r="B150">
        <v>201</v>
      </c>
      <c r="C150">
        <v>527880</v>
      </c>
      <c r="D150">
        <v>90.24</v>
      </c>
      <c r="E150">
        <v>72.623999999999995</v>
      </c>
      <c r="F150">
        <v>89</v>
      </c>
    </row>
    <row r="151" spans="1:7" x14ac:dyDescent="0.25">
      <c r="A151" s="218" t="s">
        <v>30</v>
      </c>
      <c r="B151">
        <v>196</v>
      </c>
      <c r="C151">
        <v>501830</v>
      </c>
      <c r="D151">
        <v>88.49</v>
      </c>
      <c r="E151">
        <v>78.88</v>
      </c>
      <c r="F151">
        <v>86</v>
      </c>
    </row>
    <row r="152" spans="1:7" x14ac:dyDescent="0.25">
      <c r="A152" s="218" t="s">
        <v>31</v>
      </c>
      <c r="B152">
        <v>200</v>
      </c>
      <c r="C152">
        <v>254800</v>
      </c>
      <c r="D152">
        <v>44.08</v>
      </c>
      <c r="E152">
        <v>68.52</v>
      </c>
      <c r="F152">
        <v>63</v>
      </c>
    </row>
    <row r="153" spans="1:7" x14ac:dyDescent="0.25">
      <c r="A153" s="218" t="s">
        <v>32</v>
      </c>
      <c r="B153">
        <v>205</v>
      </c>
      <c r="C153">
        <v>290210</v>
      </c>
      <c r="D153">
        <v>48.69</v>
      </c>
      <c r="E153">
        <v>69.052000000000007</v>
      </c>
      <c r="F153">
        <v>67</v>
      </c>
    </row>
    <row r="154" spans="1:7" x14ac:dyDescent="0.25">
      <c r="A154" s="218" t="s">
        <v>33</v>
      </c>
      <c r="B154">
        <v>200</v>
      </c>
      <c r="C154">
        <v>335770</v>
      </c>
      <c r="D154">
        <v>57.67</v>
      </c>
      <c r="E154">
        <v>65.834000000000003</v>
      </c>
      <c r="F154">
        <v>82</v>
      </c>
    </row>
    <row r="155" spans="1:7" x14ac:dyDescent="0.25">
      <c r="A155" s="218" t="s">
        <v>34</v>
      </c>
      <c r="B155">
        <v>202</v>
      </c>
      <c r="C155">
        <v>646770</v>
      </c>
      <c r="D155">
        <v>105.73</v>
      </c>
      <c r="E155">
        <f t="shared" ref="E155:E218" si="0">AVERAGE(D151:D155)</f>
        <v>68.932000000000002</v>
      </c>
      <c r="F155">
        <v>99</v>
      </c>
      <c r="G155" t="s">
        <v>143</v>
      </c>
    </row>
    <row r="156" spans="1:7" x14ac:dyDescent="0.25">
      <c r="A156" s="218" t="s">
        <v>35</v>
      </c>
      <c r="B156">
        <v>202</v>
      </c>
      <c r="C156">
        <v>343530</v>
      </c>
      <c r="D156">
        <v>54.9</v>
      </c>
      <c r="E156">
        <f t="shared" si="0"/>
        <v>62.213999999999999</v>
      </c>
      <c r="F156">
        <v>72</v>
      </c>
    </row>
    <row r="157" spans="1:7" x14ac:dyDescent="0.25">
      <c r="A157" s="218" t="s">
        <v>36</v>
      </c>
      <c r="B157">
        <v>201</v>
      </c>
      <c r="C157">
        <v>356890</v>
      </c>
      <c r="D157">
        <v>55.93</v>
      </c>
      <c r="E157">
        <f t="shared" si="0"/>
        <v>64.584000000000003</v>
      </c>
      <c r="F157">
        <v>64</v>
      </c>
    </row>
    <row r="158" spans="1:7" x14ac:dyDescent="0.25">
      <c r="A158" s="218" t="s">
        <v>37</v>
      </c>
      <c r="B158">
        <v>197</v>
      </c>
      <c r="C158">
        <v>450350</v>
      </c>
      <c r="D158">
        <v>73.651499999999999</v>
      </c>
      <c r="E158">
        <f t="shared" si="0"/>
        <v>69.576300000000003</v>
      </c>
      <c r="F158">
        <v>67</v>
      </c>
    </row>
    <row r="159" spans="1:7" x14ac:dyDescent="0.25">
      <c r="A159" s="218" t="s">
        <v>38</v>
      </c>
      <c r="B159">
        <v>202</v>
      </c>
      <c r="C159">
        <v>514920</v>
      </c>
      <c r="D159">
        <v>78.66</v>
      </c>
      <c r="E159">
        <f t="shared" si="0"/>
        <v>73.774299999999997</v>
      </c>
      <c r="F159">
        <v>87</v>
      </c>
    </row>
    <row r="160" spans="1:7" x14ac:dyDescent="0.25">
      <c r="A160" s="218" t="s">
        <v>1144</v>
      </c>
      <c r="B160">
        <v>198</v>
      </c>
      <c r="C160">
        <v>450150</v>
      </c>
      <c r="D160">
        <v>68.17</v>
      </c>
      <c r="E160">
        <f t="shared" si="0"/>
        <v>66.262299999999996</v>
      </c>
      <c r="F160">
        <v>70</v>
      </c>
    </row>
    <row r="161" spans="1:12" x14ac:dyDescent="0.25">
      <c r="A161" s="218" t="s">
        <v>40</v>
      </c>
      <c r="B161">
        <v>200</v>
      </c>
      <c r="C161">
        <v>238860</v>
      </c>
      <c r="D161">
        <v>35.520000000000003</v>
      </c>
      <c r="E161">
        <f t="shared" si="0"/>
        <v>62.386299999999991</v>
      </c>
      <c r="F161">
        <v>48</v>
      </c>
    </row>
    <row r="162" spans="1:12" x14ac:dyDescent="0.25">
      <c r="A162" s="218" t="s">
        <v>41</v>
      </c>
      <c r="B162">
        <v>203</v>
      </c>
      <c r="C162">
        <v>473650</v>
      </c>
      <c r="D162">
        <v>70.34</v>
      </c>
      <c r="E162">
        <f t="shared" si="0"/>
        <v>65.268299999999996</v>
      </c>
      <c r="F162">
        <v>74</v>
      </c>
    </row>
    <row r="163" spans="1:12" x14ac:dyDescent="0.25">
      <c r="A163" s="218" t="s">
        <v>1145</v>
      </c>
      <c r="B163">
        <v>204</v>
      </c>
      <c r="C163">
        <v>729367</v>
      </c>
      <c r="D163">
        <v>105.74</v>
      </c>
      <c r="E163">
        <f t="shared" si="0"/>
        <v>71.686000000000007</v>
      </c>
      <c r="F163">
        <v>99</v>
      </c>
    </row>
    <row r="164" spans="1:12" x14ac:dyDescent="0.25">
      <c r="A164" s="218" t="s">
        <v>43</v>
      </c>
      <c r="B164">
        <v>202</v>
      </c>
      <c r="C164">
        <v>440310</v>
      </c>
      <c r="D164">
        <v>63.1</v>
      </c>
      <c r="E164">
        <f t="shared" si="0"/>
        <v>68.573999999999998</v>
      </c>
      <c r="F164">
        <v>78</v>
      </c>
    </row>
    <row r="165" spans="1:12" x14ac:dyDescent="0.25">
      <c r="A165" s="218" t="s">
        <v>44</v>
      </c>
      <c r="B165">
        <v>200</v>
      </c>
      <c r="C165">
        <v>445260</v>
      </c>
      <c r="D165">
        <v>64.009</v>
      </c>
      <c r="E165">
        <f t="shared" si="0"/>
        <v>67.741800000000012</v>
      </c>
      <c r="F165">
        <v>67</v>
      </c>
    </row>
    <row r="166" spans="1:12" x14ac:dyDescent="0.25">
      <c r="A166" s="218" t="s">
        <v>45</v>
      </c>
      <c r="B166">
        <v>197</v>
      </c>
      <c r="C166">
        <v>393510</v>
      </c>
      <c r="D166">
        <v>55.81</v>
      </c>
      <c r="E166">
        <f t="shared" si="0"/>
        <v>71.799799999999991</v>
      </c>
      <c r="F166">
        <v>72</v>
      </c>
    </row>
    <row r="167" spans="1:12" x14ac:dyDescent="0.25">
      <c r="A167" s="218" t="s">
        <v>46</v>
      </c>
      <c r="B167">
        <v>200</v>
      </c>
      <c r="C167">
        <v>489837</v>
      </c>
      <c r="D167">
        <v>67.91</v>
      </c>
      <c r="E167">
        <f t="shared" si="0"/>
        <v>71.313799999999986</v>
      </c>
      <c r="F167">
        <v>69</v>
      </c>
      <c r="G167" s="219" t="s">
        <v>1146</v>
      </c>
      <c r="H167" s="219"/>
      <c r="I167" s="219"/>
      <c r="J167" s="219"/>
      <c r="K167" s="219"/>
      <c r="L167" s="219"/>
    </row>
    <row r="168" spans="1:12" x14ac:dyDescent="0.25">
      <c r="A168" s="218" t="s">
        <v>47</v>
      </c>
      <c r="B168">
        <v>199</v>
      </c>
      <c r="C168">
        <v>790393</v>
      </c>
      <c r="D168">
        <v>107.45</v>
      </c>
      <c r="E168">
        <f t="shared" si="0"/>
        <v>71.655799999999999</v>
      </c>
      <c r="F168">
        <v>102</v>
      </c>
    </row>
    <row r="169" spans="1:12" x14ac:dyDescent="0.25">
      <c r="A169" s="218" t="s">
        <v>48</v>
      </c>
      <c r="B169">
        <v>197</v>
      </c>
      <c r="C169">
        <v>505860</v>
      </c>
      <c r="D169">
        <v>68.900000000000006</v>
      </c>
      <c r="E169">
        <f t="shared" si="0"/>
        <v>72.815799999999996</v>
      </c>
      <c r="F169">
        <v>82</v>
      </c>
    </row>
    <row r="170" spans="1:12" x14ac:dyDescent="0.25">
      <c r="A170" s="218" t="s">
        <v>49</v>
      </c>
      <c r="B170">
        <v>195</v>
      </c>
      <c r="C170">
        <v>332905</v>
      </c>
      <c r="D170">
        <v>46.55</v>
      </c>
      <c r="E170">
        <f t="shared" si="0"/>
        <v>69.324000000000012</v>
      </c>
      <c r="F170">
        <v>64</v>
      </c>
    </row>
    <row r="171" spans="1:12" x14ac:dyDescent="0.25">
      <c r="A171" s="218" t="s">
        <v>50</v>
      </c>
      <c r="B171">
        <v>198</v>
      </c>
      <c r="C171">
        <v>723260</v>
      </c>
      <c r="D171">
        <v>99.555000000000007</v>
      </c>
      <c r="E171">
        <f t="shared" si="0"/>
        <v>78.073000000000008</v>
      </c>
      <c r="F171">
        <v>96</v>
      </c>
    </row>
    <row r="172" spans="1:12" x14ac:dyDescent="0.25">
      <c r="A172" s="218" t="s">
        <v>51</v>
      </c>
      <c r="B172">
        <v>197</v>
      </c>
      <c r="C172">
        <v>815156</v>
      </c>
      <c r="D172">
        <v>108.91</v>
      </c>
      <c r="E172">
        <f t="shared" si="0"/>
        <v>86.272999999999996</v>
      </c>
      <c r="F172">
        <v>95</v>
      </c>
    </row>
    <row r="173" spans="1:12" x14ac:dyDescent="0.25">
      <c r="A173" s="218" t="s">
        <v>52</v>
      </c>
      <c r="B173">
        <v>196</v>
      </c>
      <c r="C173">
        <v>801660</v>
      </c>
      <c r="D173">
        <v>103.19</v>
      </c>
      <c r="E173">
        <f t="shared" si="0"/>
        <v>85.420999999999992</v>
      </c>
      <c r="F173">
        <v>81</v>
      </c>
    </row>
    <row r="174" spans="1:12" x14ac:dyDescent="0.25">
      <c r="A174" s="218" t="s">
        <v>53</v>
      </c>
      <c r="B174">
        <v>202</v>
      </c>
      <c r="C174">
        <v>457995</v>
      </c>
      <c r="D174">
        <v>56.93</v>
      </c>
      <c r="E174">
        <f t="shared" si="0"/>
        <v>83.027000000000015</v>
      </c>
      <c r="F174">
        <v>69</v>
      </c>
    </row>
    <row r="175" spans="1:12" x14ac:dyDescent="0.25">
      <c r="A175" s="218" t="s">
        <v>54</v>
      </c>
      <c r="B175">
        <v>201</v>
      </c>
      <c r="C175" s="220">
        <v>448750</v>
      </c>
      <c r="D175">
        <v>54.03</v>
      </c>
      <c r="E175">
        <f t="shared" si="0"/>
        <v>84.522999999999996</v>
      </c>
      <c r="F175">
        <v>75</v>
      </c>
    </row>
    <row r="176" spans="1:12" x14ac:dyDescent="0.25">
      <c r="A176" s="218" t="s">
        <v>55</v>
      </c>
      <c r="B176">
        <v>200</v>
      </c>
      <c r="C176">
        <v>893345</v>
      </c>
      <c r="D176">
        <v>108.19</v>
      </c>
      <c r="E176">
        <f t="shared" si="0"/>
        <v>86.249999999999986</v>
      </c>
      <c r="F176">
        <v>95</v>
      </c>
    </row>
    <row r="177" spans="1:10" x14ac:dyDescent="0.25">
      <c r="A177" s="218" t="s">
        <v>56</v>
      </c>
      <c r="B177">
        <v>200</v>
      </c>
      <c r="C177">
        <v>712720</v>
      </c>
      <c r="D177">
        <v>82.75</v>
      </c>
      <c r="E177">
        <f t="shared" si="0"/>
        <v>81.018000000000001</v>
      </c>
      <c r="F177">
        <v>83</v>
      </c>
    </row>
    <row r="178" spans="1:10" x14ac:dyDescent="0.25">
      <c r="A178" s="218" t="s">
        <v>57</v>
      </c>
      <c r="B178">
        <v>194</v>
      </c>
      <c r="C178">
        <v>776030</v>
      </c>
      <c r="D178">
        <v>91.52</v>
      </c>
      <c r="E178">
        <f t="shared" si="0"/>
        <v>78.683999999999997</v>
      </c>
      <c r="F178">
        <v>79</v>
      </c>
    </row>
    <row r="179" spans="1:10" x14ac:dyDescent="0.25">
      <c r="A179" s="218" t="s">
        <v>58</v>
      </c>
      <c r="B179">
        <v>202</v>
      </c>
      <c r="C179">
        <v>526754</v>
      </c>
      <c r="D179">
        <v>60.09</v>
      </c>
      <c r="E179">
        <f t="shared" si="0"/>
        <v>79.316000000000003</v>
      </c>
      <c r="F179">
        <v>80</v>
      </c>
    </row>
    <row r="180" spans="1:10" x14ac:dyDescent="0.25">
      <c r="A180" s="218" t="s">
        <v>59</v>
      </c>
      <c r="B180">
        <v>188</v>
      </c>
      <c r="C180">
        <v>931235</v>
      </c>
      <c r="D180">
        <v>108.84</v>
      </c>
      <c r="E180">
        <f t="shared" si="0"/>
        <v>90.277999999999992</v>
      </c>
      <c r="F180">
        <v>94</v>
      </c>
    </row>
    <row r="181" spans="1:10" x14ac:dyDescent="0.25">
      <c r="A181" s="218" t="s">
        <v>60</v>
      </c>
      <c r="B181">
        <v>188</v>
      </c>
      <c r="C181">
        <v>922915</v>
      </c>
      <c r="D181">
        <v>106.34</v>
      </c>
      <c r="E181">
        <f t="shared" si="0"/>
        <v>89.907999999999987</v>
      </c>
      <c r="F181">
        <v>91</v>
      </c>
    </row>
    <row r="182" spans="1:10" x14ac:dyDescent="0.25">
      <c r="A182" s="218" t="s">
        <v>61</v>
      </c>
      <c r="B182">
        <v>183</v>
      </c>
      <c r="C182">
        <v>653885</v>
      </c>
      <c r="D182">
        <v>75.37</v>
      </c>
      <c r="E182">
        <f t="shared" si="0"/>
        <v>88.432000000000016</v>
      </c>
      <c r="F182">
        <v>68</v>
      </c>
      <c r="G182" s="216">
        <v>495000</v>
      </c>
      <c r="H182" s="221">
        <f t="shared" ref="H182:H213" si="1">SUM(C182-G182)</f>
        <v>158885</v>
      </c>
    </row>
    <row r="183" spans="1:10" x14ac:dyDescent="0.25">
      <c r="A183" s="218" t="s">
        <v>62</v>
      </c>
      <c r="B183">
        <v>189</v>
      </c>
      <c r="C183">
        <v>611315</v>
      </c>
      <c r="D183">
        <v>63.34</v>
      </c>
      <c r="E183">
        <f t="shared" si="0"/>
        <v>82.796000000000006</v>
      </c>
      <c r="F183">
        <v>62</v>
      </c>
      <c r="G183" s="216">
        <v>550000</v>
      </c>
      <c r="H183" s="221">
        <f t="shared" si="1"/>
        <v>61315</v>
      </c>
    </row>
    <row r="184" spans="1:10" x14ac:dyDescent="0.25">
      <c r="A184" s="218" t="s">
        <v>63</v>
      </c>
      <c r="B184">
        <v>190</v>
      </c>
      <c r="C184">
        <v>824285</v>
      </c>
      <c r="D184">
        <v>83.04</v>
      </c>
      <c r="E184">
        <f t="shared" si="0"/>
        <v>87.385999999999996</v>
      </c>
      <c r="F184">
        <v>103</v>
      </c>
      <c r="G184" s="216">
        <v>435000</v>
      </c>
      <c r="H184" s="221">
        <f t="shared" si="1"/>
        <v>389285</v>
      </c>
    </row>
    <row r="185" spans="1:10" x14ac:dyDescent="0.25">
      <c r="A185" s="218" t="s">
        <v>64</v>
      </c>
      <c r="B185">
        <v>194</v>
      </c>
      <c r="C185">
        <v>1085815</v>
      </c>
      <c r="D185">
        <v>109.87</v>
      </c>
      <c r="E185">
        <f t="shared" si="0"/>
        <v>87.592000000000013</v>
      </c>
      <c r="F185">
        <v>100</v>
      </c>
      <c r="G185" s="216">
        <v>183000</v>
      </c>
      <c r="H185" s="221">
        <f t="shared" si="1"/>
        <v>902815</v>
      </c>
    </row>
    <row r="186" spans="1:10" x14ac:dyDescent="0.25">
      <c r="A186" s="218" t="s">
        <v>65</v>
      </c>
      <c r="B186">
        <v>189</v>
      </c>
      <c r="C186">
        <v>750200</v>
      </c>
      <c r="D186">
        <v>72.13</v>
      </c>
      <c r="E186">
        <f t="shared" si="0"/>
        <v>80.75</v>
      </c>
      <c r="F186">
        <v>82</v>
      </c>
      <c r="G186" s="216">
        <v>570000</v>
      </c>
      <c r="H186" s="221">
        <f t="shared" si="1"/>
        <v>180200</v>
      </c>
      <c r="J186" t="s">
        <v>143</v>
      </c>
    </row>
    <row r="187" spans="1:10" x14ac:dyDescent="0.25">
      <c r="A187" s="218" t="s">
        <v>66</v>
      </c>
      <c r="B187">
        <v>195</v>
      </c>
      <c r="C187">
        <v>762705</v>
      </c>
      <c r="D187">
        <v>68.122</v>
      </c>
      <c r="E187">
        <f t="shared" si="0"/>
        <v>79.300399999999996</v>
      </c>
      <c r="F187">
        <v>84</v>
      </c>
      <c r="G187" s="216">
        <v>680000</v>
      </c>
      <c r="H187" s="221">
        <f t="shared" si="1"/>
        <v>82705</v>
      </c>
      <c r="J187" t="s">
        <v>143</v>
      </c>
    </row>
    <row r="188" spans="1:10" x14ac:dyDescent="0.25">
      <c r="A188" s="218" t="s">
        <v>67</v>
      </c>
      <c r="B188">
        <v>198</v>
      </c>
      <c r="C188">
        <v>732750</v>
      </c>
      <c r="D188">
        <v>64.11</v>
      </c>
      <c r="E188">
        <f t="shared" si="0"/>
        <v>79.454400000000007</v>
      </c>
      <c r="F188">
        <v>62</v>
      </c>
      <c r="G188" s="216">
        <v>536530</v>
      </c>
      <c r="H188" s="221">
        <f t="shared" si="1"/>
        <v>196220</v>
      </c>
    </row>
    <row r="189" spans="1:10" x14ac:dyDescent="0.25">
      <c r="A189" s="218" t="s">
        <v>68</v>
      </c>
      <c r="B189">
        <v>202</v>
      </c>
      <c r="C189">
        <v>1231500</v>
      </c>
      <c r="D189">
        <v>103.89</v>
      </c>
      <c r="E189">
        <f t="shared" si="0"/>
        <v>83.624400000000009</v>
      </c>
      <c r="F189">
        <v>110</v>
      </c>
      <c r="G189" s="216">
        <v>600000</v>
      </c>
      <c r="H189" s="221">
        <f t="shared" si="1"/>
        <v>631500</v>
      </c>
      <c r="J189" t="s">
        <v>143</v>
      </c>
    </row>
    <row r="190" spans="1:10" x14ac:dyDescent="0.25">
      <c r="A190" s="218" t="s">
        <v>69</v>
      </c>
      <c r="B190">
        <v>187</v>
      </c>
      <c r="C190">
        <v>929425</v>
      </c>
      <c r="D190">
        <v>79.644999999999996</v>
      </c>
      <c r="E190">
        <f t="shared" si="0"/>
        <v>77.579399999999993</v>
      </c>
      <c r="F190">
        <v>81</v>
      </c>
      <c r="G190" s="216">
        <v>635000</v>
      </c>
      <c r="H190" s="221">
        <f t="shared" si="1"/>
        <v>294425</v>
      </c>
    </row>
    <row r="191" spans="1:10" x14ac:dyDescent="0.25">
      <c r="A191" s="218" t="s">
        <v>70</v>
      </c>
      <c r="B191">
        <v>187</v>
      </c>
      <c r="C191">
        <v>840040</v>
      </c>
      <c r="D191">
        <v>72.45</v>
      </c>
      <c r="E191">
        <f t="shared" si="0"/>
        <v>77.6434</v>
      </c>
      <c r="F191">
        <v>78</v>
      </c>
      <c r="G191" s="216">
        <v>655000</v>
      </c>
      <c r="H191" s="221">
        <f t="shared" si="1"/>
        <v>185040</v>
      </c>
    </row>
    <row r="192" spans="1:10" x14ac:dyDescent="0.25">
      <c r="A192" s="218" t="s">
        <v>71</v>
      </c>
      <c r="B192">
        <v>185</v>
      </c>
      <c r="C192">
        <v>476945</v>
      </c>
      <c r="D192">
        <v>41.12</v>
      </c>
      <c r="E192">
        <f t="shared" si="0"/>
        <v>72.242999999999995</v>
      </c>
      <c r="F192">
        <v>56</v>
      </c>
      <c r="G192" s="216">
        <v>340000</v>
      </c>
      <c r="H192" s="221">
        <f t="shared" si="1"/>
        <v>136945</v>
      </c>
    </row>
    <row r="193" spans="1:10" x14ac:dyDescent="0.25">
      <c r="A193" s="222" t="s">
        <v>72</v>
      </c>
      <c r="B193">
        <v>190</v>
      </c>
      <c r="C193">
        <v>1341115</v>
      </c>
      <c r="D193">
        <v>112.08</v>
      </c>
      <c r="E193">
        <f t="shared" si="0"/>
        <v>81.837000000000003</v>
      </c>
      <c r="F193">
        <v>85</v>
      </c>
      <c r="G193" s="216">
        <v>485000</v>
      </c>
      <c r="H193" s="221">
        <f t="shared" si="1"/>
        <v>856115</v>
      </c>
    </row>
    <row r="194" spans="1:10" x14ac:dyDescent="0.25">
      <c r="A194" s="222" t="s">
        <v>73</v>
      </c>
      <c r="B194">
        <v>196</v>
      </c>
      <c r="C194">
        <v>1153025</v>
      </c>
      <c r="D194">
        <v>93.97</v>
      </c>
      <c r="E194">
        <f t="shared" si="0"/>
        <v>79.852999999999994</v>
      </c>
      <c r="F194">
        <v>85</v>
      </c>
      <c r="G194" s="216">
        <v>505000</v>
      </c>
      <c r="H194" s="221">
        <f t="shared" si="1"/>
        <v>648025</v>
      </c>
    </row>
    <row r="195" spans="1:10" x14ac:dyDescent="0.25">
      <c r="A195" s="222" t="s">
        <v>74</v>
      </c>
      <c r="B195">
        <v>198</v>
      </c>
      <c r="C195">
        <v>1002030</v>
      </c>
      <c r="D195">
        <v>76.72</v>
      </c>
      <c r="E195">
        <f t="shared" si="0"/>
        <v>79.268000000000001</v>
      </c>
      <c r="F195">
        <v>75</v>
      </c>
      <c r="G195" s="216">
        <v>805000</v>
      </c>
      <c r="H195" s="221">
        <f t="shared" si="1"/>
        <v>197030</v>
      </c>
    </row>
    <row r="196" spans="1:10" x14ac:dyDescent="0.25">
      <c r="A196" s="222" t="s">
        <v>75</v>
      </c>
      <c r="B196">
        <v>201</v>
      </c>
      <c r="C196">
        <v>1098025</v>
      </c>
      <c r="D196">
        <v>81.89</v>
      </c>
      <c r="E196">
        <f t="shared" si="0"/>
        <v>81.155999999999992</v>
      </c>
      <c r="F196">
        <v>64</v>
      </c>
      <c r="G196" s="216">
        <v>920000</v>
      </c>
      <c r="H196" s="221">
        <f t="shared" si="1"/>
        <v>178025</v>
      </c>
      <c r="I196" t="s">
        <v>143</v>
      </c>
      <c r="J196" t="s">
        <v>143</v>
      </c>
    </row>
    <row r="197" spans="1:10" x14ac:dyDescent="0.25">
      <c r="A197" s="222" t="s">
        <v>76</v>
      </c>
      <c r="B197">
        <v>200</v>
      </c>
      <c r="C197">
        <v>993200</v>
      </c>
      <c r="D197">
        <v>72.010000000000005</v>
      </c>
      <c r="E197">
        <f t="shared" si="0"/>
        <v>87.333999999999989</v>
      </c>
      <c r="F197" s="223">
        <v>69</v>
      </c>
      <c r="G197" s="216">
        <v>520000</v>
      </c>
      <c r="H197" s="221">
        <f t="shared" si="1"/>
        <v>473200</v>
      </c>
    </row>
    <row r="198" spans="1:10" x14ac:dyDescent="0.25">
      <c r="A198" s="222" t="s">
        <v>77</v>
      </c>
      <c r="B198">
        <v>205</v>
      </c>
      <c r="C198" s="224">
        <f>[1]pag!$CG$219</f>
        <v>1298310</v>
      </c>
      <c r="D198">
        <v>138.04</v>
      </c>
      <c r="E198">
        <f t="shared" si="0"/>
        <v>92.525999999999996</v>
      </c>
      <c r="F198" s="224">
        <f>[1]pag!$L$225</f>
        <v>27</v>
      </c>
      <c r="G198" s="216">
        <v>935000</v>
      </c>
      <c r="H198" s="221">
        <f t="shared" si="1"/>
        <v>363310</v>
      </c>
    </row>
    <row r="199" spans="1:10" x14ac:dyDescent="0.25">
      <c r="A199" s="222" t="s">
        <v>78</v>
      </c>
      <c r="B199">
        <v>201</v>
      </c>
      <c r="C199">
        <v>965650</v>
      </c>
      <c r="D199">
        <v>62.72</v>
      </c>
      <c r="E199">
        <f t="shared" si="0"/>
        <v>86.275999999999996</v>
      </c>
      <c r="F199">
        <v>63</v>
      </c>
      <c r="G199" s="216">
        <v>1145000</v>
      </c>
      <c r="H199" s="221">
        <f t="shared" si="1"/>
        <v>-179350</v>
      </c>
    </row>
    <row r="200" spans="1:10" x14ac:dyDescent="0.25">
      <c r="A200" s="222" t="s">
        <v>79</v>
      </c>
      <c r="B200">
        <v>203</v>
      </c>
      <c r="C200">
        <v>1100906</v>
      </c>
      <c r="D200">
        <v>71.2</v>
      </c>
      <c r="E200">
        <f t="shared" si="0"/>
        <v>85.171999999999997</v>
      </c>
      <c r="F200">
        <v>72</v>
      </c>
      <c r="G200" s="216">
        <v>555000</v>
      </c>
      <c r="H200" s="221">
        <f t="shared" si="1"/>
        <v>545906</v>
      </c>
    </row>
    <row r="201" spans="1:10" x14ac:dyDescent="0.25">
      <c r="A201" s="222" t="s">
        <v>80</v>
      </c>
      <c r="B201">
        <v>206</v>
      </c>
      <c r="C201">
        <v>920790</v>
      </c>
      <c r="D201">
        <v>57.72</v>
      </c>
      <c r="E201">
        <f t="shared" si="0"/>
        <v>80.337999999999994</v>
      </c>
      <c r="F201">
        <v>55</v>
      </c>
      <c r="G201" s="216">
        <v>560000</v>
      </c>
      <c r="H201" s="221">
        <f t="shared" si="1"/>
        <v>360790</v>
      </c>
    </row>
    <row r="202" spans="1:10" x14ac:dyDescent="0.25">
      <c r="A202" s="222" t="s">
        <v>81</v>
      </c>
      <c r="B202">
        <v>207</v>
      </c>
      <c r="C202">
        <v>2066280</v>
      </c>
      <c r="D202">
        <v>127.43</v>
      </c>
      <c r="E202">
        <f t="shared" si="0"/>
        <v>91.421999999999997</v>
      </c>
      <c r="F202">
        <v>119</v>
      </c>
      <c r="G202" s="216">
        <v>550000</v>
      </c>
      <c r="H202" s="221">
        <f t="shared" si="1"/>
        <v>1516280</v>
      </c>
    </row>
    <row r="203" spans="1:10" x14ac:dyDescent="0.25">
      <c r="A203" s="222" t="s">
        <v>82</v>
      </c>
      <c r="B203">
        <v>199</v>
      </c>
      <c r="C203" s="224">
        <f>[1]pag!$CL$219</f>
        <v>1253040</v>
      </c>
      <c r="D203">
        <v>89.72</v>
      </c>
      <c r="E203">
        <f t="shared" si="0"/>
        <v>81.75800000000001</v>
      </c>
      <c r="F203" s="224">
        <f>[1]pag!$L$225</f>
        <v>27</v>
      </c>
      <c r="G203" s="216">
        <v>620000</v>
      </c>
      <c r="H203" s="221">
        <f t="shared" si="1"/>
        <v>633040</v>
      </c>
    </row>
    <row r="204" spans="1:10" x14ac:dyDescent="0.25">
      <c r="A204" s="222" t="s">
        <v>83</v>
      </c>
      <c r="B204">
        <v>205</v>
      </c>
      <c r="C204" s="224">
        <v>1413566</v>
      </c>
      <c r="D204">
        <v>80.239999999999995</v>
      </c>
      <c r="E204">
        <f t="shared" si="0"/>
        <v>85.262000000000015</v>
      </c>
      <c r="F204">
        <v>79</v>
      </c>
      <c r="G204" s="216">
        <v>1295000</v>
      </c>
      <c r="H204" s="221">
        <f t="shared" si="1"/>
        <v>118566</v>
      </c>
    </row>
    <row r="205" spans="1:10" x14ac:dyDescent="0.25">
      <c r="A205" s="222" t="s">
        <v>84</v>
      </c>
      <c r="B205">
        <v>207</v>
      </c>
      <c r="C205">
        <v>974940</v>
      </c>
      <c r="D205">
        <v>54.67</v>
      </c>
      <c r="E205">
        <f t="shared" si="0"/>
        <v>81.956000000000003</v>
      </c>
      <c r="F205">
        <v>55</v>
      </c>
      <c r="G205" s="216">
        <v>375000</v>
      </c>
      <c r="H205" s="221">
        <f t="shared" si="1"/>
        <v>599940</v>
      </c>
    </row>
    <row r="206" spans="1:10" x14ac:dyDescent="0.25">
      <c r="A206" s="222" t="s">
        <v>85</v>
      </c>
      <c r="B206">
        <v>211</v>
      </c>
      <c r="C206">
        <v>1001170</v>
      </c>
      <c r="D206">
        <v>56.61</v>
      </c>
      <c r="E206">
        <f t="shared" si="0"/>
        <v>81.734000000000009</v>
      </c>
      <c r="F206">
        <v>63</v>
      </c>
      <c r="G206" s="216">
        <v>321000</v>
      </c>
      <c r="H206" s="221">
        <f t="shared" si="1"/>
        <v>680170</v>
      </c>
    </row>
    <row r="207" spans="1:10" x14ac:dyDescent="0.25">
      <c r="A207" s="222" t="s">
        <v>86</v>
      </c>
      <c r="B207">
        <v>211</v>
      </c>
      <c r="C207" s="224">
        <v>2855155</v>
      </c>
      <c r="D207">
        <v>148.85</v>
      </c>
      <c r="E207">
        <f t="shared" si="0"/>
        <v>86.018000000000001</v>
      </c>
      <c r="F207" s="224">
        <v>134</v>
      </c>
      <c r="G207" s="225">
        <v>1266000</v>
      </c>
      <c r="H207" s="221">
        <f t="shared" si="1"/>
        <v>1589155</v>
      </c>
    </row>
    <row r="208" spans="1:10" x14ac:dyDescent="0.25">
      <c r="A208" s="222" t="s">
        <v>87</v>
      </c>
      <c r="B208">
        <v>206</v>
      </c>
      <c r="C208" s="224">
        <v>1059405</v>
      </c>
      <c r="D208">
        <v>55.8</v>
      </c>
      <c r="E208">
        <f t="shared" si="0"/>
        <v>79.234000000000009</v>
      </c>
      <c r="F208">
        <v>68</v>
      </c>
      <c r="G208" s="216">
        <v>1210000</v>
      </c>
      <c r="H208" s="221">
        <f t="shared" si="1"/>
        <v>-150595</v>
      </c>
    </row>
    <row r="209" spans="1:9" x14ac:dyDescent="0.25">
      <c r="A209" s="222" t="s">
        <v>88</v>
      </c>
      <c r="B209">
        <v>210</v>
      </c>
      <c r="C209" s="224">
        <v>1400160</v>
      </c>
      <c r="D209">
        <v>72.209999999999994</v>
      </c>
      <c r="E209">
        <f t="shared" si="0"/>
        <v>77.628</v>
      </c>
      <c r="F209">
        <v>76</v>
      </c>
      <c r="G209" s="216">
        <v>670000</v>
      </c>
      <c r="H209" s="221">
        <f t="shared" si="1"/>
        <v>730160</v>
      </c>
    </row>
    <row r="210" spans="1:9" x14ac:dyDescent="0.25">
      <c r="A210" s="222" t="s">
        <v>89</v>
      </c>
      <c r="B210">
        <v>211</v>
      </c>
      <c r="C210">
        <v>1268690</v>
      </c>
      <c r="D210">
        <v>64.28</v>
      </c>
      <c r="E210">
        <f t="shared" si="0"/>
        <v>79.55</v>
      </c>
      <c r="F210">
        <v>59</v>
      </c>
      <c r="G210" s="216">
        <v>560000</v>
      </c>
      <c r="H210" s="221">
        <f t="shared" si="1"/>
        <v>708690</v>
      </c>
    </row>
    <row r="211" spans="1:9" x14ac:dyDescent="0.25">
      <c r="A211" s="222" t="s">
        <v>90</v>
      </c>
      <c r="B211">
        <v>212</v>
      </c>
      <c r="C211" s="224">
        <v>2551860</v>
      </c>
      <c r="D211">
        <v>120.95</v>
      </c>
      <c r="E211">
        <f t="shared" si="0"/>
        <v>92.417999999999992</v>
      </c>
      <c r="F211">
        <v>119</v>
      </c>
      <c r="G211" s="216">
        <v>1670000</v>
      </c>
      <c r="H211" s="221">
        <f t="shared" si="1"/>
        <v>881860</v>
      </c>
    </row>
    <row r="212" spans="1:9" x14ac:dyDescent="0.25">
      <c r="A212" s="222" t="s">
        <v>91</v>
      </c>
      <c r="B212">
        <v>204</v>
      </c>
      <c r="C212" s="224">
        <v>1238490</v>
      </c>
      <c r="D212">
        <v>58.55</v>
      </c>
      <c r="E212">
        <f t="shared" si="0"/>
        <v>74.358000000000004</v>
      </c>
      <c r="F212">
        <v>66</v>
      </c>
      <c r="G212" s="216">
        <v>750000</v>
      </c>
      <c r="H212" s="221">
        <f t="shared" si="1"/>
        <v>488490</v>
      </c>
    </row>
    <row r="213" spans="1:9" x14ac:dyDescent="0.25">
      <c r="A213" s="222" t="s">
        <v>92</v>
      </c>
      <c r="B213">
        <v>200</v>
      </c>
      <c r="C213" s="224">
        <v>1516180</v>
      </c>
      <c r="D213">
        <v>70</v>
      </c>
      <c r="E213">
        <f t="shared" si="0"/>
        <v>77.198000000000008</v>
      </c>
      <c r="F213">
        <v>79</v>
      </c>
      <c r="G213" s="216">
        <v>1101000</v>
      </c>
      <c r="H213" s="221">
        <f t="shared" si="1"/>
        <v>415180</v>
      </c>
    </row>
    <row r="214" spans="1:9" x14ac:dyDescent="0.25">
      <c r="A214" s="222" t="s">
        <v>93</v>
      </c>
      <c r="B214">
        <v>206</v>
      </c>
      <c r="C214" s="224">
        <v>1054120</v>
      </c>
      <c r="D214">
        <v>48.69</v>
      </c>
      <c r="E214">
        <f t="shared" si="0"/>
        <v>72.494</v>
      </c>
      <c r="F214">
        <v>64</v>
      </c>
      <c r="G214" s="216">
        <v>500000</v>
      </c>
      <c r="H214" s="221">
        <f t="shared" ref="H214:H293" si="2">SUM(C214-G214)</f>
        <v>554120</v>
      </c>
    </row>
    <row r="215" spans="1:9" x14ac:dyDescent="0.25">
      <c r="A215" s="222" t="s">
        <v>94</v>
      </c>
      <c r="B215">
        <v>209</v>
      </c>
      <c r="C215" s="224">
        <v>2031720</v>
      </c>
      <c r="D215">
        <v>92.58</v>
      </c>
      <c r="E215">
        <f t="shared" si="0"/>
        <v>78.153999999999996</v>
      </c>
      <c r="F215">
        <v>103</v>
      </c>
      <c r="G215" s="216">
        <v>445000</v>
      </c>
      <c r="H215" s="221">
        <f t="shared" si="2"/>
        <v>1586720</v>
      </c>
    </row>
    <row r="216" spans="1:9" x14ac:dyDescent="0.25">
      <c r="A216" s="222" t="s">
        <v>95</v>
      </c>
      <c r="B216">
        <v>208</v>
      </c>
      <c r="C216" s="224">
        <v>2010090</v>
      </c>
      <c r="D216">
        <v>89.46</v>
      </c>
      <c r="E216">
        <f t="shared" si="0"/>
        <v>71.855999999999995</v>
      </c>
      <c r="F216">
        <v>87</v>
      </c>
      <c r="G216" s="216">
        <v>665000</v>
      </c>
      <c r="H216" s="221">
        <f t="shared" si="2"/>
        <v>1345090</v>
      </c>
    </row>
    <row r="217" spans="1:9" x14ac:dyDescent="0.25">
      <c r="A217" s="222" t="s">
        <v>96</v>
      </c>
      <c r="B217">
        <v>210</v>
      </c>
      <c r="C217" s="224">
        <v>1511720</v>
      </c>
      <c r="D217">
        <v>66.41</v>
      </c>
      <c r="E217">
        <f t="shared" si="0"/>
        <v>73.427999999999997</v>
      </c>
      <c r="F217">
        <v>66</v>
      </c>
      <c r="G217" s="216">
        <v>1210000</v>
      </c>
      <c r="H217" s="221">
        <f t="shared" si="2"/>
        <v>301720</v>
      </c>
    </row>
    <row r="218" spans="1:9" x14ac:dyDescent="0.25">
      <c r="A218" s="222" t="s">
        <v>97</v>
      </c>
      <c r="B218">
        <v>205</v>
      </c>
      <c r="C218" s="224">
        <v>1631910</v>
      </c>
      <c r="D218">
        <v>73.67</v>
      </c>
      <c r="E218">
        <f t="shared" si="0"/>
        <v>74.162000000000006</v>
      </c>
      <c r="F218">
        <v>70</v>
      </c>
      <c r="G218" s="216">
        <v>460000</v>
      </c>
      <c r="H218" s="221">
        <f t="shared" si="2"/>
        <v>1171910</v>
      </c>
    </row>
    <row r="219" spans="1:9" x14ac:dyDescent="0.25">
      <c r="A219" s="222" t="s">
        <v>98</v>
      </c>
      <c r="B219">
        <v>203</v>
      </c>
      <c r="C219" s="224">
        <v>1764785</v>
      </c>
      <c r="D219">
        <v>75.52</v>
      </c>
      <c r="E219" s="226">
        <f t="shared" ref="E219:E273" si="3">AVERAGE(D215:D219)</f>
        <v>79.527999999999992</v>
      </c>
      <c r="F219" s="224">
        <v>88</v>
      </c>
      <c r="G219" s="216">
        <v>1045000</v>
      </c>
      <c r="H219" s="221">
        <f t="shared" si="2"/>
        <v>719785</v>
      </c>
    </row>
    <row r="220" spans="1:9" x14ac:dyDescent="0.25">
      <c r="A220" s="222" t="s">
        <v>99</v>
      </c>
      <c r="B220">
        <v>202</v>
      </c>
      <c r="C220" s="224">
        <v>2142210</v>
      </c>
      <c r="D220">
        <v>98.28</v>
      </c>
      <c r="E220" s="226">
        <f t="shared" si="3"/>
        <v>80.668000000000006</v>
      </c>
      <c r="F220" s="224">
        <v>83</v>
      </c>
      <c r="G220" s="216">
        <v>970000</v>
      </c>
      <c r="H220" s="221">
        <f t="shared" si="2"/>
        <v>1172210</v>
      </c>
    </row>
    <row r="221" spans="1:9" x14ac:dyDescent="0.25">
      <c r="A221" s="222" t="s">
        <v>100</v>
      </c>
      <c r="B221">
        <v>202</v>
      </c>
      <c r="C221" s="224">
        <v>1788970</v>
      </c>
      <c r="D221">
        <v>77.709999999999994</v>
      </c>
      <c r="E221" s="226">
        <f t="shared" si="3"/>
        <v>78.317999999999998</v>
      </c>
      <c r="F221">
        <v>72</v>
      </c>
      <c r="G221" s="216">
        <v>1320000</v>
      </c>
      <c r="H221" s="221">
        <f t="shared" si="2"/>
        <v>468970</v>
      </c>
    </row>
    <row r="222" spans="1:9" x14ac:dyDescent="0.25">
      <c r="A222" s="222" t="s">
        <v>101</v>
      </c>
      <c r="B222">
        <v>204</v>
      </c>
      <c r="C222" s="224">
        <v>1055840</v>
      </c>
      <c r="D222">
        <v>42.38</v>
      </c>
      <c r="E222" s="226">
        <f t="shared" si="3"/>
        <v>73.512</v>
      </c>
      <c r="F222">
        <v>56</v>
      </c>
      <c r="G222" s="216">
        <v>1940000</v>
      </c>
      <c r="H222" s="221">
        <f t="shared" si="2"/>
        <v>-884160</v>
      </c>
      <c r="I222" t="s">
        <v>143</v>
      </c>
    </row>
    <row r="223" spans="1:9" x14ac:dyDescent="0.25">
      <c r="A223" s="222" t="s">
        <v>102</v>
      </c>
      <c r="B223">
        <v>211</v>
      </c>
      <c r="C223" s="224">
        <v>1437833</v>
      </c>
      <c r="D223">
        <v>56.27</v>
      </c>
      <c r="E223" s="226">
        <f t="shared" si="3"/>
        <v>70.031999999999996</v>
      </c>
      <c r="F223">
        <v>62</v>
      </c>
      <c r="G223" s="216">
        <v>1145000</v>
      </c>
      <c r="H223" s="221">
        <f t="shared" si="2"/>
        <v>292833</v>
      </c>
      <c r="I223" t="s">
        <v>143</v>
      </c>
    </row>
    <row r="224" spans="1:9" x14ac:dyDescent="0.25">
      <c r="A224" s="222" t="s">
        <v>103</v>
      </c>
      <c r="B224">
        <v>214</v>
      </c>
      <c r="C224" s="224">
        <v>2620675</v>
      </c>
      <c r="D224">
        <v>100.36</v>
      </c>
      <c r="E224" s="226">
        <f t="shared" si="3"/>
        <v>75</v>
      </c>
      <c r="F224">
        <v>105</v>
      </c>
      <c r="G224" s="216">
        <v>610000</v>
      </c>
      <c r="H224" s="221">
        <f t="shared" si="2"/>
        <v>2010675</v>
      </c>
    </row>
    <row r="225" spans="1:9" x14ac:dyDescent="0.25">
      <c r="A225" s="222" t="s">
        <v>104</v>
      </c>
      <c r="B225">
        <v>208</v>
      </c>
      <c r="C225" s="224">
        <v>2164810</v>
      </c>
      <c r="D225">
        <v>81.23</v>
      </c>
      <c r="E225" s="226">
        <f t="shared" si="3"/>
        <v>71.59</v>
      </c>
      <c r="F225">
        <v>79</v>
      </c>
      <c r="G225" s="216">
        <v>1145000</v>
      </c>
      <c r="H225" s="221">
        <f t="shared" si="2"/>
        <v>1019810</v>
      </c>
      <c r="I225" s="227">
        <f t="shared" ref="I225:I293" si="4">SUM(H221:H225)</f>
        <v>2908128</v>
      </c>
    </row>
    <row r="226" spans="1:9" x14ac:dyDescent="0.25">
      <c r="A226" s="222" t="s">
        <v>105</v>
      </c>
      <c r="B226">
        <v>196</v>
      </c>
      <c r="C226" s="224">
        <v>1926480</v>
      </c>
      <c r="D226">
        <v>74.709999999999994</v>
      </c>
      <c r="E226" s="226">
        <f t="shared" si="3"/>
        <v>70.989999999999995</v>
      </c>
      <c r="F226">
        <v>56</v>
      </c>
      <c r="G226" s="216">
        <v>1175000</v>
      </c>
      <c r="H226" s="221">
        <f t="shared" si="2"/>
        <v>751480</v>
      </c>
      <c r="I226" s="227">
        <f t="shared" si="4"/>
        <v>3190638</v>
      </c>
    </row>
    <row r="227" spans="1:9" x14ac:dyDescent="0.25">
      <c r="A227" s="222" t="s">
        <v>106</v>
      </c>
      <c r="B227">
        <v>201</v>
      </c>
      <c r="C227" s="224">
        <v>1377150</v>
      </c>
      <c r="D227">
        <v>52.15</v>
      </c>
      <c r="E227" s="226">
        <f t="shared" si="3"/>
        <v>72.943999999999988</v>
      </c>
      <c r="F227">
        <v>56</v>
      </c>
      <c r="G227" s="216">
        <v>830000</v>
      </c>
      <c r="H227" s="221">
        <f t="shared" si="2"/>
        <v>547150</v>
      </c>
      <c r="I227" s="227">
        <f t="shared" si="4"/>
        <v>4621948</v>
      </c>
    </row>
    <row r="228" spans="1:9" x14ac:dyDescent="0.25">
      <c r="A228" s="222" t="s">
        <v>107</v>
      </c>
      <c r="B228">
        <v>203</v>
      </c>
      <c r="C228" s="224">
        <v>2320117</v>
      </c>
      <c r="D228">
        <v>86.14</v>
      </c>
      <c r="E228" s="226">
        <f t="shared" si="3"/>
        <v>78.917999999999992</v>
      </c>
      <c r="F228">
        <v>92</v>
      </c>
      <c r="G228" s="216">
        <v>990000</v>
      </c>
      <c r="H228" s="221">
        <f t="shared" si="2"/>
        <v>1330117</v>
      </c>
      <c r="I228" s="227">
        <f t="shared" si="4"/>
        <v>5659232</v>
      </c>
    </row>
    <row r="229" spans="1:9" x14ac:dyDescent="0.25">
      <c r="A229" s="222" t="s">
        <v>108</v>
      </c>
      <c r="B229">
        <v>207</v>
      </c>
      <c r="C229" s="224">
        <v>2346870</v>
      </c>
      <c r="D229">
        <v>84.03</v>
      </c>
      <c r="E229" s="226">
        <f t="shared" si="3"/>
        <v>75.652000000000001</v>
      </c>
      <c r="F229">
        <v>88</v>
      </c>
      <c r="G229" s="216">
        <v>1200000</v>
      </c>
      <c r="H229" s="221">
        <f t="shared" si="2"/>
        <v>1146870</v>
      </c>
      <c r="I229" s="227">
        <f t="shared" si="4"/>
        <v>4795427</v>
      </c>
    </row>
    <row r="230" spans="1:9" x14ac:dyDescent="0.25">
      <c r="A230" s="222" t="s">
        <v>109</v>
      </c>
      <c r="B230">
        <v>199</v>
      </c>
      <c r="C230" s="224">
        <v>2339280</v>
      </c>
      <c r="D230">
        <v>83.04</v>
      </c>
      <c r="E230" s="226">
        <f t="shared" si="3"/>
        <v>76.013999999999996</v>
      </c>
      <c r="F230">
        <v>73</v>
      </c>
      <c r="G230" s="216">
        <v>950000</v>
      </c>
      <c r="H230" s="221">
        <f t="shared" si="2"/>
        <v>1389280</v>
      </c>
      <c r="I230" s="227">
        <f t="shared" si="4"/>
        <v>5164897</v>
      </c>
    </row>
    <row r="231" spans="1:9" x14ac:dyDescent="0.25">
      <c r="A231" s="222" t="s">
        <v>110</v>
      </c>
      <c r="B231">
        <v>210</v>
      </c>
      <c r="C231" s="224">
        <v>2261330</v>
      </c>
      <c r="D231">
        <v>75.31</v>
      </c>
      <c r="E231" s="226">
        <f t="shared" si="3"/>
        <v>76.134</v>
      </c>
      <c r="F231">
        <v>56</v>
      </c>
      <c r="G231" s="216">
        <v>2240000</v>
      </c>
      <c r="H231" s="221">
        <f t="shared" si="2"/>
        <v>21330</v>
      </c>
      <c r="I231" s="227">
        <f t="shared" si="4"/>
        <v>4434747</v>
      </c>
    </row>
    <row r="232" spans="1:9" x14ac:dyDescent="0.25">
      <c r="A232" s="222" t="s">
        <v>111</v>
      </c>
      <c r="B232">
        <v>204</v>
      </c>
      <c r="C232" s="224">
        <v>2882280</v>
      </c>
      <c r="D232">
        <v>94.7</v>
      </c>
      <c r="E232" s="226">
        <f t="shared" si="3"/>
        <v>84.644000000000005</v>
      </c>
      <c r="F232">
        <v>92</v>
      </c>
      <c r="G232" s="216">
        <v>1750000</v>
      </c>
      <c r="H232" s="221">
        <f t="shared" si="2"/>
        <v>1132280</v>
      </c>
      <c r="I232" s="227">
        <f t="shared" si="4"/>
        <v>5019877</v>
      </c>
    </row>
    <row r="233" spans="1:9" x14ac:dyDescent="0.25">
      <c r="A233" s="222" t="s">
        <v>112</v>
      </c>
      <c r="B233">
        <v>198</v>
      </c>
      <c r="C233" s="224">
        <v>2097387</v>
      </c>
      <c r="D233">
        <v>66.92</v>
      </c>
      <c r="E233" s="226">
        <f t="shared" si="3"/>
        <v>80.8</v>
      </c>
      <c r="F233">
        <v>70</v>
      </c>
      <c r="G233" s="216">
        <v>3265000</v>
      </c>
      <c r="H233" s="221">
        <f t="shared" si="2"/>
        <v>-1167613</v>
      </c>
      <c r="I233" s="227">
        <f t="shared" si="4"/>
        <v>2522147</v>
      </c>
    </row>
    <row r="234" spans="1:9" x14ac:dyDescent="0.25">
      <c r="A234" s="222" t="s">
        <v>113</v>
      </c>
      <c r="B234">
        <v>204</v>
      </c>
      <c r="C234" s="224">
        <v>2270650</v>
      </c>
      <c r="D234">
        <v>70.849999999999994</v>
      </c>
      <c r="E234" s="226">
        <f t="shared" si="3"/>
        <v>78.164000000000016</v>
      </c>
      <c r="F234">
        <v>78</v>
      </c>
      <c r="G234" s="216">
        <v>1360000</v>
      </c>
      <c r="H234" s="221">
        <f t="shared" si="2"/>
        <v>910650</v>
      </c>
      <c r="I234" s="227">
        <f t="shared" si="4"/>
        <v>2285927</v>
      </c>
    </row>
    <row r="235" spans="1:9" x14ac:dyDescent="0.25">
      <c r="A235" s="222" t="s">
        <v>114</v>
      </c>
      <c r="B235">
        <v>208</v>
      </c>
      <c r="C235" s="224">
        <v>2169480</v>
      </c>
      <c r="D235">
        <v>66.510000000000005</v>
      </c>
      <c r="E235" s="226">
        <f t="shared" si="3"/>
        <v>74.85799999999999</v>
      </c>
      <c r="F235">
        <v>67</v>
      </c>
      <c r="G235" s="216">
        <v>785000</v>
      </c>
      <c r="H235" s="221">
        <f t="shared" si="2"/>
        <v>1384480</v>
      </c>
      <c r="I235" s="227">
        <f t="shared" si="4"/>
        <v>2281127</v>
      </c>
    </row>
    <row r="236" spans="1:9" x14ac:dyDescent="0.25">
      <c r="A236" s="222" t="s">
        <v>115</v>
      </c>
      <c r="B236">
        <v>215</v>
      </c>
      <c r="C236" s="224">
        <v>1465050</v>
      </c>
      <c r="D236">
        <v>44.02</v>
      </c>
      <c r="E236" s="226">
        <f t="shared" si="3"/>
        <v>68.599999999999994</v>
      </c>
      <c r="F236">
        <v>53</v>
      </c>
      <c r="G236" s="216">
        <v>780000</v>
      </c>
      <c r="H236" s="221">
        <f t="shared" si="2"/>
        <v>685050</v>
      </c>
      <c r="I236" s="227">
        <f t="shared" si="4"/>
        <v>2944847</v>
      </c>
    </row>
    <row r="237" spans="1:9" x14ac:dyDescent="0.25">
      <c r="A237" s="222" t="s">
        <v>116</v>
      </c>
      <c r="B237">
        <v>219</v>
      </c>
      <c r="C237" s="224">
        <v>5133097</v>
      </c>
      <c r="D237">
        <v>151.24</v>
      </c>
      <c r="E237" s="226">
        <f t="shared" si="3"/>
        <v>79.907999999999987</v>
      </c>
      <c r="F237">
        <v>113</v>
      </c>
      <c r="G237" s="216">
        <v>1941000</v>
      </c>
      <c r="H237" s="221">
        <f t="shared" si="2"/>
        <v>3192097</v>
      </c>
      <c r="I237" s="227">
        <f t="shared" si="4"/>
        <v>5004664</v>
      </c>
    </row>
    <row r="238" spans="1:9" x14ac:dyDescent="0.25">
      <c r="A238" s="222" t="s">
        <v>117</v>
      </c>
      <c r="B238">
        <v>217</v>
      </c>
      <c r="C238" s="224">
        <v>1829800</v>
      </c>
      <c r="D238">
        <v>52.41</v>
      </c>
      <c r="E238" s="226">
        <f t="shared" si="3"/>
        <v>77.006</v>
      </c>
      <c r="F238" s="224">
        <v>66</v>
      </c>
      <c r="G238" s="216">
        <v>1960000</v>
      </c>
      <c r="H238" s="221">
        <f t="shared" si="2"/>
        <v>-130200</v>
      </c>
      <c r="I238" s="227">
        <f t="shared" si="4"/>
        <v>6042077</v>
      </c>
    </row>
    <row r="239" spans="1:9" x14ac:dyDescent="0.25">
      <c r="A239" s="222" t="s">
        <v>118</v>
      </c>
      <c r="B239">
        <v>217</v>
      </c>
      <c r="C239" s="224">
        <v>2679625</v>
      </c>
      <c r="D239">
        <v>76.099999999999994</v>
      </c>
      <c r="E239" s="226">
        <f t="shared" si="3"/>
        <v>78.055999999999997</v>
      </c>
      <c r="F239">
        <v>82</v>
      </c>
      <c r="G239" s="216">
        <v>1030000</v>
      </c>
      <c r="H239" s="221">
        <f t="shared" si="2"/>
        <v>1649625</v>
      </c>
      <c r="I239" s="227">
        <f t="shared" si="4"/>
        <v>6781052</v>
      </c>
    </row>
    <row r="240" spans="1:9" x14ac:dyDescent="0.25">
      <c r="A240" s="222" t="s">
        <v>119</v>
      </c>
      <c r="B240">
        <v>214</v>
      </c>
      <c r="C240" s="224">
        <v>1235620</v>
      </c>
      <c r="D240">
        <v>35.89</v>
      </c>
      <c r="E240" s="226">
        <f t="shared" si="3"/>
        <v>71.931999999999988</v>
      </c>
      <c r="F240">
        <v>61</v>
      </c>
      <c r="G240" s="216">
        <v>1330000</v>
      </c>
      <c r="H240" s="221">
        <f t="shared" si="2"/>
        <v>-94380</v>
      </c>
      <c r="I240" s="227">
        <f t="shared" si="4"/>
        <v>5302192</v>
      </c>
    </row>
    <row r="241" spans="1:10" x14ac:dyDescent="0.25">
      <c r="A241" s="222" t="s">
        <v>120</v>
      </c>
      <c r="B241">
        <v>218</v>
      </c>
      <c r="C241" s="224">
        <v>2881000</v>
      </c>
      <c r="D241">
        <v>83.01</v>
      </c>
      <c r="E241" s="226">
        <f t="shared" si="3"/>
        <v>79.72999999999999</v>
      </c>
      <c r="F241">
        <v>87</v>
      </c>
      <c r="G241" s="216">
        <v>850000</v>
      </c>
      <c r="H241" s="221">
        <f t="shared" si="2"/>
        <v>2031000</v>
      </c>
      <c r="I241" s="227">
        <f t="shared" si="4"/>
        <v>6648142</v>
      </c>
    </row>
    <row r="242" spans="1:10" x14ac:dyDescent="0.25">
      <c r="A242" s="222" t="s">
        <v>121</v>
      </c>
      <c r="B242">
        <v>210</v>
      </c>
      <c r="C242" s="224">
        <v>4031572</v>
      </c>
      <c r="D242">
        <v>115.99</v>
      </c>
      <c r="E242" s="226">
        <f t="shared" si="3"/>
        <v>72.679999999999993</v>
      </c>
      <c r="F242">
        <v>79</v>
      </c>
      <c r="G242" s="216">
        <v>700000</v>
      </c>
      <c r="H242" s="221">
        <f t="shared" si="2"/>
        <v>3331572</v>
      </c>
      <c r="I242" s="227">
        <f t="shared" si="4"/>
        <v>6787617</v>
      </c>
    </row>
    <row r="243" spans="1:10" x14ac:dyDescent="0.25">
      <c r="A243" s="222" t="s">
        <v>122</v>
      </c>
      <c r="B243">
        <v>211</v>
      </c>
      <c r="C243" s="224">
        <v>3139212</v>
      </c>
      <c r="D243">
        <v>89.38</v>
      </c>
      <c r="E243" s="226">
        <f t="shared" si="3"/>
        <v>80.073999999999998</v>
      </c>
      <c r="F243">
        <v>101</v>
      </c>
      <c r="G243" s="216">
        <v>1640000</v>
      </c>
      <c r="H243" s="221">
        <f t="shared" si="2"/>
        <v>1499212</v>
      </c>
      <c r="I243" s="227">
        <f t="shared" si="4"/>
        <v>8417029</v>
      </c>
    </row>
    <row r="244" spans="1:10" x14ac:dyDescent="0.25">
      <c r="A244" s="222" t="s">
        <v>123</v>
      </c>
      <c r="B244">
        <v>211</v>
      </c>
      <c r="C244" s="224">
        <v>1647320</v>
      </c>
      <c r="D244">
        <v>45.84</v>
      </c>
      <c r="E244" s="226">
        <f t="shared" si="3"/>
        <v>74.022000000000006</v>
      </c>
      <c r="F244">
        <v>45</v>
      </c>
      <c r="G244" s="216">
        <v>1690000</v>
      </c>
      <c r="H244" s="221">
        <f t="shared" si="2"/>
        <v>-42680</v>
      </c>
      <c r="I244" s="227">
        <f t="shared" si="4"/>
        <v>6724724</v>
      </c>
    </row>
    <row r="245" spans="1:10" x14ac:dyDescent="0.25">
      <c r="A245" s="222" t="s">
        <v>124</v>
      </c>
      <c r="B245">
        <v>216</v>
      </c>
      <c r="C245" s="224">
        <v>1753320</v>
      </c>
      <c r="D245">
        <v>46.8</v>
      </c>
      <c r="E245" s="226">
        <f t="shared" si="3"/>
        <v>76.204000000000008</v>
      </c>
      <c r="F245">
        <v>60</v>
      </c>
      <c r="G245" s="216">
        <v>785000</v>
      </c>
      <c r="H245" s="221">
        <f t="shared" si="2"/>
        <v>968320</v>
      </c>
      <c r="I245" s="227">
        <f t="shared" si="4"/>
        <v>7787424</v>
      </c>
    </row>
    <row r="246" spans="1:10" x14ac:dyDescent="0.25">
      <c r="A246" s="228" t="s">
        <v>125</v>
      </c>
      <c r="B246">
        <v>221</v>
      </c>
      <c r="C246" s="224">
        <v>4543147</v>
      </c>
      <c r="D246">
        <v>118.11</v>
      </c>
      <c r="E246" s="226">
        <f t="shared" si="3"/>
        <v>83.224000000000004</v>
      </c>
      <c r="F246">
        <v>101</v>
      </c>
      <c r="G246" s="216">
        <v>1660000</v>
      </c>
      <c r="H246" s="221">
        <f t="shared" si="2"/>
        <v>2883147</v>
      </c>
      <c r="I246" s="227">
        <f t="shared" si="4"/>
        <v>8639571</v>
      </c>
    </row>
    <row r="247" spans="1:10" x14ac:dyDescent="0.25">
      <c r="A247" s="228" t="s">
        <v>126</v>
      </c>
      <c r="B247">
        <v>217</v>
      </c>
      <c r="C247" s="224">
        <v>4261342</v>
      </c>
      <c r="D247">
        <v>111.28</v>
      </c>
      <c r="E247" s="226">
        <f t="shared" si="3"/>
        <v>82.281999999999996</v>
      </c>
      <c r="F247">
        <v>83</v>
      </c>
      <c r="G247" s="216">
        <v>1940000</v>
      </c>
      <c r="H247" s="221">
        <f t="shared" si="2"/>
        <v>2321342</v>
      </c>
      <c r="I247" s="227">
        <f t="shared" si="4"/>
        <v>7629341</v>
      </c>
    </row>
    <row r="248" spans="1:10" x14ac:dyDescent="0.25">
      <c r="A248" s="228" t="s">
        <v>127</v>
      </c>
      <c r="B248">
        <v>218</v>
      </c>
      <c r="C248" s="224">
        <v>2128377</v>
      </c>
      <c r="D248">
        <v>51.95</v>
      </c>
      <c r="E248" s="226">
        <f t="shared" si="3"/>
        <v>74.795999999999992</v>
      </c>
      <c r="F248">
        <v>69</v>
      </c>
      <c r="G248" s="216">
        <v>3300000</v>
      </c>
      <c r="H248" s="221">
        <f t="shared" si="2"/>
        <v>-1171623</v>
      </c>
      <c r="I248" s="227">
        <f t="shared" si="4"/>
        <v>4958506</v>
      </c>
    </row>
    <row r="249" spans="1:10" x14ac:dyDescent="0.25">
      <c r="A249" s="228" t="s">
        <v>128</v>
      </c>
      <c r="B249">
        <v>217</v>
      </c>
      <c r="C249" s="224">
        <v>1369420</v>
      </c>
      <c r="D249">
        <v>33.700000000000003</v>
      </c>
      <c r="E249" s="226">
        <f t="shared" si="3"/>
        <v>72.367999999999995</v>
      </c>
      <c r="F249">
        <v>52</v>
      </c>
      <c r="G249" s="216">
        <v>1480000</v>
      </c>
      <c r="H249" s="221">
        <f t="shared" si="2"/>
        <v>-110580</v>
      </c>
      <c r="I249" s="227">
        <f t="shared" si="4"/>
        <v>4890606</v>
      </c>
      <c r="J249" s="229" t="s">
        <v>1142</v>
      </c>
    </row>
    <row r="250" spans="1:10" x14ac:dyDescent="0.25">
      <c r="A250" s="228" t="s">
        <v>129</v>
      </c>
      <c r="B250">
        <v>219</v>
      </c>
      <c r="C250" s="224">
        <v>2931697</v>
      </c>
      <c r="D250">
        <v>70.760000000000005</v>
      </c>
      <c r="E250" s="226">
        <f t="shared" si="3"/>
        <v>77.16</v>
      </c>
      <c r="F250">
        <v>76</v>
      </c>
      <c r="G250" s="216">
        <v>1195000</v>
      </c>
      <c r="H250" s="221">
        <f t="shared" si="2"/>
        <v>1736697</v>
      </c>
      <c r="I250" s="227">
        <f t="shared" si="4"/>
        <v>5658983</v>
      </c>
    </row>
    <row r="251" spans="1:10" x14ac:dyDescent="0.25">
      <c r="A251" s="228" t="s">
        <v>130</v>
      </c>
      <c r="B251">
        <v>226</v>
      </c>
      <c r="C251" s="224">
        <v>3960350</v>
      </c>
      <c r="D251">
        <v>94.18</v>
      </c>
      <c r="E251" s="226">
        <f t="shared" si="3"/>
        <v>72.373999999999995</v>
      </c>
      <c r="F251">
        <v>82</v>
      </c>
      <c r="G251" s="216">
        <v>2025000</v>
      </c>
      <c r="H251" s="221">
        <f t="shared" si="2"/>
        <v>1935350</v>
      </c>
      <c r="I251" s="227">
        <f t="shared" si="4"/>
        <v>4711186</v>
      </c>
    </row>
    <row r="252" spans="1:10" x14ac:dyDescent="0.25">
      <c r="A252" s="228" t="s">
        <v>131</v>
      </c>
      <c r="B252">
        <v>222</v>
      </c>
      <c r="C252" s="224">
        <v>2383829</v>
      </c>
      <c r="D252">
        <v>55.9</v>
      </c>
      <c r="E252" s="226">
        <f t="shared" si="3"/>
        <v>61.298000000000002</v>
      </c>
      <c r="F252">
        <v>62</v>
      </c>
      <c r="G252" s="216">
        <v>1380000</v>
      </c>
      <c r="H252" s="221">
        <f t="shared" si="2"/>
        <v>1003829</v>
      </c>
      <c r="I252" s="227">
        <f t="shared" si="4"/>
        <v>3393673</v>
      </c>
    </row>
    <row r="253" spans="1:10" x14ac:dyDescent="0.25">
      <c r="A253" s="228" t="s">
        <v>132</v>
      </c>
      <c r="B253">
        <v>226</v>
      </c>
      <c r="C253" s="224">
        <v>2348280</v>
      </c>
      <c r="D253">
        <v>54.19</v>
      </c>
      <c r="E253" s="226">
        <f t="shared" si="3"/>
        <v>61.746000000000002</v>
      </c>
      <c r="F253">
        <v>75</v>
      </c>
      <c r="G253" s="216">
        <v>840000</v>
      </c>
      <c r="H253" s="221">
        <f t="shared" si="2"/>
        <v>1508280</v>
      </c>
      <c r="I253" s="227">
        <f t="shared" si="4"/>
        <v>6073576</v>
      </c>
    </row>
    <row r="254" spans="1:10" x14ac:dyDescent="0.25">
      <c r="A254" s="228" t="s">
        <v>133</v>
      </c>
      <c r="B254">
        <v>226</v>
      </c>
      <c r="C254" s="224">
        <v>1593700</v>
      </c>
      <c r="D254">
        <v>36.21</v>
      </c>
      <c r="E254" s="226">
        <f t="shared" si="3"/>
        <v>62.24799999999999</v>
      </c>
      <c r="F254">
        <v>66</v>
      </c>
      <c r="G254" s="216">
        <v>995000</v>
      </c>
      <c r="H254" s="221">
        <f t="shared" si="2"/>
        <v>598700</v>
      </c>
      <c r="I254" s="227">
        <f t="shared" si="4"/>
        <v>6782856</v>
      </c>
    </row>
    <row r="255" spans="1:10" x14ac:dyDescent="0.25">
      <c r="A255" s="228" t="s">
        <v>134</v>
      </c>
      <c r="B255">
        <v>227</v>
      </c>
      <c r="C255" s="224">
        <v>4435800</v>
      </c>
      <c r="D255">
        <v>99.95</v>
      </c>
      <c r="E255" s="226">
        <f t="shared" si="3"/>
        <v>68.085999999999999</v>
      </c>
      <c r="F255">
        <v>89</v>
      </c>
      <c r="G255" s="216">
        <v>900000</v>
      </c>
      <c r="H255" s="221">
        <f t="shared" si="2"/>
        <v>3535800</v>
      </c>
      <c r="I255" s="227">
        <f t="shared" si="4"/>
        <v>8581959</v>
      </c>
    </row>
    <row r="256" spans="1:10" x14ac:dyDescent="0.25">
      <c r="A256" s="228" t="s">
        <v>135</v>
      </c>
      <c r="B256">
        <v>221</v>
      </c>
      <c r="C256" s="224">
        <v>3417155</v>
      </c>
      <c r="D256">
        <v>75.61</v>
      </c>
      <c r="E256" s="226">
        <f t="shared" si="3"/>
        <v>64.372</v>
      </c>
      <c r="F256">
        <v>94</v>
      </c>
      <c r="G256" s="216">
        <v>3050000</v>
      </c>
      <c r="H256" s="221">
        <f t="shared" si="2"/>
        <v>367155</v>
      </c>
      <c r="I256" s="227">
        <f t="shared" si="4"/>
        <v>7013764</v>
      </c>
    </row>
    <row r="257" spans="1:9" x14ac:dyDescent="0.25">
      <c r="A257" s="228" t="s">
        <v>136</v>
      </c>
      <c r="B257">
        <v>216</v>
      </c>
      <c r="C257" s="224">
        <v>2094980</v>
      </c>
      <c r="D257">
        <v>45.87</v>
      </c>
      <c r="E257" s="226">
        <f t="shared" si="3"/>
        <v>62.366000000000007</v>
      </c>
      <c r="F257">
        <v>51</v>
      </c>
      <c r="G257" s="216">
        <v>2080000</v>
      </c>
      <c r="H257" s="221">
        <f t="shared" si="2"/>
        <v>14980</v>
      </c>
      <c r="I257" s="227">
        <f t="shared" si="4"/>
        <v>6024915</v>
      </c>
    </row>
    <row r="258" spans="1:9" x14ac:dyDescent="0.25">
      <c r="A258" s="228" t="s">
        <v>137</v>
      </c>
      <c r="B258">
        <v>221</v>
      </c>
      <c r="C258" s="224">
        <v>1885050</v>
      </c>
      <c r="D258">
        <v>40.43</v>
      </c>
      <c r="E258" s="226">
        <f t="shared" si="3"/>
        <v>59.613999999999997</v>
      </c>
      <c r="F258">
        <v>56</v>
      </c>
      <c r="G258" s="216">
        <v>1620000</v>
      </c>
      <c r="H258" s="221">
        <f t="shared" si="2"/>
        <v>265050</v>
      </c>
      <c r="I258" s="227">
        <f t="shared" si="4"/>
        <v>4781685</v>
      </c>
    </row>
    <row r="259" spans="1:9" x14ac:dyDescent="0.25">
      <c r="A259" s="228" t="s">
        <v>138</v>
      </c>
      <c r="B259">
        <v>223</v>
      </c>
      <c r="C259" s="224">
        <v>4703622</v>
      </c>
      <c r="D259">
        <v>101.6</v>
      </c>
      <c r="E259" s="226">
        <f t="shared" si="3"/>
        <v>72.692000000000007</v>
      </c>
      <c r="F259">
        <v>98</v>
      </c>
      <c r="G259" s="216">
        <v>1510000</v>
      </c>
      <c r="H259" s="221">
        <f t="shared" si="2"/>
        <v>3193622</v>
      </c>
      <c r="I259" s="227">
        <f t="shared" si="4"/>
        <v>7376607</v>
      </c>
    </row>
    <row r="260" spans="1:9" x14ac:dyDescent="0.25">
      <c r="A260" s="228" t="s">
        <v>1192</v>
      </c>
      <c r="B260">
        <v>217</v>
      </c>
      <c r="C260" s="224">
        <v>2726405</v>
      </c>
      <c r="D260">
        <v>59.36</v>
      </c>
      <c r="E260" s="226">
        <f t="shared" si="3"/>
        <v>64.573999999999998</v>
      </c>
      <c r="F260">
        <v>57</v>
      </c>
      <c r="G260" s="216">
        <v>200000</v>
      </c>
      <c r="H260" s="221">
        <f t="shared" si="2"/>
        <v>2526405</v>
      </c>
      <c r="I260" s="227">
        <f t="shared" si="4"/>
        <v>6367212</v>
      </c>
    </row>
    <row r="261" spans="1:9" x14ac:dyDescent="0.25">
      <c r="A261" s="228" t="s">
        <v>1195</v>
      </c>
      <c r="B261">
        <v>225</v>
      </c>
      <c r="C261" s="224">
        <v>2414601</v>
      </c>
      <c r="D261">
        <v>51.95</v>
      </c>
      <c r="E261" s="226">
        <f t="shared" si="3"/>
        <v>59.841999999999999</v>
      </c>
      <c r="F261">
        <v>68</v>
      </c>
      <c r="G261" s="216">
        <v>1870000</v>
      </c>
      <c r="H261" s="221">
        <f t="shared" si="2"/>
        <v>544601</v>
      </c>
      <c r="I261" s="227">
        <f t="shared" si="4"/>
        <v>6544658</v>
      </c>
    </row>
    <row r="262" spans="1:9" x14ac:dyDescent="0.25">
      <c r="A262" s="228" t="s">
        <v>1201</v>
      </c>
      <c r="B262">
        <v>228</v>
      </c>
      <c r="C262" s="224">
        <v>2828300</v>
      </c>
      <c r="D262">
        <v>60.36</v>
      </c>
      <c r="E262" s="226">
        <f t="shared" si="3"/>
        <v>62.739999999999995</v>
      </c>
      <c r="F262">
        <v>56</v>
      </c>
      <c r="G262" s="216">
        <v>1170000</v>
      </c>
      <c r="H262" s="221">
        <f t="shared" si="2"/>
        <v>1658300</v>
      </c>
      <c r="I262" s="227">
        <f t="shared" si="4"/>
        <v>8187978</v>
      </c>
    </row>
    <row r="263" spans="1:9" ht="15.75" thickBot="1" x14ac:dyDescent="0.3">
      <c r="A263" s="228" t="s">
        <v>1205</v>
      </c>
      <c r="B263">
        <v>229</v>
      </c>
      <c r="C263" s="224">
        <v>3311021</v>
      </c>
      <c r="D263">
        <v>76.05</v>
      </c>
      <c r="E263" s="226">
        <f t="shared" si="3"/>
        <v>69.864000000000004</v>
      </c>
      <c r="F263">
        <v>93</v>
      </c>
      <c r="G263" s="216">
        <v>1200000</v>
      </c>
      <c r="H263" s="221">
        <v>2111021</v>
      </c>
      <c r="I263" s="227">
        <f t="shared" si="4"/>
        <v>10033949</v>
      </c>
    </row>
    <row r="264" spans="1:9" ht="15.75" thickBot="1" x14ac:dyDescent="0.3">
      <c r="A264" s="228" t="s">
        <v>1215</v>
      </c>
      <c r="B264">
        <v>234</v>
      </c>
      <c r="C264">
        <v>4785500</v>
      </c>
      <c r="D264">
        <v>97.14</v>
      </c>
      <c r="E264" s="226">
        <f t="shared" si="3"/>
        <v>68.972000000000008</v>
      </c>
      <c r="F264" s="38">
        <v>92</v>
      </c>
      <c r="G264" s="225">
        <v>2315000</v>
      </c>
      <c r="H264" s="221">
        <f t="shared" si="2"/>
        <v>2470500</v>
      </c>
      <c r="I264" s="227">
        <f t="shared" si="4"/>
        <v>9310827</v>
      </c>
    </row>
    <row r="265" spans="1:9" x14ac:dyDescent="0.25">
      <c r="A265" s="228" t="s">
        <v>1221</v>
      </c>
      <c r="B265">
        <v>224</v>
      </c>
      <c r="C265" s="224">
        <v>2484300</v>
      </c>
      <c r="D265">
        <v>50.94</v>
      </c>
      <c r="E265" s="226">
        <f t="shared" si="3"/>
        <v>67.287999999999997</v>
      </c>
      <c r="F265" s="369">
        <v>61</v>
      </c>
      <c r="G265" s="370">
        <v>1710000</v>
      </c>
      <c r="H265" s="221">
        <f t="shared" si="2"/>
        <v>774300</v>
      </c>
      <c r="I265" s="227">
        <f t="shared" si="4"/>
        <v>7558722</v>
      </c>
    </row>
    <row r="266" spans="1:9" x14ac:dyDescent="0.25">
      <c r="A266" s="228" t="s">
        <v>1224</v>
      </c>
      <c r="B266">
        <v>231</v>
      </c>
      <c r="C266" s="224">
        <v>2897330</v>
      </c>
      <c r="D266">
        <v>59.03</v>
      </c>
      <c r="E266" s="226">
        <f t="shared" si="3"/>
        <v>68.703999999999994</v>
      </c>
      <c r="F266" s="369">
        <v>66</v>
      </c>
      <c r="G266" s="370">
        <v>1900000</v>
      </c>
      <c r="H266" s="221">
        <f t="shared" si="2"/>
        <v>997330</v>
      </c>
      <c r="I266" s="227">
        <f t="shared" si="4"/>
        <v>8011451</v>
      </c>
    </row>
    <row r="267" spans="1:9" x14ac:dyDescent="0.25">
      <c r="A267" s="228" t="s">
        <v>1230</v>
      </c>
      <c r="B267">
        <v>230</v>
      </c>
      <c r="C267" s="224">
        <v>4181680</v>
      </c>
      <c r="D267">
        <v>84.21</v>
      </c>
      <c r="E267" s="226">
        <f t="shared" si="3"/>
        <v>73.47399999999999</v>
      </c>
      <c r="F267" s="369">
        <v>80</v>
      </c>
      <c r="G267" s="370">
        <v>1510000</v>
      </c>
      <c r="H267" s="221">
        <f t="shared" si="2"/>
        <v>2671680</v>
      </c>
      <c r="I267" s="227">
        <f t="shared" si="4"/>
        <v>9024831</v>
      </c>
    </row>
    <row r="268" spans="1:9" x14ac:dyDescent="0.25">
      <c r="A268" s="228" t="s">
        <v>1231</v>
      </c>
      <c r="B268">
        <v>233</v>
      </c>
      <c r="C268" s="224">
        <v>3913080</v>
      </c>
      <c r="D268">
        <v>75.16</v>
      </c>
      <c r="E268" s="226">
        <f t="shared" si="3"/>
        <v>73.296000000000006</v>
      </c>
      <c r="F268" s="369">
        <v>93</v>
      </c>
      <c r="G268" s="370">
        <v>2970000</v>
      </c>
      <c r="H268" s="221">
        <f t="shared" si="2"/>
        <v>943080</v>
      </c>
      <c r="I268" s="227">
        <f t="shared" si="4"/>
        <v>7856890</v>
      </c>
    </row>
    <row r="269" spans="1:9" x14ac:dyDescent="0.25">
      <c r="A269" s="228" t="s">
        <v>1244</v>
      </c>
      <c r="B269">
        <v>231</v>
      </c>
      <c r="C269" s="224">
        <v>2284850</v>
      </c>
      <c r="D269">
        <v>43.87</v>
      </c>
      <c r="E269" s="226">
        <f t="shared" si="3"/>
        <v>62.64200000000001</v>
      </c>
      <c r="F269" s="369">
        <v>58</v>
      </c>
      <c r="G269" s="370">
        <v>1690000</v>
      </c>
      <c r="H269" s="221">
        <f t="shared" si="2"/>
        <v>594850</v>
      </c>
      <c r="I269" s="227">
        <f t="shared" si="4"/>
        <v>5981240</v>
      </c>
    </row>
    <row r="270" spans="1:9" x14ac:dyDescent="0.25">
      <c r="A270" s="228" t="s">
        <v>1246</v>
      </c>
      <c r="B270">
        <v>241</v>
      </c>
      <c r="C270" s="224">
        <v>3762350</v>
      </c>
      <c r="D270">
        <v>68.180000000000007</v>
      </c>
      <c r="E270" s="226">
        <f t="shared" si="3"/>
        <v>66.09</v>
      </c>
      <c r="F270" s="369">
        <v>85</v>
      </c>
      <c r="G270" s="370">
        <v>3090000</v>
      </c>
      <c r="H270" s="221">
        <f t="shared" si="2"/>
        <v>672350</v>
      </c>
      <c r="I270" s="227">
        <f t="shared" si="4"/>
        <v>5879290</v>
      </c>
    </row>
    <row r="271" spans="1:9" x14ac:dyDescent="0.25">
      <c r="A271" s="228" t="s">
        <v>1263</v>
      </c>
      <c r="B271">
        <v>235</v>
      </c>
      <c r="C271" s="224">
        <v>3940150</v>
      </c>
      <c r="D271">
        <v>72.94</v>
      </c>
      <c r="E271" s="226">
        <f t="shared" si="3"/>
        <v>68.872</v>
      </c>
      <c r="F271" s="369">
        <v>80</v>
      </c>
      <c r="G271" s="370">
        <v>1370000</v>
      </c>
      <c r="H271" s="221">
        <f t="shared" si="2"/>
        <v>2570150</v>
      </c>
      <c r="I271" s="227">
        <f t="shared" si="4"/>
        <v>7452110</v>
      </c>
    </row>
    <row r="272" spans="1:9" x14ac:dyDescent="0.25">
      <c r="A272" s="228" t="s">
        <v>1267</v>
      </c>
      <c r="B272">
        <v>235</v>
      </c>
      <c r="C272" s="224">
        <v>4683250</v>
      </c>
      <c r="D272">
        <v>86.17</v>
      </c>
      <c r="E272" s="226">
        <f t="shared" si="3"/>
        <v>69.263999999999996</v>
      </c>
      <c r="F272" s="369">
        <v>93</v>
      </c>
      <c r="G272" s="370">
        <v>1035000</v>
      </c>
      <c r="H272" s="221">
        <f t="shared" si="2"/>
        <v>3648250</v>
      </c>
      <c r="I272" s="227">
        <f t="shared" si="4"/>
        <v>8428680</v>
      </c>
    </row>
    <row r="273" spans="1:9" x14ac:dyDescent="0.25">
      <c r="A273" s="228" t="s">
        <v>1271</v>
      </c>
      <c r="B273">
        <v>234</v>
      </c>
      <c r="C273" s="224">
        <v>3351700</v>
      </c>
      <c r="D273">
        <v>63.94</v>
      </c>
      <c r="E273" s="226">
        <f t="shared" si="3"/>
        <v>67.02000000000001</v>
      </c>
      <c r="F273" s="369">
        <v>84</v>
      </c>
      <c r="G273" s="370">
        <v>1870000</v>
      </c>
      <c r="H273" s="221">
        <f t="shared" si="2"/>
        <v>1481700</v>
      </c>
      <c r="I273" s="227">
        <f t="shared" si="4"/>
        <v>8967300</v>
      </c>
    </row>
    <row r="274" spans="1:9" x14ac:dyDescent="0.25">
      <c r="A274" s="228" t="s">
        <v>1281</v>
      </c>
      <c r="B274">
        <v>240</v>
      </c>
      <c r="C274" s="224">
        <v>3126950</v>
      </c>
      <c r="D274">
        <v>56.63</v>
      </c>
      <c r="E274" s="226">
        <f t="shared" ref="E274:E293" si="5">AVERAGE(D270:D274)</f>
        <v>69.572000000000003</v>
      </c>
      <c r="F274" s="369">
        <v>71</v>
      </c>
      <c r="G274" s="370">
        <v>2900000</v>
      </c>
      <c r="H274" s="221">
        <f t="shared" si="2"/>
        <v>226950</v>
      </c>
      <c r="I274" s="227">
        <f t="shared" si="4"/>
        <v>8599400</v>
      </c>
    </row>
    <row r="275" spans="1:9" x14ac:dyDescent="0.25">
      <c r="A275" s="228" t="s">
        <v>1290</v>
      </c>
      <c r="B275">
        <v>234</v>
      </c>
      <c r="C275" s="224">
        <v>2511600</v>
      </c>
      <c r="D275">
        <v>46.19</v>
      </c>
      <c r="E275" s="226">
        <f t="shared" si="5"/>
        <v>65.174000000000007</v>
      </c>
      <c r="F275" s="369">
        <v>50</v>
      </c>
      <c r="G275" s="370">
        <v>1525000</v>
      </c>
      <c r="H275" s="221">
        <f t="shared" si="2"/>
        <v>986600</v>
      </c>
      <c r="I275" s="227">
        <f t="shared" si="4"/>
        <v>8913650</v>
      </c>
    </row>
    <row r="276" spans="1:9" x14ac:dyDescent="0.25">
      <c r="A276" s="228" t="s">
        <v>1296</v>
      </c>
      <c r="B276">
        <v>239</v>
      </c>
      <c r="C276" s="224">
        <v>6996050</v>
      </c>
      <c r="D276">
        <v>122.32</v>
      </c>
      <c r="E276" s="226">
        <f t="shared" si="5"/>
        <v>75.05</v>
      </c>
      <c r="F276" s="369">
        <v>105</v>
      </c>
      <c r="G276" s="370">
        <v>3900000</v>
      </c>
      <c r="H276" s="221">
        <f t="shared" si="2"/>
        <v>3096050</v>
      </c>
      <c r="I276" s="227">
        <f t="shared" si="4"/>
        <v>9439550</v>
      </c>
    </row>
    <row r="277" spans="1:9" x14ac:dyDescent="0.25">
      <c r="A277" s="228" t="s">
        <v>1304</v>
      </c>
      <c r="B277">
        <v>234</v>
      </c>
      <c r="C277" s="224">
        <v>2600700</v>
      </c>
      <c r="D277">
        <v>47.53</v>
      </c>
      <c r="E277" s="226">
        <f t="shared" si="5"/>
        <v>67.322000000000003</v>
      </c>
      <c r="F277">
        <v>65</v>
      </c>
      <c r="G277" s="370">
        <v>2640000</v>
      </c>
      <c r="H277" s="221">
        <f t="shared" si="2"/>
        <v>-39300</v>
      </c>
      <c r="I277" s="227">
        <f t="shared" si="4"/>
        <v>5752000</v>
      </c>
    </row>
    <row r="278" spans="1:9" x14ac:dyDescent="0.25">
      <c r="A278" s="228" t="s">
        <v>1310</v>
      </c>
      <c r="B278">
        <v>234</v>
      </c>
      <c r="C278" s="224">
        <v>3675820</v>
      </c>
      <c r="D278">
        <v>65.650000000000006</v>
      </c>
      <c r="E278" s="226">
        <f t="shared" si="5"/>
        <v>67.663999999999987</v>
      </c>
      <c r="F278">
        <v>78</v>
      </c>
      <c r="G278" s="370">
        <v>1850000</v>
      </c>
      <c r="H278" s="221">
        <f t="shared" si="2"/>
        <v>1825820</v>
      </c>
      <c r="I278" s="227">
        <f t="shared" si="4"/>
        <v>6096120</v>
      </c>
    </row>
    <row r="279" spans="1:9" x14ac:dyDescent="0.25">
      <c r="A279" s="228" t="s">
        <v>1315</v>
      </c>
      <c r="B279">
        <v>231</v>
      </c>
      <c r="C279" s="224">
        <v>2058930</v>
      </c>
      <c r="D279">
        <v>36.83</v>
      </c>
      <c r="E279" s="226">
        <f t="shared" si="5"/>
        <v>63.703999999999994</v>
      </c>
      <c r="F279">
        <v>49</v>
      </c>
      <c r="G279" s="370">
        <v>1904000</v>
      </c>
      <c r="H279" s="221">
        <f t="shared" si="2"/>
        <v>154930</v>
      </c>
      <c r="I279" s="227">
        <f t="shared" si="4"/>
        <v>6024100</v>
      </c>
    </row>
    <row r="280" spans="1:9" x14ac:dyDescent="0.25">
      <c r="A280" s="228" t="s">
        <v>1320</v>
      </c>
      <c r="B280">
        <v>230</v>
      </c>
      <c r="C280" s="224">
        <v>4681079</v>
      </c>
      <c r="D280">
        <v>84.2</v>
      </c>
      <c r="E280" s="226">
        <f t="shared" si="5"/>
        <v>71.305999999999997</v>
      </c>
      <c r="F280">
        <v>75</v>
      </c>
      <c r="G280" s="370">
        <v>520000</v>
      </c>
      <c r="H280" s="221">
        <f t="shared" si="2"/>
        <v>4161079</v>
      </c>
      <c r="I280" s="227">
        <f t="shared" si="4"/>
        <v>9198579</v>
      </c>
    </row>
    <row r="281" spans="1:9" x14ac:dyDescent="0.25">
      <c r="A281" s="228" t="s">
        <v>1328</v>
      </c>
      <c r="B281">
        <v>242</v>
      </c>
      <c r="C281" s="224">
        <v>4545630</v>
      </c>
      <c r="D281">
        <v>76.27</v>
      </c>
      <c r="E281" s="226">
        <f t="shared" si="5"/>
        <v>62.095999999999989</v>
      </c>
      <c r="F281">
        <v>87</v>
      </c>
      <c r="G281" s="370">
        <v>3595000</v>
      </c>
      <c r="H281" s="221">
        <f t="shared" si="2"/>
        <v>950630</v>
      </c>
      <c r="I281" s="227">
        <f t="shared" si="4"/>
        <v>7053159</v>
      </c>
    </row>
    <row r="282" spans="1:9" x14ac:dyDescent="0.25">
      <c r="A282" s="228" t="s">
        <v>1341</v>
      </c>
      <c r="B282">
        <v>230</v>
      </c>
      <c r="C282" s="224">
        <v>5460568</v>
      </c>
      <c r="D282">
        <v>94.01</v>
      </c>
      <c r="E282" s="226">
        <f t="shared" si="5"/>
        <v>71.391999999999996</v>
      </c>
      <c r="F282">
        <v>73</v>
      </c>
      <c r="G282" s="370">
        <v>1910000</v>
      </c>
      <c r="H282" s="221">
        <f t="shared" si="2"/>
        <v>3550568</v>
      </c>
      <c r="I282" s="227">
        <f t="shared" si="4"/>
        <v>10643027</v>
      </c>
    </row>
    <row r="283" spans="1:9" x14ac:dyDescent="0.25">
      <c r="A283" s="228" t="s">
        <v>1350</v>
      </c>
      <c r="B283">
        <v>231</v>
      </c>
      <c r="C283" s="224">
        <v>2593910</v>
      </c>
      <c r="D283">
        <v>41.81</v>
      </c>
      <c r="E283" s="226">
        <f t="shared" si="5"/>
        <v>66.623999999999995</v>
      </c>
      <c r="F283">
        <v>56</v>
      </c>
      <c r="G283" s="370">
        <v>3200000</v>
      </c>
      <c r="H283" s="221">
        <f t="shared" si="2"/>
        <v>-606090</v>
      </c>
      <c r="I283" s="227">
        <f t="shared" si="4"/>
        <v>8211117</v>
      </c>
    </row>
    <row r="284" spans="1:9" x14ac:dyDescent="0.25">
      <c r="A284" s="228" t="s">
        <v>1354</v>
      </c>
      <c r="B284">
        <v>232</v>
      </c>
      <c r="C284">
        <v>3289230</v>
      </c>
      <c r="D284">
        <v>52.61</v>
      </c>
      <c r="E284" s="226">
        <f t="shared" si="5"/>
        <v>69.78</v>
      </c>
      <c r="F284">
        <v>54</v>
      </c>
      <c r="G284" s="370">
        <v>885000</v>
      </c>
      <c r="H284" s="221">
        <f t="shared" si="2"/>
        <v>2404230</v>
      </c>
      <c r="I284" s="227">
        <f t="shared" si="4"/>
        <v>10460417</v>
      </c>
    </row>
    <row r="285" spans="1:9" x14ac:dyDescent="0.25">
      <c r="A285" s="228" t="s">
        <v>1361</v>
      </c>
      <c r="B285">
        <v>240</v>
      </c>
      <c r="C285" s="224">
        <v>5939880</v>
      </c>
      <c r="D285">
        <v>92.45</v>
      </c>
      <c r="E285" s="226">
        <f t="shared" si="5"/>
        <v>71.429999999999993</v>
      </c>
      <c r="F285">
        <v>90</v>
      </c>
      <c r="G285" s="370">
        <v>2430000</v>
      </c>
      <c r="H285" s="221">
        <f t="shared" si="2"/>
        <v>3509880</v>
      </c>
      <c r="I285" s="227">
        <f t="shared" si="4"/>
        <v>9809218</v>
      </c>
    </row>
    <row r="286" spans="1:9" x14ac:dyDescent="0.25">
      <c r="A286" s="228" t="s">
        <v>1366</v>
      </c>
      <c r="B286">
        <v>233</v>
      </c>
      <c r="C286" s="224">
        <v>3754800</v>
      </c>
      <c r="D286">
        <v>58.73</v>
      </c>
      <c r="E286" s="226">
        <f t="shared" si="5"/>
        <v>67.921999999999997</v>
      </c>
      <c r="F286">
        <v>65</v>
      </c>
      <c r="G286" s="370">
        <v>3920000</v>
      </c>
      <c r="H286" s="221">
        <f t="shared" si="2"/>
        <v>-165200</v>
      </c>
      <c r="I286" s="227">
        <f t="shared" si="4"/>
        <v>8693388</v>
      </c>
    </row>
    <row r="287" spans="1:9" x14ac:dyDescent="0.25">
      <c r="A287" s="228" t="s">
        <v>1378</v>
      </c>
      <c r="B287">
        <v>230</v>
      </c>
      <c r="C287" s="224">
        <v>3232100</v>
      </c>
      <c r="D287">
        <v>50.72</v>
      </c>
      <c r="E287" s="226">
        <f t="shared" si="5"/>
        <v>59.263999999999996</v>
      </c>
      <c r="F287">
        <v>70</v>
      </c>
      <c r="G287" s="370">
        <v>1801200</v>
      </c>
      <c r="H287" s="221">
        <f t="shared" si="2"/>
        <v>1430900</v>
      </c>
      <c r="I287" s="227">
        <f t="shared" si="4"/>
        <v>6573720</v>
      </c>
    </row>
    <row r="288" spans="1:9" x14ac:dyDescent="0.25">
      <c r="A288" s="228" t="s">
        <v>1383</v>
      </c>
      <c r="B288">
        <v>237</v>
      </c>
      <c r="C288" s="224">
        <v>3440800</v>
      </c>
      <c r="D288">
        <v>52.91</v>
      </c>
      <c r="E288" s="226">
        <f t="shared" si="5"/>
        <v>61.483999999999995</v>
      </c>
      <c r="F288">
        <v>57</v>
      </c>
      <c r="G288" s="370">
        <v>1755000</v>
      </c>
      <c r="H288" s="221">
        <f t="shared" si="2"/>
        <v>1685800</v>
      </c>
      <c r="I288" s="227">
        <f t="shared" si="4"/>
        <v>8865610</v>
      </c>
    </row>
    <row r="289" spans="1:9" x14ac:dyDescent="0.25">
      <c r="A289" s="228" t="s">
        <v>1390</v>
      </c>
      <c r="B289">
        <v>240</v>
      </c>
      <c r="C289" s="224">
        <v>5852250</v>
      </c>
      <c r="D289">
        <v>89.08</v>
      </c>
      <c r="E289" s="226">
        <f t="shared" si="5"/>
        <v>68.777999999999992</v>
      </c>
      <c r="F289">
        <v>81</v>
      </c>
      <c r="G289" s="370">
        <v>750000</v>
      </c>
      <c r="H289" s="221">
        <f t="shared" si="2"/>
        <v>5102250</v>
      </c>
      <c r="I289" s="227">
        <f t="shared" si="4"/>
        <v>11563630</v>
      </c>
    </row>
    <row r="290" spans="1:9" x14ac:dyDescent="0.25">
      <c r="A290" s="228" t="s">
        <v>1394</v>
      </c>
      <c r="B290">
        <v>248</v>
      </c>
      <c r="C290" s="224">
        <v>6204050</v>
      </c>
      <c r="D290">
        <v>94.96</v>
      </c>
      <c r="E290" s="226">
        <f t="shared" si="5"/>
        <v>69.28</v>
      </c>
      <c r="F290">
        <v>92</v>
      </c>
      <c r="G290" s="370">
        <v>4250000</v>
      </c>
      <c r="H290" s="221">
        <f t="shared" si="2"/>
        <v>1954050</v>
      </c>
      <c r="I290" s="227">
        <f t="shared" si="4"/>
        <v>10007800</v>
      </c>
    </row>
    <row r="291" spans="1:9" x14ac:dyDescent="0.25">
      <c r="A291" s="228" t="s">
        <v>1410</v>
      </c>
      <c r="B291">
        <v>247</v>
      </c>
      <c r="C291" s="224">
        <v>2904000</v>
      </c>
      <c r="D291">
        <v>44.66</v>
      </c>
      <c r="E291" s="226">
        <f t="shared" si="5"/>
        <v>66.46599999999998</v>
      </c>
      <c r="F291">
        <v>65</v>
      </c>
      <c r="G291" s="370">
        <v>1280000</v>
      </c>
      <c r="H291" s="221">
        <f t="shared" si="2"/>
        <v>1624000</v>
      </c>
      <c r="I291" s="227">
        <f t="shared" si="4"/>
        <v>11797000</v>
      </c>
    </row>
    <row r="292" spans="1:9" x14ac:dyDescent="0.25">
      <c r="A292" s="228" t="s">
        <v>1416</v>
      </c>
      <c r="B292">
        <v>251</v>
      </c>
      <c r="C292" s="224">
        <v>3179550</v>
      </c>
      <c r="D292">
        <v>47.75</v>
      </c>
      <c r="E292" s="226">
        <f t="shared" si="5"/>
        <v>65.872</v>
      </c>
      <c r="F292">
        <v>53</v>
      </c>
      <c r="G292" s="370">
        <v>1390000</v>
      </c>
      <c r="H292" s="221">
        <f t="shared" si="2"/>
        <v>1789550</v>
      </c>
      <c r="I292" s="227">
        <f t="shared" si="4"/>
        <v>12155650</v>
      </c>
    </row>
    <row r="293" spans="1:9" x14ac:dyDescent="0.25">
      <c r="A293" s="228" t="s">
        <v>1427</v>
      </c>
      <c r="B293">
        <v>253</v>
      </c>
      <c r="C293" s="224">
        <v>3127150</v>
      </c>
      <c r="D293">
        <v>46.66</v>
      </c>
      <c r="E293" s="226">
        <f t="shared" si="5"/>
        <v>64.622</v>
      </c>
      <c r="F293">
        <v>37</v>
      </c>
      <c r="G293" s="370">
        <v>450000</v>
      </c>
      <c r="H293" s="221">
        <f t="shared" si="2"/>
        <v>2677150</v>
      </c>
      <c r="I293" s="227">
        <f t="shared" si="4"/>
        <v>13147000</v>
      </c>
    </row>
  </sheetData>
  <autoFilter ref="A1:L270" xr:uid="{9CB8F72A-ECA8-4C6E-9AD1-33F0FC69CAC2}"/>
  <phoneticPr fontId="3" type="noConversion"/>
  <conditionalFormatting sqref="C1:C55">
    <cfRule type="top10" dxfId="8" priority="23" bottom="1" rank="1"/>
  </conditionalFormatting>
  <conditionalFormatting sqref="C1:C1048576">
    <cfRule type="colorScale" priority="11">
      <colorScale>
        <cfvo type="min"/>
        <cfvo type="max"/>
        <color rgb="FFFF7128"/>
        <color rgb="FFFFEF9C"/>
      </colorScale>
    </cfRule>
    <cfRule type="top10" dxfId="7" priority="22" rank="1"/>
  </conditionalFormatting>
  <conditionalFormatting sqref="C54">
    <cfRule type="top10" dxfId="6" priority="21" rank="1"/>
  </conditionalFormatting>
  <conditionalFormatting sqref="E29:E59">
    <cfRule type="top10" dxfId="5" priority="19" bottom="1" rank="1"/>
    <cfRule type="top10" dxfId="4" priority="20" rank="1"/>
  </conditionalFormatting>
  <conditionalFormatting sqref="D8:D59">
    <cfRule type="top10" dxfId="3" priority="17" bottom="1" rank="1"/>
    <cfRule type="top10" dxfId="2" priority="18" rank="1"/>
  </conditionalFormatting>
  <conditionalFormatting sqref="B1:B1048576">
    <cfRule type="colorScale" priority="16">
      <colorScale>
        <cfvo type="min"/>
        <cfvo type="max"/>
        <color rgb="FFFF0000"/>
        <color theme="9"/>
      </colorScale>
    </cfRule>
  </conditionalFormatting>
  <conditionalFormatting sqref="C2:C59">
    <cfRule type="colorScale" priority="15">
      <colorScale>
        <cfvo type="min"/>
        <cfvo type="max"/>
        <color rgb="FFFF7128"/>
        <color rgb="FFFFEF9C"/>
      </colorScale>
    </cfRule>
  </conditionalFormatting>
  <conditionalFormatting sqref="D1:D1048576">
    <cfRule type="colorScale" priority="14">
      <colorScale>
        <cfvo type="min"/>
        <cfvo type="max"/>
        <color rgb="FFFF7128"/>
        <color rgb="FFFFEF9C"/>
      </colorScale>
    </cfRule>
  </conditionalFormatting>
  <conditionalFormatting sqref="E1:E1048576">
    <cfRule type="colorScale" priority="13">
      <colorScale>
        <cfvo type="min"/>
        <cfvo type="max"/>
        <color rgb="FFFF7128"/>
        <color rgb="FFFFEF9C"/>
      </colorScale>
    </cfRule>
  </conditionalFormatting>
  <conditionalFormatting sqref="G63">
    <cfRule type="colorScale" priority="12">
      <colorScale>
        <cfvo type="min"/>
        <cfvo type="max"/>
        <color rgb="FFFF7128"/>
        <color rgb="FFFFEF9C"/>
      </colorScale>
    </cfRule>
  </conditionalFormatting>
  <conditionalFormatting sqref="F1:F1048576">
    <cfRule type="colorScale" priority="10">
      <colorScale>
        <cfvo type="min"/>
        <cfvo type="max"/>
        <color rgb="FFFF0000"/>
        <color theme="9"/>
      </colorScale>
    </cfRule>
  </conditionalFormatting>
  <conditionalFormatting sqref="F100:F115">
    <cfRule type="colorScale" priority="9">
      <colorScale>
        <cfvo type="min"/>
        <cfvo type="max"/>
        <color rgb="FFFF0000"/>
        <color theme="9"/>
      </colorScale>
    </cfRule>
  </conditionalFormatting>
  <conditionalFormatting sqref="E29:E115">
    <cfRule type="colorScale" priority="8">
      <colorScale>
        <cfvo type="min"/>
        <cfvo type="max"/>
        <color rgb="FFFF7128"/>
        <color rgb="FFFFEF9C"/>
      </colorScale>
    </cfRule>
  </conditionalFormatting>
  <conditionalFormatting sqref="H125">
    <cfRule type="colorScale" priority="5">
      <colorScale>
        <cfvo type="min"/>
        <cfvo type="max"/>
        <color rgb="FFFF7128"/>
        <color rgb="FFFFEF9C"/>
      </colorScale>
    </cfRule>
    <cfRule type="top10" dxfId="1" priority="7" rank="1"/>
  </conditionalFormatting>
  <conditionalFormatting sqref="I125">
    <cfRule type="colorScale" priority="6">
      <colorScale>
        <cfvo type="min"/>
        <cfvo type="max"/>
        <color rgb="FFFF7128"/>
        <color rgb="FFFFEF9C"/>
      </colorScale>
    </cfRule>
  </conditionalFormatting>
  <conditionalFormatting sqref="C155">
    <cfRule type="top10" priority="4" rank="1"/>
  </conditionalFormatting>
  <conditionalFormatting sqref="G230:G293">
    <cfRule type="top10" priority="3" rank="1"/>
  </conditionalFormatting>
  <conditionalFormatting sqref="G182:G293">
    <cfRule type="colorScale" priority="2">
      <colorScale>
        <cfvo type="num" val="0"/>
        <cfvo type="num" val="0"/>
        <color rgb="FFFF7128"/>
        <color rgb="FF92D050"/>
      </colorScale>
    </cfRule>
  </conditionalFormatting>
  <conditionalFormatting sqref="I1:I1048576">
    <cfRule type="top10" dxfId="0" priority="1" rank="1"/>
  </conditionalFormatting>
  <pageMargins left="0.7" right="0.7" top="0.75" bottom="0.75" header="0.3" footer="0.3"/>
  <pageSetup paperSize="9" orientation="portrait" horizontalDpi="360" verticalDpi="36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C65E-30F3-4D8D-9B4F-E1C479C70418}">
  <dimension ref="A1:N27"/>
  <sheetViews>
    <sheetView workbookViewId="0">
      <selection activeCell="C4" sqref="C4"/>
    </sheetView>
  </sheetViews>
  <sheetFormatPr baseColWidth="10" defaultRowHeight="15" x14ac:dyDescent="0.25"/>
  <cols>
    <col min="1" max="1" width="11" bestFit="1" customWidth="1"/>
    <col min="2" max="2" width="12" bestFit="1" customWidth="1"/>
    <col min="3" max="3" width="13.5703125" bestFit="1" customWidth="1"/>
    <col min="4" max="4" width="11.5703125" bestFit="1" customWidth="1"/>
    <col min="6" max="8" width="13.5703125" bestFit="1" customWidth="1"/>
    <col min="9" max="9" width="11" bestFit="1" customWidth="1"/>
    <col min="10" max="10" width="1.42578125" customWidth="1"/>
  </cols>
  <sheetData>
    <row r="1" spans="1:14" ht="8.25" customHeight="1" thickBot="1" x14ac:dyDescent="0.3">
      <c r="A1" s="212"/>
      <c r="B1" s="212"/>
      <c r="C1" s="212"/>
      <c r="D1" s="212"/>
      <c r="E1" s="212"/>
      <c r="F1" s="212"/>
      <c r="G1" s="212"/>
      <c r="H1" s="212"/>
      <c r="I1" s="212"/>
    </row>
    <row r="2" spans="1:14" ht="15.75" thickBot="1" x14ac:dyDescent="0.3">
      <c r="A2" s="326" t="s">
        <v>1164</v>
      </c>
      <c r="B2" s="326"/>
      <c r="C2" s="327"/>
      <c r="D2" s="328"/>
      <c r="E2" s="329"/>
    </row>
    <row r="3" spans="1:14" ht="16.5" thickTop="1" thickBot="1" x14ac:dyDescent="0.3">
      <c r="A3" s="330" t="s">
        <v>1165</v>
      </c>
      <c r="B3" s="331" t="s">
        <v>1166</v>
      </c>
      <c r="C3" s="332">
        <v>150000</v>
      </c>
      <c r="D3" s="333" t="s">
        <v>1167</v>
      </c>
      <c r="E3" s="334" t="s">
        <v>1168</v>
      </c>
      <c r="F3" s="335" t="s">
        <v>1169</v>
      </c>
    </row>
    <row r="4" spans="1:14" ht="15.75" thickTop="1" x14ac:dyDescent="0.25">
      <c r="A4" s="407">
        <v>11</v>
      </c>
      <c r="B4" s="331">
        <v>55</v>
      </c>
      <c r="C4" s="406">
        <v>1.92</v>
      </c>
      <c r="D4" s="337">
        <f>SUM($C$3*C4)/B4</f>
        <v>5236.363636363636</v>
      </c>
      <c r="E4" s="337">
        <f>SUM(D4)*5</f>
        <v>26181.81818181818</v>
      </c>
      <c r="F4" s="338">
        <f>B4*D4</f>
        <v>288000</v>
      </c>
    </row>
    <row r="5" spans="1:14" x14ac:dyDescent="0.25">
      <c r="A5" s="336" t="s">
        <v>1170</v>
      </c>
      <c r="B5" s="334">
        <v>72</v>
      </c>
      <c r="C5" s="406">
        <v>2.16</v>
      </c>
      <c r="D5" s="337">
        <f t="shared" ref="D5:D9" si="0">SUM($C$3*C5)/B5</f>
        <v>4500</v>
      </c>
      <c r="E5" s="337">
        <f t="shared" ref="E5:E9" si="1">SUM(D5)*5</f>
        <v>22500</v>
      </c>
      <c r="F5" s="338">
        <f>B5*D5</f>
        <v>324000</v>
      </c>
    </row>
    <row r="6" spans="1:14" x14ac:dyDescent="0.25">
      <c r="A6" s="336">
        <v>22</v>
      </c>
      <c r="B6" s="334">
        <v>110</v>
      </c>
      <c r="C6" s="330">
        <v>2.64</v>
      </c>
      <c r="D6" s="337">
        <f t="shared" si="0"/>
        <v>3600</v>
      </c>
      <c r="E6" s="337">
        <f t="shared" si="1"/>
        <v>18000</v>
      </c>
      <c r="F6" s="338">
        <f t="shared" ref="F6:F9" si="2">B6*D6</f>
        <v>396000</v>
      </c>
    </row>
    <row r="7" spans="1:14" x14ac:dyDescent="0.25">
      <c r="A7" s="336">
        <v>32</v>
      </c>
      <c r="B7" s="334">
        <v>160</v>
      </c>
      <c r="C7" s="330">
        <v>2.88</v>
      </c>
      <c r="D7" s="337">
        <f t="shared" si="0"/>
        <v>2700</v>
      </c>
      <c r="E7" s="337">
        <f t="shared" si="1"/>
        <v>13500</v>
      </c>
      <c r="F7" s="338">
        <f t="shared" si="2"/>
        <v>432000</v>
      </c>
    </row>
    <row r="8" spans="1:14" x14ac:dyDescent="0.25">
      <c r="A8" s="339">
        <v>40</v>
      </c>
      <c r="B8" s="334">
        <v>210</v>
      </c>
      <c r="C8" s="330">
        <v>3.12</v>
      </c>
      <c r="D8" s="337">
        <f t="shared" si="0"/>
        <v>2228.5714285714284</v>
      </c>
      <c r="E8" s="337">
        <f t="shared" si="1"/>
        <v>11142.857142857141</v>
      </c>
      <c r="F8" s="338">
        <f t="shared" si="2"/>
        <v>468000</v>
      </c>
    </row>
    <row r="9" spans="1:14" x14ac:dyDescent="0.25">
      <c r="A9" s="339">
        <v>48</v>
      </c>
      <c r="B9" s="334">
        <v>240</v>
      </c>
      <c r="C9" s="330">
        <v>3.375</v>
      </c>
      <c r="D9" s="337">
        <f t="shared" si="0"/>
        <v>2109.375</v>
      </c>
      <c r="E9" s="337">
        <f t="shared" si="1"/>
        <v>10546.875</v>
      </c>
      <c r="F9" s="338">
        <f t="shared" si="2"/>
        <v>506250</v>
      </c>
    </row>
    <row r="10" spans="1:14" ht="8.25" customHeight="1" thickBot="1" x14ac:dyDescent="0.3">
      <c r="A10" s="409"/>
      <c r="B10" s="410"/>
      <c r="C10" s="411"/>
      <c r="D10" s="412"/>
      <c r="E10" s="412"/>
      <c r="F10" s="413"/>
      <c r="G10" s="212"/>
      <c r="H10" s="212"/>
      <c r="I10" s="212"/>
    </row>
    <row r="11" spans="1:14" ht="15.75" thickBot="1" x14ac:dyDescent="0.3">
      <c r="A11" s="389">
        <f>$C$3</f>
        <v>150000</v>
      </c>
      <c r="F11" s="388">
        <f>$C$3</f>
        <v>150000</v>
      </c>
    </row>
    <row r="12" spans="1:14" x14ac:dyDescent="0.25">
      <c r="A12" s="340" t="s">
        <v>1171</v>
      </c>
      <c r="B12" s="341" t="s">
        <v>1172</v>
      </c>
      <c r="C12" s="335" t="s">
        <v>1169</v>
      </c>
      <c r="D12" s="341" t="s">
        <v>1173</v>
      </c>
      <c r="E12" s="342"/>
      <c r="F12" s="343" t="s">
        <v>1174</v>
      </c>
      <c r="G12" s="341" t="s">
        <v>1172</v>
      </c>
      <c r="H12" s="335" t="s">
        <v>1169</v>
      </c>
      <c r="I12" s="341" t="s">
        <v>1173</v>
      </c>
      <c r="K12" t="s">
        <v>143</v>
      </c>
      <c r="L12" t="s">
        <v>143</v>
      </c>
      <c r="M12" t="s">
        <v>143</v>
      </c>
    </row>
    <row r="13" spans="1:14" ht="15.75" customHeight="1" x14ac:dyDescent="0.25">
      <c r="A13" s="344" t="s">
        <v>1285</v>
      </c>
      <c r="B13" s="345">
        <f>F4/6</f>
        <v>48000</v>
      </c>
      <c r="C13" s="338">
        <f>B13*6</f>
        <v>288000</v>
      </c>
      <c r="D13" s="346">
        <f>B13/10</f>
        <v>4800</v>
      </c>
      <c r="E13" s="408"/>
      <c r="F13" s="339" t="s">
        <v>1176</v>
      </c>
      <c r="G13" s="345">
        <f>F5/4</f>
        <v>81000</v>
      </c>
      <c r="H13" s="338">
        <f>G13*4</f>
        <v>324000</v>
      </c>
      <c r="I13" s="346">
        <f>G13/20</f>
        <v>4050</v>
      </c>
      <c r="K13" t="s">
        <v>143</v>
      </c>
      <c r="L13" t="s">
        <v>143</v>
      </c>
      <c r="M13" t="s">
        <v>143</v>
      </c>
      <c r="N13" t="s">
        <v>143</v>
      </c>
    </row>
    <row r="14" spans="1:14" ht="15.75" customHeight="1" x14ac:dyDescent="0.25">
      <c r="A14" s="344" t="s">
        <v>1175</v>
      </c>
      <c r="B14" s="345">
        <f>F5/7</f>
        <v>46285.714285714283</v>
      </c>
      <c r="C14" s="338">
        <f>B14*7</f>
        <v>324000</v>
      </c>
      <c r="D14" s="346">
        <f>B14/10</f>
        <v>4628.5714285714284</v>
      </c>
      <c r="E14" s="347"/>
      <c r="F14" s="339" t="s">
        <v>1178</v>
      </c>
      <c r="G14" s="345">
        <f>F6/6</f>
        <v>66000</v>
      </c>
      <c r="H14" s="338">
        <f>G14*6</f>
        <v>396000</v>
      </c>
      <c r="I14" s="346">
        <f t="shared" ref="I14:I16" si="3">G14/20</f>
        <v>3300</v>
      </c>
      <c r="K14" t="s">
        <v>143</v>
      </c>
      <c r="L14" t="s">
        <v>143</v>
      </c>
    </row>
    <row r="15" spans="1:14" ht="15.75" customHeight="1" x14ac:dyDescent="0.25">
      <c r="A15" s="344" t="s">
        <v>1177</v>
      </c>
      <c r="B15" s="345">
        <f>F6/11</f>
        <v>36000</v>
      </c>
      <c r="C15" s="338">
        <f>B15*11</f>
        <v>396000</v>
      </c>
      <c r="D15" s="346">
        <f t="shared" ref="D15:D17" si="4">B15/10</f>
        <v>3600</v>
      </c>
      <c r="E15" s="347"/>
      <c r="F15" s="339" t="s">
        <v>1180</v>
      </c>
      <c r="G15" s="345">
        <f>F7/8</f>
        <v>54000</v>
      </c>
      <c r="H15" s="338">
        <f>G15*8</f>
        <v>432000</v>
      </c>
      <c r="I15" s="346">
        <f t="shared" si="3"/>
        <v>2700</v>
      </c>
      <c r="K15" t="s">
        <v>143</v>
      </c>
      <c r="L15" t="s">
        <v>143</v>
      </c>
    </row>
    <row r="16" spans="1:14" ht="15.75" customHeight="1" x14ac:dyDescent="0.25">
      <c r="A16" s="344" t="s">
        <v>1179</v>
      </c>
      <c r="B16" s="345">
        <f>F7/16</f>
        <v>27000</v>
      </c>
      <c r="C16" s="338">
        <f>B16*16</f>
        <v>432000</v>
      </c>
      <c r="D16" s="346">
        <f t="shared" si="4"/>
        <v>2700</v>
      </c>
      <c r="E16" s="347"/>
      <c r="F16" s="339" t="s">
        <v>1182</v>
      </c>
      <c r="G16" s="345">
        <f>F8/10</f>
        <v>46800</v>
      </c>
      <c r="H16" s="338">
        <f>G16*10</f>
        <v>468000</v>
      </c>
      <c r="I16" s="346">
        <f t="shared" si="3"/>
        <v>2340</v>
      </c>
      <c r="J16" t="s">
        <v>143</v>
      </c>
      <c r="K16" t="s">
        <v>143</v>
      </c>
      <c r="L16" t="s">
        <v>143</v>
      </c>
    </row>
    <row r="17" spans="1:12" ht="15.75" customHeight="1" x14ac:dyDescent="0.25">
      <c r="A17" s="344" t="s">
        <v>1181</v>
      </c>
      <c r="B17" s="345">
        <f>F8/20</f>
        <v>23400</v>
      </c>
      <c r="C17" s="338">
        <f>B17*20</f>
        <v>468000</v>
      </c>
      <c r="D17" s="346">
        <f t="shared" si="4"/>
        <v>2340</v>
      </c>
      <c r="E17" s="347"/>
      <c r="F17" s="465" t="s">
        <v>1399</v>
      </c>
      <c r="G17" s="462">
        <f>F9/12</f>
        <v>42187.5</v>
      </c>
      <c r="H17" s="463">
        <f>G17*12</f>
        <v>506250</v>
      </c>
      <c r="I17" s="464">
        <f>G17/20</f>
        <v>2109.375</v>
      </c>
      <c r="J17" t="s">
        <v>143</v>
      </c>
      <c r="K17" t="s">
        <v>143</v>
      </c>
      <c r="L17" t="s">
        <v>143</v>
      </c>
    </row>
    <row r="18" spans="1:12" s="49" customFormat="1" ht="15.75" customHeight="1" x14ac:dyDescent="0.25">
      <c r="A18" s="466" t="s">
        <v>1398</v>
      </c>
      <c r="B18" s="345">
        <f>F9/24</f>
        <v>21093.75</v>
      </c>
      <c r="C18" s="338">
        <f>B18*24</f>
        <v>506250</v>
      </c>
      <c r="D18" s="346">
        <f t="shared" ref="D18" si="5">B18/10</f>
        <v>2109.375</v>
      </c>
      <c r="E18" s="459"/>
      <c r="F18" s="460"/>
      <c r="G18" s="461"/>
    </row>
    <row r="19" spans="1:12" ht="8.25" customHeight="1" thickBot="1" x14ac:dyDescent="0.3">
      <c r="A19" s="414"/>
      <c r="B19" s="415"/>
      <c r="C19" s="413"/>
      <c r="D19" s="212"/>
      <c r="E19" s="414"/>
      <c r="F19" s="415"/>
      <c r="G19" s="413"/>
      <c r="H19" s="212"/>
      <c r="I19" s="212"/>
    </row>
    <row r="20" spans="1:12" ht="15.75" thickBot="1" x14ac:dyDescent="0.3">
      <c r="E20" s="388">
        <f>$C$3</f>
        <v>150000</v>
      </c>
    </row>
    <row r="21" spans="1:12" x14ac:dyDescent="0.25">
      <c r="D21" s="517" t="s">
        <v>1183</v>
      </c>
      <c r="E21" s="343" t="s">
        <v>1174</v>
      </c>
      <c r="F21" s="341" t="s">
        <v>1172</v>
      </c>
      <c r="G21" s="335" t="s">
        <v>1169</v>
      </c>
      <c r="H21" s="341" t="s">
        <v>1173</v>
      </c>
    </row>
    <row r="22" spans="1:12" x14ac:dyDescent="0.25">
      <c r="D22" s="518"/>
      <c r="E22" s="344" t="s">
        <v>1184</v>
      </c>
      <c r="F22" s="348">
        <f>G22/3</f>
        <v>96000</v>
      </c>
      <c r="G22" s="349">
        <f>C3*1.92</f>
        <v>288000</v>
      </c>
      <c r="H22" s="346">
        <f>F22/20</f>
        <v>4800</v>
      </c>
    </row>
    <row r="23" spans="1:12" x14ac:dyDescent="0.25">
      <c r="D23" s="518"/>
      <c r="E23" s="344" t="s">
        <v>1185</v>
      </c>
      <c r="F23" s="348">
        <f>G23/5</f>
        <v>67500</v>
      </c>
      <c r="G23" s="349">
        <f>C3*2.25</f>
        <v>337500</v>
      </c>
      <c r="H23" s="346">
        <f t="shared" ref="H23:H24" si="6">F23/20</f>
        <v>3375</v>
      </c>
      <c r="J23" t="s">
        <v>143</v>
      </c>
    </row>
    <row r="24" spans="1:12" x14ac:dyDescent="0.25">
      <c r="D24" s="519"/>
      <c r="E24" s="344" t="s">
        <v>1186</v>
      </c>
      <c r="F24" s="348">
        <f>G24/7</f>
        <v>58928.571428571428</v>
      </c>
      <c r="G24" s="349">
        <f>C3*2.75</f>
        <v>412500</v>
      </c>
      <c r="H24" s="346">
        <f t="shared" si="6"/>
        <v>2946.4285714285716</v>
      </c>
    </row>
    <row r="27" spans="1:12" x14ac:dyDescent="0.25">
      <c r="J27" t="s">
        <v>143</v>
      </c>
    </row>
  </sheetData>
  <mergeCells count="1">
    <mergeCell ref="D21:D24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4746A-959D-4E43-872A-9EB48C15954F}">
  <dimension ref="A1:I54"/>
  <sheetViews>
    <sheetView workbookViewId="0">
      <selection sqref="A1:XFD1048576"/>
    </sheetView>
  </sheetViews>
  <sheetFormatPr baseColWidth="10" defaultColWidth="11.28515625" defaultRowHeight="12" x14ac:dyDescent="0.2"/>
  <cols>
    <col min="1" max="16384" width="11.28515625" style="230"/>
  </cols>
  <sheetData>
    <row r="1" spans="1:9" ht="26.25" customHeight="1" thickBot="1" x14ac:dyDescent="0.25">
      <c r="A1" s="45" t="s">
        <v>484</v>
      </c>
      <c r="B1" s="520" t="s">
        <v>431</v>
      </c>
      <c r="C1" s="521"/>
      <c r="D1" s="97" t="s">
        <v>1147</v>
      </c>
      <c r="E1" s="97"/>
      <c r="F1" s="230" t="s">
        <v>143</v>
      </c>
      <c r="I1" s="522" t="s">
        <v>1148</v>
      </c>
    </row>
    <row r="2" spans="1:9" ht="15" customHeight="1" thickBot="1" x14ac:dyDescent="0.25">
      <c r="A2" s="45" t="s">
        <v>486</v>
      </c>
      <c r="B2" s="106">
        <v>3049</v>
      </c>
      <c r="C2" s="231" t="s">
        <v>143</v>
      </c>
      <c r="D2" s="45" t="s">
        <v>487</v>
      </c>
      <c r="E2" s="232">
        <v>45618</v>
      </c>
      <c r="H2" s="233"/>
      <c r="I2" s="523"/>
    </row>
    <row r="3" spans="1:9" ht="15" customHeight="1" thickBot="1" x14ac:dyDescent="0.35">
      <c r="A3" s="45" t="s">
        <v>489</v>
      </c>
      <c r="B3" s="106" t="s">
        <v>1149</v>
      </c>
      <c r="C3" s="234" t="s">
        <v>143</v>
      </c>
      <c r="D3" s="230" t="s">
        <v>1150</v>
      </c>
      <c r="E3" s="235">
        <v>45779</v>
      </c>
      <c r="G3" s="46" t="s">
        <v>1151</v>
      </c>
      <c r="H3" s="524" t="s">
        <v>492</v>
      </c>
      <c r="I3" s="525"/>
    </row>
    <row r="4" spans="1:9" ht="15" customHeight="1" thickBot="1" x14ac:dyDescent="0.25">
      <c r="A4" s="236" t="s">
        <v>493</v>
      </c>
      <c r="B4" s="237" t="s">
        <v>494</v>
      </c>
      <c r="C4" s="238" t="s">
        <v>495</v>
      </c>
      <c r="D4" s="236" t="s">
        <v>493</v>
      </c>
      <c r="E4" s="237" t="s">
        <v>494</v>
      </c>
      <c r="F4" s="238" t="s">
        <v>495</v>
      </c>
      <c r="G4" s="239" t="s">
        <v>493</v>
      </c>
      <c r="H4" s="240" t="s">
        <v>494</v>
      </c>
      <c r="I4" s="241" t="s">
        <v>495</v>
      </c>
    </row>
    <row r="5" spans="1:9" ht="15" customHeight="1" x14ac:dyDescent="0.2">
      <c r="A5" s="63" t="s">
        <v>143</v>
      </c>
      <c r="B5" s="242"/>
      <c r="C5" s="243">
        <v>1</v>
      </c>
      <c r="D5" s="63" t="s">
        <v>143</v>
      </c>
      <c r="E5" s="244"/>
      <c r="F5" s="243">
        <v>51</v>
      </c>
      <c r="G5" s="245"/>
      <c r="H5" s="242"/>
      <c r="I5" s="243">
        <v>101</v>
      </c>
    </row>
    <row r="6" spans="1:9" ht="15" customHeight="1" x14ac:dyDescent="0.2">
      <c r="A6" s="66"/>
      <c r="B6" s="246"/>
      <c r="C6" s="247">
        <v>2</v>
      </c>
      <c r="D6" s="66"/>
      <c r="E6" s="248"/>
      <c r="F6" s="247">
        <v>52</v>
      </c>
      <c r="G6" s="249"/>
      <c r="H6" s="246"/>
      <c r="I6" s="247">
        <v>102</v>
      </c>
    </row>
    <row r="7" spans="1:9" ht="15" customHeight="1" x14ac:dyDescent="0.2">
      <c r="A7" s="66"/>
      <c r="B7" s="246"/>
      <c r="C7" s="247">
        <v>3</v>
      </c>
      <c r="D7" s="66"/>
      <c r="E7" s="248"/>
      <c r="F7" s="247">
        <v>53</v>
      </c>
      <c r="G7" s="249"/>
      <c r="H7" s="246"/>
      <c r="I7" s="247">
        <v>103</v>
      </c>
    </row>
    <row r="8" spans="1:9" ht="15" customHeight="1" x14ac:dyDescent="0.2">
      <c r="A8" s="66"/>
      <c r="B8" s="246"/>
      <c r="C8" s="247">
        <v>4</v>
      </c>
      <c r="D8" s="66"/>
      <c r="E8" s="248"/>
      <c r="F8" s="247">
        <v>54</v>
      </c>
      <c r="G8" s="249"/>
      <c r="H8" s="246"/>
      <c r="I8" s="247">
        <v>104</v>
      </c>
    </row>
    <row r="9" spans="1:9" ht="15" customHeight="1" x14ac:dyDescent="0.2">
      <c r="A9" s="66" t="s">
        <v>143</v>
      </c>
      <c r="B9" s="250"/>
      <c r="C9" s="247">
        <v>5</v>
      </c>
      <c r="D9" s="66"/>
      <c r="E9" s="248"/>
      <c r="F9" s="247">
        <v>55</v>
      </c>
      <c r="G9" s="249"/>
      <c r="H9" s="246"/>
      <c r="I9" s="247">
        <v>105</v>
      </c>
    </row>
    <row r="10" spans="1:9" ht="15" customHeight="1" x14ac:dyDescent="0.2">
      <c r="A10" s="66" t="s">
        <v>143</v>
      </c>
      <c r="B10" s="246"/>
      <c r="C10" s="247">
        <v>6</v>
      </c>
      <c r="D10" s="66"/>
      <c r="E10" s="248"/>
      <c r="F10" s="247">
        <v>56</v>
      </c>
      <c r="G10" s="249"/>
      <c r="H10" s="246"/>
      <c r="I10" s="247">
        <v>106</v>
      </c>
    </row>
    <row r="11" spans="1:9" ht="15" customHeight="1" x14ac:dyDescent="0.2">
      <c r="A11" s="66" t="s">
        <v>143</v>
      </c>
      <c r="B11" s="246"/>
      <c r="C11" s="247">
        <v>7</v>
      </c>
      <c r="D11" s="66"/>
      <c r="E11" s="248"/>
      <c r="F11" s="247">
        <v>57</v>
      </c>
      <c r="G11" s="249"/>
      <c r="H11" s="246"/>
      <c r="I11" s="247">
        <v>107</v>
      </c>
    </row>
    <row r="12" spans="1:9" ht="15" customHeight="1" x14ac:dyDescent="0.2">
      <c r="A12" s="66" t="s">
        <v>143</v>
      </c>
      <c r="B12" s="246" t="s">
        <v>143</v>
      </c>
      <c r="C12" s="247">
        <v>8</v>
      </c>
      <c r="D12" s="66"/>
      <c r="E12" s="248"/>
      <c r="F12" s="247">
        <v>58</v>
      </c>
      <c r="G12" s="249"/>
      <c r="H12" s="246"/>
      <c r="I12" s="247">
        <v>108</v>
      </c>
    </row>
    <row r="13" spans="1:9" ht="15" customHeight="1" x14ac:dyDescent="0.2">
      <c r="A13" s="66" t="s">
        <v>143</v>
      </c>
      <c r="B13" s="246"/>
      <c r="C13" s="247">
        <v>9</v>
      </c>
      <c r="D13" s="66"/>
      <c r="E13" s="248"/>
      <c r="F13" s="247">
        <v>59</v>
      </c>
      <c r="G13" s="249"/>
      <c r="H13" s="246"/>
      <c r="I13" s="247">
        <v>109</v>
      </c>
    </row>
    <row r="14" spans="1:9" ht="15" customHeight="1" x14ac:dyDescent="0.2">
      <c r="A14" s="66" t="s">
        <v>143</v>
      </c>
      <c r="B14" s="246"/>
      <c r="C14" s="247">
        <v>10</v>
      </c>
      <c r="D14" s="66"/>
      <c r="E14" s="248"/>
      <c r="F14" s="247">
        <v>60</v>
      </c>
      <c r="G14" s="249"/>
      <c r="H14" s="246"/>
      <c r="I14" s="247">
        <v>110</v>
      </c>
    </row>
    <row r="15" spans="1:9" ht="15" customHeight="1" x14ac:dyDescent="0.2">
      <c r="A15" s="66" t="s">
        <v>143</v>
      </c>
      <c r="B15" s="246"/>
      <c r="C15" s="247">
        <v>11</v>
      </c>
      <c r="D15" s="66"/>
      <c r="E15" s="248"/>
      <c r="F15" s="247">
        <v>61</v>
      </c>
      <c r="G15" s="249"/>
      <c r="H15" s="246"/>
      <c r="I15" s="247">
        <v>111</v>
      </c>
    </row>
    <row r="16" spans="1:9" ht="15" customHeight="1" x14ac:dyDescent="0.2">
      <c r="A16" s="66" t="s">
        <v>143</v>
      </c>
      <c r="B16" s="246" t="s">
        <v>143</v>
      </c>
      <c r="C16" s="247">
        <v>12</v>
      </c>
      <c r="D16" s="66"/>
      <c r="E16" s="248"/>
      <c r="F16" s="247">
        <v>62</v>
      </c>
      <c r="G16" s="249"/>
      <c r="H16" s="246"/>
      <c r="I16" s="247">
        <v>112</v>
      </c>
    </row>
    <row r="17" spans="1:9" ht="15" customHeight="1" x14ac:dyDescent="0.2">
      <c r="A17" s="66" t="s">
        <v>143</v>
      </c>
      <c r="B17" s="246"/>
      <c r="C17" s="247">
        <v>13</v>
      </c>
      <c r="D17" s="66"/>
      <c r="E17" s="248"/>
      <c r="F17" s="247">
        <v>63</v>
      </c>
      <c r="G17" s="249"/>
      <c r="H17" s="246"/>
      <c r="I17" s="247">
        <v>113</v>
      </c>
    </row>
    <row r="18" spans="1:9" ht="15" customHeight="1" x14ac:dyDescent="0.2">
      <c r="A18" s="66" t="s">
        <v>143</v>
      </c>
      <c r="B18" s="246"/>
      <c r="C18" s="247">
        <v>14</v>
      </c>
      <c r="D18" s="66"/>
      <c r="E18" s="248"/>
      <c r="F18" s="247">
        <v>64</v>
      </c>
      <c r="G18" s="249"/>
      <c r="H18" s="246"/>
      <c r="I18" s="247">
        <v>114</v>
      </c>
    </row>
    <row r="19" spans="1:9" ht="15" customHeight="1" x14ac:dyDescent="0.2">
      <c r="A19" s="66" t="s">
        <v>143</v>
      </c>
      <c r="B19" s="246"/>
      <c r="C19" s="247">
        <v>15</v>
      </c>
      <c r="D19" s="66"/>
      <c r="E19" s="248"/>
      <c r="F19" s="247">
        <v>65</v>
      </c>
      <c r="G19" s="251"/>
      <c r="H19" s="252"/>
      <c r="I19" s="253">
        <v>115</v>
      </c>
    </row>
    <row r="20" spans="1:9" ht="15" customHeight="1" x14ac:dyDescent="0.2">
      <c r="A20" s="66" t="s">
        <v>143</v>
      </c>
      <c r="B20" s="246"/>
      <c r="C20" s="247">
        <v>16</v>
      </c>
      <c r="D20" s="66"/>
      <c r="E20" s="248"/>
      <c r="F20" s="247">
        <v>66</v>
      </c>
      <c r="G20" s="254"/>
      <c r="H20" s="255"/>
      <c r="I20" s="256">
        <v>116</v>
      </c>
    </row>
    <row r="21" spans="1:9" ht="15" customHeight="1" x14ac:dyDescent="0.2">
      <c r="A21" s="66" t="s">
        <v>143</v>
      </c>
      <c r="B21" s="246"/>
      <c r="C21" s="247">
        <v>17</v>
      </c>
      <c r="D21" s="66"/>
      <c r="E21" s="248"/>
      <c r="F21" s="247">
        <v>67</v>
      </c>
      <c r="G21" s="254"/>
      <c r="H21" s="255"/>
      <c r="I21" s="256">
        <v>117</v>
      </c>
    </row>
    <row r="22" spans="1:9" ht="15" customHeight="1" x14ac:dyDescent="0.2">
      <c r="A22" s="66" t="s">
        <v>143</v>
      </c>
      <c r="B22" s="246"/>
      <c r="C22" s="247">
        <v>18</v>
      </c>
      <c r="D22" s="66"/>
      <c r="E22" s="248"/>
      <c r="F22" s="247">
        <v>68</v>
      </c>
      <c r="G22" s="254"/>
      <c r="H22" s="255"/>
      <c r="I22" s="256">
        <v>118</v>
      </c>
    </row>
    <row r="23" spans="1:9" ht="15" customHeight="1" x14ac:dyDescent="0.2">
      <c r="A23" s="66" t="s">
        <v>143</v>
      </c>
      <c r="B23" s="246"/>
      <c r="C23" s="247">
        <v>19</v>
      </c>
      <c r="D23" s="66"/>
      <c r="E23" s="248"/>
      <c r="F23" s="247">
        <v>69</v>
      </c>
      <c r="G23" s="254"/>
      <c r="H23" s="255"/>
      <c r="I23" s="256">
        <v>119</v>
      </c>
    </row>
    <row r="24" spans="1:9" ht="15" customHeight="1" x14ac:dyDescent="0.2">
      <c r="A24" s="66" t="s">
        <v>143</v>
      </c>
      <c r="B24" s="246"/>
      <c r="C24" s="247">
        <v>20</v>
      </c>
      <c r="D24" s="66"/>
      <c r="E24" s="248"/>
      <c r="F24" s="247">
        <v>70</v>
      </c>
      <c r="G24" s="254"/>
      <c r="H24" s="255"/>
      <c r="I24" s="256">
        <v>120</v>
      </c>
    </row>
    <row r="25" spans="1:9" ht="15" customHeight="1" thickBot="1" x14ac:dyDescent="0.35">
      <c r="A25" s="66" t="s">
        <v>143</v>
      </c>
      <c r="B25" s="246"/>
      <c r="C25" s="247">
        <v>21</v>
      </c>
      <c r="D25" s="66"/>
      <c r="E25" s="248"/>
      <c r="F25" s="247">
        <v>71</v>
      </c>
      <c r="G25" s="46" t="s">
        <v>1151</v>
      </c>
      <c r="H25" s="526" t="s">
        <v>492</v>
      </c>
      <c r="I25" s="527"/>
    </row>
    <row r="26" spans="1:9" ht="15" customHeight="1" x14ac:dyDescent="0.2">
      <c r="A26" s="66" t="s">
        <v>143</v>
      </c>
      <c r="B26" s="246"/>
      <c r="C26" s="247">
        <v>22</v>
      </c>
      <c r="D26" s="66"/>
      <c r="E26" s="248"/>
      <c r="F26" s="247">
        <v>72</v>
      </c>
    </row>
    <row r="27" spans="1:9" ht="15" customHeight="1" x14ac:dyDescent="0.2">
      <c r="A27" s="66" t="s">
        <v>143</v>
      </c>
      <c r="B27" s="246"/>
      <c r="C27" s="247">
        <v>23</v>
      </c>
      <c r="D27" s="66"/>
      <c r="E27" s="248"/>
      <c r="F27" s="247">
        <v>73</v>
      </c>
    </row>
    <row r="28" spans="1:9" ht="15" customHeight="1" x14ac:dyDescent="0.2">
      <c r="A28" s="66" t="s">
        <v>143</v>
      </c>
      <c r="B28" s="246"/>
      <c r="C28" s="247">
        <v>24</v>
      </c>
      <c r="D28" s="66"/>
      <c r="E28" s="248"/>
      <c r="F28" s="247">
        <v>74</v>
      </c>
    </row>
    <row r="29" spans="1:9" ht="15" customHeight="1" x14ac:dyDescent="0.2">
      <c r="A29" s="66" t="s">
        <v>143</v>
      </c>
      <c r="B29" s="246"/>
      <c r="C29" s="247">
        <v>25</v>
      </c>
      <c r="D29" s="66"/>
      <c r="E29" s="248"/>
      <c r="F29" s="247">
        <v>75</v>
      </c>
    </row>
    <row r="30" spans="1:9" ht="15" customHeight="1" x14ac:dyDescent="0.2">
      <c r="A30" s="66" t="s">
        <v>143</v>
      </c>
      <c r="B30" s="246"/>
      <c r="C30" s="247">
        <v>26</v>
      </c>
      <c r="D30" s="66"/>
      <c r="E30" s="248"/>
      <c r="F30" s="247">
        <v>76</v>
      </c>
    </row>
    <row r="31" spans="1:9" ht="15" customHeight="1" x14ac:dyDescent="0.2">
      <c r="A31" s="66" t="s">
        <v>143</v>
      </c>
      <c r="B31" s="246"/>
      <c r="C31" s="247">
        <v>27</v>
      </c>
      <c r="D31" s="66"/>
      <c r="E31" s="248"/>
      <c r="F31" s="247">
        <v>77</v>
      </c>
    </row>
    <row r="32" spans="1:9" ht="15" customHeight="1" x14ac:dyDescent="0.2">
      <c r="A32" s="66" t="s">
        <v>143</v>
      </c>
      <c r="B32" s="246"/>
      <c r="C32" s="247">
        <v>28</v>
      </c>
      <c r="D32" s="66"/>
      <c r="E32" s="248"/>
      <c r="F32" s="247">
        <v>78</v>
      </c>
    </row>
    <row r="33" spans="1:6" ht="15" customHeight="1" x14ac:dyDescent="0.2">
      <c r="A33" s="66" t="s">
        <v>143</v>
      </c>
      <c r="B33" s="246"/>
      <c r="C33" s="247">
        <v>29</v>
      </c>
      <c r="D33" s="66"/>
      <c r="E33" s="248"/>
      <c r="F33" s="247">
        <v>79</v>
      </c>
    </row>
    <row r="34" spans="1:6" ht="15" customHeight="1" x14ac:dyDescent="0.2">
      <c r="A34" s="66" t="s">
        <v>143</v>
      </c>
      <c r="B34" s="246" t="s">
        <v>143</v>
      </c>
      <c r="C34" s="247">
        <v>30</v>
      </c>
      <c r="D34" s="66"/>
      <c r="E34" s="248"/>
      <c r="F34" s="247">
        <v>80</v>
      </c>
    </row>
    <row r="35" spans="1:6" ht="15" customHeight="1" x14ac:dyDescent="0.2">
      <c r="A35" s="66" t="s">
        <v>143</v>
      </c>
      <c r="B35" s="246"/>
      <c r="C35" s="247">
        <v>31</v>
      </c>
      <c r="D35" s="66"/>
      <c r="E35" s="248"/>
      <c r="F35" s="247">
        <v>81</v>
      </c>
    </row>
    <row r="36" spans="1:6" ht="15" customHeight="1" x14ac:dyDescent="0.2">
      <c r="A36" s="66" t="s">
        <v>143</v>
      </c>
      <c r="B36" s="246"/>
      <c r="C36" s="247">
        <v>32</v>
      </c>
      <c r="D36" s="66"/>
      <c r="E36" s="248"/>
      <c r="F36" s="247">
        <v>82</v>
      </c>
    </row>
    <row r="37" spans="1:6" ht="15" customHeight="1" x14ac:dyDescent="0.2">
      <c r="A37" s="66" t="s">
        <v>143</v>
      </c>
      <c r="B37" s="246"/>
      <c r="C37" s="247">
        <v>33</v>
      </c>
      <c r="D37" s="66"/>
      <c r="E37" s="248"/>
      <c r="F37" s="247">
        <v>83</v>
      </c>
    </row>
    <row r="38" spans="1:6" ht="15" customHeight="1" x14ac:dyDescent="0.2">
      <c r="A38" s="66" t="s">
        <v>143</v>
      </c>
      <c r="B38" s="246"/>
      <c r="C38" s="247">
        <v>34</v>
      </c>
      <c r="D38" s="66"/>
      <c r="E38" s="248"/>
      <c r="F38" s="247">
        <v>84</v>
      </c>
    </row>
    <row r="39" spans="1:6" ht="15" customHeight="1" x14ac:dyDescent="0.2">
      <c r="A39" s="66" t="s">
        <v>143</v>
      </c>
      <c r="B39" s="246"/>
      <c r="C39" s="247">
        <v>35</v>
      </c>
      <c r="D39" s="66"/>
      <c r="E39" s="248"/>
      <c r="F39" s="247">
        <v>85</v>
      </c>
    </row>
    <row r="40" spans="1:6" ht="15" customHeight="1" x14ac:dyDescent="0.2">
      <c r="A40" s="66" t="s">
        <v>143</v>
      </c>
      <c r="B40" s="246"/>
      <c r="C40" s="247">
        <v>36</v>
      </c>
      <c r="D40" s="66"/>
      <c r="E40" s="248"/>
      <c r="F40" s="247">
        <v>86</v>
      </c>
    </row>
    <row r="41" spans="1:6" ht="15" customHeight="1" x14ac:dyDescent="0.2">
      <c r="A41" s="66"/>
      <c r="B41" s="246"/>
      <c r="C41" s="247">
        <v>37</v>
      </c>
      <c r="D41" s="66"/>
      <c r="E41" s="248"/>
      <c r="F41" s="247">
        <v>87</v>
      </c>
    </row>
    <row r="42" spans="1:6" ht="15" customHeight="1" x14ac:dyDescent="0.2">
      <c r="A42" s="66"/>
      <c r="B42" s="246"/>
      <c r="C42" s="247">
        <v>38</v>
      </c>
      <c r="D42" s="66"/>
      <c r="E42" s="248"/>
      <c r="F42" s="247">
        <v>88</v>
      </c>
    </row>
    <row r="43" spans="1:6" ht="15" customHeight="1" x14ac:dyDescent="0.2">
      <c r="A43" s="66" t="s">
        <v>143</v>
      </c>
      <c r="B43" s="246"/>
      <c r="C43" s="247">
        <v>39</v>
      </c>
      <c r="D43" s="66"/>
      <c r="E43" s="248"/>
      <c r="F43" s="247">
        <v>89</v>
      </c>
    </row>
    <row r="44" spans="1:6" ht="15" customHeight="1" x14ac:dyDescent="0.2">
      <c r="A44" s="66" t="s">
        <v>143</v>
      </c>
      <c r="B44" s="246"/>
      <c r="C44" s="247">
        <v>40</v>
      </c>
      <c r="D44" s="66"/>
      <c r="E44" s="248"/>
      <c r="F44" s="247">
        <v>90</v>
      </c>
    </row>
    <row r="45" spans="1:6" ht="15" customHeight="1" x14ac:dyDescent="0.2">
      <c r="A45" s="66" t="s">
        <v>143</v>
      </c>
      <c r="B45" s="246"/>
      <c r="C45" s="247">
        <v>41</v>
      </c>
      <c r="D45" s="66"/>
      <c r="E45" s="248"/>
      <c r="F45" s="247">
        <v>91</v>
      </c>
    </row>
    <row r="46" spans="1:6" ht="15" customHeight="1" x14ac:dyDescent="0.2">
      <c r="A46" s="66" t="s">
        <v>143</v>
      </c>
      <c r="B46" s="246"/>
      <c r="C46" s="247">
        <v>42</v>
      </c>
      <c r="D46" s="66"/>
      <c r="E46" s="248"/>
      <c r="F46" s="247">
        <v>92</v>
      </c>
    </row>
    <row r="47" spans="1:6" ht="15" customHeight="1" x14ac:dyDescent="0.2">
      <c r="A47" s="66" t="s">
        <v>143</v>
      </c>
      <c r="B47" s="246"/>
      <c r="C47" s="247">
        <v>43</v>
      </c>
      <c r="D47" s="66"/>
      <c r="E47" s="248"/>
      <c r="F47" s="247">
        <v>93</v>
      </c>
    </row>
    <row r="48" spans="1:6" ht="15" customHeight="1" x14ac:dyDescent="0.2">
      <c r="A48" s="66" t="s">
        <v>143</v>
      </c>
      <c r="B48" s="246"/>
      <c r="C48" s="247">
        <v>44</v>
      </c>
      <c r="D48" s="66"/>
      <c r="E48" s="248"/>
      <c r="F48" s="247">
        <v>94</v>
      </c>
    </row>
    <row r="49" spans="1:6" ht="15" customHeight="1" x14ac:dyDescent="0.2">
      <c r="A49" s="66" t="s">
        <v>143</v>
      </c>
      <c r="B49" s="246"/>
      <c r="C49" s="247">
        <v>45</v>
      </c>
      <c r="D49" s="66"/>
      <c r="E49" s="248"/>
      <c r="F49" s="247">
        <v>95</v>
      </c>
    </row>
    <row r="50" spans="1:6" ht="15" customHeight="1" x14ac:dyDescent="0.2">
      <c r="A50" s="66" t="s">
        <v>143</v>
      </c>
      <c r="B50" s="246"/>
      <c r="C50" s="247">
        <v>46</v>
      </c>
      <c r="D50" s="66"/>
      <c r="E50" s="248"/>
      <c r="F50" s="247">
        <v>96</v>
      </c>
    </row>
    <row r="51" spans="1:6" ht="15" customHeight="1" x14ac:dyDescent="0.2">
      <c r="A51" s="66" t="s">
        <v>143</v>
      </c>
      <c r="B51" s="246"/>
      <c r="C51" s="247">
        <v>47</v>
      </c>
      <c r="D51" s="66"/>
      <c r="E51" s="248"/>
      <c r="F51" s="247">
        <v>97</v>
      </c>
    </row>
    <row r="52" spans="1:6" ht="15" customHeight="1" x14ac:dyDescent="0.2">
      <c r="A52" s="66" t="s">
        <v>143</v>
      </c>
      <c r="B52" s="246"/>
      <c r="C52" s="247">
        <v>48</v>
      </c>
      <c r="D52" s="66"/>
      <c r="E52" s="248"/>
      <c r="F52" s="247">
        <v>98</v>
      </c>
    </row>
    <row r="53" spans="1:6" ht="15" customHeight="1" x14ac:dyDescent="0.2">
      <c r="A53" s="66" t="s">
        <v>143</v>
      </c>
      <c r="B53" s="246"/>
      <c r="C53" s="247">
        <v>49</v>
      </c>
      <c r="D53" s="66"/>
      <c r="E53" s="248"/>
      <c r="F53" s="247">
        <v>99</v>
      </c>
    </row>
    <row r="54" spans="1:6" ht="15" customHeight="1" thickBot="1" x14ac:dyDescent="0.25">
      <c r="A54" s="90" t="s">
        <v>143</v>
      </c>
      <c r="B54" s="257"/>
      <c r="C54" s="258">
        <v>50</v>
      </c>
      <c r="D54" s="90"/>
      <c r="E54" s="259"/>
      <c r="F54" s="258">
        <v>100</v>
      </c>
    </row>
  </sheetData>
  <mergeCells count="4">
    <mergeCell ref="B1:C1"/>
    <mergeCell ref="I1:I2"/>
    <mergeCell ref="H3:I3"/>
    <mergeCell ref="H25:I25"/>
  </mergeCells>
  <pageMargins left="0.11811023622047245" right="0.11811023622047245" top="0.15748031496062992" bottom="0.15748031496062992" header="0.31496062992125984" footer="0.31496062992125984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35A5-67FE-4C4C-8641-10A1A7D1CCAE}">
  <dimension ref="A1"/>
  <sheetViews>
    <sheetView workbookViewId="0">
      <selection activeCell="A14" sqref="A14"/>
    </sheetView>
  </sheetViews>
  <sheetFormatPr baseColWidth="10" defaultRowHeight="15" x14ac:dyDescent="0.25"/>
  <cols>
    <col min="1" max="1" width="46.28515625" customWidth="1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0EC9-A116-4B4B-B0FB-0727DF793113}">
  <dimension ref="A1:J41"/>
  <sheetViews>
    <sheetView workbookViewId="0">
      <selection activeCell="H9" sqref="H9"/>
    </sheetView>
  </sheetViews>
  <sheetFormatPr baseColWidth="10" defaultColWidth="11.42578125" defaultRowHeight="15" x14ac:dyDescent="0.25"/>
  <cols>
    <col min="1" max="16384" width="11.42578125" style="100"/>
  </cols>
  <sheetData>
    <row r="1" spans="1:10" ht="19.5" customHeight="1" thickBot="1" x14ac:dyDescent="0.3">
      <c r="A1" s="45" t="s">
        <v>484</v>
      </c>
      <c r="B1" s="528" t="s">
        <v>1155</v>
      </c>
      <c r="C1" s="529"/>
      <c r="D1" s="272" t="s">
        <v>1156</v>
      </c>
      <c r="E1" s="45"/>
      <c r="G1" s="100" t="s">
        <v>143</v>
      </c>
      <c r="I1" s="273" t="s">
        <v>1157</v>
      </c>
    </row>
    <row r="2" spans="1:10" ht="19.5" customHeight="1" thickBot="1" x14ac:dyDescent="0.35">
      <c r="A2" s="45" t="s">
        <v>486</v>
      </c>
      <c r="B2" s="102">
        <v>2078</v>
      </c>
      <c r="C2" s="261" t="s">
        <v>143</v>
      </c>
      <c r="D2" s="45" t="s">
        <v>487</v>
      </c>
      <c r="E2" s="274">
        <v>45045</v>
      </c>
      <c r="I2" s="275" t="s">
        <v>1158</v>
      </c>
    </row>
    <row r="3" spans="1:10" ht="19.5" customHeight="1" thickBot="1" x14ac:dyDescent="0.35">
      <c r="A3" s="45" t="s">
        <v>489</v>
      </c>
      <c r="B3" s="106">
        <v>1823</v>
      </c>
      <c r="C3" s="55" t="s">
        <v>143</v>
      </c>
      <c r="D3" s="107" t="s">
        <v>3</v>
      </c>
      <c r="E3" s="274">
        <v>45149</v>
      </c>
      <c r="G3" s="46" t="s">
        <v>1151</v>
      </c>
      <c r="H3" s="276" t="s">
        <v>492</v>
      </c>
      <c r="I3" s="277"/>
    </row>
    <row r="4" spans="1:10" ht="19.5" customHeight="1" thickBot="1" x14ac:dyDescent="0.35">
      <c r="A4" s="109" t="s">
        <v>493</v>
      </c>
      <c r="B4" s="110" t="s">
        <v>494</v>
      </c>
      <c r="C4" s="111" t="s">
        <v>495</v>
      </c>
      <c r="D4" s="109" t="s">
        <v>493</v>
      </c>
      <c r="E4" s="110" t="s">
        <v>494</v>
      </c>
      <c r="F4" s="111" t="s">
        <v>495</v>
      </c>
      <c r="G4" s="109" t="s">
        <v>493</v>
      </c>
      <c r="H4" s="110" t="s">
        <v>494</v>
      </c>
      <c r="I4" s="111" t="s">
        <v>495</v>
      </c>
    </row>
    <row r="5" spans="1:10" ht="19.5" customHeight="1" x14ac:dyDescent="0.25">
      <c r="A5" s="60" t="s">
        <v>143</v>
      </c>
      <c r="B5" s="61"/>
      <c r="C5" s="62">
        <v>1</v>
      </c>
      <c r="D5" s="63" t="s">
        <v>143</v>
      </c>
      <c r="E5" s="64"/>
      <c r="F5" s="65">
        <v>37</v>
      </c>
      <c r="G5" s="63" t="s">
        <v>143</v>
      </c>
      <c r="H5" s="64"/>
      <c r="I5" s="65">
        <v>73</v>
      </c>
    </row>
    <row r="6" spans="1:10" ht="19.5" customHeight="1" x14ac:dyDescent="0.25">
      <c r="A6" s="66" t="s">
        <v>143</v>
      </c>
      <c r="B6" s="67"/>
      <c r="C6" s="68">
        <v>2</v>
      </c>
      <c r="D6" s="66" t="s">
        <v>143</v>
      </c>
      <c r="E6" s="69"/>
      <c r="F6" s="68">
        <v>38</v>
      </c>
      <c r="G6" s="66" t="s">
        <v>143</v>
      </c>
      <c r="H6" s="69"/>
      <c r="I6" s="68">
        <v>74</v>
      </c>
    </row>
    <row r="7" spans="1:10" ht="19.5" customHeight="1" thickBot="1" x14ac:dyDescent="0.3">
      <c r="A7" s="66" t="s">
        <v>143</v>
      </c>
      <c r="B7" s="71"/>
      <c r="C7" s="68">
        <v>3</v>
      </c>
      <c r="D7" s="66" t="s">
        <v>143</v>
      </c>
      <c r="E7" s="69"/>
      <c r="F7" s="68">
        <v>39</v>
      </c>
      <c r="G7" s="90" t="s">
        <v>143</v>
      </c>
      <c r="H7" s="278"/>
      <c r="I7" s="93">
        <v>75</v>
      </c>
    </row>
    <row r="8" spans="1:10" ht="19.5" customHeight="1" x14ac:dyDescent="0.25">
      <c r="A8" s="66" t="s">
        <v>143</v>
      </c>
      <c r="B8" s="71"/>
      <c r="C8" s="68">
        <v>4</v>
      </c>
      <c r="D8" s="66" t="s">
        <v>143</v>
      </c>
      <c r="E8" s="69"/>
      <c r="F8" s="68">
        <v>40</v>
      </c>
    </row>
    <row r="9" spans="1:10" ht="19.5" customHeight="1" x14ac:dyDescent="0.25">
      <c r="A9" s="66" t="s">
        <v>143</v>
      </c>
      <c r="B9" s="71" t="s">
        <v>143</v>
      </c>
      <c r="C9" s="68">
        <v>5</v>
      </c>
      <c r="D9" s="66" t="s">
        <v>143</v>
      </c>
      <c r="E9" s="69"/>
      <c r="F9" s="68">
        <v>41</v>
      </c>
    </row>
    <row r="10" spans="1:10" ht="19.5" customHeight="1" x14ac:dyDescent="0.25">
      <c r="A10" s="66" t="s">
        <v>143</v>
      </c>
      <c r="B10" s="71"/>
      <c r="C10" s="68">
        <v>6</v>
      </c>
      <c r="D10" s="66" t="s">
        <v>143</v>
      </c>
      <c r="E10" s="69"/>
      <c r="F10" s="68">
        <v>42</v>
      </c>
    </row>
    <row r="11" spans="1:10" ht="19.5" customHeight="1" x14ac:dyDescent="0.25">
      <c r="A11" s="66" t="s">
        <v>143</v>
      </c>
      <c r="B11" s="71"/>
      <c r="C11" s="68">
        <v>7</v>
      </c>
      <c r="D11" s="66" t="s">
        <v>143</v>
      </c>
      <c r="E11" s="69"/>
      <c r="F11" s="68">
        <v>43</v>
      </c>
      <c r="J11" s="279"/>
    </row>
    <row r="12" spans="1:10" ht="19.5" customHeight="1" x14ac:dyDescent="0.25">
      <c r="A12" s="66" t="s">
        <v>143</v>
      </c>
      <c r="B12" s="71"/>
      <c r="C12" s="68">
        <v>8</v>
      </c>
      <c r="D12" s="66"/>
      <c r="E12" s="71"/>
      <c r="F12" s="68">
        <v>44</v>
      </c>
    </row>
    <row r="13" spans="1:10" ht="19.5" customHeight="1" x14ac:dyDescent="0.25">
      <c r="A13" s="66" t="s">
        <v>143</v>
      </c>
      <c r="B13" s="71" t="s">
        <v>143</v>
      </c>
      <c r="C13" s="68">
        <v>9</v>
      </c>
      <c r="D13" s="66" t="s">
        <v>143</v>
      </c>
      <c r="E13" s="71"/>
      <c r="F13" s="68">
        <v>45</v>
      </c>
    </row>
    <row r="14" spans="1:10" ht="19.5" customHeight="1" x14ac:dyDescent="0.25">
      <c r="A14" s="66" t="s">
        <v>143</v>
      </c>
      <c r="B14" s="71"/>
      <c r="C14" s="68">
        <v>10</v>
      </c>
      <c r="D14" s="66"/>
      <c r="E14" s="71"/>
      <c r="F14" s="68">
        <v>46</v>
      </c>
    </row>
    <row r="15" spans="1:10" ht="19.5" customHeight="1" x14ac:dyDescent="0.25">
      <c r="A15" s="66" t="s">
        <v>143</v>
      </c>
      <c r="B15" s="71"/>
      <c r="C15" s="68">
        <v>11</v>
      </c>
      <c r="D15" s="66" t="s">
        <v>143</v>
      </c>
      <c r="E15" s="71"/>
      <c r="F15" s="68">
        <v>47</v>
      </c>
    </row>
    <row r="16" spans="1:10" ht="19.5" customHeight="1" x14ac:dyDescent="0.25">
      <c r="A16" s="66" t="s">
        <v>143</v>
      </c>
      <c r="B16" s="71"/>
      <c r="C16" s="68">
        <v>12</v>
      </c>
      <c r="D16" s="66" t="s">
        <v>143</v>
      </c>
      <c r="E16" s="71"/>
      <c r="F16" s="68">
        <v>48</v>
      </c>
    </row>
    <row r="17" spans="1:6" ht="19.5" customHeight="1" x14ac:dyDescent="0.25">
      <c r="A17" s="66" t="s">
        <v>143</v>
      </c>
      <c r="B17" s="71"/>
      <c r="C17" s="68">
        <v>13</v>
      </c>
      <c r="D17" s="66" t="s">
        <v>143</v>
      </c>
      <c r="E17" s="71"/>
      <c r="F17" s="68">
        <v>49</v>
      </c>
    </row>
    <row r="18" spans="1:6" ht="19.5" customHeight="1" x14ac:dyDescent="0.25">
      <c r="A18" s="66" t="s">
        <v>143</v>
      </c>
      <c r="B18" s="71"/>
      <c r="C18" s="68">
        <v>14</v>
      </c>
      <c r="D18" s="66" t="s">
        <v>143</v>
      </c>
      <c r="E18" s="71"/>
      <c r="F18" s="68">
        <v>50</v>
      </c>
    </row>
    <row r="19" spans="1:6" ht="19.5" customHeight="1" x14ac:dyDescent="0.25">
      <c r="A19" s="66" t="s">
        <v>143</v>
      </c>
      <c r="B19" s="71"/>
      <c r="C19" s="68">
        <v>15</v>
      </c>
      <c r="D19" s="66" t="s">
        <v>143</v>
      </c>
      <c r="E19" s="69"/>
      <c r="F19" s="68">
        <v>51</v>
      </c>
    </row>
    <row r="20" spans="1:6" ht="19.5" customHeight="1" x14ac:dyDescent="0.25">
      <c r="A20" s="66" t="s">
        <v>143</v>
      </c>
      <c r="B20" s="71"/>
      <c r="C20" s="68">
        <v>16</v>
      </c>
      <c r="D20" s="66" t="s">
        <v>143</v>
      </c>
      <c r="E20" s="69"/>
      <c r="F20" s="68">
        <v>52</v>
      </c>
    </row>
    <row r="21" spans="1:6" ht="19.5" customHeight="1" x14ac:dyDescent="0.25">
      <c r="A21" s="66" t="s">
        <v>143</v>
      </c>
      <c r="B21" s="71"/>
      <c r="C21" s="68">
        <v>17</v>
      </c>
      <c r="D21" s="66" t="s">
        <v>143</v>
      </c>
      <c r="E21" s="69"/>
      <c r="F21" s="68">
        <v>53</v>
      </c>
    </row>
    <row r="22" spans="1:6" ht="19.5" customHeight="1" x14ac:dyDescent="0.25">
      <c r="A22" s="66" t="s">
        <v>143</v>
      </c>
      <c r="B22" s="71"/>
      <c r="C22" s="68">
        <v>18</v>
      </c>
      <c r="D22" s="66" t="s">
        <v>143</v>
      </c>
      <c r="E22" s="69"/>
      <c r="F22" s="68">
        <v>54</v>
      </c>
    </row>
    <row r="23" spans="1:6" ht="19.5" customHeight="1" x14ac:dyDescent="0.25">
      <c r="A23" s="66" t="s">
        <v>143</v>
      </c>
      <c r="B23" s="71"/>
      <c r="C23" s="68">
        <v>19</v>
      </c>
      <c r="D23" s="66" t="s">
        <v>143</v>
      </c>
      <c r="E23" s="69"/>
      <c r="F23" s="68">
        <v>55</v>
      </c>
    </row>
    <row r="24" spans="1:6" ht="19.5" customHeight="1" x14ac:dyDescent="0.25">
      <c r="A24" s="66" t="s">
        <v>143</v>
      </c>
      <c r="B24" s="71"/>
      <c r="C24" s="68">
        <v>20</v>
      </c>
      <c r="D24" s="66" t="s">
        <v>143</v>
      </c>
      <c r="E24" s="69"/>
      <c r="F24" s="68">
        <v>56</v>
      </c>
    </row>
    <row r="25" spans="1:6" ht="19.5" customHeight="1" x14ac:dyDescent="0.25">
      <c r="A25" s="66" t="s">
        <v>143</v>
      </c>
      <c r="B25" s="71"/>
      <c r="C25" s="68">
        <v>21</v>
      </c>
      <c r="D25" s="66" t="s">
        <v>143</v>
      </c>
      <c r="E25" s="69"/>
      <c r="F25" s="68">
        <v>57</v>
      </c>
    </row>
    <row r="26" spans="1:6" ht="19.5" customHeight="1" x14ac:dyDescent="0.25">
      <c r="A26" s="66" t="s">
        <v>143</v>
      </c>
      <c r="B26" s="71"/>
      <c r="C26" s="68">
        <v>22</v>
      </c>
      <c r="D26" s="66"/>
      <c r="E26" s="71"/>
      <c r="F26" s="68">
        <v>58</v>
      </c>
    </row>
    <row r="27" spans="1:6" ht="19.5" customHeight="1" x14ac:dyDescent="0.25">
      <c r="A27" s="66" t="s">
        <v>143</v>
      </c>
      <c r="B27" s="71"/>
      <c r="C27" s="68">
        <v>23</v>
      </c>
      <c r="D27" s="66" t="s">
        <v>143</v>
      </c>
      <c r="E27" s="71"/>
      <c r="F27" s="68">
        <v>59</v>
      </c>
    </row>
    <row r="28" spans="1:6" ht="19.5" customHeight="1" x14ac:dyDescent="0.25">
      <c r="A28" s="66" t="s">
        <v>143</v>
      </c>
      <c r="B28" s="71"/>
      <c r="C28" s="68">
        <v>24</v>
      </c>
      <c r="D28" s="66"/>
      <c r="E28" s="71"/>
      <c r="F28" s="68">
        <v>60</v>
      </c>
    </row>
    <row r="29" spans="1:6" ht="19.5" customHeight="1" x14ac:dyDescent="0.25">
      <c r="A29" s="66" t="s">
        <v>143</v>
      </c>
      <c r="B29" s="71"/>
      <c r="C29" s="68">
        <v>25</v>
      </c>
      <c r="D29" s="66" t="s">
        <v>143</v>
      </c>
      <c r="E29" s="71"/>
      <c r="F29" s="68">
        <v>61</v>
      </c>
    </row>
    <row r="30" spans="1:6" ht="19.5" customHeight="1" x14ac:dyDescent="0.25">
      <c r="A30" s="66" t="s">
        <v>143</v>
      </c>
      <c r="B30" s="71"/>
      <c r="C30" s="68">
        <v>26</v>
      </c>
      <c r="D30" s="66" t="s">
        <v>143</v>
      </c>
      <c r="E30" s="71"/>
      <c r="F30" s="68">
        <v>62</v>
      </c>
    </row>
    <row r="31" spans="1:6" ht="19.5" customHeight="1" x14ac:dyDescent="0.25">
      <c r="A31" s="66" t="s">
        <v>143</v>
      </c>
      <c r="B31" s="71" t="s">
        <v>143</v>
      </c>
      <c r="C31" s="68">
        <v>27</v>
      </c>
      <c r="D31" s="66" t="s">
        <v>143</v>
      </c>
      <c r="E31" s="71"/>
      <c r="F31" s="68">
        <v>63</v>
      </c>
    </row>
    <row r="32" spans="1:6" ht="19.5" customHeight="1" x14ac:dyDescent="0.25">
      <c r="A32" s="66" t="s">
        <v>143</v>
      </c>
      <c r="B32" s="71"/>
      <c r="C32" s="68">
        <v>28</v>
      </c>
      <c r="D32" s="66" t="s">
        <v>143</v>
      </c>
      <c r="E32" s="71"/>
      <c r="F32" s="68">
        <v>64</v>
      </c>
    </row>
    <row r="33" spans="1:9" ht="19.5" customHeight="1" x14ac:dyDescent="0.25">
      <c r="A33" s="66" t="s">
        <v>143</v>
      </c>
      <c r="B33" s="71"/>
      <c r="C33" s="68">
        <v>29</v>
      </c>
      <c r="D33" s="66"/>
      <c r="E33" s="71"/>
      <c r="F33" s="68">
        <v>65</v>
      </c>
    </row>
    <row r="34" spans="1:9" ht="19.5" customHeight="1" x14ac:dyDescent="0.25">
      <c r="A34" s="66" t="s">
        <v>143</v>
      </c>
      <c r="B34" s="71"/>
      <c r="C34" s="68">
        <v>30</v>
      </c>
      <c r="D34" s="66" t="s">
        <v>143</v>
      </c>
      <c r="E34" s="71"/>
      <c r="F34" s="68">
        <v>66</v>
      </c>
    </row>
    <row r="35" spans="1:9" ht="19.5" customHeight="1" x14ac:dyDescent="0.25">
      <c r="A35" s="66" t="s">
        <v>143</v>
      </c>
      <c r="B35" s="71"/>
      <c r="C35" s="68">
        <v>31</v>
      </c>
      <c r="D35" s="66"/>
      <c r="E35" s="71"/>
      <c r="F35" s="68">
        <v>67</v>
      </c>
    </row>
    <row r="36" spans="1:9" ht="19.5" customHeight="1" x14ac:dyDescent="0.25">
      <c r="A36" s="66" t="s">
        <v>143</v>
      </c>
      <c r="B36" s="71"/>
      <c r="C36" s="68">
        <v>32</v>
      </c>
      <c r="D36" s="66" t="s">
        <v>143</v>
      </c>
      <c r="E36" s="71"/>
      <c r="F36" s="68">
        <v>68</v>
      </c>
    </row>
    <row r="37" spans="1:9" ht="19.5" customHeight="1" x14ac:dyDescent="0.25">
      <c r="A37" s="66" t="s">
        <v>143</v>
      </c>
      <c r="B37" s="71"/>
      <c r="C37" s="68">
        <v>33</v>
      </c>
      <c r="D37" s="66" t="s">
        <v>143</v>
      </c>
      <c r="E37" s="71"/>
      <c r="F37" s="68">
        <v>69</v>
      </c>
    </row>
    <row r="38" spans="1:9" ht="19.5" customHeight="1" x14ac:dyDescent="0.25">
      <c r="A38" s="66" t="s">
        <v>143</v>
      </c>
      <c r="B38" s="71"/>
      <c r="C38" s="68">
        <v>34</v>
      </c>
      <c r="D38" s="66" t="s">
        <v>143</v>
      </c>
      <c r="E38" s="71"/>
      <c r="F38" s="68">
        <v>70</v>
      </c>
    </row>
    <row r="39" spans="1:9" ht="19.5" customHeight="1" x14ac:dyDescent="0.3">
      <c r="A39" s="66" t="s">
        <v>143</v>
      </c>
      <c r="B39" s="71"/>
      <c r="C39" s="68">
        <v>35</v>
      </c>
      <c r="D39" s="66" t="s">
        <v>143</v>
      </c>
      <c r="E39" s="71"/>
      <c r="F39" s="68">
        <v>71</v>
      </c>
      <c r="G39" s="46" t="s">
        <v>1151</v>
      </c>
      <c r="H39" s="276" t="s">
        <v>492</v>
      </c>
      <c r="I39" s="280"/>
    </row>
    <row r="40" spans="1:9" ht="19.5" customHeight="1" thickBot="1" x14ac:dyDescent="0.3">
      <c r="A40" s="90" t="s">
        <v>143</v>
      </c>
      <c r="B40" s="91"/>
      <c r="C40" s="93">
        <v>36</v>
      </c>
      <c r="D40" s="90" t="s">
        <v>143</v>
      </c>
      <c r="E40" s="91"/>
      <c r="F40" s="93">
        <v>72</v>
      </c>
    </row>
    <row r="41" spans="1:9" ht="19.5" customHeight="1" x14ac:dyDescent="0.25">
      <c r="B41" s="94"/>
      <c r="C41" s="94"/>
      <c r="D41" s="94" t="s">
        <v>143</v>
      </c>
    </row>
  </sheetData>
  <mergeCells count="1">
    <mergeCell ref="B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BC400-9108-4414-AD95-99363FE2395C}">
  <dimension ref="A1:I43"/>
  <sheetViews>
    <sheetView workbookViewId="0">
      <selection activeCell="B14" sqref="B14"/>
    </sheetView>
  </sheetViews>
  <sheetFormatPr baseColWidth="10" defaultColWidth="11.42578125" defaultRowHeight="15" x14ac:dyDescent="0.25"/>
  <sheetData>
    <row r="1" spans="1:9" ht="18.75" customHeight="1" thickBot="1" x14ac:dyDescent="0.35">
      <c r="A1" s="45" t="s">
        <v>484</v>
      </c>
      <c r="B1" s="530" t="s">
        <v>189</v>
      </c>
      <c r="C1" s="531"/>
      <c r="D1" s="96" t="s">
        <v>1159</v>
      </c>
      <c r="E1" s="97"/>
      <c r="F1" s="98" t="s">
        <v>143</v>
      </c>
      <c r="G1" s="98"/>
      <c r="I1" s="273" t="s">
        <v>1157</v>
      </c>
    </row>
    <row r="2" spans="1:9" ht="18.75" customHeight="1" thickBot="1" x14ac:dyDescent="0.35">
      <c r="A2" s="45" t="s">
        <v>486</v>
      </c>
      <c r="B2" s="102">
        <v>1326</v>
      </c>
      <c r="C2" s="261" t="s">
        <v>143</v>
      </c>
      <c r="D2" s="45" t="s">
        <v>487</v>
      </c>
      <c r="E2" s="281" t="s">
        <v>1160</v>
      </c>
      <c r="F2" s="100"/>
      <c r="G2" s="100"/>
      <c r="I2" s="275" t="s">
        <v>1158</v>
      </c>
    </row>
    <row r="3" spans="1:9" ht="18.75" customHeight="1" thickBot="1" x14ac:dyDescent="0.35">
      <c r="A3" s="45" t="s">
        <v>489</v>
      </c>
      <c r="B3" s="106">
        <v>4523</v>
      </c>
      <c r="C3" s="55" t="s">
        <v>143</v>
      </c>
      <c r="D3" s="100"/>
      <c r="E3" s="100"/>
      <c r="F3" s="100"/>
      <c r="G3" s="263" t="s">
        <v>1161</v>
      </c>
      <c r="H3" s="532" t="s">
        <v>492</v>
      </c>
      <c r="I3" s="533"/>
    </row>
    <row r="4" spans="1:9" s="100" customFormat="1" ht="18.75" customHeight="1" thickBot="1" x14ac:dyDescent="0.35">
      <c r="A4" s="109" t="s">
        <v>493</v>
      </c>
      <c r="B4" s="110" t="s">
        <v>494</v>
      </c>
      <c r="C4" s="111" t="s">
        <v>495</v>
      </c>
      <c r="D4" s="109" t="s">
        <v>493</v>
      </c>
      <c r="E4" s="110" t="s">
        <v>494</v>
      </c>
      <c r="F4" s="111" t="s">
        <v>495</v>
      </c>
      <c r="G4" s="112" t="s">
        <v>493</v>
      </c>
      <c r="H4" s="113" t="s">
        <v>494</v>
      </c>
      <c r="I4" s="114" t="s">
        <v>495</v>
      </c>
    </row>
    <row r="5" spans="1:9" ht="18.75" customHeight="1" x14ac:dyDescent="0.3">
      <c r="A5" s="282" t="s">
        <v>143</v>
      </c>
      <c r="B5" s="283"/>
      <c r="C5" s="65">
        <v>1</v>
      </c>
      <c r="D5" s="284"/>
      <c r="E5" s="285"/>
      <c r="F5" s="65">
        <v>40</v>
      </c>
      <c r="G5" s="284"/>
      <c r="H5" s="285"/>
      <c r="I5" s="65">
        <v>79</v>
      </c>
    </row>
    <row r="6" spans="1:9" ht="18.75" customHeight="1" thickBot="1" x14ac:dyDescent="0.35">
      <c r="A6" s="286" t="s">
        <v>143</v>
      </c>
      <c r="B6" s="287"/>
      <c r="C6" s="68">
        <v>2</v>
      </c>
      <c r="D6" s="118"/>
      <c r="E6" s="119"/>
      <c r="F6" s="68">
        <v>41</v>
      </c>
      <c r="G6" s="123"/>
      <c r="H6" s="124"/>
      <c r="I6" s="93">
        <v>80</v>
      </c>
    </row>
    <row r="7" spans="1:9" ht="18.75" customHeight="1" x14ac:dyDescent="0.25">
      <c r="A7" s="286" t="s">
        <v>143</v>
      </c>
      <c r="B7" s="288"/>
      <c r="C7" s="68">
        <v>3</v>
      </c>
      <c r="D7" s="66" t="s">
        <v>143</v>
      </c>
      <c r="E7" s="69"/>
      <c r="F7" s="68">
        <v>42</v>
      </c>
      <c r="G7" s="100"/>
      <c r="H7" s="100"/>
      <c r="I7" s="100"/>
    </row>
    <row r="8" spans="1:9" ht="18.75" customHeight="1" x14ac:dyDescent="0.25">
      <c r="A8" s="286" t="s">
        <v>143</v>
      </c>
      <c r="B8" s="288"/>
      <c r="C8" s="68">
        <v>4</v>
      </c>
      <c r="D8" s="66" t="s">
        <v>143</v>
      </c>
      <c r="E8" s="69"/>
      <c r="F8" s="68">
        <v>43</v>
      </c>
      <c r="G8" s="100"/>
      <c r="H8" s="100"/>
      <c r="I8" s="100"/>
    </row>
    <row r="9" spans="1:9" ht="18.75" customHeight="1" x14ac:dyDescent="0.25">
      <c r="A9" s="286" t="s">
        <v>143</v>
      </c>
      <c r="B9" s="288" t="s">
        <v>143</v>
      </c>
      <c r="C9" s="68">
        <v>5</v>
      </c>
      <c r="D9" s="66" t="s">
        <v>143</v>
      </c>
      <c r="E9" s="69"/>
      <c r="F9" s="68">
        <v>44</v>
      </c>
      <c r="G9" s="100"/>
      <c r="H9" s="100"/>
      <c r="I9" s="100"/>
    </row>
    <row r="10" spans="1:9" ht="18.75" customHeight="1" x14ac:dyDescent="0.25">
      <c r="A10" s="286" t="s">
        <v>143</v>
      </c>
      <c r="B10" s="288"/>
      <c r="C10" s="68">
        <v>6</v>
      </c>
      <c r="D10" s="66" t="s">
        <v>143</v>
      </c>
      <c r="E10" s="69"/>
      <c r="F10" s="68">
        <v>45</v>
      </c>
      <c r="G10" s="100"/>
      <c r="H10" s="100"/>
      <c r="I10" s="100"/>
    </row>
    <row r="11" spans="1:9" ht="18.75" customHeight="1" x14ac:dyDescent="0.25">
      <c r="A11" s="286" t="s">
        <v>143</v>
      </c>
      <c r="B11" s="288"/>
      <c r="C11" s="68">
        <v>7</v>
      </c>
      <c r="D11" s="66" t="s">
        <v>143</v>
      </c>
      <c r="E11" s="69"/>
      <c r="F11" s="68">
        <v>46</v>
      </c>
      <c r="G11" s="100"/>
      <c r="H11" s="100"/>
      <c r="I11" s="100"/>
    </row>
    <row r="12" spans="1:9" ht="18.75" customHeight="1" x14ac:dyDescent="0.25">
      <c r="A12" s="286" t="s">
        <v>143</v>
      </c>
      <c r="B12" s="288"/>
      <c r="C12" s="68">
        <v>8</v>
      </c>
      <c r="D12" s="66" t="s">
        <v>143</v>
      </c>
      <c r="E12" s="69"/>
      <c r="F12" s="68">
        <v>47</v>
      </c>
      <c r="G12" s="100"/>
      <c r="H12" s="100"/>
      <c r="I12" s="100"/>
    </row>
    <row r="13" spans="1:9" ht="18.75" customHeight="1" x14ac:dyDescent="0.25">
      <c r="A13" s="286" t="s">
        <v>143</v>
      </c>
      <c r="B13" s="288" t="s">
        <v>143</v>
      </c>
      <c r="C13" s="68">
        <v>9</v>
      </c>
      <c r="D13" s="66" t="s">
        <v>143</v>
      </c>
      <c r="E13" s="69"/>
      <c r="F13" s="68">
        <v>48</v>
      </c>
      <c r="G13" s="100"/>
      <c r="H13" s="100"/>
      <c r="I13" s="100"/>
    </row>
    <row r="14" spans="1:9" ht="18.75" customHeight="1" x14ac:dyDescent="0.25">
      <c r="A14" s="286" t="s">
        <v>143</v>
      </c>
      <c r="B14" s="288"/>
      <c r="C14" s="268">
        <v>10</v>
      </c>
      <c r="D14" s="66"/>
      <c r="E14" s="71"/>
      <c r="F14" s="68">
        <v>49</v>
      </c>
      <c r="G14" s="100"/>
      <c r="H14" s="100"/>
      <c r="I14" s="100"/>
    </row>
    <row r="15" spans="1:9" ht="18.75" customHeight="1" x14ac:dyDescent="0.25">
      <c r="A15" s="286" t="s">
        <v>143</v>
      </c>
      <c r="B15" s="288"/>
      <c r="C15" s="68">
        <v>11</v>
      </c>
      <c r="D15" s="66" t="s">
        <v>143</v>
      </c>
      <c r="E15" s="69"/>
      <c r="F15" s="68">
        <v>50</v>
      </c>
      <c r="G15" s="100"/>
      <c r="H15" s="100"/>
      <c r="I15" s="100"/>
    </row>
    <row r="16" spans="1:9" ht="18.75" customHeight="1" x14ac:dyDescent="0.25">
      <c r="A16" s="286" t="s">
        <v>143</v>
      </c>
      <c r="B16" s="288"/>
      <c r="C16" s="68">
        <v>12</v>
      </c>
      <c r="D16" s="66" t="s">
        <v>143</v>
      </c>
      <c r="E16" s="69"/>
      <c r="F16" s="68">
        <v>51</v>
      </c>
      <c r="G16" s="100"/>
      <c r="H16" s="100"/>
      <c r="I16" s="100"/>
    </row>
    <row r="17" spans="1:9" ht="18.75" customHeight="1" x14ac:dyDescent="0.25">
      <c r="A17" s="286" t="s">
        <v>143</v>
      </c>
      <c r="B17" s="288"/>
      <c r="C17" s="68">
        <v>13</v>
      </c>
      <c r="D17" s="66" t="s">
        <v>143</v>
      </c>
      <c r="E17" s="69"/>
      <c r="F17" s="68">
        <v>52</v>
      </c>
      <c r="G17" s="100"/>
      <c r="H17" s="100"/>
      <c r="I17" s="100"/>
    </row>
    <row r="18" spans="1:9" ht="18.75" customHeight="1" x14ac:dyDescent="0.25">
      <c r="A18" s="286" t="s">
        <v>143</v>
      </c>
      <c r="B18" s="288"/>
      <c r="C18" s="68">
        <v>14</v>
      </c>
      <c r="D18" s="66" t="s">
        <v>143</v>
      </c>
      <c r="E18" s="69"/>
      <c r="F18" s="68">
        <v>53</v>
      </c>
      <c r="G18" s="100"/>
      <c r="H18" s="100"/>
      <c r="I18" s="100"/>
    </row>
    <row r="19" spans="1:9" ht="18.75" customHeight="1" x14ac:dyDescent="0.25">
      <c r="A19" s="286" t="s">
        <v>143</v>
      </c>
      <c r="B19" s="288"/>
      <c r="C19" s="68">
        <v>15</v>
      </c>
      <c r="D19" s="66" t="s">
        <v>143</v>
      </c>
      <c r="E19" s="69"/>
      <c r="F19" s="68">
        <v>54</v>
      </c>
      <c r="G19" s="100"/>
      <c r="H19" s="100"/>
      <c r="I19" s="100"/>
    </row>
    <row r="20" spans="1:9" ht="18.75" customHeight="1" x14ac:dyDescent="0.25">
      <c r="A20" s="286" t="s">
        <v>143</v>
      </c>
      <c r="B20" s="288"/>
      <c r="C20" s="68">
        <v>16</v>
      </c>
      <c r="D20" s="66" t="s">
        <v>143</v>
      </c>
      <c r="E20" s="69"/>
      <c r="F20" s="68">
        <v>55</v>
      </c>
      <c r="G20" s="100"/>
      <c r="H20" s="100"/>
      <c r="I20" s="100"/>
    </row>
    <row r="21" spans="1:9" ht="18.75" customHeight="1" x14ac:dyDescent="0.25">
      <c r="A21" s="286" t="s">
        <v>143</v>
      </c>
      <c r="B21" s="288"/>
      <c r="C21" s="68">
        <v>17</v>
      </c>
      <c r="D21" s="66" t="s">
        <v>143</v>
      </c>
      <c r="E21" s="69"/>
      <c r="F21" s="68">
        <v>56</v>
      </c>
      <c r="G21" s="100"/>
      <c r="H21" s="100"/>
      <c r="I21" s="100"/>
    </row>
    <row r="22" spans="1:9" ht="18.75" customHeight="1" x14ac:dyDescent="0.25">
      <c r="A22" s="286" t="s">
        <v>143</v>
      </c>
      <c r="B22" s="288"/>
      <c r="C22" s="68">
        <v>18</v>
      </c>
      <c r="D22" s="66"/>
      <c r="E22" s="71"/>
      <c r="F22" s="68">
        <v>57</v>
      </c>
      <c r="G22" s="100"/>
      <c r="H22" s="100"/>
      <c r="I22" s="100"/>
    </row>
    <row r="23" spans="1:9" ht="18.75" customHeight="1" x14ac:dyDescent="0.25">
      <c r="A23" s="286" t="s">
        <v>143</v>
      </c>
      <c r="B23" s="288"/>
      <c r="C23" s="68">
        <v>19</v>
      </c>
      <c r="D23" s="66" t="s">
        <v>143</v>
      </c>
      <c r="E23" s="69"/>
      <c r="F23" s="68">
        <v>58</v>
      </c>
      <c r="G23" s="100"/>
      <c r="H23" s="100"/>
      <c r="I23" s="100"/>
    </row>
    <row r="24" spans="1:9" ht="18.75" customHeight="1" x14ac:dyDescent="0.25">
      <c r="A24" s="286" t="s">
        <v>143</v>
      </c>
      <c r="B24" s="288"/>
      <c r="C24" s="268">
        <v>20</v>
      </c>
      <c r="D24" s="66" t="s">
        <v>143</v>
      </c>
      <c r="E24" s="69"/>
      <c r="F24" s="68">
        <v>59</v>
      </c>
      <c r="G24" s="100"/>
      <c r="H24" s="100"/>
      <c r="I24" s="100"/>
    </row>
    <row r="25" spans="1:9" ht="18.75" customHeight="1" x14ac:dyDescent="0.25">
      <c r="A25" s="286" t="s">
        <v>143</v>
      </c>
      <c r="B25" s="288"/>
      <c r="C25" s="68">
        <v>21</v>
      </c>
      <c r="D25" s="66" t="s">
        <v>143</v>
      </c>
      <c r="E25" s="69"/>
      <c r="F25" s="68">
        <v>60</v>
      </c>
      <c r="G25" s="100"/>
      <c r="H25" s="100"/>
      <c r="I25" s="100"/>
    </row>
    <row r="26" spans="1:9" ht="18.75" customHeight="1" x14ac:dyDescent="0.25">
      <c r="A26" s="286" t="s">
        <v>143</v>
      </c>
      <c r="B26" s="288"/>
      <c r="C26" s="68">
        <v>22</v>
      </c>
      <c r="D26" s="66" t="s">
        <v>143</v>
      </c>
      <c r="E26" s="69"/>
      <c r="F26" s="68">
        <v>61</v>
      </c>
      <c r="G26" s="100"/>
      <c r="H26" s="100"/>
      <c r="I26" s="100"/>
    </row>
    <row r="27" spans="1:9" ht="18.75" customHeight="1" x14ac:dyDescent="0.25">
      <c r="A27" s="286" t="s">
        <v>143</v>
      </c>
      <c r="B27" s="288"/>
      <c r="C27" s="68">
        <v>23</v>
      </c>
      <c r="D27" s="66" t="s">
        <v>143</v>
      </c>
      <c r="E27" s="69"/>
      <c r="F27" s="68">
        <v>62</v>
      </c>
      <c r="G27" s="100"/>
      <c r="H27" s="100"/>
      <c r="I27" s="100"/>
    </row>
    <row r="28" spans="1:9" ht="18.75" customHeight="1" x14ac:dyDescent="0.25">
      <c r="A28" s="286" t="s">
        <v>143</v>
      </c>
      <c r="B28" s="288"/>
      <c r="C28" s="68">
        <v>24</v>
      </c>
      <c r="D28" s="66" t="s">
        <v>143</v>
      </c>
      <c r="E28" s="69"/>
      <c r="F28" s="68">
        <v>63</v>
      </c>
      <c r="G28" s="100"/>
      <c r="H28" s="100"/>
      <c r="I28" s="100"/>
    </row>
    <row r="29" spans="1:9" ht="18.75" customHeight="1" x14ac:dyDescent="0.25">
      <c r="A29" s="286" t="s">
        <v>143</v>
      </c>
      <c r="B29" s="288"/>
      <c r="C29" s="68">
        <v>25</v>
      </c>
      <c r="D29" s="66" t="s">
        <v>143</v>
      </c>
      <c r="E29" s="69"/>
      <c r="F29" s="68">
        <v>64</v>
      </c>
      <c r="G29" s="100"/>
      <c r="H29" s="100"/>
      <c r="I29" s="100"/>
    </row>
    <row r="30" spans="1:9" ht="18.75" customHeight="1" x14ac:dyDescent="0.25">
      <c r="A30" s="286" t="s">
        <v>143</v>
      </c>
      <c r="B30" s="288"/>
      <c r="C30" s="68">
        <v>26</v>
      </c>
      <c r="D30" s="66"/>
      <c r="E30" s="71"/>
      <c r="F30" s="68">
        <v>65</v>
      </c>
      <c r="G30" s="100"/>
      <c r="H30" s="100"/>
      <c r="I30" s="100"/>
    </row>
    <row r="31" spans="1:9" ht="18.75" customHeight="1" x14ac:dyDescent="0.25">
      <c r="A31" s="286" t="s">
        <v>143</v>
      </c>
      <c r="B31" s="288" t="s">
        <v>143</v>
      </c>
      <c r="C31" s="68">
        <v>27</v>
      </c>
      <c r="D31" s="66" t="s">
        <v>143</v>
      </c>
      <c r="E31" s="69"/>
      <c r="F31" s="68">
        <v>66</v>
      </c>
      <c r="G31" s="100"/>
      <c r="H31" s="100"/>
      <c r="I31" s="100"/>
    </row>
    <row r="32" spans="1:9" ht="18.75" customHeight="1" x14ac:dyDescent="0.25">
      <c r="A32" s="286" t="s">
        <v>143</v>
      </c>
      <c r="B32" s="288"/>
      <c r="C32" s="68">
        <v>28</v>
      </c>
      <c r="D32" s="66" t="s">
        <v>143</v>
      </c>
      <c r="E32" s="69"/>
      <c r="F32" s="68">
        <v>67</v>
      </c>
      <c r="G32" s="100"/>
      <c r="H32" s="100"/>
      <c r="I32" s="100"/>
    </row>
    <row r="33" spans="1:9" ht="18.75" customHeight="1" x14ac:dyDescent="0.25">
      <c r="A33" s="286" t="s">
        <v>143</v>
      </c>
      <c r="B33" s="288"/>
      <c r="C33" s="68">
        <v>29</v>
      </c>
      <c r="D33" s="66" t="s">
        <v>143</v>
      </c>
      <c r="E33" s="69"/>
      <c r="F33" s="68">
        <v>68</v>
      </c>
      <c r="G33" s="100"/>
      <c r="H33" s="100"/>
      <c r="I33" s="100"/>
    </row>
    <row r="34" spans="1:9" ht="18.75" customHeight="1" x14ac:dyDescent="0.25">
      <c r="A34" s="286" t="s">
        <v>143</v>
      </c>
      <c r="B34" s="288"/>
      <c r="C34" s="268">
        <v>30</v>
      </c>
      <c r="D34" s="66" t="s">
        <v>143</v>
      </c>
      <c r="E34" s="69"/>
      <c r="F34" s="68">
        <v>69</v>
      </c>
      <c r="G34" s="100"/>
      <c r="H34" s="100"/>
      <c r="I34" s="100"/>
    </row>
    <row r="35" spans="1:9" ht="18.75" customHeight="1" x14ac:dyDescent="0.25">
      <c r="A35" s="286" t="s">
        <v>143</v>
      </c>
      <c r="B35" s="288"/>
      <c r="C35" s="68">
        <v>31</v>
      </c>
      <c r="D35" s="66" t="s">
        <v>143</v>
      </c>
      <c r="E35" s="69"/>
      <c r="F35" s="68">
        <v>70</v>
      </c>
      <c r="G35" s="100"/>
      <c r="H35" s="100"/>
      <c r="I35" s="100"/>
    </row>
    <row r="36" spans="1:9" ht="18.75" customHeight="1" x14ac:dyDescent="0.25">
      <c r="A36" s="286" t="s">
        <v>143</v>
      </c>
      <c r="B36" s="288"/>
      <c r="C36" s="68">
        <v>32</v>
      </c>
      <c r="D36" s="66" t="s">
        <v>143</v>
      </c>
      <c r="E36" s="69"/>
      <c r="F36" s="68">
        <v>71</v>
      </c>
      <c r="G36" s="100"/>
      <c r="H36" s="100"/>
      <c r="I36" s="100"/>
    </row>
    <row r="37" spans="1:9" ht="18.75" customHeight="1" x14ac:dyDescent="0.25">
      <c r="A37" s="286" t="s">
        <v>143</v>
      </c>
      <c r="B37" s="288"/>
      <c r="C37" s="68">
        <v>33</v>
      </c>
      <c r="D37" s="66" t="s">
        <v>143</v>
      </c>
      <c r="E37" s="69"/>
      <c r="F37" s="68">
        <v>72</v>
      </c>
      <c r="G37" s="100"/>
      <c r="H37" s="100"/>
      <c r="I37" s="100"/>
    </row>
    <row r="38" spans="1:9" ht="18.75" customHeight="1" x14ac:dyDescent="0.25">
      <c r="A38" s="286"/>
      <c r="B38" s="288"/>
      <c r="C38" s="68">
        <v>34</v>
      </c>
      <c r="D38" s="66"/>
      <c r="E38" s="71"/>
      <c r="F38" s="68">
        <v>73</v>
      </c>
      <c r="G38" s="100"/>
      <c r="H38" s="100"/>
      <c r="I38" s="100"/>
    </row>
    <row r="39" spans="1:9" ht="18.75" customHeight="1" x14ac:dyDescent="0.25">
      <c r="A39" s="286"/>
      <c r="B39" s="288"/>
      <c r="C39" s="68">
        <v>35</v>
      </c>
      <c r="D39" s="66" t="s">
        <v>143</v>
      </c>
      <c r="E39" s="69"/>
      <c r="F39" s="68">
        <v>74</v>
      </c>
      <c r="G39" s="100"/>
      <c r="H39" s="100"/>
      <c r="I39" s="100"/>
    </row>
    <row r="40" spans="1:9" ht="18.75" customHeight="1" thickBot="1" x14ac:dyDescent="0.3">
      <c r="A40" s="286" t="s">
        <v>143</v>
      </c>
      <c r="B40" s="288"/>
      <c r="C40" s="68">
        <v>36</v>
      </c>
      <c r="D40" s="66" t="s">
        <v>143</v>
      </c>
      <c r="E40" s="69"/>
      <c r="F40" s="68">
        <v>75</v>
      </c>
      <c r="G40" s="100"/>
      <c r="H40" s="100"/>
      <c r="I40" s="100"/>
    </row>
    <row r="41" spans="1:9" ht="18.75" customHeight="1" x14ac:dyDescent="0.25">
      <c r="A41" s="286" t="s">
        <v>143</v>
      </c>
      <c r="B41" s="288"/>
      <c r="C41" s="68">
        <v>37</v>
      </c>
      <c r="D41" s="66" t="s">
        <v>143</v>
      </c>
      <c r="E41" s="69"/>
      <c r="F41" s="68">
        <v>76</v>
      </c>
      <c r="G41" s="289"/>
      <c r="H41" s="279"/>
      <c r="I41" s="273" t="s">
        <v>1157</v>
      </c>
    </row>
    <row r="42" spans="1:9" ht="18.75" customHeight="1" thickBot="1" x14ac:dyDescent="0.3">
      <c r="A42" s="290" t="s">
        <v>143</v>
      </c>
      <c r="B42" s="291"/>
      <c r="C42" s="68">
        <v>38</v>
      </c>
      <c r="D42" s="66" t="s">
        <v>143</v>
      </c>
      <c r="E42" s="69"/>
      <c r="F42" s="68">
        <v>77</v>
      </c>
      <c r="G42" s="279"/>
      <c r="H42" s="279"/>
      <c r="I42" s="275" t="s">
        <v>1158</v>
      </c>
    </row>
    <row r="43" spans="1:9" ht="18.75" customHeight="1" thickBot="1" x14ac:dyDescent="0.3">
      <c r="A43" s="292" t="s">
        <v>143</v>
      </c>
      <c r="B43" s="293"/>
      <c r="C43" s="93">
        <v>39</v>
      </c>
      <c r="D43" s="90" t="s">
        <v>143</v>
      </c>
      <c r="E43" s="278"/>
      <c r="F43" s="93">
        <v>78</v>
      </c>
      <c r="G43" s="263" t="s">
        <v>1161</v>
      </c>
      <c r="H43" s="534" t="s">
        <v>492</v>
      </c>
      <c r="I43" s="535"/>
    </row>
  </sheetData>
  <mergeCells count="3">
    <mergeCell ref="B1:C1"/>
    <mergeCell ref="H3:I3"/>
    <mergeCell ref="H43:I4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D373-4799-48B7-8205-AF34CCC0F599}">
  <dimension ref="A1:I41"/>
  <sheetViews>
    <sheetView workbookViewId="0">
      <selection activeCell="K10" sqref="K10"/>
    </sheetView>
  </sheetViews>
  <sheetFormatPr baseColWidth="10" defaultColWidth="11" defaultRowHeight="15" x14ac:dyDescent="0.25"/>
  <sheetData>
    <row r="1" spans="1:9" ht="19.5" customHeight="1" thickBot="1" x14ac:dyDescent="0.35">
      <c r="A1" s="294" t="s">
        <v>484</v>
      </c>
      <c r="B1" s="536" t="s">
        <v>444</v>
      </c>
      <c r="C1" s="537"/>
      <c r="D1" s="295" t="s">
        <v>1162</v>
      </c>
      <c r="E1" s="296"/>
      <c r="F1" s="297" t="s">
        <v>143</v>
      </c>
      <c r="G1" s="297"/>
      <c r="I1" s="273" t="s">
        <v>1157</v>
      </c>
    </row>
    <row r="2" spans="1:9" ht="19.5" customHeight="1" thickBot="1" x14ac:dyDescent="0.35">
      <c r="A2" s="294" t="s">
        <v>486</v>
      </c>
      <c r="B2" s="298">
        <v>838</v>
      </c>
      <c r="C2" s="299" t="s">
        <v>143</v>
      </c>
      <c r="D2" s="294" t="s">
        <v>487</v>
      </c>
      <c r="E2" s="300">
        <v>43742</v>
      </c>
      <c r="I2" s="275" t="s">
        <v>1158</v>
      </c>
    </row>
    <row r="3" spans="1:9" ht="19.5" customHeight="1" thickBot="1" x14ac:dyDescent="0.35">
      <c r="A3" s="294" t="s">
        <v>489</v>
      </c>
      <c r="B3" s="301">
        <v>1856</v>
      </c>
      <c r="C3" s="302" t="s">
        <v>143</v>
      </c>
      <c r="G3" s="303" t="s">
        <v>1163</v>
      </c>
      <c r="H3" s="538" t="s">
        <v>492</v>
      </c>
      <c r="I3" s="539"/>
    </row>
    <row r="4" spans="1:9" ht="19.5" customHeight="1" thickBot="1" x14ac:dyDescent="0.35">
      <c r="A4" s="304" t="s">
        <v>493</v>
      </c>
      <c r="B4" s="305" t="s">
        <v>494</v>
      </c>
      <c r="C4" s="306" t="s">
        <v>495</v>
      </c>
      <c r="D4" s="304" t="s">
        <v>493</v>
      </c>
      <c r="E4" s="305" t="s">
        <v>494</v>
      </c>
      <c r="F4" s="306" t="s">
        <v>495</v>
      </c>
      <c r="G4" s="307" t="s">
        <v>493</v>
      </c>
      <c r="H4" s="308" t="s">
        <v>494</v>
      </c>
      <c r="I4" s="309" t="s">
        <v>495</v>
      </c>
    </row>
    <row r="5" spans="1:9" ht="19.5" customHeight="1" x14ac:dyDescent="0.3">
      <c r="A5" s="282" t="s">
        <v>143</v>
      </c>
      <c r="B5" s="283"/>
      <c r="C5" s="310">
        <v>1</v>
      </c>
      <c r="D5" s="282" t="s">
        <v>143</v>
      </c>
      <c r="E5" s="311"/>
      <c r="F5" s="310">
        <v>38</v>
      </c>
      <c r="G5" s="312"/>
      <c r="H5" s="313"/>
      <c r="I5" s="310">
        <v>75</v>
      </c>
    </row>
    <row r="6" spans="1:9" ht="19.5" customHeight="1" x14ac:dyDescent="0.3">
      <c r="A6" s="286" t="s">
        <v>143</v>
      </c>
      <c r="B6" s="287"/>
      <c r="C6" s="314">
        <v>2</v>
      </c>
      <c r="D6" s="286" t="s">
        <v>143</v>
      </c>
      <c r="E6" s="315"/>
      <c r="F6" s="314">
        <v>39</v>
      </c>
      <c r="G6" s="316"/>
      <c r="H6" s="317"/>
      <c r="I6" s="314">
        <v>76</v>
      </c>
    </row>
    <row r="7" spans="1:9" ht="19.5" customHeight="1" x14ac:dyDescent="0.3">
      <c r="A7" s="286" t="s">
        <v>143</v>
      </c>
      <c r="B7" s="288"/>
      <c r="C7" s="314">
        <v>3</v>
      </c>
      <c r="D7" s="286" t="s">
        <v>143</v>
      </c>
      <c r="E7" s="315"/>
      <c r="F7" s="314">
        <v>40</v>
      </c>
      <c r="G7" s="316"/>
      <c r="H7" s="317"/>
      <c r="I7" s="314">
        <v>77</v>
      </c>
    </row>
    <row r="8" spans="1:9" ht="19.5" customHeight="1" x14ac:dyDescent="0.3">
      <c r="A8" s="286" t="s">
        <v>143</v>
      </c>
      <c r="B8" s="288"/>
      <c r="C8" s="314">
        <v>4</v>
      </c>
      <c r="D8" s="286" t="s">
        <v>143</v>
      </c>
      <c r="E8" s="315"/>
      <c r="F8" s="314">
        <v>41</v>
      </c>
      <c r="G8" s="316"/>
      <c r="H8" s="317"/>
      <c r="I8" s="314">
        <v>78</v>
      </c>
    </row>
    <row r="9" spans="1:9" ht="19.5" customHeight="1" x14ac:dyDescent="0.3">
      <c r="A9" s="286" t="s">
        <v>143</v>
      </c>
      <c r="B9" s="288" t="s">
        <v>143</v>
      </c>
      <c r="C9" s="314">
        <v>5</v>
      </c>
      <c r="D9" s="286" t="s">
        <v>143</v>
      </c>
      <c r="E9" s="315"/>
      <c r="F9" s="314">
        <v>42</v>
      </c>
      <c r="G9" s="316"/>
      <c r="H9" s="317"/>
      <c r="I9" s="314">
        <v>79</v>
      </c>
    </row>
    <row r="10" spans="1:9" ht="19.5" customHeight="1" x14ac:dyDescent="0.3">
      <c r="A10" s="286" t="s">
        <v>143</v>
      </c>
      <c r="B10" s="288"/>
      <c r="C10" s="314">
        <v>6</v>
      </c>
      <c r="D10" s="286" t="s">
        <v>143</v>
      </c>
      <c r="E10" s="315"/>
      <c r="F10" s="314">
        <v>43</v>
      </c>
      <c r="G10" s="316"/>
      <c r="H10" s="317"/>
      <c r="I10" s="314">
        <v>80</v>
      </c>
    </row>
    <row r="11" spans="1:9" ht="19.5" customHeight="1" x14ac:dyDescent="0.3">
      <c r="A11" s="286" t="s">
        <v>143</v>
      </c>
      <c r="B11" s="288"/>
      <c r="C11" s="314">
        <v>7</v>
      </c>
      <c r="D11" s="286" t="s">
        <v>143</v>
      </c>
      <c r="E11" s="315"/>
      <c r="F11" s="314">
        <v>44</v>
      </c>
      <c r="G11" s="316"/>
      <c r="H11" s="317"/>
      <c r="I11" s="314">
        <v>81</v>
      </c>
    </row>
    <row r="12" spans="1:9" ht="19.5" customHeight="1" x14ac:dyDescent="0.3">
      <c r="A12" s="286" t="s">
        <v>143</v>
      </c>
      <c r="B12" s="288"/>
      <c r="C12" s="314">
        <v>8</v>
      </c>
      <c r="D12" s="286" t="s">
        <v>143</v>
      </c>
      <c r="E12" s="315"/>
      <c r="F12" s="314">
        <v>45</v>
      </c>
      <c r="G12" s="316"/>
      <c r="H12" s="317"/>
      <c r="I12" s="314">
        <v>82</v>
      </c>
    </row>
    <row r="13" spans="1:9" ht="19.5" customHeight="1" x14ac:dyDescent="0.3">
      <c r="A13" s="286" t="s">
        <v>143</v>
      </c>
      <c r="B13" s="288" t="s">
        <v>143</v>
      </c>
      <c r="C13" s="314">
        <v>9</v>
      </c>
      <c r="D13" s="286" t="s">
        <v>143</v>
      </c>
      <c r="E13" s="315"/>
      <c r="F13" s="314">
        <v>46</v>
      </c>
      <c r="G13" s="316"/>
      <c r="H13" s="317"/>
      <c r="I13" s="314">
        <v>83</v>
      </c>
    </row>
    <row r="14" spans="1:9" ht="19.5" customHeight="1" x14ac:dyDescent="0.3">
      <c r="A14" s="286" t="s">
        <v>143</v>
      </c>
      <c r="B14" s="288"/>
      <c r="C14" s="314">
        <v>10</v>
      </c>
      <c r="D14" s="286"/>
      <c r="E14" s="288"/>
      <c r="F14" s="314">
        <v>47</v>
      </c>
      <c r="G14" s="316"/>
      <c r="H14" s="317"/>
      <c r="I14" s="314">
        <v>84</v>
      </c>
    </row>
    <row r="15" spans="1:9" ht="19.5" customHeight="1" x14ac:dyDescent="0.3">
      <c r="A15" s="286" t="s">
        <v>143</v>
      </c>
      <c r="B15" s="288"/>
      <c r="C15" s="314">
        <v>11</v>
      </c>
      <c r="D15" s="286" t="s">
        <v>143</v>
      </c>
      <c r="E15" s="315"/>
      <c r="F15" s="314">
        <v>48</v>
      </c>
      <c r="G15" s="316"/>
      <c r="H15" s="317"/>
      <c r="I15" s="314">
        <v>85</v>
      </c>
    </row>
    <row r="16" spans="1:9" ht="19.5" customHeight="1" x14ac:dyDescent="0.3">
      <c r="A16" s="286" t="s">
        <v>143</v>
      </c>
      <c r="B16" s="288"/>
      <c r="C16" s="314">
        <v>12</v>
      </c>
      <c r="D16" s="286" t="s">
        <v>143</v>
      </c>
      <c r="E16" s="315"/>
      <c r="F16" s="314">
        <v>49</v>
      </c>
      <c r="G16" s="316"/>
      <c r="H16" s="317"/>
      <c r="I16" s="314">
        <v>86</v>
      </c>
    </row>
    <row r="17" spans="1:9" ht="19.5" customHeight="1" x14ac:dyDescent="0.3">
      <c r="A17" s="286" t="s">
        <v>143</v>
      </c>
      <c r="B17" s="288"/>
      <c r="C17" s="314">
        <v>13</v>
      </c>
      <c r="D17" s="286" t="s">
        <v>143</v>
      </c>
      <c r="E17" s="315"/>
      <c r="F17" s="314">
        <v>50</v>
      </c>
      <c r="G17" s="316"/>
      <c r="H17" s="317"/>
      <c r="I17" s="314">
        <v>87</v>
      </c>
    </row>
    <row r="18" spans="1:9" ht="19.5" customHeight="1" x14ac:dyDescent="0.3">
      <c r="A18" s="286" t="s">
        <v>143</v>
      </c>
      <c r="B18" s="288"/>
      <c r="C18" s="314">
        <v>14</v>
      </c>
      <c r="D18" s="286" t="s">
        <v>143</v>
      </c>
      <c r="E18" s="315"/>
      <c r="F18" s="314">
        <v>51</v>
      </c>
      <c r="G18" s="316"/>
      <c r="H18" s="317"/>
      <c r="I18" s="314">
        <v>88</v>
      </c>
    </row>
    <row r="19" spans="1:9" ht="19.5" customHeight="1" x14ac:dyDescent="0.3">
      <c r="A19" s="286" t="s">
        <v>143</v>
      </c>
      <c r="B19" s="288"/>
      <c r="C19" s="314">
        <v>15</v>
      </c>
      <c r="D19" s="286" t="s">
        <v>143</v>
      </c>
      <c r="E19" s="315"/>
      <c r="F19" s="314">
        <v>52</v>
      </c>
      <c r="G19" s="316"/>
      <c r="H19" s="317"/>
      <c r="I19" s="314">
        <v>89</v>
      </c>
    </row>
    <row r="20" spans="1:9" ht="19.5" customHeight="1" x14ac:dyDescent="0.3">
      <c r="A20" s="286" t="s">
        <v>143</v>
      </c>
      <c r="B20" s="288"/>
      <c r="C20" s="314">
        <v>16</v>
      </c>
      <c r="D20" s="286" t="s">
        <v>143</v>
      </c>
      <c r="E20" s="315"/>
      <c r="F20" s="314">
        <v>53</v>
      </c>
      <c r="G20" s="316"/>
      <c r="H20" s="317"/>
      <c r="I20" s="314">
        <v>90</v>
      </c>
    </row>
    <row r="21" spans="1:9" ht="19.5" customHeight="1" x14ac:dyDescent="0.3">
      <c r="A21" s="286" t="s">
        <v>143</v>
      </c>
      <c r="B21" s="288"/>
      <c r="C21" s="314">
        <v>17</v>
      </c>
      <c r="D21" s="286" t="s">
        <v>143</v>
      </c>
      <c r="E21" s="315"/>
      <c r="F21" s="314">
        <v>54</v>
      </c>
      <c r="G21" s="318"/>
      <c r="H21" s="319"/>
      <c r="I21" s="320">
        <v>91</v>
      </c>
    </row>
    <row r="22" spans="1:9" ht="19.5" customHeight="1" x14ac:dyDescent="0.3">
      <c r="A22" s="286" t="s">
        <v>143</v>
      </c>
      <c r="B22" s="288"/>
      <c r="C22" s="314">
        <v>18</v>
      </c>
      <c r="D22" s="286"/>
      <c r="E22" s="288"/>
      <c r="F22" s="314">
        <v>55</v>
      </c>
      <c r="G22" s="318"/>
      <c r="H22" s="319"/>
      <c r="I22" s="320">
        <v>92</v>
      </c>
    </row>
    <row r="23" spans="1:9" ht="19.5" customHeight="1" x14ac:dyDescent="0.3">
      <c r="A23" s="286" t="s">
        <v>143</v>
      </c>
      <c r="B23" s="288"/>
      <c r="C23" s="314">
        <v>19</v>
      </c>
      <c r="D23" s="286" t="s">
        <v>143</v>
      </c>
      <c r="E23" s="315"/>
      <c r="F23" s="314">
        <v>56</v>
      </c>
      <c r="G23" s="318"/>
      <c r="H23" s="319"/>
      <c r="I23" s="320">
        <v>93</v>
      </c>
    </row>
    <row r="24" spans="1:9" ht="19.5" customHeight="1" x14ac:dyDescent="0.3">
      <c r="A24" s="286" t="s">
        <v>143</v>
      </c>
      <c r="B24" s="288"/>
      <c r="C24" s="314">
        <v>20</v>
      </c>
      <c r="D24" s="286" t="s">
        <v>143</v>
      </c>
      <c r="E24" s="315"/>
      <c r="F24" s="314">
        <v>57</v>
      </c>
      <c r="G24" s="318"/>
      <c r="H24" s="319"/>
      <c r="I24" s="320">
        <v>94</v>
      </c>
    </row>
    <row r="25" spans="1:9" ht="19.5" customHeight="1" thickBot="1" x14ac:dyDescent="0.35">
      <c r="A25" s="286" t="s">
        <v>143</v>
      </c>
      <c r="B25" s="288"/>
      <c r="C25" s="314">
        <v>21</v>
      </c>
      <c r="D25" s="286" t="s">
        <v>143</v>
      </c>
      <c r="E25" s="315"/>
      <c r="F25" s="314">
        <v>58</v>
      </c>
      <c r="G25" s="321"/>
      <c r="H25" s="322"/>
      <c r="I25" s="323">
        <v>95</v>
      </c>
    </row>
    <row r="26" spans="1:9" ht="19.5" customHeight="1" x14ac:dyDescent="0.25">
      <c r="A26" s="286" t="s">
        <v>143</v>
      </c>
      <c r="B26" s="288"/>
      <c r="C26" s="314">
        <v>22</v>
      </c>
      <c r="D26" s="286" t="s">
        <v>143</v>
      </c>
      <c r="E26" s="315"/>
      <c r="F26" s="314">
        <v>59</v>
      </c>
    </row>
    <row r="27" spans="1:9" ht="19.5" customHeight="1" x14ac:dyDescent="0.25">
      <c r="A27" s="286" t="s">
        <v>143</v>
      </c>
      <c r="B27" s="288"/>
      <c r="C27" s="314">
        <v>23</v>
      </c>
      <c r="D27" s="286" t="s">
        <v>143</v>
      </c>
      <c r="E27" s="315"/>
      <c r="F27" s="314">
        <v>60</v>
      </c>
    </row>
    <row r="28" spans="1:9" ht="19.5" customHeight="1" x14ac:dyDescent="0.25">
      <c r="A28" s="286" t="s">
        <v>143</v>
      </c>
      <c r="B28" s="288"/>
      <c r="C28" s="314">
        <v>24</v>
      </c>
      <c r="D28" s="286" t="s">
        <v>143</v>
      </c>
      <c r="E28" s="315"/>
      <c r="F28" s="314">
        <v>61</v>
      </c>
    </row>
    <row r="29" spans="1:9" ht="19.5" customHeight="1" x14ac:dyDescent="0.25">
      <c r="A29" s="286" t="s">
        <v>143</v>
      </c>
      <c r="B29" s="288"/>
      <c r="C29" s="314">
        <v>25</v>
      </c>
      <c r="D29" s="286" t="s">
        <v>143</v>
      </c>
      <c r="E29" s="315"/>
      <c r="F29" s="314">
        <v>62</v>
      </c>
    </row>
    <row r="30" spans="1:9" ht="19.5" customHeight="1" x14ac:dyDescent="0.25">
      <c r="A30" s="286" t="s">
        <v>143</v>
      </c>
      <c r="B30" s="288"/>
      <c r="C30" s="314">
        <v>26</v>
      </c>
      <c r="D30" s="286"/>
      <c r="E30" s="288"/>
      <c r="F30" s="314">
        <v>63</v>
      </c>
    </row>
    <row r="31" spans="1:9" ht="19.5" customHeight="1" x14ac:dyDescent="0.25">
      <c r="A31" s="286" t="s">
        <v>143</v>
      </c>
      <c r="B31" s="288" t="s">
        <v>143</v>
      </c>
      <c r="C31" s="314">
        <v>27</v>
      </c>
      <c r="D31" s="286" t="s">
        <v>143</v>
      </c>
      <c r="E31" s="315"/>
      <c r="F31" s="314">
        <v>64</v>
      </c>
    </row>
    <row r="32" spans="1:9" ht="19.5" customHeight="1" x14ac:dyDescent="0.25">
      <c r="A32" s="286" t="s">
        <v>143</v>
      </c>
      <c r="B32" s="288"/>
      <c r="C32" s="314">
        <v>28</v>
      </c>
      <c r="D32" s="286" t="s">
        <v>143</v>
      </c>
      <c r="E32" s="315"/>
      <c r="F32" s="314">
        <v>65</v>
      </c>
    </row>
    <row r="33" spans="1:9" ht="19.5" customHeight="1" x14ac:dyDescent="0.25">
      <c r="A33" s="286" t="s">
        <v>143</v>
      </c>
      <c r="B33" s="288"/>
      <c r="C33" s="314">
        <v>29</v>
      </c>
      <c r="D33" s="286" t="s">
        <v>143</v>
      </c>
      <c r="E33" s="315"/>
      <c r="F33" s="314">
        <v>66</v>
      </c>
    </row>
    <row r="34" spans="1:9" ht="19.5" customHeight="1" x14ac:dyDescent="0.25">
      <c r="A34" s="286" t="s">
        <v>143</v>
      </c>
      <c r="B34" s="288"/>
      <c r="C34" s="314">
        <v>30</v>
      </c>
      <c r="D34" s="286" t="s">
        <v>143</v>
      </c>
      <c r="E34" s="315"/>
      <c r="F34" s="314">
        <v>67</v>
      </c>
    </row>
    <row r="35" spans="1:9" ht="19.5" customHeight="1" x14ac:dyDescent="0.25">
      <c r="A35" s="286" t="s">
        <v>143</v>
      </c>
      <c r="B35" s="288"/>
      <c r="C35" s="314">
        <v>31</v>
      </c>
      <c r="D35" s="286" t="s">
        <v>143</v>
      </c>
      <c r="E35" s="315"/>
      <c r="F35" s="314">
        <v>68</v>
      </c>
    </row>
    <row r="36" spans="1:9" ht="19.5" customHeight="1" x14ac:dyDescent="0.25">
      <c r="A36" s="286" t="s">
        <v>143</v>
      </c>
      <c r="B36" s="288"/>
      <c r="C36" s="314">
        <v>32</v>
      </c>
      <c r="D36" s="286" t="s">
        <v>143</v>
      </c>
      <c r="E36" s="315"/>
      <c r="F36" s="314">
        <v>69</v>
      </c>
    </row>
    <row r="37" spans="1:9" ht="19.5" customHeight="1" x14ac:dyDescent="0.25">
      <c r="A37" s="286" t="s">
        <v>143</v>
      </c>
      <c r="B37" s="288"/>
      <c r="C37" s="314">
        <v>33</v>
      </c>
      <c r="D37" s="286" t="s">
        <v>143</v>
      </c>
      <c r="E37" s="315"/>
      <c r="F37" s="314">
        <v>70</v>
      </c>
    </row>
    <row r="38" spans="1:9" ht="19.5" customHeight="1" thickBot="1" x14ac:dyDescent="0.3">
      <c r="A38" s="286"/>
      <c r="B38" s="288"/>
      <c r="C38" s="314">
        <v>34</v>
      </c>
      <c r="D38" s="286"/>
      <c r="E38" s="288"/>
      <c r="F38" s="314">
        <v>71</v>
      </c>
    </row>
    <row r="39" spans="1:9" ht="19.5" customHeight="1" x14ac:dyDescent="0.25">
      <c r="A39" s="286"/>
      <c r="B39" s="288"/>
      <c r="C39" s="314">
        <v>35</v>
      </c>
      <c r="D39" s="286" t="s">
        <v>143</v>
      </c>
      <c r="E39" s="315"/>
      <c r="F39" s="314">
        <v>72</v>
      </c>
      <c r="G39" s="297"/>
      <c r="I39" s="273" t="s">
        <v>1157</v>
      </c>
    </row>
    <row r="40" spans="1:9" ht="19.5" customHeight="1" thickBot="1" x14ac:dyDescent="0.3">
      <c r="A40" s="286" t="s">
        <v>143</v>
      </c>
      <c r="B40" s="288"/>
      <c r="C40" s="314">
        <v>36</v>
      </c>
      <c r="D40" s="286" t="s">
        <v>143</v>
      </c>
      <c r="E40" s="315"/>
      <c r="F40" s="314">
        <v>73</v>
      </c>
      <c r="I40" s="275" t="s">
        <v>1158</v>
      </c>
    </row>
    <row r="41" spans="1:9" ht="19.5" customHeight="1" thickBot="1" x14ac:dyDescent="0.35">
      <c r="A41" s="292" t="s">
        <v>143</v>
      </c>
      <c r="B41" s="293"/>
      <c r="C41" s="324">
        <v>37</v>
      </c>
      <c r="D41" s="292" t="s">
        <v>143</v>
      </c>
      <c r="E41" s="325"/>
      <c r="F41" s="324">
        <v>74</v>
      </c>
      <c r="G41" s="303" t="s">
        <v>1163</v>
      </c>
      <c r="H41" s="538" t="s">
        <v>492</v>
      </c>
      <c r="I41" s="539"/>
    </row>
  </sheetData>
  <mergeCells count="3">
    <mergeCell ref="B1:C1"/>
    <mergeCell ref="H3:I3"/>
    <mergeCell ref="H41:I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planilla</vt:lpstr>
      <vt:lpstr>55</vt:lpstr>
      <vt:lpstr>72</vt:lpstr>
      <vt:lpstr>110</vt:lpstr>
      <vt:lpstr>q</vt:lpstr>
      <vt:lpstr>mens</vt:lpstr>
      <vt:lpstr>prest.canc.</vt:lpstr>
      <vt:lpstr>estadistica</vt:lpstr>
      <vt:lpstr>tabla de prestamos</vt:lpstr>
      <vt:lpstr>120</vt:lpstr>
      <vt:lpstr>Hoja1</vt:lpstr>
      <vt:lpstr>75</vt:lpstr>
      <vt:lpstr>80</vt:lpstr>
      <vt:lpstr>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Eduardo</cp:lastModifiedBy>
  <cp:lastPrinted>2025-11-22T00:55:29Z</cp:lastPrinted>
  <dcterms:created xsi:type="dcterms:W3CDTF">2025-04-06T20:06:05Z</dcterms:created>
  <dcterms:modified xsi:type="dcterms:W3CDTF">2025-12-05T16:24:33Z</dcterms:modified>
</cp:coreProperties>
</file>