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la" sheetId="1" state="visible" r:id="rId3"/>
    <sheet name="55" sheetId="2" state="visible" r:id="rId4"/>
    <sheet name="72" sheetId="3" state="visible" r:id="rId5"/>
    <sheet name="110" sheetId="4" state="visible" r:id="rId6"/>
    <sheet name="q" sheetId="5" state="visible" r:id="rId7"/>
    <sheet name="mens" sheetId="6" state="visible" r:id="rId8"/>
    <sheet name="prest.canc." sheetId="7" state="visible" r:id="rId9"/>
    <sheet name="estadistica" sheetId="8" state="visible" r:id="rId10"/>
    <sheet name="tabla de prestamos" sheetId="9" state="visible" r:id="rId11"/>
    <sheet name="120" sheetId="10" state="visible" r:id="rId12"/>
    <sheet name="Hoja1" sheetId="11" state="visible" r:id="rId13"/>
    <sheet name="75" sheetId="12" state="visible" r:id="rId14"/>
    <sheet name="80" sheetId="13" state="visible" r:id="rId15"/>
    <sheet name="90" sheetId="14" state="visible" r:id="rId16"/>
  </sheets>
  <externalReferences>
    <externalReference r:id="rId17"/>
  </externalReferences>
  <definedNames>
    <definedName function="false" hidden="true" localSheetId="7" name="_xlnm._FilterDatabase" vbProcedure="false">estadistica!$A$1:$L$270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Eduardo</author>
    <author>Usuario de Windows</author>
  </authors>
  <commentList>
    <comment ref="C3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4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5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12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13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131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L83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0"/>
            <charset val="1"/>
          </rPr>
          <t xml:space="preserve">actualizado el interes
</t>
        </r>
      </text>
    </comment>
    <comment ref="L12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40000 SUMADOS POR INTERESES DE MORA
sumados mas intereses 17.09.25
</t>
        </r>
      </text>
    </comment>
    <comment ref="L17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0"/>
            <charset val="1"/>
          </rPr>
          <t xml:space="preserve">recargo por atraso</t>
        </r>
      </text>
    </comment>
    <comment ref="L217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sesenta mil de recargo se aplico
</t>
        </r>
      </text>
    </comment>
    <comment ref="CL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ingresos extra. Pago de angel aguero 
</t>
        </r>
      </text>
    </comment>
    <comment ref="CL4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ingresos extra. Pago de angel aguero 
</t>
        </r>
      </text>
    </comment>
    <comment ref="CL73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ingresos extra. Pago de angel aguero 
</t>
        </r>
      </text>
    </comment>
    <comment ref="DV11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entrego$2500 mas
</t>
        </r>
      </text>
    </comment>
    <comment ref="DV18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va a transferir los 2000
</t>
        </r>
      </text>
    </comment>
    <comment ref="DW18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calculo mal martin. Por eso vuelve a faltar dinero a su cuota
</t>
        </r>
      </text>
    </comment>
    <comment ref="FA13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30000+20000
</t>
        </r>
      </text>
    </comment>
    <comment ref="FA204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pago 27,07 y 31,07</t>
        </r>
      </text>
    </comment>
    <comment ref="FM223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0"/>
            <charset val="1"/>
          </rPr>
          <t xml:space="preserve">se aplico con plata de lucero ruben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Eduardo</author>
    <author>Usuario de Windows</author>
  </authors>
  <commentList>
    <comment ref="B41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VIVEN ACTUALMENTE EN JAVA 421. EGUILUZ ES DE LOS PADRES
</t>
        </r>
      </text>
    </comment>
    <comment ref="C119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147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254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30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30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MOTO 110 C MAX PAT.A177DBH
</t>
        </r>
      </text>
    </comment>
    <comment ref="C399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461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487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48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53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549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57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651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MOTO 110 C MAX PAT.A177DBH
</t>
        </r>
      </text>
    </comment>
    <comment ref="C696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771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81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EL MINIMERCADO SE ENCUENTRA EN CALLE COLORADO Y CUEVAS
</t>
        </r>
      </text>
    </comment>
    <comment ref="C893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978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1029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C1113" authorId="1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CASA CON VENTA DE PLANTINES</t>
        </r>
      </text>
    </comment>
    <comment ref="E53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PRIMER CUOTA EN JULIO
</t>
        </r>
      </text>
    </comment>
    <comment ref="E62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primer cuota en julio
</t>
        </r>
      </text>
    </comment>
    <comment ref="F51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SOLICITO COMENZAR EN MARZO 24
</t>
        </r>
      </text>
    </comment>
    <comment ref="J40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primer cuota para abril
</t>
        </r>
      </text>
    </comment>
    <comment ref="J994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primer cuota para abril
</t>
        </r>
      </text>
    </comment>
    <comment ref="J111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modifico por error al cargarse el plan.
</t>
        </r>
      </text>
    </comment>
    <comment ref="L3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AUMENTO DE $3000 POR VUELTERA
</t>
        </r>
      </text>
    </comment>
    <comment ref="L3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$4000 intereses
</t>
        </r>
      </text>
    </comment>
    <comment ref="L4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renovo con solo pago de interes
</t>
        </r>
      </text>
    </comment>
    <comment ref="L56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interes por atraso
</t>
        </r>
      </text>
    </comment>
    <comment ref="L143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RECARGO POR  ATRASO
</t>
        </r>
      </text>
    </comment>
    <comment ref="L14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$4000 intereses
</t>
        </r>
      </text>
    </comment>
    <comment ref="L167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$3000, interes por atraso
</t>
        </r>
      </text>
    </comment>
    <comment ref="L186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refinancio en 9 cuotas de $4000.-
</t>
        </r>
      </text>
    </comment>
    <comment ref="L189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RECARGO POR ATRASO
</t>
        </r>
      </text>
    </comment>
    <comment ref="L19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RECARGO POR ATRASO
</t>
        </r>
      </text>
    </comment>
    <comment ref="L217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actualizo interes por atraso al 08/03/24
</t>
        </r>
      </text>
    </comment>
    <comment ref="L218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actualizo interes por atraso al 08.03.24
</t>
        </r>
      </text>
    </comment>
    <comment ref="L22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75 EL 19.03 Y 75 EL 05.04
</t>
        </r>
      </text>
    </comment>
    <comment ref="L24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75 EL 19.03 Y 75 EL 05.04
</t>
        </r>
      </text>
    </comment>
    <comment ref="L432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renovo el credito
</t>
        </r>
      </text>
    </comment>
    <comment ref="L611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RECARGO $20000
</t>
        </r>
      </text>
    </comment>
    <comment ref="L1034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9500 de recargo
</t>
        </r>
      </text>
    </comment>
    <comment ref="M1095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REFINANCIO A UN VALOR TOTAL DE $94500 A DEVOLVER EN 9 PAGOS DE $10500
</t>
        </r>
      </text>
    </comment>
    <comment ref="N944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por renovacion
</t>
        </r>
      </text>
    </comment>
    <comment ref="N1006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2"/>
            <charset val="1"/>
          </rPr>
          <t xml:space="preserve">se cancelo a traves del nuevo credito, emitido el 14.08</t>
        </r>
      </text>
    </comment>
    <comment ref="N1110" authorId="0">
      <text>
        <r>
          <rPr>
            <sz val="10"/>
            <rFont val="Arial"/>
            <family val="2"/>
          </rPr>
          <t xml:space="preserve">Eduardo:
</t>
        </r>
        <r>
          <rPr>
            <sz val="9"/>
            <color rgb="FF000000"/>
            <rFont val="Tahoma"/>
            <family val="0"/>
            <charset val="1"/>
          </rPr>
          <t xml:space="preserve">se aplico 50000 al credito de tapia pablo. Extrayendose 
 de los $150000 que brindo lucero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Usuario de Windows</author>
  </authors>
  <commentList>
    <comment ref="B1" authorId="0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numero antes de descartar los cancelados</t>
        </r>
      </text>
    </comment>
    <comment ref="B7" authorId="0">
      <text>
        <r>
          <rPr>
            <sz val="10"/>
            <rFont val="Arial"/>
            <family val="2"/>
          </rPr>
          <t xml:space="preserve">Usuario de Windows:
</t>
        </r>
        <r>
          <rPr>
            <sz val="9"/>
            <color rgb="FF000000"/>
            <rFont val="Tahoma"/>
            <family val="2"/>
            <charset val="1"/>
          </rPr>
          <t xml:space="preserve">se retiraron 16 cuentas a frezzer </t>
        </r>
      </text>
    </comment>
  </commentList>
</comments>
</file>

<file path=xl/sharedStrings.xml><?xml version="1.0" encoding="utf-8"?>
<sst xmlns="http://schemas.openxmlformats.org/spreadsheetml/2006/main" count="6514" uniqueCount="1431">
  <si>
    <t xml:space="preserve">CTO.</t>
  </si>
  <si>
    <t xml:space="preserve">Nombre y Apellido</t>
  </si>
  <si>
    <t xml:space="preserve">Domicilio part. y laboral</t>
  </si>
  <si>
    <t xml:space="preserve">D.N.I</t>
  </si>
  <si>
    <t xml:space="preserve">Fecha Inicio del credito</t>
  </si>
  <si>
    <t xml:space="preserve">Fecha Final del credito</t>
  </si>
  <si>
    <t xml:space="preserve">cantidad total de dias  </t>
  </si>
  <si>
    <t xml:space="preserve">Dias. Abonados</t>
  </si>
  <si>
    <t xml:space="preserve">Dias. Pendientes</t>
  </si>
  <si>
    <t xml:space="preserve">Plan. Pagos</t>
  </si>
  <si>
    <t xml:space="preserve">Capital</t>
  </si>
  <si>
    <t xml:space="preserve">Monto Devolver</t>
  </si>
  <si>
    <t xml:space="preserve">Cuota Semanal</t>
  </si>
  <si>
    <t xml:space="preserve">31.10.22</t>
  </si>
  <si>
    <t xml:space="preserve">07.11.22</t>
  </si>
  <si>
    <t xml:space="preserve">14.11.22</t>
  </si>
  <si>
    <t xml:space="preserve">21.11.22</t>
  </si>
  <si>
    <t xml:space="preserve">28.11.22</t>
  </si>
  <si>
    <t xml:space="preserve">05.12.22</t>
  </si>
  <si>
    <t xml:space="preserve">12.12.22</t>
  </si>
  <si>
    <t xml:space="preserve">19.12.22</t>
  </si>
  <si>
    <t xml:space="preserve">26.12.22</t>
  </si>
  <si>
    <t xml:space="preserve">02.01.23</t>
  </si>
  <si>
    <t xml:space="preserve">09.01.23</t>
  </si>
  <si>
    <t xml:space="preserve">16.01.23</t>
  </si>
  <si>
    <t xml:space="preserve">23.01.23</t>
  </si>
  <si>
    <t xml:space="preserve">30.01.23</t>
  </si>
  <si>
    <t xml:space="preserve">06.02.22</t>
  </si>
  <si>
    <t xml:space="preserve">13.02.23</t>
  </si>
  <si>
    <t xml:space="preserve">20.02.23</t>
  </si>
  <si>
    <t xml:space="preserve">27.02.23</t>
  </si>
  <si>
    <t xml:space="preserve">06.03.23</t>
  </si>
  <si>
    <t xml:space="preserve">13.03.23</t>
  </si>
  <si>
    <t xml:space="preserve">20.03.23</t>
  </si>
  <si>
    <t xml:space="preserve">27.03.23</t>
  </si>
  <si>
    <t xml:space="preserve">03.04.23</t>
  </si>
  <si>
    <t xml:space="preserve">10.04.23</t>
  </si>
  <si>
    <t xml:space="preserve">17.04.23</t>
  </si>
  <si>
    <t xml:space="preserve">24.04.23</t>
  </si>
  <si>
    <t xml:space="preserve">01.05.23</t>
  </si>
  <si>
    <t xml:space="preserve">08.05.23</t>
  </si>
  <si>
    <t xml:space="preserve">14.05.23</t>
  </si>
  <si>
    <t xml:space="preserve">22.05.23</t>
  </si>
  <si>
    <t xml:space="preserve">29.05.23</t>
  </si>
  <si>
    <t xml:space="preserve">5.06.23</t>
  </si>
  <si>
    <t xml:space="preserve">12.06.23</t>
  </si>
  <si>
    <t xml:space="preserve">19.06.23</t>
  </si>
  <si>
    <t xml:space="preserve">26.06.23</t>
  </si>
  <si>
    <t xml:space="preserve">03.07.23</t>
  </si>
  <si>
    <t xml:space="preserve">10.07.23</t>
  </si>
  <si>
    <t xml:space="preserve">17.07.23</t>
  </si>
  <si>
    <t xml:space="preserve">24.07.23</t>
  </si>
  <si>
    <t xml:space="preserve">31.07.23</t>
  </si>
  <si>
    <t xml:space="preserve">07.08.23</t>
  </si>
  <si>
    <t xml:space="preserve">14.08.23</t>
  </si>
  <si>
    <t xml:space="preserve">21.08.23</t>
  </si>
  <si>
    <t xml:space="preserve">28.08.23</t>
  </si>
  <si>
    <t xml:space="preserve">04.09.23</t>
  </si>
  <si>
    <t xml:space="preserve">11.09.23</t>
  </si>
  <si>
    <t xml:space="preserve">18.09.23</t>
  </si>
  <si>
    <t xml:space="preserve">25.09.23</t>
  </si>
  <si>
    <t xml:space="preserve">02.10.23</t>
  </si>
  <si>
    <t xml:space="preserve">09.10.23</t>
  </si>
  <si>
    <t xml:space="preserve">16.10.23</t>
  </si>
  <si>
    <t xml:space="preserve">23.10.23</t>
  </si>
  <si>
    <t xml:space="preserve">30.10.23</t>
  </si>
  <si>
    <t xml:space="preserve">06.11.23</t>
  </si>
  <si>
    <t xml:space="preserve">13.11.23</t>
  </si>
  <si>
    <t xml:space="preserve">20.11.23</t>
  </si>
  <si>
    <t xml:space="preserve">27.11.23</t>
  </si>
  <si>
    <t xml:space="preserve">04.12.23</t>
  </si>
  <si>
    <t xml:space="preserve">11.12.23</t>
  </si>
  <si>
    <t xml:space="preserve">18.12.23</t>
  </si>
  <si>
    <t xml:space="preserve">25.12.23</t>
  </si>
  <si>
    <t xml:space="preserve">01.01.24</t>
  </si>
  <si>
    <t xml:space="preserve">08.01.24</t>
  </si>
  <si>
    <t xml:space="preserve">15.01.24</t>
  </si>
  <si>
    <t xml:space="preserve">22.01.24</t>
  </si>
  <si>
    <t xml:space="preserve">29.01.24</t>
  </si>
  <si>
    <t xml:space="preserve">05.02.24</t>
  </si>
  <si>
    <t xml:space="preserve">12.02.24</t>
  </si>
  <si>
    <t xml:space="preserve">19.02.24</t>
  </si>
  <si>
    <t xml:space="preserve">26.02.24</t>
  </si>
  <si>
    <t xml:space="preserve">04.03.24</t>
  </si>
  <si>
    <t xml:space="preserve">11.03.24</t>
  </si>
  <si>
    <t xml:space="preserve">18.03.24</t>
  </si>
  <si>
    <t xml:space="preserve">25.03.24</t>
  </si>
  <si>
    <t xml:space="preserve">01.04.24</t>
  </si>
  <si>
    <t xml:space="preserve">08.04.24</t>
  </si>
  <si>
    <t xml:space="preserve">15.04.24</t>
  </si>
  <si>
    <t xml:space="preserve">22.04.24</t>
  </si>
  <si>
    <t xml:space="preserve">29.04.24</t>
  </si>
  <si>
    <t xml:space="preserve">06.05.24</t>
  </si>
  <si>
    <t xml:space="preserve">13.05.24</t>
  </si>
  <si>
    <t xml:space="preserve">20.05.24</t>
  </si>
  <si>
    <t xml:space="preserve">27.05.24</t>
  </si>
  <si>
    <t xml:space="preserve">03.06.24</t>
  </si>
  <si>
    <t xml:space="preserve">10.06.24</t>
  </si>
  <si>
    <t xml:space="preserve">17.06.24</t>
  </si>
  <si>
    <t xml:space="preserve">24.06.24</t>
  </si>
  <si>
    <t xml:space="preserve">01.07.24</t>
  </si>
  <si>
    <t xml:space="preserve">08.07.24</t>
  </si>
  <si>
    <t xml:space="preserve">15.07.24</t>
  </si>
  <si>
    <t xml:space="preserve">22.07.24</t>
  </si>
  <si>
    <t xml:space="preserve">29.07.24</t>
  </si>
  <si>
    <t xml:space="preserve">05.08.24</t>
  </si>
  <si>
    <t xml:space="preserve">12.08.24</t>
  </si>
  <si>
    <t xml:space="preserve">19.08.24</t>
  </si>
  <si>
    <t xml:space="preserve">26.08.24</t>
  </si>
  <si>
    <t xml:space="preserve">02.09.24</t>
  </si>
  <si>
    <t xml:space="preserve">09.09.24</t>
  </si>
  <si>
    <t xml:space="preserve">16.09.24</t>
  </si>
  <si>
    <t xml:space="preserve">23.09.24</t>
  </si>
  <si>
    <t xml:space="preserve">30.09.24</t>
  </si>
  <si>
    <t xml:space="preserve">07.10.24</t>
  </si>
  <si>
    <t xml:space="preserve">14.10.24</t>
  </si>
  <si>
    <t xml:space="preserve">21.10.24</t>
  </si>
  <si>
    <t xml:space="preserve">28.10.24</t>
  </si>
  <si>
    <t xml:space="preserve">04.11.24</t>
  </si>
  <si>
    <t xml:space="preserve">11.11.24</t>
  </si>
  <si>
    <t xml:space="preserve">18.11.24</t>
  </si>
  <si>
    <t xml:space="preserve">25.11.24</t>
  </si>
  <si>
    <t xml:space="preserve">02.12.24</t>
  </si>
  <si>
    <t xml:space="preserve">09.12.24</t>
  </si>
  <si>
    <t xml:space="preserve">16.12.24</t>
  </si>
  <si>
    <t xml:space="preserve">23.12.24</t>
  </si>
  <si>
    <t xml:space="preserve">30.12.24</t>
  </si>
  <si>
    <t xml:space="preserve">06.01.25</t>
  </si>
  <si>
    <t xml:space="preserve">13.01.25</t>
  </si>
  <si>
    <t xml:space="preserve">20.01.25</t>
  </si>
  <si>
    <t xml:space="preserve">27.01.25</t>
  </si>
  <si>
    <t xml:space="preserve">03.02.25</t>
  </si>
  <si>
    <t xml:space="preserve">10.02.25</t>
  </si>
  <si>
    <t xml:space="preserve">17.02.25</t>
  </si>
  <si>
    <t xml:space="preserve">24.02.25</t>
  </si>
  <si>
    <t xml:space="preserve">03.03.25</t>
  </si>
  <si>
    <t xml:space="preserve">10.03.25</t>
  </si>
  <si>
    <t xml:space="preserve">17.03.25</t>
  </si>
  <si>
    <t xml:space="preserve">24.03.25</t>
  </si>
  <si>
    <t xml:space="preserve">31.03.25</t>
  </si>
  <si>
    <t xml:space="preserve">07.04.25</t>
  </si>
  <si>
    <t xml:space="preserve">14.04.25</t>
  </si>
  <si>
    <t xml:space="preserve">21.04.25</t>
  </si>
  <si>
    <t xml:space="preserve">28.04.25</t>
  </si>
  <si>
    <t xml:space="preserve">05.05.25</t>
  </si>
  <si>
    <t xml:space="preserve">12.05.25</t>
  </si>
  <si>
    <t xml:space="preserve">19.05.25</t>
  </si>
  <si>
    <t xml:space="preserve">26.05.25</t>
  </si>
  <si>
    <t xml:space="preserve">02.06.25</t>
  </si>
  <si>
    <t xml:space="preserve">09.06.25</t>
  </si>
  <si>
    <t xml:space="preserve">16.6.25</t>
  </si>
  <si>
    <t xml:space="preserve">23.06.25</t>
  </si>
  <si>
    <t xml:space="preserve">30.06.25</t>
  </si>
  <si>
    <t xml:space="preserve">07.07.25</t>
  </si>
  <si>
    <t xml:space="preserve">14.07.25</t>
  </si>
  <si>
    <t xml:space="preserve">21.07.25</t>
  </si>
  <si>
    <t xml:space="preserve">28.07.25</t>
  </si>
  <si>
    <t xml:space="preserve">04.08.25</t>
  </si>
  <si>
    <t xml:space="preserve">11.08.25</t>
  </si>
  <si>
    <t xml:space="preserve">18.08.25</t>
  </si>
  <si>
    <t xml:space="preserve">25.08.25</t>
  </si>
  <si>
    <t xml:space="preserve">01.09.25</t>
  </si>
  <si>
    <t xml:space="preserve">08.09.25</t>
  </si>
  <si>
    <t xml:space="preserve">15.09.25</t>
  </si>
  <si>
    <t xml:space="preserve">22.09.25</t>
  </si>
  <si>
    <t xml:space="preserve">29.09.25</t>
  </si>
  <si>
    <t xml:space="preserve">06.10.25</t>
  </si>
  <si>
    <t xml:space="preserve">13.10.25</t>
  </si>
  <si>
    <t xml:space="preserve">20.10.25</t>
  </si>
  <si>
    <t xml:space="preserve">27.10.25</t>
  </si>
  <si>
    <t xml:space="preserve">03.11.25</t>
  </si>
  <si>
    <t xml:space="preserve">10.11.25</t>
  </si>
  <si>
    <t xml:space="preserve">17.11.25</t>
  </si>
  <si>
    <t xml:space="preserve">24.11.25</t>
  </si>
  <si>
    <t xml:space="preserve">01.12.25</t>
  </si>
  <si>
    <t xml:space="preserve">Acumulado $$$</t>
  </si>
  <si>
    <t xml:space="preserve">Pendiente $$$</t>
  </si>
  <si>
    <t xml:space="preserve">Semanas. Abonadas</t>
  </si>
  <si>
    <t xml:space="preserve">Semanas Pendientes</t>
  </si>
  <si>
    <t xml:space="preserve">Mes abonado</t>
  </si>
  <si>
    <t xml:space="preserve">MES PENDIENTE</t>
  </si>
  <si>
    <t xml:space="preserve">ABACA DARIO DANIEL  </t>
  </si>
  <si>
    <t xml:space="preserve">VILLA MARIA 6187 TC.3516503711.LAB. LA FALDA 5822</t>
  </si>
  <si>
    <t xml:space="preserve">9 meses$90,000</t>
  </si>
  <si>
    <t xml:space="preserve"> </t>
  </si>
  <si>
    <t xml:space="preserve">ABREGO NORMA MARCELA</t>
  </si>
  <si>
    <t xml:space="preserve">CALAMUCHITA 6087.LT. CONSTITUCION ESQ. TILCARA-TC. 3516 06-4857-3517466859</t>
  </si>
  <si>
    <t xml:space="preserve">4MES$54000</t>
  </si>
  <si>
    <t xml:space="preserve">72*3000</t>
  </si>
  <si>
    <t xml:space="preserve">ABREGO NORMA MARCELA(cuñada)</t>
  </si>
  <si>
    <t xml:space="preserve">72*6000</t>
  </si>
  <si>
    <t xml:space="preserve">ABREGO VICTOR HUGO</t>
  </si>
  <si>
    <t xml:space="preserve">4MES$162,000</t>
  </si>
  <si>
    <t xml:space="preserve">AGÜERO ANGEL NICOLAS</t>
  </si>
  <si>
    <t xml:space="preserve">USHUAIA 1666. STA. ISABEL-3517040995- EDIF. CENIT F.ALCORTA 220</t>
  </si>
  <si>
    <t xml:space="preserve">4mes$108000</t>
  </si>
  <si>
    <t xml:space="preserve">AGÜERO FERNANDO GABRIEL</t>
  </si>
  <si>
    <t xml:space="preserve">USHUAIA 1666. STA. ISABEL-3512180168</t>
  </si>
  <si>
    <t xml:space="preserve">4 mes$24300</t>
  </si>
  <si>
    <t xml:space="preserve">1 PAGO</t>
  </si>
  <si>
    <t xml:space="preserve">AGUIRRE ANALIA ISABEL </t>
  </si>
  <si>
    <t xml:space="preserve">ABREU DE FIGUEROA ENTRE TANTI Y POSE</t>
  </si>
  <si>
    <t xml:space="preserve">7 Q.$141000</t>
  </si>
  <si>
    <t xml:space="preserve">ALFARO ELIDA ESTER- ALFARO ELIO EMA</t>
  </si>
  <si>
    <t xml:space="preserve">CHOELE CHOEL 2288-TC.3516070186</t>
  </si>
  <si>
    <t xml:space="preserve">50*10000</t>
  </si>
  <si>
    <t xml:space="preserve">ALICANTE LUIS </t>
  </si>
  <si>
    <t xml:space="preserve">MZA.14 LT.9-BARRIO CABILDO</t>
  </si>
  <si>
    <t xml:space="preserve">110*3120</t>
  </si>
  <si>
    <t xml:space="preserve">AMARANTO ELINA</t>
  </si>
  <si>
    <t xml:space="preserve">VICENTE FORESTIERI 5721- V.LIBERTADOR TC3516 57-6705</t>
  </si>
  <si>
    <t xml:space="preserve">6 MESES$52800</t>
  </si>
  <si>
    <t xml:space="preserve">ARCE EDHITH ELIZABETH DEL VALLE</t>
  </si>
  <si>
    <t xml:space="preserve">Bogota   </t>
  </si>
  <si>
    <t xml:space="preserve">16 q.57000</t>
  </si>
  <si>
    <t xml:space="preserve">20*11250</t>
  </si>
  <si>
    <t xml:space="preserve">ARCE MONICA PILAR</t>
  </si>
  <si>
    <t xml:space="preserve">AMBUL 6076-COMERCIAL-517647824</t>
  </si>
  <si>
    <t xml:space="preserve">27.22220669.9</t>
  </si>
  <si>
    <t xml:space="preserve">10meses$134.400</t>
  </si>
  <si>
    <t xml:space="preserve">8 meses$112,500</t>
  </si>
  <si>
    <t xml:space="preserve">10 mes$312000</t>
  </si>
  <si>
    <t xml:space="preserve">ARCE SILVIA GABRIELA DEL VALLE</t>
  </si>
  <si>
    <t xml:space="preserve">AMBUL 6073-3518113168</t>
  </si>
  <si>
    <t xml:space="preserve">6 mes$176000</t>
  </si>
  <si>
    <t xml:space="preserve">72*8700</t>
  </si>
  <si>
    <t xml:space="preserve">ARRASCAETA VALENTINA ALICIA</t>
  </si>
  <si>
    <t xml:space="preserve">DIEGO PAROISSIEN 33364 -LT. GERVASONI 2382 TC.3516099463</t>
  </si>
  <si>
    <t xml:space="preserve">110*2880</t>
  </si>
  <si>
    <t xml:space="preserve">ARRIETA SERGIO ALEJANDRO- MARTINEZ GABRIELA</t>
  </si>
  <si>
    <t xml:space="preserve">MZ13 LOTE 5 TERRANOSTRA 2 TC.3518004006</t>
  </si>
  <si>
    <t xml:space="preserve">3 MES$1280000</t>
  </si>
  <si>
    <t xml:space="preserve">BARROS DANIEL MARCELO</t>
  </si>
  <si>
    <t xml:space="preserve">SALTA 347 2PISO DPTO6</t>
  </si>
  <si>
    <t xml:space="preserve">BENGOLEA HUGO MIGUEL</t>
  </si>
  <si>
    <t xml:space="preserve">SOBREMONTE 5778</t>
  </si>
  <si>
    <t xml:space="preserve">110*19200</t>
  </si>
  <si>
    <t xml:space="preserve">BENITEZ TANIA ALEJANDRA</t>
  </si>
  <si>
    <t xml:space="preserve">COLORADO 5765 DPTO.2 EUROCLEAN. MISERICORDIA SALA CLINICA MEDICA TC.3518022824</t>
  </si>
  <si>
    <t xml:space="preserve">4 MES$108000</t>
  </si>
  <si>
    <t xml:space="preserve">BLOIN CLAUDIA DEL VALLE</t>
  </si>
  <si>
    <t xml:space="preserve">TUNUYAN 2121-TC.351-287-6204</t>
  </si>
  <si>
    <t xml:space="preserve">16 quin$54,000</t>
  </si>
  <si>
    <t xml:space="preserve">BRANDAN LUCAS EDUARDO</t>
  </si>
  <si>
    <t xml:space="preserve">TRAB. ANJOR CAMINO SAN CARLOS 5325-TP.3514084052- DP.YACANTO 817- H.IRIGOYEN</t>
  </si>
  <si>
    <t xml:space="preserve">4mes$162.000</t>
  </si>
  <si>
    <t xml:space="preserve">4mes$54.000</t>
  </si>
  <si>
    <t xml:space="preserve">10 mes$156.000</t>
  </si>
  <si>
    <t xml:space="preserve">BROCCA ESTELA GRACIELA</t>
  </si>
  <si>
    <t xml:space="preserve">CABO ALFREDO GONZALEZ 1625 TC.351 6544748</t>
  </si>
  <si>
    <t xml:space="preserve">4mes$54000</t>
  </si>
  <si>
    <t xml:space="preserve">CABIDO JOSEFA OLGA  </t>
  </si>
  <si>
    <t xml:space="preserve">CALAMUCHITA 5717- TC. M.3513571945</t>
  </si>
  <si>
    <t xml:space="preserve">9 mes$67,000</t>
  </si>
  <si>
    <t xml:space="preserve">110*2400</t>
  </si>
  <si>
    <t xml:space="preserve">10 mes$62.400</t>
  </si>
  <si>
    <t xml:space="preserve">CABIDO JOSEFA OLGA  (MARTIN)</t>
  </si>
  <si>
    <t xml:space="preserve">CABIDO JOSEFA OLGA (Natalia) </t>
  </si>
  <si>
    <t xml:space="preserve">6 mes$22.000</t>
  </si>
  <si>
    <t xml:space="preserve">CASTILLO JESUS FERNANDO(miercoles con refin)</t>
  </si>
  <si>
    <t xml:space="preserve">CALLE 2 MZA.167.LOT.4 .PQUE SANTA ANA-TC.3547460595- VERDULERIA LA PLAZA . 1RO. DE MAYO Y RIO NEGRO -KANSAS ESQ. NUEVA JERSEY. FLIA FLORES</t>
  </si>
  <si>
    <t xml:space="preserve">160*23000</t>
  </si>
  <si>
    <t xml:space="preserve">CASTILLO SILVIA MIRIAM</t>
  </si>
  <si>
    <t xml:space="preserve">pirincha 9634 - barrio arenales - 3512563257-lt. Uruguay 448</t>
  </si>
  <si>
    <t xml:space="preserve">3 meses $166500</t>
  </si>
  <si>
    <t xml:space="preserve">COLAZO MAXIMILIANO GERMAN-MEDRANO MARIANA ROMINA</t>
  </si>
  <si>
    <t xml:space="preserve">LEONISMO ARGENTINO 563- 3547611829(01)</t>
  </si>
  <si>
    <t xml:space="preserve">9 mes $54500</t>
  </si>
  <si>
    <t xml:space="preserve">COLLADO FERNANDO MARTIN</t>
  </si>
  <si>
    <t xml:space="preserve">BLOCK K DP 607 SDO PSO - L.T. MUNGATU Y CASERATTO TC. 152526685</t>
  </si>
  <si>
    <t xml:space="preserve">14 MES$260000</t>
  </si>
  <si>
    <t xml:space="preserve">14 MES$174000</t>
  </si>
  <si>
    <t xml:space="preserve">COLLADO MONTERO CANCELARIA</t>
  </si>
  <si>
    <t xml:space="preserve">4 MES$162000</t>
  </si>
  <si>
    <t xml:space="preserve">DIAZ ALBERTO-GODOY SILVANA NOEMI-</t>
  </si>
  <si>
    <t xml:space="preserve">PANAMA 2411- YAPEYU-TC.3515731285</t>
  </si>
  <si>
    <t xml:space="preserve">14 MES$100000</t>
  </si>
  <si>
    <t xml:space="preserve">ESPAÑON JUAN OSCAR</t>
  </si>
  <si>
    <t xml:space="preserve">PIEDRA PINTADA 348</t>
  </si>
  <si>
    <t xml:space="preserve">4 meses$162000</t>
  </si>
  <si>
    <t xml:space="preserve">FARIAS CAROLINA AYELEN</t>
  </si>
  <si>
    <t xml:space="preserve">MZA.46 LTE. 13-IPV. ITUZAINGO ANEXO- TC.351-7142709- SAN MARTIN 157 LABORAL</t>
  </si>
  <si>
    <t xml:space="preserve">27-32492625-4</t>
  </si>
  <si>
    <t xml:space="preserve">7 MES$117.858</t>
  </si>
  <si>
    <t xml:space="preserve">210*8100</t>
  </si>
  <si>
    <t xml:space="preserve">8 MES$150.000</t>
  </si>
  <si>
    <t xml:space="preserve">160*5400</t>
  </si>
  <si>
    <t xml:space="preserve">FARIAS JORGE DANIEL</t>
  </si>
  <si>
    <t xml:space="preserve">GALILAN 4557</t>
  </si>
  <si>
    <t xml:space="preserve">110*12000</t>
  </si>
  <si>
    <t xml:space="preserve">160*18000</t>
  </si>
  <si>
    <t xml:space="preserve">FARIAS JUAN CARLOS</t>
  </si>
  <si>
    <t xml:space="preserve">ARICA 932-3512691013-4933532</t>
  </si>
  <si>
    <t xml:space="preserve">6 M$44000</t>
  </si>
  <si>
    <t xml:space="preserve">4 mes$5400</t>
  </si>
  <si>
    <t xml:space="preserve">6 mes$22,000</t>
  </si>
  <si>
    <t xml:space="preserve">4 mes$10800</t>
  </si>
  <si>
    <t xml:space="preserve">4 M$54000</t>
  </si>
  <si>
    <t xml:space="preserve">6 M$22528</t>
  </si>
  <si>
    <t xml:space="preserve">FERNANDEZ JESSICA PAOLA</t>
  </si>
  <si>
    <t xml:space="preserve">AYACUCHO 373 PB.(PORTON NEGRO)</t>
  </si>
  <si>
    <t xml:space="preserve">60*$16000</t>
  </si>
  <si>
    <t xml:space="preserve">FERREYRA CAROLINA GRISELDA</t>
  </si>
  <si>
    <t xml:space="preserve">ADRIAN ESCOBAR 3485, LAS FLORES</t>
  </si>
  <si>
    <t xml:space="preserve">11q$24000</t>
  </si>
  <si>
    <t xml:space="preserve">16q$46875</t>
  </si>
  <si>
    <t xml:space="preserve">16q$9375</t>
  </si>
  <si>
    <t xml:space="preserve">11q$48000</t>
  </si>
  <si>
    <t xml:space="preserve">FERREYRA NOELIA ALEJ.-FERREYRA PATRICIA N.</t>
  </si>
  <si>
    <t xml:space="preserve">J. VERDI 3925 TP.1885826-351-3009709-351-3463900</t>
  </si>
  <si>
    <t xml:space="preserve">8MES$375000</t>
  </si>
  <si>
    <t xml:space="preserve">27.32925048.8</t>
  </si>
  <si>
    <t xml:space="preserve">6 MESES $108000</t>
  </si>
  <si>
    <t xml:space="preserve">FERREYRA PAMELA GISELA-DANIEL GUSTAVO GODOY</t>
  </si>
  <si>
    <t xml:space="preserve">mza.149 lote 19- b. el recreo-USHUAIA 3350- CASA 317. SAN IGNACIO DE HORIZONTE-3517568462-GUSTAVO 3517139886</t>
  </si>
  <si>
    <t xml:space="preserve">8QUINC.$40500</t>
  </si>
  <si>
    <t xml:space="preserve">FLORES JUANA TERESA</t>
  </si>
  <si>
    <t xml:space="preserve">CALAMUCHITA 6060- COMERCIAL- TC.3516570936</t>
  </si>
  <si>
    <t xml:space="preserve">FONSECA GUZMAN JAVIER ALEJANDRO</t>
  </si>
  <si>
    <t xml:space="preserve">LA RIOJA 2015 1A-3516500372-TRAB SATSAID-HIPOLITO VIEYTES 1532</t>
  </si>
  <si>
    <t xml:space="preserve">15MES$14290</t>
  </si>
  <si>
    <t xml:space="preserve">12 meses$7000</t>
  </si>
  <si>
    <t xml:space="preserve">12 meses$2350</t>
  </si>
  <si>
    <t xml:space="preserve">6 mes $8800</t>
  </si>
  <si>
    <t xml:space="preserve">FONSECA ROMINA ISABEL</t>
  </si>
  <si>
    <t xml:space="preserve">zapateria constanza- DIR.TRAB. ruta 20 1960-TC.3516965370</t>
  </si>
  <si>
    <t xml:space="preserve">6 mes $66,000</t>
  </si>
  <si>
    <t xml:space="preserve">8 mes$75000</t>
  </si>
  <si>
    <t xml:space="preserve">8mes$75000</t>
  </si>
  <si>
    <t xml:space="preserve">FONSECA ROMINA ISABEL (MATIAS FRIAS)</t>
  </si>
  <si>
    <t xml:space="preserve">FRONTERA JUAN CARLOS</t>
  </si>
  <si>
    <t xml:space="preserve">4M*54000</t>
  </si>
  <si>
    <t xml:space="preserve">FRONTERA NICOLAS</t>
  </si>
  <si>
    <t xml:space="preserve">72*1500</t>
  </si>
  <si>
    <t xml:space="preserve">FUENTES MABEL LETICIA DEL VALLE</t>
  </si>
  <si>
    <t xml:space="preserve">LUIS MARIA DRAGO 268 -3512911884cbu0200931911000020195876</t>
  </si>
  <si>
    <t xml:space="preserve">6meses$22000</t>
  </si>
  <si>
    <t xml:space="preserve">6meses$88000</t>
  </si>
  <si>
    <t xml:space="preserve">4meses$27000</t>
  </si>
  <si>
    <t xml:space="preserve">4 meses$37800</t>
  </si>
  <si>
    <t xml:space="preserve">4meses$22000</t>
  </si>
  <si>
    <t xml:space="preserve">FUENTES MABEL LETICIA DEL VALLE (NADIA AILEN SOBRINA)</t>
  </si>
  <si>
    <t xml:space="preserve">FUENTES MARISA RUTH</t>
  </si>
  <si>
    <t xml:space="preserve">SANTA ROSA 1783 PB. A</t>
  </si>
  <si>
    <t xml:space="preserve">6mes$88,000</t>
  </si>
  <si>
    <t xml:space="preserve">8mes$90000</t>
  </si>
  <si>
    <t xml:space="preserve">8mes$132000</t>
  </si>
  <si>
    <t xml:space="preserve">GIMENEZ MILAGROS ABIGAIL-PAGLIARI LUIS MANUEL </t>
  </si>
  <si>
    <t xml:space="preserve">PIZARRO 6800-  INAUDI TC.3515570528</t>
  </si>
  <si>
    <t xml:space="preserve">27.42894494.7</t>
  </si>
  <si>
    <t xml:space="preserve">GOMEZ DIEGO JAVIER</t>
  </si>
  <si>
    <t xml:space="preserve">MONSEÑOR PABLO CABRERA 3794 PB. DPTO.1-TL 4257910-tc.3512951027</t>
  </si>
  <si>
    <t xml:space="preserve">72*7715</t>
  </si>
  <si>
    <t xml:space="preserve">GOMEZ SILVINA ALEJANDRA</t>
  </si>
  <si>
    <t xml:space="preserve">CHICLANA 3423-MULLER TC.156756825-MILA</t>
  </si>
  <si>
    <t xml:space="preserve">4 MES$54000</t>
  </si>
  <si>
    <t xml:space="preserve">3 MES$128000</t>
  </si>
  <si>
    <t xml:space="preserve">GONZALEZ AURELIA FAUSTINA</t>
  </si>
  <si>
    <t xml:space="preserve">J.RIOS 1471 P2-DPTO.9 L.TRAB. ALEM 2055</t>
  </si>
  <si>
    <t xml:space="preserve">10mes$249600</t>
  </si>
  <si>
    <t xml:space="preserve">GUSMAN CLAUDIA ALICIA</t>
  </si>
  <si>
    <t xml:space="preserve">LAS CUEVAS 2150 CABILDO-3512 32-8305</t>
  </si>
  <si>
    <t xml:space="preserve">4MESES$108000</t>
  </si>
  <si>
    <t xml:space="preserve">GUTIERREZ MARCOS</t>
  </si>
  <si>
    <t xml:space="preserve">GUTIERREZ MONICA SANDRA</t>
  </si>
  <si>
    <t xml:space="preserve">ESTEBAN BONORINO 4643-R.J.CARCANO- ESPINOSA MALL. TC.3512387037</t>
  </si>
  <si>
    <t xml:space="preserve">6 MESES$52.800</t>
  </si>
  <si>
    <t xml:space="preserve">6MESES$44,000</t>
  </si>
  <si>
    <t xml:space="preserve">8MESES$44,000</t>
  </si>
  <si>
    <t xml:space="preserve">8MESES$108,000</t>
  </si>
  <si>
    <t xml:space="preserve">4MESES$54.000</t>
  </si>
  <si>
    <t xml:space="preserve">GUZMAN VERONICA ELIZABETH</t>
  </si>
  <si>
    <t xml:space="preserve">JOSE MARIA EGUILUZ 543-SAN FERNANDO</t>
  </si>
  <si>
    <t xml:space="preserve">HEERERA GIULIANA AGUSTINA</t>
  </si>
  <si>
    <t xml:space="preserve">FRAY MAMERTO ESQUIU  432 2C. GRAL PAZ 351-2545791</t>
  </si>
  <si>
    <t xml:space="preserve">80*8100</t>
  </si>
  <si>
    <t xml:space="preserve">HENOT MARIA DE LOS MILAGROS</t>
  </si>
  <si>
    <t xml:space="preserve">AV. ARMADA ARG.2939.3515637498</t>
  </si>
  <si>
    <t xml:space="preserve">10 mes$170000</t>
  </si>
  <si>
    <t xml:space="preserve">HENOT SERGIO ALEJANDRO</t>
  </si>
  <si>
    <t xml:space="preserve">AV. ARMADA ARG.2939.TP.4932602. TL. 03543-422853</t>
  </si>
  <si>
    <t xml:space="preserve">110*7200</t>
  </si>
  <si>
    <t xml:space="preserve">LAZARTE BERTA ROSA</t>
  </si>
  <si>
    <t xml:space="preserve">BOGOTA 1168- 3518172978-TL.461744 (L.LANGER 1155)</t>
  </si>
  <si>
    <t xml:space="preserve">LAZARTE BERTA ROSA(Martin)</t>
  </si>
  <si>
    <t xml:space="preserve">LEGUIZAMON CASTILLO LEANDRO LUCIANO</t>
  </si>
  <si>
    <t xml:space="preserve">BENTEVEO 3638 TC.3516770749- ARENALES LT.MODERAND2 AV. A. CAPDEVILLA 1667 TL.2513777070</t>
  </si>
  <si>
    <t xml:space="preserve">3MES $256000</t>
  </si>
  <si>
    <t xml:space="preserve">LLORENS MARIA CRISTINA </t>
  </si>
  <si>
    <t xml:space="preserve">JUEZ BARRACO MARMOL 267- GRAL BUSTOS. TC.351686-0893</t>
  </si>
  <si>
    <t xml:space="preserve">8MES$112500</t>
  </si>
  <si>
    <t xml:space="preserve">6 MES$57,200</t>
  </si>
  <si>
    <t xml:space="preserve">4mes$27.000</t>
  </si>
  <si>
    <t xml:space="preserve">LOPEZ MARINA ALICIA</t>
  </si>
  <si>
    <t xml:space="preserve">6 mes 52800</t>
  </si>
  <si>
    <t xml:space="preserve">LUCERO RUBEN DEL CARMEN</t>
  </si>
  <si>
    <t xml:space="preserve">GUILLERMO HUDSON 4572- LICEO II- CPC II. OBRAS PUBLICAS. 2DO PISO- MARIO MEDINA COMPAÑERO</t>
  </si>
  <si>
    <t xml:space="preserve">12 QUIN$55000</t>
  </si>
  <si>
    <t xml:space="preserve">12 mes$425000</t>
  </si>
  <si>
    <t xml:space="preserve">LUDUEÑA NANCY ALEJANDRA</t>
  </si>
  <si>
    <t xml:space="preserve">SAN ANDRES 3832- EL QUEBRACHO-TC.3512527127-EDIF EL PUENTE. AVELLANEDA 490- EMPLEADOR JUAN IBAÑEZ PADILLA. TC.3515194544</t>
  </si>
  <si>
    <t xml:space="preserve">7quin$46300</t>
  </si>
  <si>
    <t xml:space="preserve">6 MES$44000</t>
  </si>
  <si>
    <t xml:space="preserve">11quin$48000</t>
  </si>
  <si>
    <t xml:space="preserve">LUNA ROSA VIVIANA</t>
  </si>
  <si>
    <t xml:space="preserve">MANERO BLOIN AGUSTINA</t>
  </si>
  <si>
    <t xml:space="preserve">TUNUYAN 2139-3516791165-   clinica jardin ex richieri</t>
  </si>
  <si>
    <t xml:space="preserve">20 Q.$34500</t>
  </si>
  <si>
    <t xml:space="preserve">15Q$52800</t>
  </si>
  <si>
    <t xml:space="preserve">MARTINEZ BARBARA LUCIANA</t>
  </si>
  <si>
    <t xml:space="preserve">ISCHILIN 5918 TC.3515645329 - TL3513398868 AV.TOSCO 1098 TASSI DIAZ PAOLA</t>
  </si>
  <si>
    <t xml:space="preserve">110*2200</t>
  </si>
  <si>
    <t xml:space="preserve">MARTINEZ ERICA JORGELINA-MARTNIENZ NATALIA S.</t>
  </si>
  <si>
    <t xml:space="preserve">ISCHILIN 6019TC. 3515638869TL3512089673LT.ENTRE RIOS 273 GOOD MANERO</t>
  </si>
  <si>
    <t xml:space="preserve">MARTINEZ NATALIA SOLEDAD </t>
  </si>
  <si>
    <t xml:space="preserve">AMBUL 6076-COMERCIAL-3515472342-lab. BS. AS 465 DPTO 8B</t>
  </si>
  <si>
    <t xml:space="preserve">8 MES$56250</t>
  </si>
  <si>
    <t xml:space="preserve">MARTINEZ NATALIA SOLEDAD (cristian)</t>
  </si>
  <si>
    <t xml:space="preserve">72*$3000</t>
  </si>
  <si>
    <t xml:space="preserve">55*2800</t>
  </si>
  <si>
    <t xml:space="preserve">MAS JOSE ADRIAN-AMARANTO ELINA DEL PILAR</t>
  </si>
  <si>
    <t xml:space="preserve">110*3600</t>
  </si>
  <si>
    <t xml:space="preserve">MOLINA MAXIMILIANO EXE- BLOIN CLAUDIA DEL V. - MANERO BLOIN AGUSTINA B.</t>
  </si>
  <si>
    <t xml:space="preserve">COLORADO 5676.TC. 3513173503</t>
  </si>
  <si>
    <t xml:space="preserve">11 QUINC$48000</t>
  </si>
  <si>
    <t xml:space="preserve">MORETTI SILVIA</t>
  </si>
  <si>
    <t xml:space="preserve">INCHAUSPE </t>
  </si>
  <si>
    <t xml:space="preserve">1 PAGO$90000</t>
  </si>
  <si>
    <t xml:space="preserve">MOYANO ANA DE LOURDES</t>
  </si>
  <si>
    <t xml:space="preserve">LA FALDA 6058 TC.3513149383</t>
  </si>
  <si>
    <t xml:space="preserve">6 MES$66000</t>
  </si>
  <si>
    <t xml:space="preserve">MOYANO FABIAN ISAAC</t>
  </si>
  <si>
    <t xml:space="preserve">LA FALDA 6058 TC.3515135790 -3513824577</t>
  </si>
  <si>
    <t xml:space="preserve">11Q*$36000</t>
  </si>
  <si>
    <t xml:space="preserve">NORIEGA IRINA MICAELA</t>
  </si>
  <si>
    <t xml:space="preserve">JOSE JAVIER DIAZ 202 343 PB B75- TC.351,6873062</t>
  </si>
  <si>
    <t xml:space="preserve">6 Mes$132,000</t>
  </si>
  <si>
    <t xml:space="preserve">NORIEGA JEMIMAH SOLEDAD- NORIEGA IRINA MICAELA</t>
  </si>
  <si>
    <t xml:space="preserve">EDUARDO CRESPO 3276 Y 3081- PB ESC.B75- OLEO</t>
  </si>
  <si>
    <t xml:space="preserve">55*10286</t>
  </si>
  <si>
    <t xml:space="preserve">OCHOA RAMONA DEL VALLE-ALICANTE LUIS</t>
  </si>
  <si>
    <t xml:space="preserve">OLIVA MIRIAM DEL VALLE</t>
  </si>
  <si>
    <t xml:space="preserve">PEDRO ECHAGUE 3695 TC.153229631 TL.4466800</t>
  </si>
  <si>
    <t xml:space="preserve">OLMOS ELENA  </t>
  </si>
  <si>
    <t xml:space="preserve">1 pago</t>
  </si>
  <si>
    <t xml:space="preserve">OLMOS ELENA (soledad)</t>
  </si>
  <si>
    <t xml:space="preserve">ORELLANO JULIETA ABIGAIL</t>
  </si>
  <si>
    <t xml:space="preserve">YOCSINA 1696-3513919623-3512628606-APEX  -BAR EL BARQUITO PLAZA JERONIMO DEL BARCO</t>
  </si>
  <si>
    <t xml:space="preserve">PAEZ FERNANDO GABRIEL</t>
  </si>
  <si>
    <t xml:space="preserve">ARICA 1873. SANTA ISABLE SEGUNDA. MZA.14 LT.9-BARRIO CABILDO</t>
  </si>
  <si>
    <t xml:space="preserve">10 MES$168000</t>
  </si>
  <si>
    <t xml:space="preserve"> 6MES$44000</t>
  </si>
  <si>
    <t xml:space="preserve">PAEZ GIANFRANCO- PAEZ WALTER RAMON</t>
  </si>
  <si>
    <t xml:space="preserve">14 mes$321500</t>
  </si>
  <si>
    <t xml:space="preserve">6 mes$88000</t>
  </si>
  <si>
    <t xml:space="preserve">1er cuota para septiembre</t>
  </si>
  <si>
    <t xml:space="preserve">6 mes$44000</t>
  </si>
  <si>
    <t xml:space="preserve">PAEZ WALTER RAMON</t>
  </si>
  <si>
    <t xml:space="preserve">4 m*81000</t>
  </si>
  <si>
    <t xml:space="preserve">PAGLIARI LUIS MANUEL</t>
  </si>
  <si>
    <t xml:space="preserve">TOMAS DE ROCAMORA 2322-PATRICIO NORTE</t>
  </si>
  <si>
    <t xml:space="preserve">72*3600</t>
  </si>
  <si>
    <t xml:space="preserve">PALACIO RODOLFB168:FL168O RUBEN-YAÑEZ TOMAS MANUEL (REFIN)</t>
  </si>
  <si>
    <t xml:space="preserve">RODRIGUEZ DE LA TORRE 1424- SUAREZ</t>
  </si>
  <si>
    <t xml:space="preserve">20,32314270,0 (01)</t>
  </si>
  <si>
    <t xml:space="preserve">6 MES$45000</t>
  </si>
  <si>
    <t xml:space="preserve">PALACIOS MICAELA ABIGAIL</t>
  </si>
  <si>
    <t xml:space="preserve">B. SACHI TC.351 702-5836-GUANASACATE 2931</t>
  </si>
  <si>
    <t xml:space="preserve">72*9000</t>
  </si>
  <si>
    <t xml:space="preserve">PARRA MARTIN GERARDO </t>
  </si>
  <si>
    <t xml:space="preserve">MZA.42-CASA19. COOP VIPRO</t>
  </si>
  <si>
    <t xml:space="preserve">20.3643123.3</t>
  </si>
  <si>
    <t xml:space="preserve">MZA.42-CASA19. COOP VIPRO-lt. San jeronimo y rio primero</t>
  </si>
  <si>
    <t xml:space="preserve">20 q.$75000</t>
  </si>
  <si>
    <t xml:space="preserve">  </t>
  </si>
  <si>
    <t xml:space="preserve">PAZ CESAR ALBERTO</t>
  </si>
  <si>
    <t xml:space="preserve">AMBUL 6066 3517074754 TF.4936836 TL.4633220</t>
  </si>
  <si>
    <t xml:space="preserve">6mes$44000</t>
  </si>
  <si>
    <t xml:space="preserve">PAZ DANIEL A.- VILLALBA CRISTIAN M.-PAZ MARISA JULIETA</t>
  </si>
  <si>
    <t xml:space="preserve">publica c 3295 - JUJUY 76 PB-3512110973</t>
  </si>
  <si>
    <t xml:space="preserve">8 mes$150000</t>
  </si>
  <si>
    <t xml:space="preserve">PICATTO JESICA</t>
  </si>
  <si>
    <t xml:space="preserve">PUCHI EMILIO DANIEL</t>
  </si>
  <si>
    <t xml:space="preserve">MZA.36 LTE.32 VILLA GRAL SAVIO TC.3518196321 TC. ESPOSA:3513777559 MALDONADO SILVANA VANESA</t>
  </si>
  <si>
    <t xml:space="preserve">20-33699933-3</t>
  </si>
  <si>
    <t xml:space="preserve">8 MES$150,000</t>
  </si>
  <si>
    <t xml:space="preserve">QUINTANILLA CLAUDIA MABEL</t>
  </si>
  <si>
    <t xml:space="preserve">8 mes$72000</t>
  </si>
  <si>
    <t xml:space="preserve">4 mes$54000</t>
  </si>
  <si>
    <t xml:space="preserve">REYES MATIAS FABIAN</t>
  </si>
  <si>
    <t xml:space="preserve">RIO NEGRO 2860 DPTO.8 TC.3516219312- EPTA ARGENTINA TC.35415225500</t>
  </si>
  <si>
    <t xml:space="preserve">6 MES$176000</t>
  </si>
  <si>
    <t xml:space="preserve">REYNOSO ROMULA CONSTANZA MABEL </t>
  </si>
  <si>
    <t xml:space="preserve">RIO SECO 5937</t>
  </si>
  <si>
    <t xml:space="preserve">11 q$72000</t>
  </si>
  <si>
    <t xml:space="preserve">72*2100</t>
  </si>
  <si>
    <t xml:space="preserve">RIBULGO LEANDRO EMANUEL</t>
  </si>
  <si>
    <t xml:space="preserve">ANGEL SALVADORES 5458 MZA25 LTE.11- SAN LUCAS</t>
  </si>
  <si>
    <t xml:space="preserve">8 mes$360000</t>
  </si>
  <si>
    <t xml:space="preserve">RODRIGUEZ ANALIA DEL VALLE</t>
  </si>
  <si>
    <t xml:space="preserve">BILBAO 2682- ESC. CORONEL OL  EDO</t>
  </si>
  <si>
    <t xml:space="preserve">10 MES218400</t>
  </si>
  <si>
    <t xml:space="preserve">ROMERO EDGAR RAFAEL</t>
  </si>
  <si>
    <t xml:space="preserve">AV. ARMADA ARG.2939.TP.4932602. TC. 0351-8641772</t>
  </si>
  <si>
    <t xml:space="preserve">6 mes$220000</t>
  </si>
  <si>
    <t xml:space="preserve">ROMERO ROXANA EDITH</t>
  </si>
  <si>
    <t xml:space="preserve">GAIMAN 2244- CABILDO- 3516 52-7744</t>
  </si>
  <si>
    <t xml:space="preserve">8 MES$63750</t>
  </si>
  <si>
    <t xml:space="preserve">110*4800</t>
  </si>
  <si>
    <t xml:space="preserve">110*6000</t>
  </si>
  <si>
    <t xml:space="preserve">10 MES$85000</t>
  </si>
  <si>
    <t xml:space="preserve">10 MES$62400</t>
  </si>
  <si>
    <t xml:space="preserve">ROMERO ROXANA EDITH-nuera</t>
  </si>
  <si>
    <t xml:space="preserve">70*4650</t>
  </si>
  <si>
    <t xml:space="preserve">ROMERO SILVIA MARINA</t>
  </si>
  <si>
    <t xml:space="preserve">MONZA 434 TC.351614534- LT. GUASAPAMPA 3580-MONZA 452</t>
  </si>
  <si>
    <t xml:space="preserve">SAIN MARIA DE LOS ANGELES</t>
  </si>
  <si>
    <t xml:space="preserve">MZA.20 LOTE 11 -AMP. CABILDO</t>
  </si>
  <si>
    <t xml:space="preserve">72*7500</t>
  </si>
  <si>
    <t xml:space="preserve">SALDAÑO ERICA ROMINA</t>
  </si>
  <si>
    <t xml:space="preserve">B. VILLA ANGELELI. TC.3513553791</t>
  </si>
  <si>
    <t xml:space="preserve">160*36000</t>
  </si>
  <si>
    <t xml:space="preserve">SENA CARLOS ADRIAN </t>
  </si>
  <si>
    <t xml:space="preserve">DL. POPAYAN Y GOBERNACION TP.4931536 - 4945343-tc.3517 04-3694- esp.tc.3516 17-9021</t>
  </si>
  <si>
    <t xml:space="preserve">16 mes$750000</t>
  </si>
  <si>
    <t xml:space="preserve">12mes$250000</t>
  </si>
  <si>
    <t xml:space="preserve">SENA DIEGO ALEJANDRO</t>
  </si>
  <si>
    <t xml:space="preserve">MZA. H LOTE.22 PUBLICA 1294- VILLA LIBERTADOR-TC.3515163346</t>
  </si>
  <si>
    <t xml:space="preserve">20-39080879-8</t>
  </si>
  <si>
    <t xml:space="preserve">SERRA HILDA JUDITH</t>
  </si>
  <si>
    <t xml:space="preserve">CORRIENTES 4466- EMPALME-TC.3513718901- agustin garzon y callao</t>
  </si>
  <si>
    <t xml:space="preserve">26 MES$20000</t>
  </si>
  <si>
    <t xml:space="preserve">SILVA NORMA B.</t>
  </si>
  <si>
    <t xml:space="preserve">CONSTITUCION 5374 TC.3512498303 -3512479521</t>
  </si>
  <si>
    <t xml:space="preserve">8MES$45000</t>
  </si>
  <si>
    <t xml:space="preserve">SIMES EDUARDO ANTONIO</t>
  </si>
  <si>
    <t xml:space="preserve">NEIVA 5744-TC.3513081181</t>
  </si>
  <si>
    <t xml:space="preserve">SORIA MIRIAM BEATRIZ  </t>
  </si>
  <si>
    <t xml:space="preserve">4 MES54,000</t>
  </si>
  <si>
    <t xml:space="preserve">4 MES37.800</t>
  </si>
  <si>
    <t xml:space="preserve">SORIA MIRIAM BEATRIZ  (DEVORA)</t>
  </si>
  <si>
    <t xml:space="preserve">7 Q.$31000</t>
  </si>
  <si>
    <t xml:space="preserve">SORIA MIRIAM BEATRIZ  (yerno)</t>
  </si>
  <si>
    <t xml:space="preserve">SORIA MIRIAM BEATRIZ(branko)  </t>
  </si>
  <si>
    <t xml:space="preserve">1 pago 65000</t>
  </si>
  <si>
    <t xml:space="preserve">TAPIA PABLO REINALDO-HENOT SERGIO A.</t>
  </si>
  <si>
    <t xml:space="preserve">ARMADA ARGENTINA 2939- 3513142989 </t>
  </si>
  <si>
    <t xml:space="preserve">11 quinc.$48,000</t>
  </si>
  <si>
    <t xml:space="preserve">TELLO EVELYN DAYANA</t>
  </si>
  <si>
    <t xml:space="preserve">VERON ANTONELLA BELEN-ANDINO GONZALO EZEQUIEL</t>
  </si>
  <si>
    <t xml:space="preserve">ALMAGRO 1175 C.LOLA-tc.3515599150 LT.EL BO- los paisanitos-jbjusto 4660</t>
  </si>
  <si>
    <t xml:space="preserve">6MES132000</t>
  </si>
  <si>
    <t xml:space="preserve">VIJARRA JUAN EDUARDO</t>
  </si>
  <si>
    <t xml:space="preserve">PASAJE CASTILLA 3146- VILLA ASPACIA-3517413949</t>
  </si>
  <si>
    <t xml:space="preserve">72*3750</t>
  </si>
  <si>
    <t xml:space="preserve">VILLAGRA CESAR EUDOSIO</t>
  </si>
  <si>
    <t xml:space="preserve">BOUNGANTHEN 569-3518553637-3515194123</t>
  </si>
  <si>
    <t xml:space="preserve">8 mes$262500</t>
  </si>
  <si>
    <t xml:space="preserve">VILLAGRA CESAR EUDOSIO(monica)</t>
  </si>
  <si>
    <t xml:space="preserve">VILLAGRA MAURICIO RICARDO-VILLAGRA CESAR EUDOSIO</t>
  </si>
  <si>
    <t xml:space="preserve">72*300</t>
  </si>
  <si>
    <t xml:space="preserve">VILLALBA CAROLINA SOLEDAD</t>
  </si>
  <si>
    <t xml:space="preserve">PASAJE CANTILO 381- TC.351-7575879</t>
  </si>
  <si>
    <t xml:space="preserve">8 mes*$150,000</t>
  </si>
  <si>
    <t xml:space="preserve">14 qui$54000</t>
  </si>
  <si>
    <t xml:space="preserve">VILLALBA TERESITA BEATRIZ</t>
  </si>
  <si>
    <t xml:space="preserve">FELIPE BELTRAME 5451 NEWBERY- rivadavia 66</t>
  </si>
  <si>
    <t xml:space="preserve">5 mes$432000</t>
  </si>
  <si>
    <t xml:space="preserve">VIVAS FABIAN GONZALO</t>
  </si>
  <si>
    <t xml:space="preserve">santa rosa1234 dpto 11- trabaja en primo resto bar</t>
  </si>
  <si>
    <t xml:space="preserve">4MES$162000</t>
  </si>
  <si>
    <t xml:space="preserve">VIZCARRA ANGELINA S </t>
  </si>
  <si>
    <t xml:space="preserve">MZA.35 LTE3 AMP. CABILDO-3512400467 3515596376</t>
  </si>
  <si>
    <t xml:space="preserve">YAÑEZ TOMAS MANUEL</t>
  </si>
  <si>
    <t xml:space="preserve">6 MES $66000</t>
  </si>
  <si>
    <t xml:space="preserve">6 MES $33000</t>
  </si>
  <si>
    <t xml:space="preserve">6 MES $22000</t>
  </si>
  <si>
    <t xml:space="preserve">4 MES $27000</t>
  </si>
  <si>
    <t xml:space="preserve">LUNA MARCIA DANIELA</t>
  </si>
  <si>
    <t xml:space="preserve">CALAMUCHITA 6060- COMERCIAL- TC.3513168470-LAB. EDIFICIO GAMMA, AV, COLON EMPLEADOR FRANCO DI LOLLO 3515902464 - COUNTRY LAS DELICIAS, SR. PABLO COLEONI 3541628563</t>
  </si>
  <si>
    <t xml:space="preserve">11 QUIN$24000</t>
  </si>
  <si>
    <t xml:space="preserve">GALLEGUILLO FLORENCIA BELEN</t>
  </si>
  <si>
    <t xml:space="preserve">2 PAGO</t>
  </si>
  <si>
    <t xml:space="preserve">6 MES$132000</t>
  </si>
  <si>
    <t xml:space="preserve">ROMERO YESICA MARIEL</t>
  </si>
  <si>
    <t xml:space="preserve">MACACHIN 2285-CABILDO-SINFONDA- ENCARGADO FRANCO</t>
  </si>
  <si>
    <t xml:space="preserve">20*1400</t>
  </si>
  <si>
    <t xml:space="preserve">4MESES$54000</t>
  </si>
  <si>
    <t xml:space="preserve"> 6MES$66000</t>
  </si>
  <si>
    <t xml:space="preserve">FERREYRA PATRICIA NOEMI</t>
  </si>
  <si>
    <t xml:space="preserve">J. VERDI 3925 TP.1885826-351-3463900</t>
  </si>
  <si>
    <t xml:space="preserve">7 quinc.30860</t>
  </si>
  <si>
    <t xml:space="preserve">6 MESES$66.000</t>
  </si>
  <si>
    <t xml:space="preserve">tomas yanez</t>
  </si>
  <si>
    <t xml:space="preserve">CAP/DOC</t>
  </si>
  <si>
    <t xml:space="preserve">JUAN ESPAÑON</t>
  </si>
  <si>
    <t xml:space="preserve">%</t>
  </si>
  <si>
    <t xml:space="preserve">carolina ferreyra</t>
  </si>
  <si>
    <t xml:space="preserve">ac-pen</t>
  </si>
  <si>
    <t xml:space="preserve">MARTIN PARRA  </t>
  </si>
  <si>
    <t xml:space="preserve">cant-pers</t>
  </si>
  <si>
    <t xml:space="preserve">c.nvo.-cobr</t>
  </si>
  <si>
    <t xml:space="preserve">pres-inic.</t>
  </si>
  <si>
    <t xml:space="preserve">Nombre :  </t>
  </si>
  <si>
    <t xml:space="preserve">Plan:40*$10286</t>
  </si>
  <si>
    <t xml:space="preserve">"Prestamo</t>
  </si>
  <si>
    <t xml:space="preserve">Nro.Cuenta: </t>
  </si>
  <si>
    <t xml:space="preserve">Fecha Emision: </t>
  </si>
  <si>
    <t xml:space="preserve">Efectivo "</t>
  </si>
  <si>
    <t xml:space="preserve">Nro. Cto:  </t>
  </si>
  <si>
    <t xml:space="preserve">Fecha de Finalizacion</t>
  </si>
  <si>
    <t xml:space="preserve">351-3251882</t>
  </si>
  <si>
    <t xml:space="preserve">Fecha</t>
  </si>
  <si>
    <t xml:space="preserve">Entrega</t>
  </si>
  <si>
    <t xml:space="preserve">Firma</t>
  </si>
  <si>
    <t xml:space="preserve">TC. </t>
  </si>
  <si>
    <t xml:space="preserve">72*$1500</t>
  </si>
  <si>
    <t xml:space="preserve">"PRESTAMO"</t>
  </si>
  <si>
    <t xml:space="preserve">   </t>
  </si>
  <si>
    <t xml:space="preserve">****</t>
  </si>
  <si>
    <t xml:space="preserve">Fecha Finalizacion:</t>
  </si>
  <si>
    <t xml:space="preserve">TC.   :</t>
  </si>
  <si>
    <t xml:space="preserve">VIZCARRA ANGELINA S. </t>
  </si>
  <si>
    <t xml:space="preserve">110*$2400</t>
  </si>
  <si>
    <t xml:space="preserve">PRESTAMO</t>
  </si>
  <si>
    <t xml:space="preserve">***</t>
  </si>
  <si>
    <t xml:space="preserve">Fecha Final.:</t>
  </si>
  <si>
    <t xml:space="preserve">TC.SUPERVISOR:</t>
  </si>
  <si>
    <t xml:space="preserve">14 quincenas*$54,000</t>
  </si>
  <si>
    <t xml:space="preserve">Prestamo </t>
  </si>
  <si>
    <t xml:space="preserve">Fecha de Cierre:</t>
  </si>
  <si>
    <t xml:space="preserve">1 quincena</t>
  </si>
  <si>
    <t xml:space="preserve">9 quincena</t>
  </si>
  <si>
    <t xml:space="preserve">2 quincena</t>
  </si>
  <si>
    <t xml:space="preserve">10 quincena</t>
  </si>
  <si>
    <t xml:space="preserve">3 quincena</t>
  </si>
  <si>
    <t xml:space="preserve">11 quincena</t>
  </si>
  <si>
    <t xml:space="preserve">4 quincena</t>
  </si>
  <si>
    <t xml:space="preserve">12 quincena</t>
  </si>
  <si>
    <t xml:space="preserve">5 quincena</t>
  </si>
  <si>
    <t xml:space="preserve">13 quincena</t>
  </si>
  <si>
    <t xml:space="preserve">6 quincena</t>
  </si>
  <si>
    <t xml:space="preserve">14 quincena</t>
  </si>
  <si>
    <t xml:space="preserve">7 quincena</t>
  </si>
  <si>
    <t xml:space="preserve">15 quincena</t>
  </si>
  <si>
    <t xml:space="preserve">8 quincena</t>
  </si>
  <si>
    <t xml:space="preserve">16 quincena</t>
  </si>
  <si>
    <t xml:space="preserve">4 meses*$54,000</t>
  </si>
  <si>
    <t xml:space="preserve">1</t>
  </si>
  <si>
    <t xml:space="preserve">7</t>
  </si>
  <si>
    <t xml:space="preserve">2</t>
  </si>
  <si>
    <t xml:space="preserve">8</t>
  </si>
  <si>
    <t xml:space="preserve">3</t>
  </si>
  <si>
    <t xml:space="preserve">9</t>
  </si>
  <si>
    <t xml:space="preserve">4</t>
  </si>
  <si>
    <t xml:space="preserve">10</t>
  </si>
  <si>
    <t xml:space="preserve">5</t>
  </si>
  <si>
    <t xml:space="preserve">11</t>
  </si>
  <si>
    <t xml:space="preserve">6</t>
  </si>
  <si>
    <t xml:space="preserve">12</t>
  </si>
  <si>
    <t xml:space="preserve">pag.1</t>
  </si>
  <si>
    <t xml:space="preserve">Cta</t>
  </si>
  <si>
    <t xml:space="preserve">Domicilio </t>
  </si>
  <si>
    <t xml:space="preserve">F. de Inicio</t>
  </si>
  <si>
    <t xml:space="preserve">F. Final.</t>
  </si>
  <si>
    <t xml:space="preserve">dias</t>
  </si>
  <si>
    <t xml:space="preserve">DIAS ABONADOS</t>
  </si>
  <si>
    <t xml:space="preserve">DIAS SIN ABONAR</t>
  </si>
  <si>
    <t xml:space="preserve">Plan. Cta.</t>
  </si>
  <si>
    <t xml:space="preserve"> Devolver</t>
  </si>
  <si>
    <t xml:space="preserve">Cta.sem.a.c</t>
  </si>
  <si>
    <t xml:space="preserve">ult.pago</t>
  </si>
  <si>
    <t xml:space="preserve">acu.clien.</t>
  </si>
  <si>
    <t xml:space="preserve">Pendiente</t>
  </si>
  <si>
    <t xml:space="preserve">f.canc</t>
  </si>
  <si>
    <t xml:space="preserve">72*900</t>
  </si>
  <si>
    <t xml:space="preserve">11 QUIN$25000</t>
  </si>
  <si>
    <t xml:space="preserve">GUTIERREZ BERNAL MARCOS WILFREDO</t>
  </si>
  <si>
    <t xml:space="preserve">CONSTITUCION 5095 - MARCOS(gonzalo)</t>
  </si>
  <si>
    <t xml:space="preserve">72*600</t>
  </si>
  <si>
    <t xml:space="preserve">CONSTITUCION 5095 - MARCOS </t>
  </si>
  <si>
    <t xml:space="preserve">1 pago </t>
  </si>
  <si>
    <t xml:space="preserve">MAIDANA MERCEDES JULIANA</t>
  </si>
  <si>
    <t xml:space="preserve">BRASIL 1410 PB.2-TL. 153848561- TC.3512134476</t>
  </si>
  <si>
    <t xml:space="preserve">MORETTI SILVIA YOLANDA</t>
  </si>
  <si>
    <t xml:space="preserve">PEDRO INCHAUSPE 260 -TP.4618497. TC. 3515063489</t>
  </si>
  <si>
    <t xml:space="preserve">OLMOS ELENA GLADYS DEL VALLE</t>
  </si>
  <si>
    <t xml:space="preserve">7 MES$26400</t>
  </si>
  <si>
    <t xml:space="preserve">PICCATTO CARLOS DAMIAN</t>
  </si>
  <si>
    <t xml:space="preserve">CABO ALFREDO GONZALEZ 1825 TC.351 2107553</t>
  </si>
  <si>
    <t xml:space="preserve">PICCATTO JESICA</t>
  </si>
  <si>
    <t xml:space="preserve">SENA CARLOS ADRIAN- AVELLANEDA ANGELA D.</t>
  </si>
  <si>
    <t xml:space="preserve">215*600</t>
  </si>
  <si>
    <t xml:space="preserve">ARAYA PEREZ TOMAS JOAQUIN</t>
  </si>
  <si>
    <t xml:space="preserve">AV. TALLERES 1007 - EVO GYM TC.351-327-2299-ADOLFO CONTTE 974  O 560-PARANA 555 DPTO. T</t>
  </si>
  <si>
    <t xml:space="preserve">ARCE MONICA</t>
  </si>
  <si>
    <t xml:space="preserve">6M5$13200</t>
  </si>
  <si>
    <t xml:space="preserve">BARRETO NICOLE DALILA</t>
  </si>
  <si>
    <t xml:space="preserve">ICHO CRUZ 332- LT.ALGO DISTINTO AV. DE MAYO -TC.3515499856</t>
  </si>
  <si>
    <t xml:space="preserve">MZA.46.LT.13 ITUZAINGO II. IPV-TC.3517142709</t>
  </si>
  <si>
    <t xml:space="preserve">6m$8800</t>
  </si>
  <si>
    <t xml:space="preserve">GODOY GRACIELA</t>
  </si>
  <si>
    <t xml:space="preserve">ZONDA 1529--RESIDENCIAL SUD</t>
  </si>
  <si>
    <t xml:space="preserve">72*750</t>
  </si>
  <si>
    <t xml:space="preserve">4MESES$10800</t>
  </si>
  <si>
    <t xml:space="preserve">HENOT MARIA DE LOS MILAGROS-TAPIA JORGE LUIS</t>
  </si>
  <si>
    <t xml:space="preserve">MARTINEZ NATALIA SOLEDAD</t>
  </si>
  <si>
    <t xml:space="preserve">7 quinc 6200</t>
  </si>
  <si>
    <t xml:space="preserve">6 mes$10000</t>
  </si>
  <si>
    <t xml:space="preserve">PAZ MARISA</t>
  </si>
  <si>
    <t xml:space="preserve">LOS HORNILLOS 2817 DPTO 62. AMP. SAN PABLO</t>
  </si>
  <si>
    <t xml:space="preserve">6M$8800</t>
  </si>
  <si>
    <t xml:space="preserve">72*150</t>
  </si>
  <si>
    <t xml:space="preserve">GUTIERREZ DEBORA YANINA-RAMOS ISABEL DEL VALLE</t>
  </si>
  <si>
    <t xml:space="preserve">BAHAMAS 4580 -TC.3513943023- TCG.3513887099 LT. F.FRIAS 560-RDE STA.FE 460</t>
  </si>
  <si>
    <t xml:space="preserve">27.33101701.6</t>
  </si>
  <si>
    <t xml:space="preserve">72*450</t>
  </si>
  <si>
    <t xml:space="preserve">MOYANO FABIAN ISAAC-MOYANO VICTOR DAVID</t>
  </si>
  <si>
    <t xml:space="preserve">GUTIERREZ BERNAL MARCOS WILFREDO(ANDREA)</t>
  </si>
  <si>
    <t xml:space="preserve">MARTINEZ ROSA VIVIANA</t>
  </si>
  <si>
    <t xml:space="preserve">72*1800</t>
  </si>
  <si>
    <t xml:space="preserve">RODRIGUEZ WALTER ABEL</t>
  </si>
  <si>
    <t xml:space="preserve">BAREY)JUAN B JUSTO 3071 TC.3515200815 (TUMBES 5310 TC.3512147702- 156343237 -3512454196 </t>
  </si>
  <si>
    <t xml:space="preserve">ARCE EDITH ELIZABETH DEL VALLE</t>
  </si>
  <si>
    <t xml:space="preserve">BOGOTA 265 SANTA ROSA</t>
  </si>
  <si>
    <t xml:space="preserve">LUIS MARIA DRAGO 268 -3512911884</t>
  </si>
  <si>
    <t xml:space="preserve">6meses$6600</t>
  </si>
  <si>
    <t xml:space="preserve">GOMEZ NATALIA PAOLA/LOPEZ WALTER ARTURO</t>
  </si>
  <si>
    <t xml:space="preserve">JOSE EGUILUZ 672-TC.3513899380 - 35115454708 lt av. 1ro de mayo 956 V.L.</t>
  </si>
  <si>
    <t xml:space="preserve">110*1320</t>
  </si>
  <si>
    <t xml:space="preserve">ESTEBAN BONORINO 4643 TC3512387037- ESPINOSA MALL</t>
  </si>
  <si>
    <t xml:space="preserve">4M$5400</t>
  </si>
  <si>
    <t xml:space="preserve">ORELLANO JULIETA ABIGAIL-HENOT LUCIANO GABRIEL</t>
  </si>
  <si>
    <t xml:space="preserve">4 MES$27000</t>
  </si>
  <si>
    <t xml:space="preserve">110*720</t>
  </si>
  <si>
    <t xml:space="preserve">GUTIERREZ BERNAL MARCOS WILFREDO </t>
  </si>
  <si>
    <t xml:space="preserve">LAZARTE BERTA ROSA (sebastian)</t>
  </si>
  <si>
    <t xml:space="preserve">OLMOS ELENA DEL VALLE</t>
  </si>
  <si>
    <t xml:space="preserve">23.18328931.4</t>
  </si>
  <si>
    <t xml:space="preserve">SORIA MIRIAM BEATRIZ-PICCATTO ERNESTO NATALIO</t>
  </si>
  <si>
    <t xml:space="preserve">AMBUL 6161 1-COMERCIAL -TC.3513978119 -3516433350 (ESP)</t>
  </si>
  <si>
    <t xml:space="preserve">72*390</t>
  </si>
  <si>
    <t xml:space="preserve">3 QUINC.$8500</t>
  </si>
  <si>
    <t xml:space="preserve">LUNA ESTELA NILDA</t>
  </si>
  <si>
    <t xml:space="preserve">CALAMUCHITA 6036-3512657835-dpsto  DISCO</t>
  </si>
  <si>
    <t xml:space="preserve">7M$11315</t>
  </si>
  <si>
    <t xml:space="preserve">6m $8800</t>
  </si>
  <si>
    <t xml:space="preserve">110*960</t>
  </si>
  <si>
    <t xml:space="preserve">REYNOSO ROMULA CONSTANZA MABEL-TELLO ANGEL GABRIEL</t>
  </si>
  <si>
    <t xml:space="preserve">20.35526114.0</t>
  </si>
  <si>
    <t xml:space="preserve">AGUIRRE ANALIA ISABEL</t>
  </si>
  <si>
    <t xml:space="preserve">RAFAEL GARCIA 3810- TRB. EN ABREU DE FIGUEROA 2784</t>
  </si>
  <si>
    <t xml:space="preserve">ARCE EDITH DEL VALLE</t>
  </si>
  <si>
    <t xml:space="preserve">ARCE MONICA(hija)</t>
  </si>
  <si>
    <t xml:space="preserve">AMBUL 6076-COMERCIAL-517647824 (hija)</t>
  </si>
  <si>
    <t xml:space="preserve">CABIDO OLGA</t>
  </si>
  <si>
    <t xml:space="preserve">110*840</t>
  </si>
  <si>
    <t xml:space="preserve">4*$54000</t>
  </si>
  <si>
    <t xml:space="preserve">8mes$20100</t>
  </si>
  <si>
    <t xml:space="preserve">FRONTERA JUAN</t>
  </si>
  <si>
    <t xml:space="preserve">YERNO DE WALTER PAEZ TC.351-3729453</t>
  </si>
  <si>
    <t xml:space="preserve">6 MESES$13400</t>
  </si>
  <si>
    <t xml:space="preserve">75*1200</t>
  </si>
  <si>
    <t xml:space="preserve">LLORENS MARIA CRISTINA/OVIEDO MARIA CRISTINA</t>
  </si>
  <si>
    <t xml:space="preserve">7 m$12080</t>
  </si>
  <si>
    <t xml:space="preserve">6 meses$8400</t>
  </si>
  <si>
    <t xml:space="preserve">4 m $5400</t>
  </si>
  <si>
    <t xml:space="preserve">PJE TIRANA 3146- VILLA ASPACIA</t>
  </si>
  <si>
    <t xml:space="preserve">CABIDO JOSEFA OLGA (NICOLAS FRONTERA)</t>
  </si>
  <si>
    <t xml:space="preserve">4*$27000</t>
  </si>
  <si>
    <t xml:space="preserve">FONSECA ROMINA ISABEL(MATIAS)</t>
  </si>
  <si>
    <t xml:space="preserve">8 MES$7300</t>
  </si>
  <si>
    <t xml:space="preserve">LOPEZ JESSICA ROSA MARIA</t>
  </si>
  <si>
    <t xml:space="preserve">GUATIMOZIN 264-TC.351-2079928</t>
  </si>
  <si>
    <t xml:space="preserve">6 MES 10050</t>
  </si>
  <si>
    <t xml:space="preserve">130*2000</t>
  </si>
  <si>
    <t xml:space="preserve">MILA</t>
  </si>
  <si>
    <t xml:space="preserve">110*1560</t>
  </si>
  <si>
    <t xml:space="preserve">.</t>
  </si>
  <si>
    <t xml:space="preserve">40*$1000</t>
  </si>
  <si>
    <t xml:space="preserve">110*480</t>
  </si>
  <si>
    <t xml:space="preserve">ALFARO ELIO EMANUEL</t>
  </si>
  <si>
    <t xml:space="preserve">TC.3517 18-4740</t>
  </si>
  <si>
    <t xml:space="preserve">3*8500</t>
  </si>
  <si>
    <t xml:space="preserve">72*1200</t>
  </si>
  <si>
    <t xml:space="preserve">8m$16500</t>
  </si>
  <si>
    <t xml:space="preserve">130*880</t>
  </si>
  <si>
    <t xml:space="preserve">SILVA NORMA B.-MARTINEZ DIAMELA ANAHI(PRIMO)</t>
  </si>
  <si>
    <t xml:space="preserve">7 MES $18900</t>
  </si>
  <si>
    <t xml:space="preserve">VILLA MARIA 6187 TC.3516346811.LAB. LA FALDA 5822</t>
  </si>
  <si>
    <t xml:space="preserve">20 Q.$25000</t>
  </si>
  <si>
    <t xml:space="preserve">OLMOS ELENA</t>
  </si>
  <si>
    <t xml:space="preserve">6 MES$8800</t>
  </si>
  <si>
    <t xml:space="preserve">4MESES$21600</t>
  </si>
  <si>
    <t xml:space="preserve">8MESES$16500</t>
  </si>
  <si>
    <t xml:space="preserve">HENOT MAXIMILIANO ALEJ./ HENOT SERGIO ALEJ.</t>
  </si>
  <si>
    <t xml:space="preserve">AV. ARMADA ARG.2939.TP.4932602. TL. 0351-3551088</t>
  </si>
  <si>
    <t xml:space="preserve">140*2000</t>
  </si>
  <si>
    <t xml:space="preserve">4M$2815</t>
  </si>
  <si>
    <t xml:space="preserve">240*1290</t>
  </si>
  <si>
    <t xml:space="preserve">VILLAGRA PABLO EZEQUIEL- JADRA MONICA EMILIA</t>
  </si>
  <si>
    <t xml:space="preserve">20,32314095.3</t>
  </si>
  <si>
    <t xml:space="preserve">CASTILLO JESUS FERNANDO</t>
  </si>
  <si>
    <t xml:space="preserve">4 MESES $16200</t>
  </si>
  <si>
    <t xml:space="preserve">HENOT LUCIANO GABRIEL-ORELLANO JULIETA ABIGAIL</t>
  </si>
  <si>
    <t xml:space="preserve">YOCSINA 1696-3513919623-3512628606-APEX ISCOT</t>
  </si>
  <si>
    <t xml:space="preserve">LOPEZ JONATAN OMAR</t>
  </si>
  <si>
    <t xml:space="preserve">VIRGINIA  </t>
  </si>
  <si>
    <t xml:space="preserve">72*675</t>
  </si>
  <si>
    <t xml:space="preserve">BOGOTA </t>
  </si>
  <si>
    <t xml:space="preserve">FERREYRA PAMELA GISELA</t>
  </si>
  <si>
    <t xml:space="preserve">USHUAIA 3350- CASA 317. SAN IGNACIO DE HORIZONTE-3517568462</t>
  </si>
  <si>
    <t xml:space="preserve">TUNUYAN 2139-3516791165- MINIMERCADO </t>
  </si>
  <si>
    <t xml:space="preserve">20 Q.$12500</t>
  </si>
  <si>
    <t xml:space="preserve">PARRA MARTIN GERARDO- ARRASCAETA VALENTINA ALICIA</t>
  </si>
  <si>
    <t xml:space="preserve">PICCATTO ROBERTO CARLOS</t>
  </si>
  <si>
    <t xml:space="preserve">AMBUL 6161 1-COMERCIAL -TC.351 2081008 3513978119 -3516433350 (ESP)</t>
  </si>
  <si>
    <t xml:space="preserve">SILVA NORMA B.-MARTINEZ DIAMELA ANAHI(Diamela)</t>
  </si>
  <si>
    <t xml:space="preserve">SORIA MIRIAM BEATRIZ (debora)</t>
  </si>
  <si>
    <t xml:space="preserve">6m $13200</t>
  </si>
  <si>
    <t xml:space="preserve">16quin$5450</t>
  </si>
  <si>
    <t xml:space="preserve">70*620</t>
  </si>
  <si>
    <t xml:space="preserve">4*8500</t>
  </si>
  <si>
    <t xml:space="preserve">4meses$21600</t>
  </si>
  <si>
    <t xml:space="preserve">CABIDO JOSEFA OLGA (M)</t>
  </si>
  <si>
    <t xml:space="preserve">6m$35200</t>
  </si>
  <si>
    <t xml:space="preserve">6m$26400</t>
  </si>
  <si>
    <t xml:space="preserve">4 MESES $10800</t>
  </si>
  <si>
    <t xml:space="preserve">8 MES$15000</t>
  </si>
  <si>
    <t xml:space="preserve">6 mes$10050</t>
  </si>
  <si>
    <t xml:space="preserve">8MESES$16900</t>
  </si>
  <si>
    <t xml:space="preserve">VAZQUEZ JOSE DAVID</t>
  </si>
  <si>
    <t xml:space="preserve">CAYUQUEO 2176 A LT. FIAMBRERIA COLORADO Y TUCLAME.TC.3513856498</t>
  </si>
  <si>
    <t xml:space="preserve">110*1680</t>
  </si>
  <si>
    <t xml:space="preserve">CABRERA MELANI AGUSTINA-RAMOS ISABEL DEL VALLE</t>
  </si>
  <si>
    <t xml:space="preserve">MZA.46 LTE. 13-IPV. ITUZAINGO ANEXO</t>
  </si>
  <si>
    <t xml:space="preserve">135*2000</t>
  </si>
  <si>
    <t xml:space="preserve">GODOY DANIEL G.-FERREYRA PAMELA GISELA</t>
  </si>
  <si>
    <t xml:space="preserve">THEA 6043 3513556990-3516795101 (IVANA FERREYRA( ESP.)</t>
  </si>
  <si>
    <t xml:space="preserve">8QUIN.$5400</t>
  </si>
  <si>
    <t xml:space="preserve">8 MES$11315</t>
  </si>
  <si>
    <t xml:space="preserve">8 MES$16500</t>
  </si>
  <si>
    <t xml:space="preserve">CABIDO JOSEFA OLGA (Daiana)</t>
  </si>
  <si>
    <t xml:space="preserve">VILLAGRA CESAR-VILLAGRA MAURICIO</t>
  </si>
  <si>
    <t xml:space="preserve">6 MES$18500</t>
  </si>
  <si>
    <t xml:space="preserve">27.40298910.1</t>
  </si>
  <si>
    <t xml:space="preserve">27,39833576,6</t>
  </si>
  <si>
    <t xml:space="preserve">6 meses$10800</t>
  </si>
  <si>
    <t xml:space="preserve">6 m.$36000</t>
  </si>
  <si>
    <t xml:space="preserve">12mes$32500</t>
  </si>
  <si>
    <t xml:space="preserve">4 MES $16200</t>
  </si>
  <si>
    <t xml:space="preserve">4MESES$16200</t>
  </si>
  <si>
    <t xml:space="preserve">MONSALVO FABIANA CELESTE</t>
  </si>
  <si>
    <t xml:space="preserve">AV.COLON 1881.PB.G-LT.4647255-TC.3512056786-cajamarca 1528</t>
  </si>
  <si>
    <t xml:space="preserve">27.39071162.5</t>
  </si>
  <si>
    <t xml:space="preserve">72*6750</t>
  </si>
  <si>
    <t xml:space="preserve">VILLAGRA CESAR </t>
  </si>
  <si>
    <t xml:space="preserve">ABACA DARIO DANIEL</t>
  </si>
  <si>
    <t xml:space="preserve">110*1200</t>
  </si>
  <si>
    <t xml:space="preserve">4 MESES$16200</t>
  </si>
  <si>
    <t xml:space="preserve">72*1543</t>
  </si>
  <si>
    <t xml:space="preserve">JIMENEZ RODRIGUEZ VIRGINIA </t>
  </si>
  <si>
    <t xml:space="preserve">MZNA. D LT.9. COOP APERBOCH</t>
  </si>
  <si>
    <t xml:space="preserve">27,94047136.8</t>
  </si>
  <si>
    <t xml:space="preserve">70*2500</t>
  </si>
  <si>
    <t xml:space="preserve">4 mes$8100</t>
  </si>
  <si>
    <t xml:space="preserve">SILVA NORMA B.-MARTINEZ DIAMELA ANAHI</t>
  </si>
  <si>
    <t xml:space="preserve">1 PAGO $13000</t>
  </si>
  <si>
    <t xml:space="preserve">6m$6600</t>
  </si>
  <si>
    <t xml:space="preserve">4MESES$27000</t>
  </si>
  <si>
    <t xml:space="preserve">13 quin$18470</t>
  </si>
  <si>
    <t xml:space="preserve">72*15000</t>
  </si>
  <si>
    <t xml:space="preserve">LOPEZ JONATHAN OMAR</t>
  </si>
  <si>
    <t xml:space="preserve">6 MESES$8375</t>
  </si>
  <si>
    <t xml:space="preserve">10 mes$24000</t>
  </si>
  <si>
    <t xml:space="preserve">4m$2700</t>
  </si>
  <si>
    <t xml:space="preserve">ROSALES JUAN DARIO</t>
  </si>
  <si>
    <t xml:space="preserve">PEDRO CALDERON DE LA BARCA 1216 PB.C</t>
  </si>
  <si>
    <t xml:space="preserve">20,21330154.4</t>
  </si>
  <si>
    <t xml:space="preserve">6 mes$22000</t>
  </si>
  <si>
    <t xml:space="preserve">SALTA 347 piso 2- dpto6. tc.3513027747- lt. Redis sas- valparaiso 4250 loc.1 SINFONDA</t>
  </si>
  <si>
    <t xml:space="preserve">CASTILLO SILVIA MIRIAM(HIJO)</t>
  </si>
  <si>
    <t xml:space="preserve">3 MES$33500</t>
  </si>
  <si>
    <t xml:space="preserve">NISPO 1510</t>
  </si>
  <si>
    <t xml:space="preserve">AMBUL 6161 1-COMERCIAL -TC.351-6756079</t>
  </si>
  <si>
    <t xml:space="preserve">FERREYRA NOELIA ALEJANDRA-FERREYRA PATRICIA NOEMI</t>
  </si>
  <si>
    <t xml:space="preserve">4 MES.$54000</t>
  </si>
  <si>
    <t xml:space="preserve">FRONTERA NICOLAS EZEQUIEL- TELLO JOSE</t>
  </si>
  <si>
    <t xml:space="preserve">110*1440</t>
  </si>
  <si>
    <t xml:space="preserve">6m $10800</t>
  </si>
  <si>
    <t xml:space="preserve">5*$43200</t>
  </si>
  <si>
    <t xml:space="preserve">70*1750</t>
  </si>
  <si>
    <t xml:space="preserve">LEGUIZAMON ELISA CELINA</t>
  </si>
  <si>
    <t xml:space="preserve">VIRGINIA 5696 -  3515460040</t>
  </si>
  <si>
    <t xml:space="preserve">27,13391646,1</t>
  </si>
  <si>
    <t xml:space="preserve">12Q$9200</t>
  </si>
  <si>
    <t xml:space="preserve">MOLINA ALEJANDRO ROFOLFO </t>
  </si>
  <si>
    <t xml:space="preserve">VICENTE FORESTIERI 5014 DPTO.2- V.LIBERTADOR TC3518562485</t>
  </si>
  <si>
    <t xml:space="preserve">MURUA CLAUDIA ALEJANDRA</t>
  </si>
  <si>
    <t xml:space="preserve">GOBERNACION 1074- V.LIBER- HOSP. PRIV.ROPERIA REC. DE mIRYm- tc.3517359640</t>
  </si>
  <si>
    <t xml:space="preserve">2 MES$18750</t>
  </si>
  <si>
    <t xml:space="preserve">6 MES 18000</t>
  </si>
  <si>
    <t xml:space="preserve">4M$13500</t>
  </si>
  <si>
    <t xml:space="preserve">4M$16200</t>
  </si>
  <si>
    <t xml:space="preserve">SAVID SANDRA KARINA/HENOT SERGIO ALEJAN</t>
  </si>
  <si>
    <t xml:space="preserve">6 M $19500</t>
  </si>
  <si>
    <t xml:space="preserve">HENOT MAXIMILIANO</t>
  </si>
  <si>
    <t xml:space="preserve">AV. ARMADA ARG.2939.TP.4932602. TL. 351-3551088</t>
  </si>
  <si>
    <t xml:space="preserve">20,36680456,1</t>
  </si>
  <si>
    <t xml:space="preserve">PICCATTO JESSICA</t>
  </si>
  <si>
    <t xml:space="preserve">240*1920</t>
  </si>
  <si>
    <t xml:space="preserve">6M$18270</t>
  </si>
  <si>
    <t xml:space="preserve">10 meses$27000</t>
  </si>
  <si>
    <t xml:space="preserve">110*660</t>
  </si>
  <si>
    <t xml:space="preserve">130*2030,76</t>
  </si>
  <si>
    <t xml:space="preserve">4 MESES$10800</t>
  </si>
  <si>
    <t xml:space="preserve">TELLO RAMON ANDRES</t>
  </si>
  <si>
    <t xml:space="preserve">16quin$7800</t>
  </si>
  <si>
    <t xml:space="preserve">1 PAGO $26000</t>
  </si>
  <si>
    <t xml:space="preserve">115*2300</t>
  </si>
  <si>
    <t xml:space="preserve">6 MES$20000</t>
  </si>
  <si>
    <t xml:space="preserve">7 MES$37715</t>
  </si>
  <si>
    <t xml:space="preserve">5 MESES$22000</t>
  </si>
  <si>
    <t xml:space="preserve">5*$86400</t>
  </si>
  <si>
    <t xml:space="preserve">1 PAGO $39000</t>
  </si>
  <si>
    <t xml:space="preserve">4MES$27000</t>
  </si>
  <si>
    <t xml:space="preserve">1 MES$15000</t>
  </si>
  <si>
    <t xml:space="preserve">3MES $21600</t>
  </si>
  <si>
    <t xml:space="preserve">CASTILLO JESUS FERNANDO (VIERNES)</t>
  </si>
  <si>
    <t xml:space="preserve">8 QUIN$18900</t>
  </si>
  <si>
    <t xml:space="preserve">AGUIRRE JUAN CARLOS</t>
  </si>
  <si>
    <t xml:space="preserve">ESTRELLITA 7782- VILLA RIVADAVIA-</t>
  </si>
  <si>
    <t xml:space="preserve">8mes$40200</t>
  </si>
  <si>
    <t xml:space="preserve">3 MESES $33,350</t>
  </si>
  <si>
    <t xml:space="preserve">10 MES $30500</t>
  </si>
  <si>
    <t xml:space="preserve">16/028/24</t>
  </si>
  <si>
    <t xml:space="preserve">7 quin.$9300</t>
  </si>
  <si>
    <t xml:space="preserve">6 MES$23150</t>
  </si>
  <si>
    <t xml:space="preserve">CASTILLO JESUS FERNANDO(domingo)</t>
  </si>
  <si>
    <t xml:space="preserve">SE REFIN</t>
  </si>
  <si>
    <t xml:space="preserve">CASTILLO JESUS FERNANDO(martes)</t>
  </si>
  <si>
    <t xml:space="preserve">72*21000</t>
  </si>
  <si>
    <t xml:space="preserve">7mes$11320</t>
  </si>
  <si>
    <t xml:space="preserve">12meses$20000</t>
  </si>
  <si>
    <t xml:space="preserve">7 MESES$15100</t>
  </si>
  <si>
    <t xml:space="preserve">6M$17600</t>
  </si>
  <si>
    <t xml:space="preserve">PICCATO JESICA</t>
  </si>
  <si>
    <t xml:space="preserve">7 QUIN."30860</t>
  </si>
  <si>
    <t xml:space="preserve">14 quin$25730</t>
  </si>
  <si>
    <t xml:space="preserve">3 MES$54500</t>
  </si>
  <si>
    <t xml:space="preserve">6 mes$13200</t>
  </si>
  <si>
    <t xml:space="preserve">6 MES$57600</t>
  </si>
  <si>
    <t xml:space="preserve">6 MESES $30800</t>
  </si>
  <si>
    <t xml:space="preserve">AGÜERO FERNANDO</t>
  </si>
  <si>
    <t xml:space="preserve">USHUAIA 1666. STA. ISABEL-35131219885- EDIF. CENIT F.ALCORTA 220</t>
  </si>
  <si>
    <t xml:space="preserve">20,35526114,0</t>
  </si>
  <si>
    <t xml:space="preserve">4meses$10800</t>
  </si>
  <si>
    <t xml:space="preserve">72*1350</t>
  </si>
  <si>
    <t xml:space="preserve">1 pago $26000</t>
  </si>
  <si>
    <t xml:space="preserve">1MES$15000</t>
  </si>
  <si>
    <t xml:space="preserve">5 meses$64800</t>
  </si>
  <si>
    <t xml:space="preserve">CUELLO SANTIAGO BERNABE</t>
  </si>
  <si>
    <t xml:space="preserve">RIO ANCASMAYO 1118 - 3516062218 -A.SL CORDOBA SAS- NORES MARTINEZ 3286 1ER P. OF.6</t>
  </si>
  <si>
    <t xml:space="preserve">6 MESES $44000</t>
  </si>
  <si>
    <t xml:space="preserve">42*450</t>
  </si>
  <si>
    <t xml:space="preserve">12quin$9000</t>
  </si>
  <si>
    <t xml:space="preserve">LAZARTE BERTA ROSA (Martin)</t>
  </si>
  <si>
    <t xml:space="preserve">MARTINEZ GABRIELA</t>
  </si>
  <si>
    <t xml:space="preserve">12 MES$24100</t>
  </si>
  <si>
    <t xml:space="preserve">4 MES$21600</t>
  </si>
  <si>
    <t xml:space="preserve">6 meses$17600</t>
  </si>
  <si>
    <t xml:space="preserve">6 MES 20000</t>
  </si>
  <si>
    <t xml:space="preserve">7 mes$37800</t>
  </si>
  <si>
    <t xml:space="preserve">ABACA DARIO DANIEL (Viviana)</t>
  </si>
  <si>
    <t xml:space="preserve">6 meses$44000</t>
  </si>
  <si>
    <t xml:space="preserve">6 MES$44,000</t>
  </si>
  <si>
    <t xml:space="preserve">FUENTES MABEL LETICIA DEL VALLE(HERMANA)</t>
  </si>
  <si>
    <t xml:space="preserve">12 mes$21000</t>
  </si>
  <si>
    <t xml:space="preserve">11m$36000</t>
  </si>
  <si>
    <t xml:space="preserve">LUCERO RUBEN DEL CARMEN- PALACIOS MICAELA ABIGAIL</t>
  </si>
  <si>
    <t xml:space="preserve">12 QUIN$22000</t>
  </si>
  <si>
    <t xml:space="preserve">12Q$44000</t>
  </si>
  <si>
    <t xml:space="preserve">1 PAGO $38000</t>
  </si>
  <si>
    <t xml:space="preserve">130*4400</t>
  </si>
  <si>
    <t xml:space="preserve">JUJUY 76 PB-3512110973</t>
  </si>
  <si>
    <t xml:space="preserve">8 mes$99000</t>
  </si>
  <si>
    <t xml:space="preserve">125*8448</t>
  </si>
  <si>
    <t xml:space="preserve">8 MES$22500</t>
  </si>
  <si>
    <t xml:space="preserve">5 MES$86400</t>
  </si>
  <si>
    <t xml:space="preserve">SORIA MIRIAM BEATRIZ  (hija)</t>
  </si>
  <si>
    <t xml:space="preserve">7 Q.$9300</t>
  </si>
  <si>
    <t xml:space="preserve">120*3300</t>
  </si>
  <si>
    <t xml:space="preserve">J. VERDI 3925 TP.1885826-351-3009709-351-3463900-patente hby978</t>
  </si>
  <si>
    <t xml:space="preserve">4 MES.$81000</t>
  </si>
  <si>
    <t xml:space="preserve">04 meses$27000</t>
  </si>
  <si>
    <t xml:space="preserve">LAZARTE BERTA ROSA(sebastian)</t>
  </si>
  <si>
    <t xml:space="preserve">9 MES $66700</t>
  </si>
  <si>
    <t xml:space="preserve">18 Q.$13900</t>
  </si>
  <si>
    <t xml:space="preserve">12Q$11000</t>
  </si>
  <si>
    <t xml:space="preserve">4m*$54000</t>
  </si>
  <si>
    <t xml:space="preserve">3 MES $32000</t>
  </si>
  <si>
    <t xml:space="preserve">110*$960</t>
  </si>
  <si>
    <t xml:space="preserve">AMBUL 6066 3513934950 TF.4936836 TL.4633220</t>
  </si>
  <si>
    <t xml:space="preserve">25/03/214</t>
  </si>
  <si>
    <t xml:space="preserve">4M$10800</t>
  </si>
  <si>
    <t xml:space="preserve">REYNOSO ROMULA CONSTANZA MABEL-TELLO ANGEL GABRIEL </t>
  </si>
  <si>
    <t xml:space="preserve">REYNOSO ROMULA CONSTANZA MABEL-TELLO ANGEL GABRIEL(melani)</t>
  </si>
  <si>
    <t xml:space="preserve">CORRIENTES 4466- EMPALME-TC.3513718901</t>
  </si>
  <si>
    <t xml:space="preserve">70*2160</t>
  </si>
  <si>
    <t xml:space="preserve">ANDINO GONZALO EZEQUIEL</t>
  </si>
  <si>
    <t xml:space="preserve">PEDRO J. FRIAS 354-PASO DE LOS ANDES-3516203041- MILA- distribuidora los paisanitos  j.b.justo 4660</t>
  </si>
  <si>
    <t xml:space="preserve">GIMENEZ SERGIO ALEJANDRO</t>
  </si>
  <si>
    <t xml:space="preserve">ADRIAN ESCOBAR 3485, LAS FLORES-3512369427</t>
  </si>
  <si>
    <t xml:space="preserve">18 quin.$26000</t>
  </si>
  <si>
    <t xml:space="preserve">3 MES$300.000</t>
  </si>
  <si>
    <t xml:space="preserve">12 quin$44000</t>
  </si>
  <si>
    <t xml:space="preserve">6M$44,000</t>
  </si>
  <si>
    <t xml:space="preserve">4 M$5400</t>
  </si>
  <si>
    <t xml:space="preserve">4 M$10800</t>
  </si>
  <si>
    <t xml:space="preserve">72*$2400</t>
  </si>
  <si>
    <t xml:space="preserve">RIO SECO 5937-canals 5883- tl.03515103434 rechi sabina</t>
  </si>
  <si>
    <t xml:space="preserve">11 quinc.$14.400</t>
  </si>
  <si>
    <t xml:space="preserve">5*$172800</t>
  </si>
  <si>
    <t xml:space="preserve">7 QUIN.$15000</t>
  </si>
  <si>
    <t xml:space="preserve">FUENTES MABEL LETICIA DEL VALLE (REFIN)</t>
  </si>
  <si>
    <t xml:space="preserve">6m $26400</t>
  </si>
  <si>
    <t xml:space="preserve">6 MESES$22,000</t>
  </si>
  <si>
    <t xml:space="preserve">4 MESES$27000</t>
  </si>
  <si>
    <t xml:space="preserve">8Q$13500</t>
  </si>
  <si>
    <t xml:space="preserve">4m$21600</t>
  </si>
  <si>
    <t xml:space="preserve">6 MES $52800</t>
  </si>
  <si>
    <t xml:space="preserve">4 MES $18900</t>
  </si>
  <si>
    <t xml:space="preserve">3MES $3600</t>
  </si>
  <si>
    <t xml:space="preserve">4MESES$37800</t>
  </si>
  <si>
    <t xml:space="preserve">5 mes$129600</t>
  </si>
  <si>
    <t xml:space="preserve">1 PAGO 32000</t>
  </si>
  <si>
    <t xml:space="preserve">1 PAGO 22500</t>
  </si>
  <si>
    <t xml:space="preserve">1 pago$150000</t>
  </si>
  <si>
    <t xml:space="preserve">HENOT MAXIMILIANO- CANDELA</t>
  </si>
  <si>
    <t xml:space="preserve">AV. ARMADA ARG.2939.351-3551088. 3514591095</t>
  </si>
  <si>
    <t xml:space="preserve">7QUIN$9500</t>
  </si>
  <si>
    <t xml:space="preserve">7 Q.$9500</t>
  </si>
  <si>
    <t xml:space="preserve">7 mes$80000</t>
  </si>
  <si>
    <t xml:space="preserve">3 MES$599,990</t>
  </si>
  <si>
    <t xml:space="preserve">04 meses$54000</t>
  </si>
  <si>
    <t xml:space="preserve">72*2400</t>
  </si>
  <si>
    <t xml:space="preserve">6 mes$25920</t>
  </si>
  <si>
    <t xml:space="preserve">06 meses$44000</t>
  </si>
  <si>
    <t xml:space="preserve">30 Q.$19700</t>
  </si>
  <si>
    <t xml:space="preserve">120*$3103</t>
  </si>
  <si>
    <t xml:space="preserve">7 MES$11315</t>
  </si>
  <si>
    <t xml:space="preserve">7mes$22630</t>
  </si>
  <si>
    <t xml:space="preserve">encargado en Oleo Sabores</t>
  </si>
  <si>
    <t xml:space="preserve">5MES$108000</t>
  </si>
  <si>
    <t xml:space="preserve">72*4500</t>
  </si>
  <si>
    <t xml:space="preserve">4meses$16200</t>
  </si>
  <si>
    <t xml:space="preserve">1PAGO</t>
  </si>
  <si>
    <t xml:space="preserve">1 PAGO 23000</t>
  </si>
  <si>
    <t xml:space="preserve">4 meses$54800</t>
  </si>
  <si>
    <t xml:space="preserve">BAZAN ELBA LILIA-REYNOSO ROMULA</t>
  </si>
  <si>
    <t xml:space="preserve">RIO SECO 5943-TC.3512524380</t>
  </si>
  <si>
    <t xml:space="preserve">4 meses $108000</t>
  </si>
  <si>
    <t xml:space="preserve">FARIAS ROMINA V./ FARIAS CAROLINA</t>
  </si>
  <si>
    <t xml:space="preserve">MZA. 46 LT.13 ITUZAINGO IPV. TL.4283089- TC.3518574887</t>
  </si>
  <si>
    <t xml:space="preserve">30q$21875</t>
  </si>
  <si>
    <t xml:space="preserve">6 MES$15000</t>
  </si>
  <si>
    <t xml:space="preserve">115*5740</t>
  </si>
  <si>
    <t xml:space="preserve">paz marisa- VILLALBA CRISTIAN M. </t>
  </si>
  <si>
    <t xml:space="preserve">RICCIO MIRIAM ELIZABETH -  FARIAS CAROLINA</t>
  </si>
  <si>
    <t xml:space="preserve">20 Q*25000</t>
  </si>
  <si>
    <t xml:space="preserve">7 Q.$15500</t>
  </si>
  <si>
    <t xml:space="preserve">9 MES$45000</t>
  </si>
  <si>
    <t xml:space="preserve">GONZALEZ NATALIA DEOLINDA-SANTILLAN FRANCO</t>
  </si>
  <si>
    <t xml:space="preserve">mza.21 lte.10-TC.3517 18-4740</t>
  </si>
  <si>
    <t xml:space="preserve">120*11000</t>
  </si>
  <si>
    <t xml:space="preserve">TORRES LEANDRO MARTIN</t>
  </si>
  <si>
    <t xml:space="preserve">CARLOS GERVASONI 2382-TALLERES S. TC.3513118483</t>
  </si>
  <si>
    <t xml:space="preserve">55*1910</t>
  </si>
  <si>
    <t xml:space="preserve">12 QUIN$33000</t>
  </si>
  <si>
    <t xml:space="preserve">4 MES$32400</t>
  </si>
  <si>
    <t xml:space="preserve">6 meses$22000</t>
  </si>
  <si>
    <t xml:space="preserve">70*1545</t>
  </si>
  <si>
    <t xml:space="preserve">9 MES$68000</t>
  </si>
  <si>
    <t xml:space="preserve">7 MES $37800</t>
  </si>
  <si>
    <t xml:space="preserve">5 MES$43200</t>
  </si>
  <si>
    <t xml:space="preserve">8 QUIN$36000</t>
  </si>
  <si>
    <t xml:space="preserve">7 MES$75,000</t>
  </si>
  <si>
    <t xml:space="preserve">1 Pago</t>
  </si>
  <si>
    <t xml:space="preserve">7 quinc$9500</t>
  </si>
  <si>
    <t xml:space="preserve">10 mes$30800</t>
  </si>
  <si>
    <t xml:space="preserve">22 Q.$27280</t>
  </si>
  <si>
    <t xml:space="preserve">11 quinc.$26.400</t>
  </si>
  <si>
    <t xml:space="preserve">6 MESES $35200</t>
  </si>
  <si>
    <t xml:space="preserve">7 Q.$12350</t>
  </si>
  <si>
    <t xml:space="preserve">70*3100</t>
  </si>
  <si>
    <t xml:space="preserve">8 MES$82500</t>
  </si>
  <si>
    <t xml:space="preserve">6 MES$22000</t>
  </si>
  <si>
    <t xml:space="preserve">4 MES$108.000</t>
  </si>
  <si>
    <t xml:space="preserve">120*5503</t>
  </si>
  <si>
    <t xml:space="preserve">4MES $108,000</t>
  </si>
  <si>
    <t xml:space="preserve">SAIN MAIRA DE LOS ANGELES</t>
  </si>
  <si>
    <t xml:space="preserve">4 MES $35100</t>
  </si>
  <si>
    <t xml:space="preserve">10 MES$105000</t>
  </si>
  <si>
    <t xml:space="preserve">FLORES JUANA</t>
  </si>
  <si>
    <t xml:space="preserve">7 QUIN15450</t>
  </si>
  <si>
    <t xml:space="preserve">6 meses$30800</t>
  </si>
  <si>
    <t xml:space="preserve">ABREGO DARIO FABIAN</t>
  </si>
  <si>
    <t xml:space="preserve">CALAMUCHITA 5668.3512659896</t>
  </si>
  <si>
    <t xml:space="preserve">120*4400</t>
  </si>
  <si>
    <t xml:space="preserve">6 M$22000</t>
  </si>
  <si>
    <t xml:space="preserve">6 MESES$44,000</t>
  </si>
  <si>
    <t xml:space="preserve">LAZARTE BERTA ROSA(martin)</t>
  </si>
  <si>
    <t xml:space="preserve">4 mes$81000</t>
  </si>
  <si>
    <t xml:space="preserve">LA FALDA 6058 TC.3513149383 -3513824577</t>
  </si>
  <si>
    <t xml:space="preserve">4 MES $21600</t>
  </si>
  <si>
    <t xml:space="preserve">5 MES$108000</t>
  </si>
  <si>
    <t xml:space="preserve">240*2900</t>
  </si>
  <si>
    <t xml:space="preserve">ALFARO ELIDA ESTER- ALFARO ELIO D¿E.</t>
  </si>
  <si>
    <t xml:space="preserve">2 PAGOS$130.000</t>
  </si>
  <si>
    <t xml:space="preserve">7 Q$21600</t>
  </si>
  <si>
    <t xml:space="preserve">55*3184</t>
  </si>
  <si>
    <t xml:space="preserve">CABIDO JOSEFA OLGA (martin) </t>
  </si>
  <si>
    <t xml:space="preserve">4 Mes$108,000</t>
  </si>
  <si>
    <t xml:space="preserve">DEAN FUNES  814 PB.I TC.153229631 TL.4466800</t>
  </si>
  <si>
    <t xml:space="preserve">4 MES$27,000</t>
  </si>
  <si>
    <t xml:space="preserve">4 MES$216000</t>
  </si>
  <si>
    <t xml:space="preserve">4 meses$54000</t>
  </si>
  <si>
    <t xml:space="preserve">1 pago$120000</t>
  </si>
  <si>
    <t xml:space="preserve">7*15500</t>
  </si>
  <si>
    <t xml:space="preserve">4 mes$108000</t>
  </si>
  <si>
    <t xml:space="preserve">72*$2100</t>
  </si>
  <si>
    <t xml:space="preserve">1 PAGO$75000</t>
  </si>
  <si>
    <t xml:space="preserve">4MES$43200</t>
  </si>
  <si>
    <t xml:space="preserve">4 MES $54000</t>
  </si>
  <si>
    <t xml:space="preserve">7 QUINC$30857</t>
  </si>
  <si>
    <t xml:space="preserve">4 mes 43200</t>
  </si>
  <si>
    <t xml:space="preserve">6 MES$52800</t>
  </si>
  <si>
    <t xml:space="preserve">4M*27000</t>
  </si>
  <si>
    <t xml:space="preserve">4M*16200</t>
  </si>
  <si>
    <t xml:space="preserve">MOYANO CELESTE CANDELARIA</t>
  </si>
  <si>
    <t xml:space="preserve">LA FALDA 6058 TC.351,5328402</t>
  </si>
  <si>
    <t xml:space="preserve">6MESES$35200</t>
  </si>
  <si>
    <t xml:space="preserve">15 MESES$16.000</t>
  </si>
  <si>
    <t xml:space="preserve">4 mes$27000</t>
  </si>
  <si>
    <t xml:space="preserve">7 Q.$21600</t>
  </si>
  <si>
    <t xml:space="preserve">SORIA MIRIAM BEATRIZ  (devora)</t>
  </si>
  <si>
    <t xml:space="preserve">MARTINEZ DIAMELA ANAHI</t>
  </si>
  <si>
    <t xml:space="preserve">fallecido</t>
  </si>
  <si>
    <t xml:space="preserve">6M $44,000</t>
  </si>
  <si>
    <t xml:space="preserve">120*8448</t>
  </si>
  <si>
    <t xml:space="preserve">135*6000</t>
  </si>
  <si>
    <t xml:space="preserve">4 mes$30000</t>
  </si>
  <si>
    <t xml:space="preserve">72*2700</t>
  </si>
  <si>
    <t xml:space="preserve">30*12000</t>
  </si>
  <si>
    <t xml:space="preserve">110*$1680</t>
  </si>
  <si>
    <t xml:space="preserve">ROMERO ROXANA EDITH(alejandro)</t>
  </si>
  <si>
    <t xml:space="preserve">10 MES $90000</t>
  </si>
  <si>
    <t xml:space="preserve">7 MES$56572</t>
  </si>
  <si>
    <t xml:space="preserve">7 MES$56.600</t>
  </si>
  <si>
    <t xml:space="preserve">110*4400</t>
  </si>
  <si>
    <t xml:space="preserve">16q$28125</t>
  </si>
  <si>
    <t xml:space="preserve">COLLADO FERNANDO MARTIN(candelaria)</t>
  </si>
  <si>
    <t xml:space="preserve">4 mes$16200 </t>
  </si>
  <si>
    <t xml:space="preserve">8 mes $112.500</t>
  </si>
  <si>
    <t xml:space="preserve">11q$19200</t>
  </si>
  <si>
    <t xml:space="preserve">6mes$66000</t>
  </si>
  <si>
    <t xml:space="preserve">10meses$99,000</t>
  </si>
  <si>
    <t xml:space="preserve">BLOIN CLAUDIA DEL VALLE(carlos)</t>
  </si>
  <si>
    <t xml:space="preserve">72*$4500</t>
  </si>
  <si>
    <t xml:space="preserve">4 meses $162000</t>
  </si>
  <si>
    <t xml:space="preserve">4 MESES$27,000</t>
  </si>
  <si>
    <t xml:space="preserve">6MES$39600</t>
  </si>
  <si>
    <t xml:space="preserve">4 meses $270000</t>
  </si>
  <si>
    <t xml:space="preserve">7 QUIN$15500</t>
  </si>
  <si>
    <t xml:space="preserve">120*13200</t>
  </si>
  <si>
    <t xml:space="preserve">08 MES$150000</t>
  </si>
  <si>
    <t xml:space="preserve">1pago$150000</t>
  </si>
  <si>
    <t xml:space="preserve">5 MES$64800</t>
  </si>
  <si>
    <t xml:space="preserve">4 MESES$43200</t>
  </si>
  <si>
    <t xml:space="preserve">70*15430</t>
  </si>
  <si>
    <t xml:space="preserve">6 M$17600</t>
  </si>
  <si>
    <t xml:space="preserve">8 Mes$187500</t>
  </si>
  <si>
    <t xml:space="preserve">6 mes$132.000.</t>
  </si>
  <si>
    <t xml:space="preserve">115*4600</t>
  </si>
  <si>
    <t xml:space="preserve">OLMOS ELENA(soledad)</t>
  </si>
  <si>
    <t xml:space="preserve">OLMOS ELENA(SOLEDAD)</t>
  </si>
  <si>
    <t xml:space="preserve">11q$36000</t>
  </si>
  <si>
    <t xml:space="preserve">6 mes$132000</t>
  </si>
  <si>
    <t xml:space="preserve">6 MES$44.000</t>
  </si>
  <si>
    <t xml:space="preserve">6 MES$440000</t>
  </si>
  <si>
    <t xml:space="preserve">11 quin.$24000</t>
  </si>
  <si>
    <t xml:space="preserve">6 MES$220000</t>
  </si>
  <si>
    <t xml:space="preserve">110*9600</t>
  </si>
  <si>
    <t xml:space="preserve">120*7200</t>
  </si>
  <si>
    <t xml:space="preserve">7 QUIN$24700</t>
  </si>
  <si>
    <t xml:space="preserve">7 MES$58.000</t>
  </si>
  <si>
    <t xml:space="preserve">4 messe$864000</t>
  </si>
  <si>
    <t xml:space="preserve">4 MES$540.000</t>
  </si>
  <si>
    <t xml:space="preserve">ANGEL GALLARDO 1907tc.3518099873-SM NORTE LT CASA YAMOI 25 DE mayo </t>
  </si>
  <si>
    <t xml:space="preserve">SORIA MIRIAM BEATRIZ  (hermana "Karina")</t>
  </si>
  <si>
    <t xml:space="preserve">GUZMAN CLAUDIA ALICIA</t>
  </si>
  <si>
    <t xml:space="preserve">3 MES$246667</t>
  </si>
  <si>
    <t xml:space="preserve">7 quin.$15430</t>
  </si>
  <si>
    <t xml:space="preserve">7Q$92571</t>
  </si>
  <si>
    <t xml:space="preserve">ALICANTE LUIS (ramona)</t>
  </si>
  <si>
    <t xml:space="preserve">6 MES$66,000</t>
  </si>
  <si>
    <t xml:space="preserve">40*4500</t>
  </si>
  <si>
    <t xml:space="preserve">1 pago devuelve el 2-9</t>
  </si>
  <si>
    <t xml:space="preserve">6 MES$26400</t>
  </si>
  <si>
    <t xml:space="preserve">6 mes$26400</t>
  </si>
  <si>
    <t xml:space="preserve">4 mes$16200</t>
  </si>
  <si>
    <t xml:space="preserve">ALICANTE LUIS-(JORGE)</t>
  </si>
  <si>
    <t xml:space="preserve">6 MES$30800</t>
  </si>
  <si>
    <t xml:space="preserve">15 quin.30000</t>
  </si>
  <si>
    <t xml:space="preserve">4MESES$27,000</t>
  </si>
  <si>
    <t xml:space="preserve">4 MES$64800</t>
  </si>
  <si>
    <t xml:space="preserve">4 m*43200</t>
  </si>
  <si>
    <t xml:space="preserve">6m*$220000</t>
  </si>
  <si>
    <t xml:space="preserve">8MES $132250</t>
  </si>
  <si>
    <t xml:space="preserve">10 mes$99950</t>
  </si>
  <si>
    <t xml:space="preserve">primer cuota para mayo*</t>
  </si>
  <si>
    <t xml:space="preserve">11 quinc.$44,000</t>
  </si>
  <si>
    <t xml:space="preserve">CABIDO JOSEFA OLGA  dayana</t>
  </si>
  <si>
    <t xml:space="preserve">9 mes$45,000</t>
  </si>
  <si>
    <t xml:space="preserve">14 quin$47150</t>
  </si>
  <si>
    <t xml:space="preserve">70*21600</t>
  </si>
  <si>
    <t xml:space="preserve">20*$14000</t>
  </si>
  <si>
    <t xml:space="preserve">SORIA MIRIAM BEATRIZ  (braiton)</t>
  </si>
  <si>
    <t xml:space="preserve">se actualizo al 10/10</t>
  </si>
  <si>
    <t xml:space="preserve">45*2100</t>
  </si>
  <si>
    <t xml:space="preserve">8mes$93800</t>
  </si>
  <si>
    <t xml:space="preserve">24mes$145000</t>
  </si>
  <si>
    <t xml:space="preserve">12 mes$186000</t>
  </si>
  <si>
    <t xml:space="preserve">4 MES$37800</t>
  </si>
  <si>
    <t xml:space="preserve">4 mes54000</t>
  </si>
  <si>
    <t xml:space="preserve">6 MES$440,000</t>
  </si>
  <si>
    <t xml:space="preserve">7,75mes$102.000</t>
  </si>
  <si>
    <t xml:space="preserve">4 MES$81000</t>
  </si>
  <si>
    <t xml:space="preserve">VILLAGRA MAURICIO</t>
  </si>
  <si>
    <t xml:space="preserve">4 mes$18900</t>
  </si>
  <si>
    <t xml:space="preserve">3MESES$32,000</t>
  </si>
  <si>
    <t xml:space="preserve">6 MESES $66.000</t>
  </si>
  <si>
    <t xml:space="preserve">FUENTES MABEL LETICIA DEL VALLE (laura)</t>
  </si>
  <si>
    <t xml:space="preserve">fecha</t>
  </si>
  <si>
    <t xml:space="preserve">cant.ctas.fin.per</t>
  </si>
  <si>
    <t xml:space="preserve">$$final periodo</t>
  </si>
  <si>
    <t xml:space="preserve">prm.5.ult.se%</t>
  </si>
  <si>
    <t xml:space="preserve">cant.clientes pago</t>
  </si>
  <si>
    <t xml:space="preserve">cred inic$</t>
  </si>
  <si>
    <t xml:space="preserve">saldo</t>
  </si>
  <si>
    <t xml:space="preserve">acum.mens.5</t>
  </si>
  <si>
    <t xml:space="preserve">04.05.20</t>
  </si>
  <si>
    <t xml:space="preserve">11.05.20</t>
  </si>
  <si>
    <t xml:space="preserve">18.05.20</t>
  </si>
  <si>
    <t xml:space="preserve">26.05.20</t>
  </si>
  <si>
    <t xml:space="preserve">01.06.20</t>
  </si>
  <si>
    <t xml:space="preserve">08.06.20</t>
  </si>
  <si>
    <t xml:space="preserve">15.06.20</t>
  </si>
  <si>
    <t xml:space="preserve">22.06.20</t>
  </si>
  <si>
    <t xml:space="preserve">29.06.20</t>
  </si>
  <si>
    <t xml:space="preserve">06.07.20</t>
  </si>
  <si>
    <t xml:space="preserve">13.07.20</t>
  </si>
  <si>
    <t xml:space="preserve">20.07.20</t>
  </si>
  <si>
    <t xml:space="preserve">27.07.20</t>
  </si>
  <si>
    <t xml:space="preserve">03.08.20</t>
  </si>
  <si>
    <t xml:space="preserve">10.08.20</t>
  </si>
  <si>
    <t xml:space="preserve">17.08.20</t>
  </si>
  <si>
    <t xml:space="preserve">24.08.20</t>
  </si>
  <si>
    <t xml:space="preserve">31.08.20</t>
  </si>
  <si>
    <t xml:space="preserve">07.09.20</t>
  </si>
  <si>
    <t xml:space="preserve">14.09.20</t>
  </si>
  <si>
    <t xml:space="preserve">21.09.20</t>
  </si>
  <si>
    <t xml:space="preserve">28.09.20</t>
  </si>
  <si>
    <t xml:space="preserve">05.10.20</t>
  </si>
  <si>
    <t xml:space="preserve">12.10.20</t>
  </si>
  <si>
    <t xml:space="preserve">19.10.20</t>
  </si>
  <si>
    <t xml:space="preserve">26.10.20</t>
  </si>
  <si>
    <t xml:space="preserve">02.11.20</t>
  </si>
  <si>
    <t xml:space="preserve">09.11.20</t>
  </si>
  <si>
    <t xml:space="preserve">16.11.20</t>
  </si>
  <si>
    <t xml:space="preserve">23.11.20</t>
  </si>
  <si>
    <t xml:space="preserve">30.11.20</t>
  </si>
  <si>
    <t xml:space="preserve">07.12.20</t>
  </si>
  <si>
    <t xml:space="preserve">14.12.20</t>
  </si>
  <si>
    <t xml:space="preserve">21.12.20</t>
  </si>
  <si>
    <t xml:space="preserve">28.12.20</t>
  </si>
  <si>
    <t xml:space="preserve">04.01.21</t>
  </si>
  <si>
    <t xml:space="preserve">11.01.21</t>
  </si>
  <si>
    <t xml:space="preserve">18.01.21</t>
  </si>
  <si>
    <t xml:space="preserve">25.01.21</t>
  </si>
  <si>
    <t xml:space="preserve">01.02.21</t>
  </si>
  <si>
    <t xml:space="preserve">08.02.21</t>
  </si>
  <si>
    <t xml:space="preserve">15.02.21</t>
  </si>
  <si>
    <t xml:space="preserve">22.02.21</t>
  </si>
  <si>
    <t xml:space="preserve">01.03.21</t>
  </si>
  <si>
    <t xml:space="preserve">08.03.21</t>
  </si>
  <si>
    <t xml:space="preserve">15.03.21</t>
  </si>
  <si>
    <t xml:space="preserve">22.03.21</t>
  </si>
  <si>
    <t xml:space="preserve">29.03.21</t>
  </si>
  <si>
    <t xml:space="preserve">05.04.21</t>
  </si>
  <si>
    <t xml:space="preserve">12.04.21</t>
  </si>
  <si>
    <t xml:space="preserve">19.04.21</t>
  </si>
  <si>
    <t xml:space="preserve">26.04.21</t>
  </si>
  <si>
    <t xml:space="preserve">03.05.21</t>
  </si>
  <si>
    <t xml:space="preserve">10.05.21</t>
  </si>
  <si>
    <t xml:space="preserve">17.05.21</t>
  </si>
  <si>
    <t xml:space="preserve">24.05.21</t>
  </si>
  <si>
    <t xml:space="preserve">fase 1 cuarentena</t>
  </si>
  <si>
    <t xml:space="preserve">31.05.21</t>
  </si>
  <si>
    <t xml:space="preserve">restric. prov.Pand.</t>
  </si>
  <si>
    <t xml:space="preserve">07.06.21</t>
  </si>
  <si>
    <t xml:space="preserve">14.06.21</t>
  </si>
  <si>
    <t xml:space="preserve">21.06.21</t>
  </si>
  <si>
    <t xml:space="preserve">28.06.21</t>
  </si>
  <si>
    <t xml:space="preserve">04.07.21</t>
  </si>
  <si>
    <t xml:space="preserve">12.07.21</t>
  </si>
  <si>
    <t xml:space="preserve">19.07.21</t>
  </si>
  <si>
    <t xml:space="preserve">26.07.21</t>
  </si>
  <si>
    <t xml:space="preserve">02.08.21</t>
  </si>
  <si>
    <t xml:space="preserve">09.08.21</t>
  </si>
  <si>
    <t xml:space="preserve">16.08.21</t>
  </si>
  <si>
    <t xml:space="preserve">23.08.21</t>
  </si>
  <si>
    <t xml:space="preserve">30.08.21</t>
  </si>
  <si>
    <t xml:space="preserve">06.09.21</t>
  </si>
  <si>
    <t xml:space="preserve">13.09.21</t>
  </si>
  <si>
    <t xml:space="preserve">20.09.21</t>
  </si>
  <si>
    <t xml:space="preserve">27.09.21</t>
  </si>
  <si>
    <t xml:space="preserve">04.10.21</t>
  </si>
  <si>
    <t xml:space="preserve">12.10.21</t>
  </si>
  <si>
    <t xml:space="preserve">18.10.21</t>
  </si>
  <si>
    <t xml:space="preserve">25.10.21</t>
  </si>
  <si>
    <t xml:space="preserve">01.11.21</t>
  </si>
  <si>
    <t xml:space="preserve">08.11.21</t>
  </si>
  <si>
    <t xml:space="preserve">15.11.21</t>
  </si>
  <si>
    <t xml:space="preserve">22.11.21</t>
  </si>
  <si>
    <t xml:space="preserve">29.11.21</t>
  </si>
  <si>
    <t xml:space="preserve">06.12.21</t>
  </si>
  <si>
    <t xml:space="preserve">13.12.21</t>
  </si>
  <si>
    <t xml:space="preserve">20.12.21</t>
  </si>
  <si>
    <t xml:space="preserve">27.12.21</t>
  </si>
  <si>
    <t xml:space="preserve">03.01.22</t>
  </si>
  <si>
    <t xml:space="preserve">10.01.22</t>
  </si>
  <si>
    <t xml:space="preserve">17.01.22</t>
  </si>
  <si>
    <t xml:space="preserve">24.01.22</t>
  </si>
  <si>
    <t xml:space="preserve">31.1.22</t>
  </si>
  <si>
    <t xml:space="preserve">07.02.22</t>
  </si>
  <si>
    <t xml:space="preserve">14.02.22</t>
  </si>
  <si>
    <t xml:space="preserve">21.02.22</t>
  </si>
  <si>
    <t xml:space="preserve">28.02.22</t>
  </si>
  <si>
    <t xml:space="preserve">07.03.22</t>
  </si>
  <si>
    <t xml:space="preserve">14.03.22</t>
  </si>
  <si>
    <t xml:space="preserve">21.03.22</t>
  </si>
  <si>
    <t xml:space="preserve">28.03.22</t>
  </si>
  <si>
    <t xml:space="preserve">04.04.22</t>
  </si>
  <si>
    <t xml:space="preserve">11.04.22</t>
  </si>
  <si>
    <t xml:space="preserve">18.04.22</t>
  </si>
  <si>
    <t xml:space="preserve">25.04.22</t>
  </si>
  <si>
    <t xml:space="preserve">02.05.22</t>
  </si>
  <si>
    <t xml:space="preserve">09.05.22</t>
  </si>
  <si>
    <t xml:space="preserve">16.05,22</t>
  </si>
  <si>
    <t xml:space="preserve">23.05.22</t>
  </si>
  <si>
    <t xml:space="preserve">30.05.22</t>
  </si>
  <si>
    <t xml:space="preserve">06.06.22</t>
  </si>
  <si>
    <t xml:space="preserve">13.06.22</t>
  </si>
  <si>
    <t xml:space="preserve">20.06.22</t>
  </si>
  <si>
    <t xml:space="preserve">27.06.22</t>
  </si>
  <si>
    <t xml:space="preserve">04.07.22</t>
  </si>
  <si>
    <t xml:space="preserve">11.07.22</t>
  </si>
  <si>
    <t xml:space="preserve">18.07.22</t>
  </si>
  <si>
    <t xml:space="preserve">23.07.22</t>
  </si>
  <si>
    <t xml:space="preserve">01.08.22</t>
  </si>
  <si>
    <t xml:space="preserve">08.08.22</t>
  </si>
  <si>
    <t xml:space="preserve">15.08.22</t>
  </si>
  <si>
    <t xml:space="preserve">22.08.22</t>
  </si>
  <si>
    <t xml:space="preserve">29.08.22</t>
  </si>
  <si>
    <t xml:space="preserve">05.09.22</t>
  </si>
  <si>
    <t xml:space="preserve">12.09.22</t>
  </si>
  <si>
    <t xml:space="preserve">19.09.22</t>
  </si>
  <si>
    <t xml:space="preserve">26.09.22</t>
  </si>
  <si>
    <t xml:space="preserve">03.10.22</t>
  </si>
  <si>
    <t xml:space="preserve">10.10.22</t>
  </si>
  <si>
    <t xml:space="preserve">17.10.22</t>
  </si>
  <si>
    <t xml:space="preserve">24.10.22</t>
  </si>
  <si>
    <t xml:space="preserve">08.01.23</t>
  </si>
  <si>
    <t xml:space="preserve">vacaciones</t>
  </si>
  <si>
    <t xml:space="preserve">06.02.23</t>
  </si>
  <si>
    <t xml:space="preserve">15.05.23</t>
  </si>
  <si>
    <t xml:space="preserve">05.06.23</t>
  </si>
  <si>
    <t xml:space="preserve">NO SE TRABAJO NORMALMENTE EL SABADO POR OPERCION BUCAL</t>
  </si>
  <si>
    <t xml:space="preserve">16.06.25</t>
  </si>
  <si>
    <t xml:space="preserve">SEMANAL</t>
  </si>
  <si>
    <t xml:space="preserve">SEM.CALEN</t>
  </si>
  <si>
    <t xml:space="preserve">DIAS CALEN</t>
  </si>
  <si>
    <t xml:space="preserve">DIAS$</t>
  </si>
  <si>
    <t xml:space="preserve">CTA. SEM$</t>
  </si>
  <si>
    <t xml:space="preserve">TOTAL</t>
  </si>
  <si>
    <t xml:space="preserve">14.2</t>
  </si>
  <si>
    <t xml:space="preserve">quincenal</t>
  </si>
  <si>
    <t xml:space="preserve">CUOTA</t>
  </si>
  <si>
    <t xml:space="preserve">DIA</t>
  </si>
  <si>
    <t xml:space="preserve">MENSUAL</t>
  </si>
  <si>
    <t xml:space="preserve">6Q</t>
  </si>
  <si>
    <t xml:space="preserve">4 MESES</t>
  </si>
  <si>
    <t xml:space="preserve">7Q</t>
  </si>
  <si>
    <t xml:space="preserve">6MESES</t>
  </si>
  <si>
    <t xml:space="preserve">11Q</t>
  </si>
  <si>
    <t xml:space="preserve">8 MESES</t>
  </si>
  <si>
    <t xml:space="preserve">16Q</t>
  </si>
  <si>
    <t xml:space="preserve">10 MESES</t>
  </si>
  <si>
    <t xml:space="preserve">20Q</t>
  </si>
  <si>
    <t xml:space="preserve">12 MESES</t>
  </si>
  <si>
    <t xml:space="preserve">24q</t>
  </si>
  <si>
    <t xml:space="preserve">alternativo</t>
  </si>
  <si>
    <t xml:space="preserve">3 MESES</t>
  </si>
  <si>
    <t xml:space="preserve">5MESES</t>
  </si>
  <si>
    <t xml:space="preserve">7 MESES</t>
  </si>
  <si>
    <t xml:space="preserve">Plan 120 *$4600</t>
  </si>
  <si>
    <t xml:space="preserve">"CREDITOS"</t>
  </si>
  <si>
    <t xml:space="preserve">*****</t>
  </si>
  <si>
    <t xml:space="preserve">Fecha Finaliz.:</t>
  </si>
  <si>
    <t xml:space="preserve">TC. EMP :</t>
  </si>
  <si>
    <t xml:space="preserve">SIMES EDUARDO A.</t>
  </si>
  <si>
    <t xml:space="preserve">Plan:75*  $1152</t>
  </si>
  <si>
    <t xml:space="preserve">"CREDITO</t>
  </si>
  <si>
    <t xml:space="preserve">EFECTIVO "</t>
  </si>
  <si>
    <t xml:space="preserve">Fecha Final.</t>
  </si>
  <si>
    <t xml:space="preserve">Plan:80*$810</t>
  </si>
  <si>
    <t xml:space="preserve">23,07,21</t>
  </si>
  <si>
    <t xml:space="preserve">TC. :</t>
  </si>
  <si>
    <t xml:space="preserve">Plan:90*$160</t>
  </si>
  <si>
    <t xml:space="preserve">TC.: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</si>
</sst>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_-&quot;$ &quot;* #,##0.00_-;&quot;-$ &quot;* #,##0.00_-;_-&quot;$ &quot;* \-??_-;_-@_-"/>
    <numFmt numFmtId="166" formatCode="0"/>
    <numFmt numFmtId="167" formatCode="dd/mm/yyyy"/>
    <numFmt numFmtId="168" formatCode="0.00"/>
    <numFmt numFmtId="169" formatCode="0.0"/>
    <numFmt numFmtId="170" formatCode="&quot;$ &quot;#,##0"/>
    <numFmt numFmtId="171" formatCode="0\ %"/>
    <numFmt numFmtId="172" formatCode="0.00\ %"/>
    <numFmt numFmtId="173" formatCode="dd/mm/yyyy;@"/>
    <numFmt numFmtId="174" formatCode="&quot;$ &quot;#,##0;[RED]&quot;-$ &quot;#,##0"/>
    <numFmt numFmtId="175" formatCode="_-&quot;$ &quot;* #,##0_-;&quot;-$ &quot;* #,##0_-;_-&quot;$ &quot;* \-??_-;_-@_-"/>
    <numFmt numFmtId="176" formatCode="@"/>
    <numFmt numFmtId="177" formatCode="#,##0"/>
    <numFmt numFmtId="178" formatCode="_-* #,##0.00_-;\-* #,##0.00_-;_-* \-??_-;_-@_-"/>
    <numFmt numFmtId="179" formatCode="_-* #,##0_-;\-* #,##0_-;_-* \-??_-;_-@_-"/>
    <numFmt numFmtId="180" formatCode="#,##0.000"/>
    <numFmt numFmtId="181" formatCode="0.000"/>
    <numFmt numFmtId="182" formatCode="_-&quot;$ &quot;* #,##0.0_-;&quot;-$ &quot;* #,##0.0_-;_-&quot;$ &quot;* \-??_-;_-@_-"/>
    <numFmt numFmtId="183" formatCode="_-&quot;$ &quot;* #,##0.0_-;&quot;-$ &quot;* #,##0.0_-;_-&quot;$ &quot;* \-?_-;_-@_-"/>
  </numFmts>
  <fonts count="9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6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8"/>
      <name val="Calibri"/>
      <family val="2"/>
      <charset val="1"/>
    </font>
    <font>
      <sz val="8"/>
      <name val="Calibri"/>
      <family val="2"/>
      <charset val="1"/>
    </font>
    <font>
      <sz val="7"/>
      <name val="Calibri"/>
      <family val="2"/>
      <charset val="1"/>
    </font>
    <font>
      <sz val="6"/>
      <name val="Calibri"/>
      <family val="2"/>
      <charset val="1"/>
    </font>
    <font>
      <sz val="9"/>
      <name val="Calibri"/>
      <family val="2"/>
      <charset val="1"/>
    </font>
    <font>
      <b val="true"/>
      <sz val="8"/>
      <color rgb="FF00B0F0"/>
      <name val="Calibri"/>
      <family val="2"/>
      <charset val="1"/>
    </font>
    <font>
      <b val="true"/>
      <sz val="8"/>
      <color rgb="FF0070C0"/>
      <name val="Calibri"/>
      <family val="2"/>
      <charset val="1"/>
    </font>
    <font>
      <b val="true"/>
      <sz val="10"/>
      <color rgb="FF00B0F0"/>
      <name val="Calibri"/>
      <family val="2"/>
      <charset val="1"/>
    </font>
    <font>
      <b val="true"/>
      <sz val="7"/>
      <name val="Calibri"/>
      <family val="2"/>
      <charset val="1"/>
    </font>
    <font>
      <b val="true"/>
      <sz val="6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  <font>
      <b val="true"/>
      <sz val="9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sz val="7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sz val="8"/>
      <color theme="1"/>
      <name val="Times New Roman"/>
      <family val="1"/>
      <charset val="1"/>
    </font>
    <font>
      <sz val="14"/>
      <color theme="1"/>
      <name val="Times New Roman"/>
      <family val="1"/>
      <charset val="1"/>
    </font>
    <font>
      <sz val="5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6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7" tint="0.7999"/>
      <name val="Times New Roman"/>
      <family val="1"/>
      <charset val="1"/>
    </font>
    <font>
      <b val="true"/>
      <sz val="6"/>
      <color theme="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1"/>
      <color rgb="FFFF0000"/>
      <name val="Times New Roman"/>
      <family val="1"/>
      <charset val="1"/>
    </font>
    <font>
      <b val="true"/>
      <u val="single"/>
      <sz val="12"/>
      <color theme="9" tint="-0.25"/>
      <name val="Times New Roman"/>
      <family val="1"/>
      <charset val="1"/>
    </font>
    <font>
      <sz val="8"/>
      <color theme="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20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b val="true"/>
      <sz val="16"/>
      <color rgb="FFFF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6"/>
      <color theme="1"/>
      <name val="Times New Roman"/>
      <family val="1"/>
      <charset val="1"/>
    </font>
    <font>
      <b val="true"/>
      <sz val="11"/>
      <name val="Calibri"/>
      <family val="2"/>
      <charset val="1"/>
    </font>
    <font>
      <b val="true"/>
      <sz val="10"/>
      <color theme="1"/>
      <name val="Times New Roman"/>
      <family val="1"/>
      <charset val="1"/>
    </font>
    <font>
      <b val="true"/>
      <sz val="9"/>
      <color rgb="FF92D050"/>
      <name val="Times New Roman"/>
      <family val="1"/>
      <charset val="1"/>
    </font>
    <font>
      <b val="true"/>
      <sz val="5"/>
      <color theme="1"/>
      <name val="Times New Roman"/>
      <family val="1"/>
      <charset val="1"/>
    </font>
    <font>
      <b val="true"/>
      <sz val="16"/>
      <color theme="1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11"/>
      <name val="Times New Roman"/>
      <family val="1"/>
      <charset val="1"/>
    </font>
    <font>
      <sz val="11"/>
      <color theme="9" tint="-0.25"/>
      <name val="Times New Roman"/>
      <family val="1"/>
      <charset val="1"/>
    </font>
    <font>
      <sz val="8"/>
      <color theme="9" tint="-0.25"/>
      <name val="Times New Roman"/>
      <family val="1"/>
      <charset val="1"/>
    </font>
    <font>
      <b val="true"/>
      <sz val="16"/>
      <name val="Times New Roman"/>
      <family val="1"/>
      <charset val="1"/>
    </font>
    <font>
      <b val="true"/>
      <sz val="18"/>
      <color theme="1"/>
      <name val="Times New Roman"/>
      <family val="1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8"/>
      <color rgb="FF00B0F0"/>
      <name val="Calibri"/>
      <family val="2"/>
      <charset val="1"/>
    </font>
    <font>
      <b val="true"/>
      <sz val="8"/>
      <color theme="1"/>
      <name val="Calibri"/>
      <family val="2"/>
      <charset val="1"/>
    </font>
    <font>
      <i val="true"/>
      <sz val="8"/>
      <name val="Calibri"/>
      <family val="2"/>
      <charset val="1"/>
    </font>
    <font>
      <sz val="8"/>
      <color rgb="FF00FFFF"/>
      <name val="Calibri"/>
      <family val="2"/>
      <charset val="1"/>
    </font>
    <font>
      <sz val="9"/>
      <color rgb="FF00B0F0"/>
      <name val="Calibri"/>
      <family val="2"/>
      <charset val="1"/>
    </font>
    <font>
      <b val="true"/>
      <sz val="9"/>
      <color rgb="FF00B0F0"/>
      <name val="Calibri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0070C0"/>
      <name val="Calibri"/>
      <family val="2"/>
      <charset val="1"/>
    </font>
    <font>
      <sz val="5"/>
      <name val="Calibri"/>
      <family val="2"/>
      <charset val="1"/>
    </font>
    <font>
      <b val="true"/>
      <u val="single"/>
      <sz val="8"/>
      <color rgb="FF00B0F0"/>
      <name val="Calibri"/>
      <family val="2"/>
      <charset val="1"/>
    </font>
    <font>
      <sz val="8"/>
      <color rgb="FFFF0000"/>
      <name val="Calibri"/>
      <family val="2"/>
      <charset val="1"/>
    </font>
    <font>
      <sz val="7"/>
      <color rgb="FFFF0000"/>
      <name val="Calibri"/>
      <family val="2"/>
      <charset val="1"/>
    </font>
    <font>
      <sz val="6"/>
      <color rgb="FFFF0000"/>
      <name val="Calibri"/>
      <family val="2"/>
      <charset val="1"/>
    </font>
    <font>
      <sz val="9"/>
      <color rgb="FFFF0000"/>
      <name val="Calibri"/>
      <family val="2"/>
      <charset val="1"/>
    </font>
    <font>
      <b val="true"/>
      <sz val="8"/>
      <color rgb="FFFF000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"/>
      <color theme="1"/>
      <name val="Times New Roman"/>
      <family val="1"/>
      <charset val="1"/>
    </font>
    <font>
      <b val="true"/>
      <sz val="10"/>
      <name val="Times New Roman"/>
      <family val="1"/>
      <charset val="1"/>
    </font>
    <font>
      <sz val="5"/>
      <color rgb="FFFF0000"/>
      <name val="Times New Roman"/>
      <family val="1"/>
      <charset val="1"/>
    </font>
    <font>
      <sz val="5"/>
      <color theme="7" tint="0.799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sz val="5"/>
      <color theme="1"/>
      <name val="Calibri"/>
      <family val="2"/>
      <charset val="1"/>
    </font>
    <font>
      <sz val="11"/>
      <color theme="7" tint="0.7999"/>
      <name val="Calibri"/>
      <family val="2"/>
      <charset val="1"/>
    </font>
    <font>
      <b val="true"/>
      <sz val="9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7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theme="0" tint="-0.05"/>
        <bgColor rgb="FFE7E6E6"/>
      </patternFill>
    </fill>
    <fill>
      <patternFill patternType="solid">
        <fgColor theme="9" tint="0.5999"/>
        <bgColor rgb="FFC6EFCE"/>
      </patternFill>
    </fill>
    <fill>
      <patternFill patternType="solid">
        <fgColor theme="7" tint="0.3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theme="7" tint="0.7999"/>
        <bgColor rgb="FFF2F2F2"/>
      </patternFill>
    </fill>
    <fill>
      <patternFill patternType="solid">
        <fgColor theme="7"/>
        <bgColor rgb="FFFFD966"/>
      </patternFill>
    </fill>
    <fill>
      <patternFill patternType="solid">
        <fgColor theme="0"/>
        <bgColor rgb="FFF2F2F2"/>
      </patternFill>
    </fill>
    <fill>
      <patternFill patternType="solid">
        <fgColor theme="9" tint="0.3999"/>
        <bgColor rgb="FFC5E0B4"/>
      </patternFill>
    </fill>
    <fill>
      <patternFill patternType="solid">
        <fgColor rgb="FFFFFF00"/>
        <bgColor rgb="FFFFD966"/>
      </patternFill>
    </fill>
    <fill>
      <patternFill patternType="solid">
        <fgColor rgb="FF92D050"/>
        <bgColor rgb="FFA9D18E"/>
      </patternFill>
    </fill>
    <fill>
      <patternFill patternType="solid">
        <fgColor theme="1"/>
        <bgColor rgb="FF003300"/>
      </patternFill>
    </fill>
    <fill>
      <patternFill patternType="solid">
        <fgColor theme="0" tint="-0.15"/>
        <bgColor rgb="FFE7E6E6"/>
      </patternFill>
    </fill>
    <fill>
      <patternFill patternType="solid">
        <fgColor theme="5" tint="0.3999"/>
        <bgColor rgb="FFFFD966"/>
      </patternFill>
    </fill>
    <fill>
      <patternFill patternType="solid">
        <fgColor theme="2"/>
        <bgColor rgb="FFE2F0D9"/>
      </patternFill>
    </fill>
    <fill>
      <patternFill patternType="solid">
        <fgColor rgb="FFBDD7EE"/>
        <bgColor rgb="FFB4C7E7"/>
      </patternFill>
    </fill>
    <fill>
      <patternFill patternType="solid">
        <fgColor rgb="FFD7E7FB"/>
        <bgColor rgb="FFE7E6E6"/>
      </patternFill>
    </fill>
    <fill>
      <patternFill patternType="solid">
        <fgColor theme="4" tint="0.5999"/>
        <bgColor rgb="FFBDD7EE"/>
      </patternFill>
    </fill>
    <fill>
      <patternFill patternType="solid">
        <fgColor rgb="FF0070C0"/>
        <bgColor rgb="FF008080"/>
      </patternFill>
    </fill>
    <fill>
      <patternFill patternType="solid">
        <fgColor rgb="FFFF33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theme="9"/>
        <bgColor rgb="FF92D050"/>
      </patternFill>
    </fill>
    <fill>
      <patternFill patternType="solid">
        <fgColor theme="9" tint="0.7999"/>
        <bgColor rgb="FFE7E6E6"/>
      </patternFill>
    </fill>
    <fill>
      <patternFill patternType="solid">
        <fgColor theme="4"/>
        <bgColor rgb="FF666699"/>
      </patternFill>
    </fill>
    <fill>
      <patternFill patternType="solid">
        <fgColor theme="0" tint="-0.25"/>
        <bgColor rgb="FFB4C7E7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true" diagonalDown="false">
      <left style="medium"/>
      <right style="thin"/>
      <top style="thin"/>
      <bottom style="medium"/>
      <diagonal style="medium"/>
    </border>
    <border diagonalUp="true" diagonalDown="false">
      <left style="thin"/>
      <right/>
      <top style="thin"/>
      <bottom style="medium"/>
      <diagonal style="medium"/>
    </border>
    <border diagonalUp="true" diagonalDown="false">
      <left style="medium"/>
      <right style="medium"/>
      <top style="thin"/>
      <bottom style="medium"/>
      <diagonal style="medium"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true" diagonalDown="false">
      <left style="medium"/>
      <right style="medium"/>
      <top style="medium"/>
      <bottom style="medium"/>
      <diagonal style="medium"/>
    </border>
    <border diagonalUp="false" diagonalDown="true">
      <left style="medium"/>
      <right style="medium"/>
      <top style="medium"/>
      <bottom style="medium"/>
      <diagonal style="medium"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medium"/>
      <bottom/>
      <diagonal/>
    </border>
    <border diagonalUp="true" diagonalDown="false">
      <left style="medium"/>
      <right style="thin"/>
      <top style="thin"/>
      <bottom style="thin"/>
      <diagonal style="medium"/>
    </border>
    <border diagonalUp="true" diagonalDown="false">
      <left style="thin"/>
      <right style="thin"/>
      <top style="thin"/>
      <bottom style="thin"/>
      <diagonal style="medium"/>
    </border>
    <border diagonalUp="true" diagonalDown="false">
      <left style="thin"/>
      <right style="medium"/>
      <top style="thin"/>
      <bottom style="thin"/>
      <diagonal style="medium"/>
    </border>
    <border diagonalUp="false" diagonalDown="true">
      <left style="medium"/>
      <right style="thin"/>
      <top style="thin"/>
      <bottom style="thin"/>
      <diagonal style="medium"/>
    </border>
    <border diagonalUp="false" diagonalDown="true">
      <left style="thin"/>
      <right style="thin"/>
      <top style="thin"/>
      <bottom style="thin"/>
      <diagonal style="medium"/>
    </border>
    <border diagonalUp="false" diagonalDown="true">
      <left style="thin"/>
      <right style="medium"/>
      <top style="thin"/>
      <bottom style="thin"/>
      <diagonal style="medium"/>
    </border>
    <border diagonalUp="false" diagonalDown="true">
      <left style="medium"/>
      <right style="thin"/>
      <top style="thin"/>
      <bottom style="medium"/>
      <diagonal style="medium"/>
    </border>
    <border diagonalUp="false" diagonalDown="true">
      <left style="thin"/>
      <right style="thin"/>
      <top style="thin"/>
      <bottom style="medium"/>
      <diagonal style="medium"/>
    </border>
    <border diagonalUp="false" diagonalDown="true">
      <left style="thin"/>
      <right style="medium"/>
      <top style="thin"/>
      <bottom style="medium"/>
      <diagonal style="medium"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4" borderId="3" xfId="17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5" borderId="3" xfId="17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6" borderId="3" xfId="17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7" borderId="3" xfId="17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9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1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5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9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3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1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5" fillId="9" borderId="2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2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5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4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3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11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4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9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9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9" fillId="9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9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5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13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13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3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1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1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8" fillId="14" borderId="2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1" borderId="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1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1" borderId="9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11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11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1" borderId="1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9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9" fillId="4" borderId="2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9" fillId="8" borderId="11" xfId="19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9" fillId="1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9" fillId="9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2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2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1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9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9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5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2" fillId="9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6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5" fillId="9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9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7" fillId="9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2" fillId="9" borderId="2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2" fillId="9" borderId="2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5" fillId="9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3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0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7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1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4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9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9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9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2" fillId="9" borderId="3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9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5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3" fillId="9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9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3" fillId="9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3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9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4" fontId="33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9" borderId="2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26" fillId="9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45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9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7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9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9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3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9" borderId="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9" borderId="3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9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3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9" fillId="18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9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9" borderId="2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9" borderId="2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2" fillId="9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4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1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9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1" fillId="9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9" borderId="2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33" fillId="9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4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9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5" fontId="39" fillId="9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1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1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9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2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44" fillId="1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7" fontId="43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6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9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4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8" fillId="9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34" fillId="9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6" fillId="9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4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8" fillId="9" borderId="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8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8" fillId="2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8" fillId="19" borderId="3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8" fillId="21" borderId="3" xfId="17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2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9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9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9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5" fillId="9" borderId="4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9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9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1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1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1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9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0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1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4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3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4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4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1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9" fillId="9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9" fillId="9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5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6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9" borderId="4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7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7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7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7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67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5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7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7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68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7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7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7" fillId="9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69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8" fontId="9" fillId="9" borderId="2" xfId="15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9" fillId="2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70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1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2" fillId="9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3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2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74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5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6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2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2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2" fillId="9" borderId="3" xfId="1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76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2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9" fontId="9" fillId="9" borderId="2" xfId="15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9" fillId="9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1" fillId="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9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79" fillId="6" borderId="4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3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82" fontId="0" fillId="0" borderId="22" xfId="1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82" fontId="0" fillId="0" borderId="22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9" fillId="0" borderId="2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9" fillId="11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82" fontId="0" fillId="11" borderId="0" xfId="1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82" fontId="0" fillId="11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48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79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9" fillId="0" borderId="2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83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9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9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11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2" xfId="0" applyFont="true" applyBorder="true" applyAlignment="true" applyProtection="false">
      <alignment horizontal="center" vertical="bottom" textRotation="45" wrapText="false" indent="0" shrinkToFit="false"/>
      <protection locked="true" hidden="false"/>
    </xf>
    <xf numFmtId="182" fontId="0" fillId="9" borderId="2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9" borderId="22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1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9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0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9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9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9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9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2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2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3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3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2" fillId="9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4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1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2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4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1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5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6" fillId="9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9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6" fillId="9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7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6" fillId="9" borderId="3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9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6" fillId="9" borderId="2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9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9" fillId="1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8" fillId="1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0" fillId="9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2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8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8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5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2" fillId="9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2" fillId="9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5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9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8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neda 2 2 2 2" xfId="20"/>
  </cellStyles>
  <dxfs count="351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F33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7C9E41"/>
          <bgColor rgb="FF000000"/>
        </patternFill>
      </fill>
    </dxf>
    <dxf>
      <fill>
        <patternFill patternType="solid">
          <fgColor rgb="FF84943D"/>
          <bgColor rgb="FF000000"/>
        </patternFill>
      </fill>
    </dxf>
    <dxf>
      <fill>
        <patternFill patternType="solid">
          <fgColor rgb="FF86933C"/>
          <bgColor rgb="FF000000"/>
        </patternFill>
      </fill>
    </dxf>
    <dxf>
      <fill>
        <patternFill patternType="solid">
          <fgColor rgb="FF88903B"/>
          <bgColor rgb="FF000000"/>
        </patternFill>
      </fill>
    </dxf>
    <dxf>
      <fill>
        <patternFill patternType="solid">
          <fgColor rgb="FF898F3A"/>
          <bgColor rgb="FF000000"/>
        </patternFill>
      </fill>
    </dxf>
    <dxf>
      <fill>
        <patternFill patternType="solid">
          <fgColor rgb="FF8A8D3A"/>
          <bgColor rgb="FF000000"/>
        </patternFill>
      </fill>
    </dxf>
    <dxf>
      <fill>
        <patternFill patternType="solid">
          <fgColor rgb="FF8B8C39"/>
          <bgColor rgb="FF000000"/>
        </patternFill>
      </fill>
    </dxf>
    <dxf>
      <fill>
        <patternFill patternType="solid">
          <fgColor rgb="FF8D8A39"/>
          <bgColor rgb="FF000000"/>
        </patternFill>
      </fill>
    </dxf>
    <dxf>
      <fill>
        <patternFill patternType="solid">
          <fgColor rgb="FF8E8938"/>
          <bgColor rgb="FF000000"/>
        </patternFill>
      </fill>
    </dxf>
    <dxf>
      <fill>
        <patternFill patternType="solid">
          <fgColor rgb="FF8F8837"/>
          <bgColor rgb="FF000000"/>
        </patternFill>
      </fill>
    </dxf>
    <dxf>
      <fill>
        <patternFill patternType="solid">
          <fgColor rgb="FF908637"/>
          <bgColor rgb="FF000000"/>
        </patternFill>
      </fill>
    </dxf>
    <dxf>
      <fill>
        <patternFill patternType="solid">
          <fgColor rgb="FF918536"/>
          <bgColor rgb="FF000000"/>
        </patternFill>
      </fill>
    </dxf>
    <dxf>
      <fill>
        <patternFill patternType="solid">
          <fgColor rgb="FF928336"/>
          <bgColor rgb="FF000000"/>
        </patternFill>
      </fill>
    </dxf>
    <dxf>
      <fill>
        <patternFill patternType="solid">
          <fgColor rgb="FF948235"/>
          <bgColor rgb="FF000000"/>
        </patternFill>
      </fill>
    </dxf>
    <dxf>
      <fill>
        <patternFill patternType="solid">
          <fgColor rgb="FF967F34"/>
          <bgColor rgb="FF000000"/>
        </patternFill>
      </fill>
    </dxf>
    <dxf>
      <fill>
        <patternFill patternType="solid">
          <fgColor rgb="FF977E33"/>
          <bgColor rgb="FF000000"/>
        </patternFill>
      </fill>
    </dxf>
    <dxf>
      <fill>
        <patternFill patternType="solid">
          <fgColor rgb="FF987C33"/>
          <bgColor rgb="FF000000"/>
        </patternFill>
      </fill>
    </dxf>
    <dxf>
      <fill>
        <patternFill patternType="solid">
          <fgColor rgb="FF9A7B32"/>
          <bgColor rgb="FF000000"/>
        </patternFill>
      </fill>
    </dxf>
    <dxf>
      <fill>
        <patternFill patternType="solid">
          <fgColor rgb="FF9B7932"/>
          <bgColor rgb="FF000000"/>
        </patternFill>
      </fill>
    </dxf>
    <dxf>
      <fill>
        <patternFill patternType="solid">
          <fgColor rgb="FF9C7831"/>
          <bgColor rgb="FF000000"/>
        </patternFill>
      </fill>
    </dxf>
    <dxf>
      <fill>
        <patternFill patternType="solid">
          <fgColor rgb="FF9E7530"/>
          <bgColor rgb="FF000000"/>
        </patternFill>
      </fill>
    </dxf>
    <dxf>
      <fill>
        <patternFill patternType="solid">
          <fgColor rgb="FF9F742F"/>
          <bgColor rgb="FF000000"/>
        </patternFill>
      </fill>
    </dxf>
    <dxf>
      <fill>
        <patternFill patternType="solid">
          <fgColor rgb="FFA1722F"/>
          <bgColor rgb="FF000000"/>
        </patternFill>
      </fill>
    </dxf>
    <dxf>
      <fill>
        <patternFill patternType="solid">
          <fgColor rgb="FFA2712E"/>
          <bgColor rgb="FF000000"/>
        </patternFill>
      </fill>
    </dxf>
    <dxf>
      <fill>
        <patternFill patternType="solid">
          <fgColor rgb="FFA3702D"/>
          <bgColor rgb="FF000000"/>
        </patternFill>
      </fill>
    </dxf>
    <dxf>
      <fill>
        <patternFill patternType="solid">
          <fgColor rgb="FFA46E2D"/>
          <bgColor rgb="FF000000"/>
        </patternFill>
      </fill>
    </dxf>
    <dxf>
      <fill>
        <patternFill patternType="solid">
          <fgColor rgb="FFA56D2C"/>
          <bgColor rgb="FF000000"/>
        </patternFill>
      </fill>
    </dxf>
    <dxf>
      <fill>
        <patternFill patternType="solid">
          <fgColor rgb="FFA66B2C"/>
          <bgColor rgb="FF000000"/>
        </patternFill>
      </fill>
    </dxf>
    <dxf>
      <fill>
        <patternFill patternType="solid">
          <fgColor rgb="FFA86A2B"/>
          <bgColor rgb="FF000000"/>
        </patternFill>
      </fill>
    </dxf>
    <dxf>
      <fill>
        <patternFill patternType="solid">
          <fgColor rgb="FFA9682B"/>
          <bgColor rgb="FF000000"/>
        </patternFill>
      </fill>
    </dxf>
    <dxf>
      <fill>
        <patternFill patternType="solid">
          <fgColor rgb="FFAA672A"/>
          <bgColor rgb="FF000000"/>
        </patternFill>
      </fill>
    </dxf>
    <dxf>
      <fill>
        <patternFill patternType="solid">
          <fgColor rgb="FFAB6629"/>
          <bgColor rgb="FF000000"/>
        </patternFill>
      </fill>
    </dxf>
    <dxf>
      <fill>
        <patternFill patternType="solid">
          <fgColor rgb="FFAC6429"/>
          <bgColor rgb="FF000000"/>
        </patternFill>
      </fill>
    </dxf>
    <dxf>
      <fill>
        <patternFill patternType="solid">
          <fgColor rgb="FFAD6328"/>
          <bgColor rgb="FF000000"/>
        </patternFill>
      </fill>
    </dxf>
    <dxf>
      <fill>
        <patternFill patternType="solid">
          <fgColor rgb="FFAF6128"/>
          <bgColor rgb="FF000000"/>
        </patternFill>
      </fill>
    </dxf>
    <dxf>
      <fill>
        <patternFill patternType="solid">
          <fgColor rgb="FFB06027"/>
          <bgColor rgb="FF000000"/>
        </patternFill>
      </fill>
    </dxf>
    <dxf>
      <fill>
        <patternFill patternType="solid">
          <fgColor rgb="FFB15F26"/>
          <bgColor rgb="FF000000"/>
        </patternFill>
      </fill>
    </dxf>
    <dxf>
      <fill>
        <patternFill patternType="solid">
          <fgColor rgb="FFB25D26"/>
          <bgColor rgb="FF000000"/>
        </patternFill>
      </fill>
    </dxf>
    <dxf>
      <fill>
        <patternFill patternType="solid">
          <fgColor rgb="FFB35C25"/>
          <bgColor rgb="FF000000"/>
        </patternFill>
      </fill>
    </dxf>
    <dxf>
      <fill>
        <patternFill patternType="solid">
          <fgColor rgb="FFB45A25"/>
          <bgColor rgb="FF000000"/>
        </patternFill>
      </fill>
    </dxf>
    <dxf>
      <fill>
        <patternFill patternType="solid">
          <fgColor rgb="FFB65924"/>
          <bgColor rgb="FF000000"/>
        </patternFill>
      </fill>
    </dxf>
    <dxf>
      <fill>
        <patternFill patternType="solid">
          <fgColor rgb="FFB75724"/>
          <bgColor rgb="FF000000"/>
        </patternFill>
      </fill>
    </dxf>
    <dxf>
      <fill>
        <patternFill patternType="solid">
          <fgColor rgb="FFB85623"/>
          <bgColor rgb="FF000000"/>
        </patternFill>
      </fill>
    </dxf>
    <dxf>
      <fill>
        <patternFill patternType="solid">
          <fgColor rgb="FFB95522"/>
          <bgColor rgb="FF000000"/>
        </patternFill>
      </fill>
    </dxf>
    <dxf>
      <fill>
        <patternFill patternType="solid">
          <fgColor rgb="FFBA5322"/>
          <bgColor rgb="FF000000"/>
        </patternFill>
      </fill>
    </dxf>
    <dxf>
      <fill>
        <patternFill patternType="solid">
          <fgColor rgb="FFBC5221"/>
          <bgColor rgb="FF000000"/>
        </patternFill>
      </fill>
    </dxf>
    <dxf>
      <fill>
        <patternFill patternType="solid">
          <fgColor rgb="FFBD5021"/>
          <bgColor rgb="FF000000"/>
        </patternFill>
      </fill>
    </dxf>
    <dxf>
      <fill>
        <patternFill patternType="solid">
          <fgColor rgb="FFBE4F20"/>
          <bgColor rgb="FF000000"/>
        </patternFill>
      </fill>
    </dxf>
    <dxf>
      <fill>
        <patternFill patternType="solid">
          <fgColor rgb="FFBF4D20"/>
          <bgColor rgb="FF000000"/>
        </patternFill>
      </fill>
    </dxf>
    <dxf>
      <fill>
        <patternFill patternType="solid">
          <fgColor rgb="FFC04C1F"/>
          <bgColor rgb="FF000000"/>
        </patternFill>
      </fill>
    </dxf>
    <dxf>
      <fill>
        <patternFill patternType="solid">
          <fgColor rgb="FFC4481D"/>
          <bgColor rgb="FF000000"/>
        </patternFill>
      </fill>
    </dxf>
    <dxf>
      <fill>
        <patternFill patternType="solid">
          <fgColor rgb="FFC5461D"/>
          <bgColor rgb="FF000000"/>
        </patternFill>
      </fill>
    </dxf>
    <dxf>
      <fill>
        <patternFill patternType="solid">
          <fgColor rgb="FFC7441B"/>
          <bgColor rgb="FF000000"/>
        </patternFill>
      </fill>
    </dxf>
    <dxf>
      <fill>
        <patternFill patternType="solid">
          <fgColor rgb="FFC8421B"/>
          <bgColor rgb="FF000000"/>
        </patternFill>
      </fill>
    </dxf>
    <dxf>
      <fill>
        <patternFill patternType="solid">
          <fgColor rgb="FFCA411A"/>
          <bgColor rgb="FF000000"/>
        </patternFill>
      </fill>
    </dxf>
    <dxf>
      <fill>
        <patternFill patternType="solid">
          <fgColor rgb="FFCB3F1A"/>
          <bgColor rgb="FF000000"/>
        </patternFill>
      </fill>
    </dxf>
    <dxf>
      <fill>
        <patternFill patternType="solid">
          <fgColor rgb="FFD13817"/>
          <bgColor rgb="FF000000"/>
        </patternFill>
      </fill>
    </dxf>
    <dxf>
      <fill>
        <patternFill patternType="solid">
          <fgColor rgb="FFD23716"/>
          <bgColor rgb="FF000000"/>
        </patternFill>
      </fill>
    </dxf>
    <dxf>
      <fill>
        <patternFill patternType="solid">
          <fgColor rgb="FFD53314"/>
          <bgColor rgb="FF000000"/>
        </patternFill>
      </fill>
    </dxf>
    <dxf>
      <fill>
        <patternFill patternType="solid">
          <fgColor rgb="FFD63114"/>
          <bgColor rgb="FF000000"/>
        </patternFill>
      </fill>
    </dxf>
    <dxf>
      <fill>
        <patternFill patternType="solid">
          <fgColor rgb="FFD83013"/>
          <bgColor rgb="FF000000"/>
        </patternFill>
      </fill>
    </dxf>
    <dxf>
      <fill>
        <patternFill patternType="solid">
          <fgColor rgb="FFD92E13"/>
          <bgColor rgb="FF000000"/>
        </patternFill>
      </fill>
    </dxf>
    <dxf>
      <fill>
        <patternFill patternType="solid">
          <fgColor rgb="FFDA2D12"/>
          <bgColor rgb="FF000000"/>
        </patternFill>
      </fill>
    </dxf>
    <dxf>
      <fill>
        <patternFill patternType="solid">
          <fgColor rgb="FFDB2B12"/>
          <bgColor rgb="FF000000"/>
        </patternFill>
      </fill>
    </dxf>
    <dxf>
      <fill>
        <patternFill patternType="solid">
          <fgColor rgb="FFDC2A11"/>
          <bgColor rgb="FF000000"/>
        </patternFill>
      </fill>
    </dxf>
    <dxf>
      <fill>
        <patternFill patternType="solid">
          <fgColor rgb="FFDE2910"/>
          <bgColor rgb="FF000000"/>
        </patternFill>
      </fill>
    </dxf>
    <dxf>
      <fill>
        <patternFill patternType="solid">
          <fgColor rgb="FFDF2710"/>
          <bgColor rgb="FF000000"/>
        </patternFill>
      </fill>
    </dxf>
    <dxf>
      <fill>
        <patternFill patternType="solid">
          <fgColor rgb="FFE0260F"/>
          <bgColor rgb="FF000000"/>
        </patternFill>
      </fill>
    </dxf>
    <dxf>
      <fill>
        <patternFill patternType="solid">
          <fgColor rgb="FFE1240F"/>
          <bgColor rgb="FF000000"/>
        </patternFill>
      </fill>
    </dxf>
    <dxf>
      <fill>
        <patternFill patternType="solid">
          <fgColor rgb="FFE2230E"/>
          <bgColor rgb="FF000000"/>
        </patternFill>
      </fill>
    </dxf>
    <dxf>
      <fill>
        <patternFill patternType="solid">
          <fgColor rgb="FFE3220D"/>
          <bgColor rgb="FF000000"/>
        </patternFill>
      </fill>
    </dxf>
    <dxf>
      <fill>
        <patternFill patternType="solid">
          <fgColor rgb="FFE5200D"/>
          <bgColor rgb="FF000000"/>
        </patternFill>
      </fill>
    </dxf>
    <dxf>
      <fill>
        <patternFill patternType="solid">
          <fgColor rgb="FFE61F0C"/>
          <bgColor rgb="FF000000"/>
        </patternFill>
      </fill>
    </dxf>
    <dxf>
      <fill>
        <patternFill patternType="solid">
          <fgColor rgb="FFE71D0C"/>
          <bgColor rgb="FF000000"/>
        </patternFill>
      </fill>
    </dxf>
    <dxf>
      <fill>
        <patternFill patternType="solid">
          <fgColor rgb="FFE81C0B"/>
          <bgColor rgb="FF000000"/>
        </patternFill>
      </fill>
    </dxf>
    <dxf>
      <fill>
        <patternFill patternType="solid">
          <fgColor rgb="FFE91A0B"/>
          <bgColor rgb="FF000000"/>
        </patternFill>
      </fill>
    </dxf>
    <dxf>
      <fill>
        <patternFill patternType="solid">
          <fgColor rgb="FFEA190A"/>
          <bgColor rgb="FF000000"/>
        </patternFill>
      </fill>
    </dxf>
    <dxf>
      <fill>
        <patternFill patternType="solid">
          <fgColor rgb="FFEC1809"/>
          <bgColor rgb="FF000000"/>
        </patternFill>
      </fill>
    </dxf>
    <dxf>
      <fill>
        <patternFill patternType="solid">
          <fgColor rgb="FFED1609"/>
          <bgColor rgb="FF000000"/>
        </patternFill>
      </fill>
    </dxf>
    <dxf>
      <fill>
        <patternFill patternType="solid">
          <fgColor rgb="FFEE1508"/>
          <bgColor rgb="FF000000"/>
        </patternFill>
      </fill>
    </dxf>
    <dxf>
      <fill>
        <patternFill patternType="solid">
          <fgColor rgb="FFF01207"/>
          <bgColor rgb="FF000000"/>
        </patternFill>
      </fill>
    </dxf>
    <dxf>
      <fill>
        <patternFill patternType="solid">
          <fgColor rgb="FFF11106"/>
          <bgColor rgb="FF000000"/>
        </patternFill>
      </fill>
    </dxf>
    <dxf>
      <fill>
        <patternFill patternType="solid">
          <fgColor rgb="FFF30F06"/>
          <bgColor rgb="FF000000"/>
        </patternFill>
      </fill>
    </dxf>
    <dxf>
      <fill>
        <patternFill patternType="solid">
          <fgColor rgb="FFF40E05"/>
          <bgColor rgb="FF000000"/>
        </patternFill>
      </fill>
    </dxf>
    <dxf>
      <fill>
        <patternFill patternType="solid">
          <fgColor rgb="FFF50C05"/>
          <bgColor rgb="FF000000"/>
        </patternFill>
      </fill>
    </dxf>
    <dxf>
      <fill>
        <patternFill patternType="solid">
          <fgColor rgb="FFF60B04"/>
          <bgColor rgb="FF000000"/>
        </patternFill>
      </fill>
    </dxf>
    <dxf>
      <fill>
        <patternFill patternType="solid">
          <fgColor rgb="FFF70904"/>
          <bgColor rgb="FF000000"/>
        </patternFill>
      </fill>
    </dxf>
    <dxf>
      <fill>
        <patternFill patternType="solid">
          <fgColor rgb="FFF80803"/>
          <bgColor rgb="FF000000"/>
        </patternFill>
      </fill>
    </dxf>
    <dxf>
      <fill>
        <patternFill patternType="solid">
          <fgColor rgb="FFFA0702"/>
          <bgColor rgb="FF000000"/>
        </patternFill>
      </fill>
    </dxf>
    <dxf>
      <fill>
        <patternFill patternType="solid">
          <fgColor rgb="FFFB0502"/>
          <bgColor rgb="FF000000"/>
        </patternFill>
      </fill>
    </dxf>
    <dxf>
      <fill>
        <patternFill patternType="solid">
          <fgColor rgb="FFFD0201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7128"/>
          <bgColor rgb="FF000000"/>
        </patternFill>
      </fill>
    </dxf>
    <dxf>
      <fill>
        <patternFill patternType="solid">
          <fgColor rgb="FFFF7228"/>
          <bgColor rgb="FF000000"/>
        </patternFill>
      </fill>
    </dxf>
    <dxf>
      <fill>
        <patternFill patternType="solid">
          <fgColor rgb="FFFF7229"/>
          <bgColor rgb="FF000000"/>
        </patternFill>
      </fill>
    </dxf>
    <dxf>
      <fill>
        <patternFill patternType="solid">
          <fgColor rgb="FFFF7329"/>
          <bgColor rgb="FF000000"/>
        </patternFill>
      </fill>
    </dxf>
    <dxf>
      <fill>
        <patternFill patternType="solid">
          <fgColor rgb="FFFF732A"/>
          <bgColor rgb="FF000000"/>
        </patternFill>
      </fill>
    </dxf>
    <dxf>
      <fill>
        <patternFill patternType="solid">
          <fgColor rgb="FFFF742A"/>
          <bgColor rgb="FF000000"/>
        </patternFill>
      </fill>
    </dxf>
    <dxf>
      <fill>
        <patternFill patternType="solid">
          <fgColor rgb="FFFF742B"/>
          <bgColor rgb="FF000000"/>
        </patternFill>
      </fill>
    </dxf>
    <dxf>
      <fill>
        <patternFill patternType="solid">
          <fgColor rgb="FFFF752B"/>
          <bgColor rgb="FF000000"/>
        </patternFill>
      </fill>
    </dxf>
    <dxf>
      <fill>
        <patternFill patternType="solid">
          <fgColor rgb="FFFF752C"/>
          <bgColor rgb="FF000000"/>
        </patternFill>
      </fill>
    </dxf>
    <dxf>
      <fill>
        <patternFill patternType="solid">
          <fgColor rgb="FFFF762C"/>
          <bgColor rgb="FF000000"/>
        </patternFill>
      </fill>
    </dxf>
    <dxf>
      <fill>
        <patternFill patternType="solid">
          <fgColor rgb="FFFF762D"/>
          <bgColor rgb="FF000000"/>
        </patternFill>
      </fill>
    </dxf>
    <dxf>
      <fill>
        <patternFill patternType="solid">
          <fgColor rgb="FFFF772D"/>
          <bgColor rgb="FF000000"/>
        </patternFill>
      </fill>
    </dxf>
    <dxf>
      <fill>
        <patternFill patternType="solid">
          <fgColor rgb="FFFF772E"/>
          <bgColor rgb="FF000000"/>
        </patternFill>
      </fill>
    </dxf>
    <dxf>
      <fill>
        <patternFill patternType="solid">
          <fgColor rgb="FFFF782E"/>
          <bgColor rgb="FF000000"/>
        </patternFill>
      </fill>
    </dxf>
    <dxf>
      <fill>
        <patternFill patternType="solid">
          <fgColor rgb="FFFF782F"/>
          <bgColor rgb="FF000000"/>
        </patternFill>
      </fill>
    </dxf>
    <dxf>
      <fill>
        <patternFill patternType="solid">
          <fgColor rgb="FFFF792F"/>
          <bgColor rgb="FF000000"/>
        </patternFill>
      </fill>
    </dxf>
    <dxf>
      <fill>
        <patternFill patternType="solid">
          <fgColor rgb="FFFF7930"/>
          <bgColor rgb="FF000000"/>
        </patternFill>
      </fill>
    </dxf>
    <dxf>
      <fill>
        <patternFill patternType="solid">
          <fgColor rgb="FFFF7A30"/>
          <bgColor rgb="FF000000"/>
        </patternFill>
      </fill>
    </dxf>
    <dxf>
      <fill>
        <patternFill patternType="solid">
          <fgColor rgb="FFFF7B31"/>
          <bgColor rgb="FF000000"/>
        </patternFill>
      </fill>
    </dxf>
    <dxf>
      <fill>
        <patternFill patternType="solid">
          <fgColor rgb="FFFF7C32"/>
          <bgColor rgb="FF000000"/>
        </patternFill>
      </fill>
    </dxf>
    <dxf>
      <fill>
        <patternFill patternType="solid">
          <fgColor rgb="FFFF7D33"/>
          <bgColor rgb="FF000000"/>
        </patternFill>
      </fill>
    </dxf>
    <dxf>
      <fill>
        <patternFill patternType="solid">
          <fgColor rgb="FFFF7E33"/>
          <bgColor rgb="FF000000"/>
        </patternFill>
      </fill>
    </dxf>
    <dxf>
      <fill>
        <patternFill patternType="solid">
          <fgColor rgb="FFFF7E34"/>
          <bgColor rgb="FF000000"/>
        </patternFill>
      </fill>
    </dxf>
    <dxf>
      <fill>
        <patternFill patternType="solid">
          <fgColor rgb="FFFF7F35"/>
          <bgColor rgb="FF000000"/>
        </patternFill>
      </fill>
    </dxf>
    <dxf>
      <fill>
        <patternFill patternType="solid">
          <fgColor rgb="FFFF8036"/>
          <bgColor rgb="FF000000"/>
        </patternFill>
      </fill>
    </dxf>
    <dxf>
      <fill>
        <patternFill patternType="solid">
          <fgColor rgb="FFFF8136"/>
          <bgColor rgb="FF000000"/>
        </patternFill>
      </fill>
    </dxf>
    <dxf>
      <fill>
        <patternFill patternType="solid">
          <fgColor rgb="FFFF8137"/>
          <bgColor rgb="FF000000"/>
        </patternFill>
      </fill>
    </dxf>
    <dxf>
      <fill>
        <patternFill patternType="solid">
          <fgColor rgb="FFFF8237"/>
          <bgColor rgb="FF000000"/>
        </patternFill>
      </fill>
    </dxf>
    <dxf>
      <fill>
        <patternFill patternType="solid">
          <fgColor rgb="FFFF8238"/>
          <bgColor rgb="FF000000"/>
        </patternFill>
      </fill>
    </dxf>
    <dxf>
      <fill>
        <patternFill patternType="solid">
          <fgColor rgb="FFFF8339"/>
          <bgColor rgb="FF000000"/>
        </patternFill>
      </fill>
    </dxf>
    <dxf>
      <fill>
        <patternFill patternType="solid">
          <fgColor rgb="FFFF8439"/>
          <bgColor rgb="FF000000"/>
        </patternFill>
      </fill>
    </dxf>
    <dxf>
      <fill>
        <patternFill patternType="solid">
          <fgColor rgb="FFFF853A"/>
          <bgColor rgb="FF000000"/>
        </patternFill>
      </fill>
    </dxf>
    <dxf>
      <fill>
        <patternFill patternType="solid">
          <fgColor rgb="FFFF863C"/>
          <bgColor rgb="FF000000"/>
        </patternFill>
      </fill>
    </dxf>
    <dxf>
      <fill>
        <patternFill patternType="solid">
          <fgColor rgb="FFFF873C"/>
          <bgColor rgb="FF000000"/>
        </patternFill>
      </fill>
    </dxf>
    <dxf>
      <fill>
        <patternFill patternType="solid">
          <fgColor rgb="FFFF873D"/>
          <bgColor rgb="FF000000"/>
        </patternFill>
      </fill>
    </dxf>
    <dxf>
      <fill>
        <patternFill patternType="solid">
          <fgColor rgb="FFFF883D"/>
          <bgColor rgb="FF000000"/>
        </patternFill>
      </fill>
    </dxf>
    <dxf>
      <fill>
        <patternFill patternType="solid">
          <fgColor rgb="FFFF893E"/>
          <bgColor rgb="FF000000"/>
        </patternFill>
      </fill>
    </dxf>
    <dxf>
      <fill>
        <patternFill patternType="solid">
          <fgColor rgb="FFFF8A3F"/>
          <bgColor rgb="FF000000"/>
        </patternFill>
      </fill>
    </dxf>
    <dxf>
      <fill>
        <patternFill patternType="solid">
          <fgColor rgb="FFFF8B40"/>
          <bgColor rgb="FF000000"/>
        </patternFill>
      </fill>
    </dxf>
    <dxf>
      <fill>
        <patternFill patternType="solid">
          <fgColor rgb="FFFF8D42"/>
          <bgColor rgb="FF000000"/>
        </patternFill>
      </fill>
    </dxf>
    <dxf>
      <fill>
        <patternFill patternType="solid">
          <fgColor rgb="FFFF8E42"/>
          <bgColor rgb="FF000000"/>
        </patternFill>
      </fill>
    </dxf>
    <dxf>
      <fill>
        <patternFill patternType="solid">
          <fgColor rgb="FFFF9044"/>
          <bgColor rgb="FF000000"/>
        </patternFill>
      </fill>
    </dxf>
    <dxf>
      <fill>
        <patternFill patternType="solid">
          <fgColor rgb="FFFF9045"/>
          <bgColor rgb="FF000000"/>
        </patternFill>
      </fill>
    </dxf>
    <dxf>
      <fill>
        <patternFill patternType="solid">
          <fgColor rgb="FFFF9145"/>
          <bgColor rgb="FF000000"/>
        </patternFill>
      </fill>
    </dxf>
    <dxf>
      <fill>
        <patternFill patternType="solid">
          <fgColor rgb="FFFF9246"/>
          <bgColor rgb="FF000000"/>
        </patternFill>
      </fill>
    </dxf>
    <dxf>
      <fill>
        <patternFill patternType="solid">
          <fgColor rgb="FFFF9347"/>
          <bgColor rgb="FF000000"/>
        </patternFill>
      </fill>
    </dxf>
    <dxf>
      <fill>
        <patternFill patternType="solid">
          <fgColor rgb="FFFF9448"/>
          <bgColor rgb="FF000000"/>
        </patternFill>
      </fill>
    </dxf>
    <dxf>
      <fill>
        <patternFill patternType="solid">
          <fgColor rgb="FFFF9549"/>
          <bgColor rgb="FF000000"/>
        </patternFill>
      </fill>
    </dxf>
    <dxf>
      <fill>
        <patternFill patternType="solid">
          <fgColor rgb="FFFF964A"/>
          <bgColor rgb="FF000000"/>
        </patternFill>
      </fill>
    </dxf>
    <dxf>
      <fill>
        <patternFill patternType="solid">
          <fgColor rgb="FFFF974B"/>
          <bgColor rgb="FF000000"/>
        </patternFill>
      </fill>
    </dxf>
    <dxf>
      <fill>
        <patternFill patternType="solid">
          <fgColor rgb="FFFF994D"/>
          <bgColor rgb="FF000000"/>
        </patternFill>
      </fill>
    </dxf>
    <dxf>
      <fill>
        <patternFill patternType="solid">
          <fgColor rgb="FFFF9A4E"/>
          <bgColor rgb="FF000000"/>
        </patternFill>
      </fill>
    </dxf>
    <dxf>
      <fill>
        <patternFill patternType="solid">
          <fgColor rgb="FFFF9B4F"/>
          <bgColor rgb="FF000000"/>
        </patternFill>
      </fill>
    </dxf>
    <dxf>
      <fill>
        <patternFill patternType="solid">
          <fgColor rgb="FFFF9C4F"/>
          <bgColor rgb="FF000000"/>
        </patternFill>
      </fill>
    </dxf>
    <dxf>
      <fill>
        <patternFill patternType="solid">
          <fgColor rgb="FFFF9D50"/>
          <bgColor rgb="FF000000"/>
        </patternFill>
      </fill>
    </dxf>
    <dxf>
      <fill>
        <patternFill patternType="solid">
          <fgColor rgb="FFFF9E51"/>
          <bgColor rgb="FF000000"/>
        </patternFill>
      </fill>
    </dxf>
    <dxf>
      <fill>
        <patternFill patternType="solid">
          <fgColor rgb="FFFF9F53"/>
          <bgColor rgb="FF000000"/>
        </patternFill>
      </fill>
    </dxf>
    <dxf>
      <fill>
        <patternFill patternType="solid">
          <fgColor rgb="FFFFA054"/>
          <bgColor rgb="FF000000"/>
        </patternFill>
      </fill>
    </dxf>
    <dxf>
      <fill>
        <patternFill patternType="solid">
          <fgColor rgb="FFFFA154"/>
          <bgColor rgb="FF000000"/>
        </patternFill>
      </fill>
    </dxf>
    <dxf>
      <fill>
        <patternFill patternType="solid">
          <fgColor rgb="FFFFA356"/>
          <bgColor rgb="FF000000"/>
        </patternFill>
      </fill>
    </dxf>
    <dxf>
      <fill>
        <patternFill patternType="solid">
          <fgColor rgb="FFFFA457"/>
          <bgColor rgb="FF000000"/>
        </patternFill>
      </fill>
    </dxf>
    <dxf>
      <fill>
        <patternFill patternType="solid">
          <fgColor rgb="FFFFA558"/>
          <bgColor rgb="FF000000"/>
        </patternFill>
      </fill>
    </dxf>
    <dxf>
      <fill>
        <patternFill patternType="solid">
          <fgColor rgb="FFFFA95B"/>
          <bgColor rgb="FF000000"/>
        </patternFill>
      </fill>
    </dxf>
    <dxf>
      <fill>
        <patternFill patternType="solid">
          <fgColor rgb="FFFFAC5E"/>
          <bgColor rgb="FF000000"/>
        </patternFill>
      </fill>
    </dxf>
    <dxf>
      <fill>
        <patternFill patternType="solid">
          <fgColor rgb="FFFFAE60"/>
          <bgColor rgb="FF000000"/>
        </patternFill>
      </fill>
    </dxf>
    <dxf>
      <fill>
        <patternFill patternType="solid">
          <fgColor rgb="FFFFB466"/>
          <bgColor rgb="FF000000"/>
        </patternFill>
      </fill>
    </dxf>
    <dxf>
      <fill>
        <patternFill patternType="solid">
          <fgColor rgb="FFFFB768"/>
          <bgColor rgb="FF000000"/>
        </patternFill>
      </fill>
    </dxf>
    <dxf>
      <fill>
        <patternFill patternType="solid">
          <fgColor rgb="FFFFB869"/>
          <bgColor rgb="FF000000"/>
        </patternFill>
      </fill>
    </dxf>
    <dxf>
      <fill>
        <patternFill patternType="solid">
          <fgColor rgb="FFFFB96A"/>
          <bgColor rgb="FF000000"/>
        </patternFill>
      </fill>
    </dxf>
    <dxf>
      <fill>
        <patternFill patternType="solid">
          <fgColor rgb="FFFFBC6D"/>
          <bgColor rgb="FF000000"/>
        </patternFill>
      </fill>
    </dxf>
    <dxf>
      <fill>
        <patternFill patternType="solid">
          <fgColor rgb="FFFFBD6E"/>
          <bgColor rgb="FF000000"/>
        </patternFill>
      </fill>
    </dxf>
    <dxf>
      <fill>
        <patternFill patternType="solid">
          <fgColor rgb="FFFFC071"/>
          <bgColor rgb="FF000000"/>
        </patternFill>
      </fill>
    </dxf>
    <dxf>
      <fill>
        <patternFill patternType="solid">
          <fgColor rgb="FFFFC273"/>
          <bgColor rgb="FF000000"/>
        </patternFill>
      </fill>
    </dxf>
    <dxf>
      <fill>
        <patternFill patternType="solid">
          <fgColor rgb="FFFFC575"/>
          <bgColor rgb="FF000000"/>
        </patternFill>
      </fill>
    </dxf>
    <dxf>
      <fill>
        <patternFill patternType="solid">
          <fgColor rgb="FFFFC777"/>
          <bgColor rgb="FF000000"/>
        </patternFill>
      </fill>
    </dxf>
    <dxf>
      <fill>
        <patternFill patternType="solid">
          <fgColor rgb="FFFFCD7C"/>
          <bgColor rgb="FF000000"/>
        </patternFill>
      </fill>
    </dxf>
    <dxf>
      <fill>
        <patternFill patternType="solid">
          <fgColor rgb="FFFF8338"/>
          <bgColor rgb="FF000000"/>
        </patternFill>
      </fill>
    </dxf>
    <dxf>
      <fill>
        <patternFill patternType="solid">
          <fgColor rgb="FFFF853B"/>
          <bgColor rgb="FF000000"/>
        </patternFill>
      </fill>
    </dxf>
    <dxf>
      <fill>
        <patternFill patternType="solid">
          <fgColor rgb="FFFF863B"/>
          <bgColor rgb="FF000000"/>
        </patternFill>
      </fill>
    </dxf>
    <dxf>
      <fill>
        <patternFill patternType="solid">
          <fgColor rgb="FFFF8C40"/>
          <bgColor rgb="FF000000"/>
        </patternFill>
      </fill>
    </dxf>
    <dxf>
      <fill>
        <patternFill patternType="solid">
          <fgColor rgb="FFFF8C41"/>
          <bgColor rgb="FF000000"/>
        </patternFill>
      </fill>
    </dxf>
    <dxf>
      <fill>
        <patternFill patternType="solid">
          <fgColor rgb="FFFF8D41"/>
          <bgColor rgb="FF000000"/>
        </patternFill>
      </fill>
    </dxf>
    <dxf>
      <fill>
        <patternFill patternType="solid">
          <fgColor rgb="FFFF8E43"/>
          <bgColor rgb="FF000000"/>
        </patternFill>
      </fill>
    </dxf>
    <dxf>
      <fill>
        <patternFill patternType="solid">
          <fgColor rgb="FFFF8F43"/>
          <bgColor rgb="FF000000"/>
        </patternFill>
      </fill>
    </dxf>
    <dxf>
      <fill>
        <patternFill patternType="solid">
          <fgColor rgb="FFFF8F44"/>
          <bgColor rgb="FF000000"/>
        </patternFill>
      </fill>
    </dxf>
    <dxf>
      <fill>
        <patternFill patternType="solid">
          <fgColor rgb="FFFF9146"/>
          <bgColor rgb="FF000000"/>
        </patternFill>
      </fill>
    </dxf>
    <dxf>
      <fill>
        <patternFill patternType="solid">
          <fgColor rgb="FFFF9247"/>
          <bgColor rgb="FF000000"/>
        </patternFill>
      </fill>
    </dxf>
    <dxf>
      <fill>
        <patternFill patternType="solid">
          <fgColor rgb="FFFF9348"/>
          <bgColor rgb="FF000000"/>
        </patternFill>
      </fill>
    </dxf>
    <dxf>
      <fill>
        <patternFill patternType="solid">
          <fgColor rgb="FFFF974A"/>
          <bgColor rgb="FF000000"/>
        </patternFill>
      </fill>
    </dxf>
    <dxf>
      <fill>
        <patternFill patternType="solid">
          <fgColor rgb="FFFF984B"/>
          <bgColor rgb="FF000000"/>
        </patternFill>
      </fill>
    </dxf>
    <dxf>
      <fill>
        <patternFill patternType="solid">
          <fgColor rgb="FFFF984C"/>
          <bgColor rgb="FF000000"/>
        </patternFill>
      </fill>
    </dxf>
    <dxf>
      <fill>
        <patternFill patternType="solid">
          <fgColor rgb="FFFF9A4D"/>
          <bgColor rgb="FF000000"/>
        </patternFill>
      </fill>
    </dxf>
    <dxf>
      <fill>
        <patternFill patternType="solid">
          <fgColor rgb="FFFF9B4E"/>
          <bgColor rgb="FF000000"/>
        </patternFill>
      </fill>
    </dxf>
    <dxf>
      <fill>
        <patternFill patternType="solid">
          <fgColor rgb="FFFF9C50"/>
          <bgColor rgb="FF000000"/>
        </patternFill>
      </fill>
    </dxf>
    <dxf>
      <fill>
        <patternFill patternType="solid">
          <fgColor rgb="FFFF9F52"/>
          <bgColor rgb="FF000000"/>
        </patternFill>
      </fill>
    </dxf>
    <dxf>
      <fill>
        <patternFill patternType="solid">
          <fgColor rgb="FFFFA053"/>
          <bgColor rgb="FF000000"/>
        </patternFill>
      </fill>
    </dxf>
    <dxf>
      <fill>
        <patternFill patternType="solid">
          <fgColor rgb="FFFFA255"/>
          <bgColor rgb="FF000000"/>
        </patternFill>
      </fill>
    </dxf>
    <dxf>
      <fill>
        <patternFill patternType="solid">
          <fgColor rgb="FFFFA659"/>
          <bgColor rgb="FF000000"/>
        </patternFill>
      </fill>
    </dxf>
    <dxf>
      <fill>
        <patternFill patternType="solid">
          <fgColor rgb="FFFFA759"/>
          <bgColor rgb="FF000000"/>
        </patternFill>
      </fill>
    </dxf>
    <dxf>
      <fill>
        <patternFill patternType="solid">
          <fgColor rgb="FFFFA75A"/>
          <bgColor rgb="FF000000"/>
        </patternFill>
      </fill>
    </dxf>
    <dxf>
      <fill>
        <patternFill patternType="solid">
          <fgColor rgb="FFFFA85A"/>
          <bgColor rgb="FF000000"/>
        </patternFill>
      </fill>
    </dxf>
    <dxf>
      <fill>
        <patternFill patternType="solid">
          <fgColor rgb="FFFFA85B"/>
          <bgColor rgb="FF000000"/>
        </patternFill>
      </fill>
    </dxf>
    <dxf>
      <fill>
        <patternFill patternType="solid">
          <fgColor rgb="FFFFA95C"/>
          <bgColor rgb="FF000000"/>
        </patternFill>
      </fill>
    </dxf>
    <dxf>
      <fill>
        <patternFill patternType="solid">
          <fgColor rgb="FFFFAA5C"/>
          <bgColor rgb="FF000000"/>
        </patternFill>
      </fill>
    </dxf>
    <dxf>
      <fill>
        <patternFill patternType="solid">
          <fgColor rgb="FFFFAA5D"/>
          <bgColor rgb="FF000000"/>
        </patternFill>
      </fill>
    </dxf>
    <dxf>
      <fill>
        <patternFill patternType="solid">
          <fgColor rgb="FFFFAB5E"/>
          <bgColor rgb="FF000000"/>
        </patternFill>
      </fill>
    </dxf>
    <dxf>
      <fill>
        <patternFill patternType="solid">
          <fgColor rgb="FFFFAD5F"/>
          <bgColor rgb="FF000000"/>
        </patternFill>
      </fill>
    </dxf>
    <dxf>
      <fill>
        <patternFill patternType="solid">
          <fgColor rgb="FFFFAF61"/>
          <bgColor rgb="FF000000"/>
        </patternFill>
      </fill>
    </dxf>
    <dxf>
      <fill>
        <patternFill patternType="solid">
          <fgColor rgb="FFFFB062"/>
          <bgColor rgb="FF000000"/>
        </patternFill>
      </fill>
    </dxf>
    <dxf>
      <fill>
        <patternFill patternType="solid">
          <fgColor rgb="FFFFB163"/>
          <bgColor rgb="FF000000"/>
        </patternFill>
      </fill>
    </dxf>
    <dxf>
      <fill>
        <patternFill patternType="solid">
          <fgColor rgb="FFFFB264"/>
          <bgColor rgb="FF000000"/>
        </patternFill>
      </fill>
    </dxf>
    <dxf>
      <fill>
        <patternFill patternType="solid">
          <fgColor rgb="FFFFB364"/>
          <bgColor rgb="FF000000"/>
        </patternFill>
      </fill>
    </dxf>
    <dxf>
      <fill>
        <patternFill patternType="solid">
          <fgColor rgb="FFFFB566"/>
          <bgColor rgb="FF000000"/>
        </patternFill>
      </fill>
    </dxf>
    <dxf>
      <fill>
        <patternFill patternType="solid">
          <fgColor rgb="FFFFB667"/>
          <bgColor rgb="FF000000"/>
        </patternFill>
      </fill>
    </dxf>
    <dxf>
      <fill>
        <patternFill patternType="solid">
          <fgColor rgb="FFFFB668"/>
          <bgColor rgb="FF000000"/>
        </patternFill>
      </fill>
    </dxf>
    <dxf>
      <fill>
        <patternFill patternType="solid">
          <fgColor rgb="FFFFB96B"/>
          <bgColor rgb="FF000000"/>
        </patternFill>
      </fill>
    </dxf>
    <dxf>
      <fill>
        <patternFill patternType="solid">
          <fgColor rgb="FFFFBB6C"/>
          <bgColor rgb="FF000000"/>
        </patternFill>
      </fill>
    </dxf>
    <dxf>
      <fill>
        <patternFill patternType="solid">
          <fgColor rgb="FFFFBE6F"/>
          <bgColor rgb="FF000000"/>
        </patternFill>
      </fill>
    </dxf>
    <dxf>
      <fill>
        <patternFill patternType="solid">
          <fgColor rgb="FFFFBF70"/>
          <bgColor rgb="FF000000"/>
        </patternFill>
      </fill>
    </dxf>
    <dxf>
      <fill>
        <patternFill patternType="solid">
          <fgColor rgb="FFFFC171"/>
          <bgColor rgb="FF000000"/>
        </patternFill>
      </fill>
    </dxf>
    <dxf>
      <fill>
        <patternFill patternType="solid">
          <fgColor rgb="FFFFC172"/>
          <bgColor rgb="FF000000"/>
        </patternFill>
      </fill>
    </dxf>
    <dxf>
      <fill>
        <patternFill patternType="solid">
          <fgColor rgb="FFFFC272"/>
          <bgColor rgb="FF000000"/>
        </patternFill>
      </fill>
    </dxf>
    <dxf>
      <fill>
        <patternFill patternType="solid">
          <fgColor rgb="FFFFC474"/>
          <bgColor rgb="FF000000"/>
        </patternFill>
      </fill>
    </dxf>
    <dxf>
      <fill>
        <patternFill patternType="solid">
          <fgColor rgb="FFFFC475"/>
          <bgColor rgb="FF000000"/>
        </patternFill>
      </fill>
    </dxf>
    <dxf>
      <fill>
        <patternFill patternType="solid">
          <fgColor rgb="FFFFC576"/>
          <bgColor rgb="FF000000"/>
        </patternFill>
      </fill>
    </dxf>
    <dxf>
      <fill>
        <patternFill patternType="solid">
          <fgColor rgb="FFFFC676"/>
          <bgColor rgb="FF000000"/>
        </patternFill>
      </fill>
    </dxf>
    <dxf>
      <fill>
        <patternFill patternType="solid">
          <fgColor rgb="FFFFC677"/>
          <bgColor rgb="FF000000"/>
        </patternFill>
      </fill>
    </dxf>
    <dxf>
      <fill>
        <patternFill patternType="solid">
          <fgColor rgb="FFFFC878"/>
          <bgColor rgb="FF000000"/>
        </patternFill>
      </fill>
    </dxf>
    <dxf>
      <fill>
        <patternFill patternType="solid">
          <fgColor rgb="FFFFCA7A"/>
          <bgColor rgb="FF000000"/>
        </patternFill>
      </fill>
    </dxf>
    <dxf>
      <fill>
        <patternFill patternType="solid">
          <fgColor rgb="FFFFCB7A"/>
          <bgColor rgb="FF000000"/>
        </patternFill>
      </fill>
    </dxf>
    <dxf>
      <fill>
        <patternFill patternType="solid">
          <fgColor rgb="FFFFCB7B"/>
          <bgColor rgb="FF000000"/>
        </patternFill>
      </fill>
    </dxf>
    <dxf>
      <fill>
        <patternFill patternType="solid">
          <fgColor rgb="FFFFCC7B"/>
          <bgColor rgb="FF000000"/>
        </patternFill>
      </fill>
    </dxf>
    <dxf>
      <fill>
        <patternFill patternType="solid">
          <fgColor rgb="FFFFCC7C"/>
          <bgColor rgb="FF000000"/>
        </patternFill>
      </fill>
    </dxf>
    <dxf>
      <fill>
        <patternFill patternType="solid">
          <fgColor rgb="FFFFCD7D"/>
          <bgColor rgb="FF000000"/>
        </patternFill>
      </fill>
    </dxf>
    <dxf>
      <fill>
        <patternFill patternType="solid">
          <fgColor rgb="FFFFCE7E"/>
          <bgColor rgb="FF000000"/>
        </patternFill>
      </fill>
    </dxf>
    <dxf>
      <fill>
        <patternFill patternType="solid">
          <fgColor rgb="FFFFD180"/>
          <bgColor rgb="FF000000"/>
        </patternFill>
      </fill>
    </dxf>
    <dxf>
      <fill>
        <patternFill patternType="solid">
          <fgColor rgb="FFFFD382"/>
          <bgColor rgb="FF000000"/>
        </patternFill>
      </fill>
    </dxf>
    <dxf>
      <fill>
        <patternFill patternType="solid">
          <fgColor rgb="FFFFD786"/>
          <bgColor rgb="FF000000"/>
        </patternFill>
      </fill>
    </dxf>
    <dxf>
      <fill>
        <patternFill patternType="solid">
          <fgColor rgb="FFFFD987"/>
          <bgColor rgb="FF000000"/>
        </patternFill>
      </fill>
    </dxf>
    <dxf>
      <fill>
        <patternFill patternType="solid">
          <fgColor rgb="FFFFE290"/>
          <bgColor rgb="FF000000"/>
        </patternFill>
      </fill>
    </dxf>
    <dxf>
      <fill>
        <patternFill patternType="solid">
          <fgColor rgb="FFFFEC99"/>
          <bgColor rgb="FF000000"/>
        </patternFill>
      </fill>
    </dxf>
    <dxf>
      <fill>
        <patternFill patternType="solid">
          <fgColor rgb="FFFFEF9C"/>
          <bgColor rgb="FF000000"/>
        </patternFill>
      </fill>
    </dxf>
    <dxf>
      <fill>
        <patternFill patternType="solid">
          <fgColor rgb="FFFF7C33"/>
          <bgColor rgb="FF000000"/>
        </patternFill>
      </fill>
    </dxf>
    <dxf>
      <fill>
        <patternFill patternType="solid">
          <fgColor rgb="FFFF7F34"/>
          <bgColor rgb="FF000000"/>
        </patternFill>
      </fill>
    </dxf>
    <dxf>
      <fill>
        <patternFill patternType="solid">
          <fgColor rgb="FFFF843A"/>
          <bgColor rgb="FF000000"/>
        </patternFill>
      </fill>
    </dxf>
    <dxf>
      <fill>
        <patternFill patternType="solid">
          <fgColor rgb="FFFF9E52"/>
          <bgColor rgb="FF000000"/>
        </patternFill>
      </fill>
    </dxf>
    <dxf>
      <fill>
        <patternFill patternType="solid">
          <fgColor rgb="FFFFA658"/>
          <bgColor rgb="FF000000"/>
        </patternFill>
      </fill>
    </dxf>
    <dxf>
      <fill>
        <patternFill patternType="solid">
          <fgColor rgb="FFFFAB5D"/>
          <bgColor rgb="FF000000"/>
        </patternFill>
      </fill>
    </dxf>
    <dxf>
      <fill>
        <patternFill patternType="solid">
          <fgColor rgb="FFFFAC5F"/>
          <bgColor rgb="FF000000"/>
        </patternFill>
      </fill>
    </dxf>
    <dxf>
      <fill>
        <patternFill patternType="solid">
          <fgColor rgb="FFFFAE61"/>
          <bgColor rgb="FF000000"/>
        </patternFill>
      </fill>
    </dxf>
    <dxf>
      <fill>
        <patternFill patternType="solid">
          <fgColor rgb="FFFFB263"/>
          <bgColor rgb="FF000000"/>
        </patternFill>
      </fill>
    </dxf>
    <dxf>
      <fill>
        <patternFill patternType="solid">
          <fgColor rgb="FFFFB365"/>
          <bgColor rgb="FF000000"/>
        </patternFill>
      </fill>
    </dxf>
    <dxf>
      <fill>
        <patternFill patternType="solid">
          <fgColor rgb="FFFFB465"/>
          <bgColor rgb="FF000000"/>
        </patternFill>
      </fill>
    </dxf>
    <dxf>
      <fill>
        <patternFill patternType="solid">
          <fgColor rgb="FFFFB567"/>
          <bgColor rgb="FF000000"/>
        </patternFill>
      </fill>
    </dxf>
    <dxf>
      <fill>
        <patternFill patternType="solid">
          <fgColor rgb="FFFFBA6C"/>
          <bgColor rgb="FF000000"/>
        </patternFill>
      </fill>
    </dxf>
    <dxf>
      <fill>
        <patternFill patternType="solid">
          <fgColor rgb="FFFFC070"/>
          <bgColor rgb="FF000000"/>
        </patternFill>
      </fill>
    </dxf>
    <dxf>
      <fill>
        <patternFill patternType="solid">
          <fgColor rgb="FFFFC373"/>
          <bgColor rgb="FF000000"/>
        </patternFill>
      </fill>
    </dxf>
    <dxf>
      <fill>
        <patternFill patternType="solid">
          <fgColor rgb="FFFFC374"/>
          <bgColor rgb="FF000000"/>
        </patternFill>
      </fill>
    </dxf>
    <dxf>
      <fill>
        <patternFill patternType="solid">
          <fgColor rgb="FFFFC979"/>
          <bgColor rgb="FF000000"/>
        </patternFill>
      </fill>
    </dxf>
    <dxf>
      <fill>
        <patternFill patternType="solid">
          <fgColor rgb="FFFFD07F"/>
          <bgColor rgb="FF000000"/>
        </patternFill>
      </fill>
    </dxf>
    <dxf>
      <fill>
        <patternFill patternType="solid">
          <fgColor rgb="FFFFD080"/>
          <bgColor rgb="FF000000"/>
        </patternFill>
      </fill>
    </dxf>
    <dxf>
      <fill>
        <patternFill patternType="solid">
          <fgColor rgb="FFFFD584"/>
          <bgColor rgb="FF000000"/>
        </patternFill>
      </fill>
    </dxf>
    <dxf>
      <fill>
        <patternFill patternType="solid">
          <fgColor rgb="FFFFD685"/>
          <bgColor rgb="FF000000"/>
        </patternFill>
      </fill>
    </dxf>
    <dxf>
      <fill>
        <patternFill patternType="solid">
          <fgColor rgb="FFFFD886"/>
          <bgColor rgb="FF000000"/>
        </patternFill>
      </fill>
    </dxf>
    <dxf>
      <fill>
        <patternFill patternType="solid">
          <fgColor rgb="FFFFD887"/>
          <bgColor rgb="FF000000"/>
        </patternFill>
      </fill>
    </dxf>
    <dxf>
      <fill>
        <patternFill patternType="solid">
          <fgColor rgb="FFFFDC8B"/>
          <bgColor rgb="FF000000"/>
        </patternFill>
      </fill>
    </dxf>
    <dxf>
      <fill>
        <patternFill patternType="solid">
          <fgColor rgb="FFFFDD8B"/>
          <bgColor rgb="FF000000"/>
        </patternFill>
      </fill>
    </dxf>
    <dxf>
      <fill>
        <patternFill patternType="solid">
          <fgColor rgb="FFFFDD8C"/>
          <bgColor rgb="FF000000"/>
        </patternFill>
      </fill>
    </dxf>
    <dxf>
      <fill>
        <patternFill patternType="solid">
          <fgColor rgb="FFFFDF8D"/>
          <bgColor rgb="FF000000"/>
        </patternFill>
      </fill>
    </dxf>
    <dxf>
      <fill>
        <patternFill patternType="solid">
          <fgColor rgb="FFFFDF8E"/>
          <bgColor rgb="FF000000"/>
        </patternFill>
      </fill>
    </dxf>
    <dxf>
      <fill>
        <patternFill patternType="solid">
          <fgColor rgb="FFFFE08E"/>
          <bgColor rgb="FF000000"/>
        </patternFill>
      </fill>
    </dxf>
    <dxf>
      <fill>
        <patternFill patternType="solid">
          <fgColor rgb="FFFFE593"/>
          <bgColor rgb="FF000000"/>
        </patternFill>
      </fill>
    </dxf>
    <dxf>
      <fill>
        <patternFill patternType="solid">
          <fgColor rgb="FFFFE794"/>
          <bgColor rgb="FF000000"/>
        </patternFill>
      </fill>
    </dxf>
    <dxf>
      <fill>
        <patternFill patternType="solid">
          <fgColor rgb="FFFFE895"/>
          <bgColor rgb="FF000000"/>
        </patternFill>
      </fill>
    </dxf>
    <dxf>
      <fill>
        <patternFill patternType="solid">
          <fgColor rgb="FFFFEB98"/>
          <bgColor rgb="FF000000"/>
        </patternFill>
      </fill>
    </dxf>
    <dxf>
      <fill>
        <patternFill patternType="solid">
          <fgColor rgb="FFFFEE9B"/>
          <bgColor rgb="FF000000"/>
        </patternFill>
      </fill>
    </dxf>
    <dxf>
      <fill>
        <patternFill patternType="solid">
          <fgColor rgb="FF83963D"/>
          <bgColor rgb="FF000000"/>
        </patternFill>
      </fill>
    </dxf>
    <dxf>
      <fill>
        <patternFill patternType="solid">
          <fgColor rgb="FF85943D"/>
          <bgColor rgb="FF000000"/>
        </patternFill>
      </fill>
    </dxf>
    <dxf>
      <fill>
        <patternFill patternType="solid">
          <fgColor rgb="FF8A8E3A"/>
          <bgColor rgb="FF000000"/>
        </patternFill>
      </fill>
    </dxf>
    <dxf>
      <fill>
        <patternFill patternType="solid">
          <fgColor rgb="FF8D8B39"/>
          <bgColor rgb="FF000000"/>
        </patternFill>
      </fill>
    </dxf>
    <dxf>
      <fill>
        <patternFill patternType="solid">
          <fgColor rgb="FF8F8838"/>
          <bgColor rgb="FF000000"/>
        </patternFill>
      </fill>
    </dxf>
    <dxf>
      <fill>
        <patternFill patternType="solid">
          <fgColor rgb="FF918637"/>
          <bgColor rgb="FF000000"/>
        </patternFill>
      </fill>
    </dxf>
    <dxf>
      <fill>
        <patternFill patternType="solid">
          <fgColor rgb="FF928436"/>
          <bgColor rgb="FF000000"/>
        </patternFill>
      </fill>
    </dxf>
    <dxf>
      <fill>
        <patternFill patternType="solid">
          <fgColor rgb="FF9A7A32"/>
          <bgColor rgb="FF000000"/>
        </patternFill>
      </fill>
    </dxf>
    <dxf>
      <fill>
        <patternFill patternType="solid">
          <fgColor rgb="FF9B7931"/>
          <bgColor rgb="FF000000"/>
        </patternFill>
      </fill>
    </dxf>
    <dxf>
      <fill>
        <patternFill patternType="solid">
          <fgColor rgb="FF9D7731"/>
          <bgColor rgb="FF000000"/>
        </patternFill>
      </fill>
    </dxf>
    <dxf>
      <fill>
        <patternFill patternType="solid">
          <fgColor rgb="FF9E7630"/>
          <bgColor rgb="FF000000"/>
        </patternFill>
      </fill>
    </dxf>
    <dxf>
      <fill>
        <patternFill patternType="solid">
          <fgColor rgb="FFA36F2D"/>
          <bgColor rgb="FF000000"/>
        </patternFill>
      </fill>
    </dxf>
    <dxf>
      <fill>
        <patternFill patternType="solid">
          <fgColor rgb="FFA56D2D"/>
          <bgColor rgb="FF000000"/>
        </patternFill>
      </fill>
    </dxf>
    <dxf>
      <fill>
        <patternFill patternType="solid">
          <fgColor rgb="FFA66C2C"/>
          <bgColor rgb="FF000000"/>
        </patternFill>
      </fill>
    </dxf>
    <dxf>
      <fill>
        <patternFill patternType="solid">
          <fgColor rgb="FFA76A2B"/>
          <bgColor rgb="FF000000"/>
        </patternFill>
      </fill>
    </dxf>
    <dxf>
      <fill>
        <patternFill patternType="solid">
          <fgColor rgb="FFA9682A"/>
          <bgColor rgb="FF000000"/>
        </patternFill>
      </fill>
    </dxf>
    <dxf>
      <fill>
        <patternFill patternType="solid">
          <fgColor rgb="FFA9692B"/>
          <bgColor rgb="FF000000"/>
        </patternFill>
      </fill>
    </dxf>
    <dxf>
      <fill>
        <patternFill patternType="solid">
          <fgColor rgb="FFAD6429"/>
          <bgColor rgb="FF000000"/>
        </patternFill>
      </fill>
    </dxf>
    <dxf>
      <fill>
        <patternFill patternType="solid">
          <fgColor rgb="FFAE6228"/>
          <bgColor rgb="FF000000"/>
        </patternFill>
      </fill>
    </dxf>
    <dxf>
      <fill>
        <patternFill patternType="solid">
          <fgColor rgb="FFAF6127"/>
          <bgColor rgb="FF000000"/>
        </patternFill>
      </fill>
    </dxf>
    <dxf>
      <fill>
        <patternFill patternType="solid">
          <fgColor rgb="FFB15F27"/>
          <bgColor rgb="FF000000"/>
        </patternFill>
      </fill>
    </dxf>
    <dxf>
      <fill>
        <patternFill patternType="solid">
          <fgColor rgb="FFB55A25"/>
          <bgColor rgb="FF000000"/>
        </patternFill>
      </fill>
    </dxf>
    <dxf>
      <fill>
        <patternFill patternType="solid">
          <fgColor rgb="FFB65824"/>
          <bgColor rgb="FF000000"/>
        </patternFill>
      </fill>
    </dxf>
    <dxf>
      <fill>
        <patternFill patternType="solid">
          <fgColor rgb="FFB75723"/>
          <bgColor rgb="FF000000"/>
        </patternFill>
      </fill>
    </dxf>
    <dxf>
      <fill>
        <patternFill patternType="solid">
          <fgColor rgb="FFB95523"/>
          <bgColor rgb="FF000000"/>
        </patternFill>
      </fill>
    </dxf>
    <dxf>
      <fill>
        <patternFill patternType="solid">
          <fgColor rgb="FFBA5422"/>
          <bgColor rgb="FF000000"/>
        </patternFill>
      </fill>
    </dxf>
    <dxf>
      <fill>
        <patternFill patternType="solid">
          <fgColor rgb="FFBB5221"/>
          <bgColor rgb="FF000000"/>
        </patternFill>
      </fill>
    </dxf>
    <dxf>
      <fill>
        <patternFill patternType="solid">
          <fgColor rgb="FFBF4D1F"/>
          <bgColor rgb="FF000000"/>
        </patternFill>
      </fill>
    </dxf>
    <dxf>
      <fill>
        <patternFill patternType="solid">
          <fgColor rgb="FFC04D1F"/>
          <bgColor rgb="FF000000"/>
        </patternFill>
      </fill>
    </dxf>
    <dxf>
      <fill>
        <patternFill patternType="solid">
          <fgColor rgb="FFC14B1F"/>
          <bgColor rgb="FF000000"/>
        </patternFill>
      </fill>
    </dxf>
    <dxf>
      <fill>
        <patternFill patternType="solid">
          <fgColor rgb="FFC24A1E"/>
          <bgColor rgb="FF000000"/>
        </patternFill>
      </fill>
    </dxf>
    <dxf>
      <fill>
        <patternFill patternType="solid">
          <fgColor rgb="FFC3481D"/>
          <bgColor rgb="FF000000"/>
        </patternFill>
      </fill>
    </dxf>
    <dxf>
      <fill>
        <patternFill patternType="solid">
          <fgColor rgb="FFC6451C"/>
          <bgColor rgb="FF000000"/>
        </patternFill>
      </fill>
    </dxf>
    <dxf>
      <fill>
        <patternFill patternType="solid">
          <fgColor rgb="FFC7431B"/>
          <bgColor rgb="FF000000"/>
        </patternFill>
      </fill>
    </dxf>
    <dxf>
      <fill>
        <patternFill patternType="solid">
          <fgColor rgb="FFC9421B"/>
          <bgColor rgb="FF000000"/>
        </patternFill>
      </fill>
    </dxf>
    <dxf>
      <fill>
        <patternFill patternType="solid">
          <fgColor rgb="FFCA401A"/>
          <bgColor rgb="FF000000"/>
        </patternFill>
      </fill>
    </dxf>
    <dxf>
      <fill>
        <patternFill patternType="solid">
          <fgColor rgb="FFCB3F19"/>
          <bgColor rgb="FF000000"/>
        </patternFill>
      </fill>
    </dxf>
    <dxf>
      <fill>
        <patternFill patternType="solid">
          <fgColor rgb="FFCE3B18"/>
          <bgColor rgb="FF000000"/>
        </patternFill>
      </fill>
    </dxf>
    <dxf>
      <fill>
        <patternFill patternType="solid">
          <fgColor rgb="FFCF3A17"/>
          <bgColor rgb="FF000000"/>
        </patternFill>
      </fill>
    </dxf>
    <dxf>
      <fill>
        <patternFill patternType="solid">
          <fgColor rgb="FFCF3B18"/>
          <bgColor rgb="FF000000"/>
        </patternFill>
      </fill>
    </dxf>
    <dxf>
      <fill>
        <patternFill patternType="solid">
          <fgColor rgb="FFD23616"/>
          <bgColor rgb="FF000000"/>
        </patternFill>
      </fill>
    </dxf>
    <dxf>
      <fill>
        <patternFill patternType="solid">
          <fgColor rgb="FFD33515"/>
          <bgColor rgb="FF000000"/>
        </patternFill>
      </fill>
    </dxf>
    <dxf>
      <fill>
        <patternFill patternType="solid">
          <fgColor rgb="FFD53315"/>
          <bgColor rgb="FF000000"/>
        </patternFill>
      </fill>
    </dxf>
    <dxf>
      <fill>
        <patternFill patternType="solid">
          <fgColor rgb="FFD63214"/>
          <bgColor rgb="FF000000"/>
        </patternFill>
      </fill>
    </dxf>
    <dxf>
      <fill>
        <patternFill patternType="solid">
          <fgColor rgb="FFD73013"/>
          <bgColor rgb="FF000000"/>
        </patternFill>
      </fill>
    </dxf>
    <dxf>
      <fill>
        <patternFill patternType="solid">
          <fgColor rgb="FFDD2A11"/>
          <bgColor rgb="FF000000"/>
        </patternFill>
      </fill>
    </dxf>
    <dxf>
      <fill>
        <patternFill patternType="solid">
          <fgColor rgb="FFDE2810"/>
          <bgColor rgb="FF000000"/>
        </patternFill>
      </fill>
    </dxf>
    <dxf>
      <fill>
        <patternFill patternType="solid">
          <fgColor rgb="FFDF260F"/>
          <bgColor rgb="FF000000"/>
        </patternFill>
      </fill>
    </dxf>
    <dxf>
      <fill>
        <patternFill patternType="solid">
          <fgColor rgb="FFE3210D"/>
          <bgColor rgb="FF000000"/>
        </patternFill>
      </fill>
    </dxf>
    <dxf>
      <fill>
        <patternFill patternType="solid">
          <fgColor rgb="FFE51F0D"/>
          <bgColor rgb="FF000000"/>
        </patternFill>
      </fill>
    </dxf>
    <dxf>
      <fill>
        <patternFill patternType="solid">
          <fgColor rgb="FFE71D0B"/>
          <bgColor rgb="FF000000"/>
        </patternFill>
      </fill>
    </dxf>
    <dxf>
      <fill>
        <patternFill patternType="solid">
          <fgColor rgb="FFF80903"/>
          <bgColor rgb="FF000000"/>
        </patternFill>
      </fill>
    </dxf>
    <dxf>
      <fill>
        <patternFill patternType="solid">
          <fgColor rgb="FFFC0401"/>
          <bgColor rgb="FF000000"/>
        </patternFill>
      </fill>
    </dxf>
    <dxf>
      <fill>
        <patternFill patternType="solid">
          <fgColor rgb="FF00FFFF"/>
          <bgColor rgb="FF000000"/>
        </patternFill>
      </fill>
    </dxf>
    <dxf>
      <fill>
        <patternFill>
          <bgColor rgb="FF00B050"/>
        </patternFill>
      </fill>
    </dxf>
    <dxf>
      <font>
        <name val="Calibri"/>
        <charset val="1"/>
        <family val="2"/>
        <color rgb="FF000000"/>
        <sz val="11"/>
      </font>
      <alignment horizontal="general" vertical="bottom" textRotation="0" wrapText="false" indent="0" shrinkToFit="false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808080"/>
      <rgbColor rgb="FFA9D18E"/>
      <rgbColor rgb="FF993366"/>
      <rgbColor rgb="FFFFF2CC"/>
      <rgbColor rgb="FFD7E7FB"/>
      <rgbColor rgb="FF660066"/>
      <rgbColor rgb="FFE7E6E6"/>
      <rgbColor rgb="FF0070C0"/>
      <rgbColor rgb="FFBDD7EE"/>
      <rgbColor rgb="FF000080"/>
      <rgbColor rgb="FFFF00FF"/>
      <rgbColor rgb="FFC5E0B4"/>
      <rgbColor rgb="FF00FFFF"/>
      <rgbColor rgb="FF800080"/>
      <rgbColor rgb="FF800000"/>
      <rgbColor rgb="FF008080"/>
      <rgbColor rgb="FF0000FF"/>
      <rgbColor rgb="FF00B0F0"/>
      <rgbColor rgb="FFE2F0D9"/>
      <rgbColor rgb="FFC6EFCE"/>
      <rgbColor rgb="FFFFE699"/>
      <rgbColor rgb="FFB4C7E7"/>
      <rgbColor rgb="FFF4B183"/>
      <rgbColor rgb="FFD9D9D9"/>
      <rgbColor rgb="FFFFD966"/>
      <rgbColor rgb="FF4472C4"/>
      <rgbColor rgb="FF33CCCC"/>
      <rgbColor rgb="FF92D050"/>
      <rgbColor rgb="FFFFC000"/>
      <rgbColor rgb="FFF2F2F2"/>
      <rgbColor rgb="FFFF33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ormularios%20cj/PLANILLA%20DE%20PAGOS%20(14)%20(33)%2007.11.2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ag"/>
      <sheetName val="B.S"/>
      <sheetName val="creditos cancelados"/>
      <sheetName val="men"/>
      <sheetName val="quin"/>
      <sheetName val="25"/>
      <sheetName val="72"/>
      <sheetName val="75"/>
      <sheetName val="80"/>
      <sheetName val="90"/>
      <sheetName val="110"/>
      <sheetName val="120"/>
      <sheetName val="140"/>
      <sheetName val="160"/>
      <sheetName val="Hoja3"/>
      <sheetName val="Hoja13"/>
      <sheetName val="Hoja1"/>
      <sheetName val="Hoja2"/>
      <sheetName val="Hoja4"/>
      <sheetName val="Hoja5"/>
      <sheetName val="Hoja6"/>
      <sheetName val="Hoja7"/>
    </sheetNames>
    <sheetDataSet>
      <sheetData sheetId="0">
        <row r="219">
          <cell r="CG219">
            <v>1298310</v>
          </cell>
        </row>
        <row r="219">
          <cell r="CL219">
            <v>1253040</v>
          </cell>
        </row>
        <row r="225">
          <cell r="L225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Y28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FO2" activePane="bottomRight" state="frozen"/>
      <selection pane="topLeft" activeCell="A1" activeCellId="0" sqref="A1"/>
      <selection pane="topRight" activeCell="FO1" activeCellId="0" sqref="FO1"/>
      <selection pane="bottomLeft" activeCell="A2" activeCellId="0" sqref="A2"/>
      <selection pane="bottomRight" activeCell="A1" activeCellId="0" sqref="A1:FY1"/>
    </sheetView>
  </sheetViews>
  <sheetFormatPr defaultColWidth="11.42578125" defaultRowHeight="43.5" customHeight="true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2" width="18.71"/>
    <col collapsed="false" customWidth="true" hidden="false" outlineLevel="0" max="3" min="3" style="2" width="9.14"/>
    <col collapsed="false" customWidth="true" hidden="false" outlineLevel="0" max="4" min="4" style="1" width="8.47"/>
    <col collapsed="false" customWidth="true" hidden="false" outlineLevel="0" max="5" min="5" style="1" width="9.42"/>
    <col collapsed="false" customWidth="true" hidden="false" outlineLevel="0" max="6" min="6" style="1" width="9"/>
    <col collapsed="false" customWidth="true" hidden="false" outlineLevel="0" max="7" min="7" style="3" width="3.71"/>
    <col collapsed="false" customWidth="true" hidden="false" outlineLevel="0" max="8" min="8" style="4" width="6.85"/>
    <col collapsed="false" customWidth="true" hidden="false" outlineLevel="0" max="9" min="9" style="4" width="3"/>
    <col collapsed="false" customWidth="true" hidden="false" outlineLevel="0" max="10" min="10" style="5" width="11.57"/>
    <col collapsed="false" customWidth="true" hidden="false" outlineLevel="0" max="11" min="11" style="1" width="9.42"/>
    <col collapsed="false" customWidth="true" hidden="false" outlineLevel="0" max="12" min="12" style="1" width="10.71"/>
    <col collapsed="false" customWidth="true" hidden="false" outlineLevel="0" max="13" min="13" style="1" width="23.4"/>
    <col collapsed="false" customWidth="true" hidden="true" outlineLevel="0" max="44" min="14" style="1" width="11.57"/>
    <col collapsed="false" customWidth="true" hidden="true" outlineLevel="0" max="45" min="45" style="1" width="10.71"/>
    <col collapsed="false" customWidth="true" hidden="true" outlineLevel="0" max="139" min="46" style="1" width="11.57"/>
    <col collapsed="false" customWidth="true" hidden="true" outlineLevel="0" max="140" min="140" style="1" width="0.14"/>
    <col collapsed="false" customWidth="true" hidden="true" outlineLevel="0" max="141" min="141" style="1" width="9"/>
    <col collapsed="false" customWidth="true" hidden="true" outlineLevel="0" max="150" min="142" style="1" width="11.57"/>
    <col collapsed="false" customWidth="true" hidden="true" outlineLevel="0" max="151" min="151" style="1" width="10.71"/>
    <col collapsed="false" customWidth="true" hidden="true" outlineLevel="0" max="152" min="152" style="1" width="7.71"/>
    <col collapsed="false" customWidth="true" hidden="true" outlineLevel="0" max="161" min="153" style="1" width="11.57"/>
    <col collapsed="false" customWidth="true" hidden="true" outlineLevel="0" max="170" min="162" style="1" width="9"/>
    <col collapsed="false" customWidth="true" hidden="false" outlineLevel="0" max="171" min="171" style="1" width="10.25"/>
    <col collapsed="false" customWidth="true" hidden="false" outlineLevel="0" max="172" min="172" style="1" width="9.35"/>
    <col collapsed="false" customWidth="true" hidden="false" outlineLevel="0" max="173" min="173" style="1" width="12.14"/>
    <col collapsed="false" customWidth="true" hidden="false" outlineLevel="0" max="174" min="174" style="1" width="8.09"/>
    <col collapsed="false" customWidth="true" hidden="false" outlineLevel="0" max="175" min="175" style="1" width="9"/>
    <col collapsed="false" customWidth="true" hidden="false" outlineLevel="0" max="176" min="176" style="1" width="9.86"/>
    <col collapsed="false" customWidth="true" hidden="false" outlineLevel="0" max="177" min="177" style="1" width="10.71"/>
    <col collapsed="false" customWidth="true" hidden="false" outlineLevel="0" max="179" min="178" style="1" width="7.15"/>
    <col collapsed="false" customWidth="true" hidden="false" outlineLevel="0" max="180" min="180" style="1" width="5.14"/>
    <col collapsed="false" customWidth="true" hidden="false" outlineLevel="0" max="181" min="181" style="1" width="5.86"/>
    <col collapsed="false" customWidth="true" hidden="false" outlineLevel="0" max="182" min="182" style="1" width="5.14"/>
    <col collapsed="false" customWidth="false" hidden="false" outlineLevel="0" max="16384" min="183" style="1" width="11.43"/>
  </cols>
  <sheetData>
    <row r="1" s="19" customFormat="true" ht="43.5" hidden="false" customHeight="true" outlineLevel="0" collapsed="false">
      <c r="A1" s="6" t="s">
        <v>0</v>
      </c>
      <c r="B1" s="7" t="s">
        <v>1</v>
      </c>
      <c r="C1" s="8" t="s">
        <v>2</v>
      </c>
      <c r="D1" s="8" t="s">
        <v>3</v>
      </c>
      <c r="E1" s="9" t="s">
        <v>4</v>
      </c>
      <c r="F1" s="9" t="s">
        <v>5</v>
      </c>
      <c r="G1" s="9" t="s">
        <v>6</v>
      </c>
      <c r="H1" s="10" t="s">
        <v>7</v>
      </c>
      <c r="I1" s="10" t="s">
        <v>8</v>
      </c>
      <c r="J1" s="7" t="s">
        <v>9</v>
      </c>
      <c r="K1" s="11" t="s">
        <v>10</v>
      </c>
      <c r="L1" s="12" t="s">
        <v>11</v>
      </c>
      <c r="M1" s="12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  <c r="CW1" s="13" t="s">
        <v>100</v>
      </c>
      <c r="CX1" s="13" t="s">
        <v>101</v>
      </c>
      <c r="CY1" s="13" t="s">
        <v>102</v>
      </c>
      <c r="CZ1" s="13" t="s">
        <v>103</v>
      </c>
      <c r="DA1" s="13" t="s">
        <v>104</v>
      </c>
      <c r="DB1" s="13" t="s">
        <v>105</v>
      </c>
      <c r="DC1" s="13" t="s">
        <v>106</v>
      </c>
      <c r="DD1" s="13" t="s">
        <v>107</v>
      </c>
      <c r="DE1" s="13" t="s">
        <v>108</v>
      </c>
      <c r="DF1" s="13" t="s">
        <v>109</v>
      </c>
      <c r="DG1" s="13" t="s">
        <v>110</v>
      </c>
      <c r="DH1" s="13" t="s">
        <v>111</v>
      </c>
      <c r="DI1" s="13" t="s">
        <v>112</v>
      </c>
      <c r="DJ1" s="13" t="s">
        <v>113</v>
      </c>
      <c r="DK1" s="13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3" t="s">
        <v>119</v>
      </c>
      <c r="DQ1" s="13" t="s">
        <v>120</v>
      </c>
      <c r="DR1" s="13" t="s">
        <v>121</v>
      </c>
      <c r="DS1" s="13" t="s">
        <v>122</v>
      </c>
      <c r="DT1" s="13" t="s">
        <v>123</v>
      </c>
      <c r="DU1" s="13" t="s">
        <v>124</v>
      </c>
      <c r="DV1" s="13" t="s">
        <v>125</v>
      </c>
      <c r="DW1" s="13" t="s">
        <v>126</v>
      </c>
      <c r="DX1" s="13" t="s">
        <v>127</v>
      </c>
      <c r="DY1" s="13" t="s">
        <v>128</v>
      </c>
      <c r="DZ1" s="13" t="s">
        <v>129</v>
      </c>
      <c r="EA1" s="13" t="s">
        <v>130</v>
      </c>
      <c r="EB1" s="13" t="s">
        <v>131</v>
      </c>
      <c r="EC1" s="13" t="s">
        <v>132</v>
      </c>
      <c r="ED1" s="13" t="s">
        <v>133</v>
      </c>
      <c r="EE1" s="13" t="s">
        <v>134</v>
      </c>
      <c r="EF1" s="13" t="s">
        <v>135</v>
      </c>
      <c r="EG1" s="13" t="s">
        <v>136</v>
      </c>
      <c r="EH1" s="13" t="s">
        <v>137</v>
      </c>
      <c r="EI1" s="13" t="s">
        <v>138</v>
      </c>
      <c r="EJ1" s="13" t="s">
        <v>139</v>
      </c>
      <c r="EK1" s="13" t="s">
        <v>140</v>
      </c>
      <c r="EL1" s="13" t="s">
        <v>141</v>
      </c>
      <c r="EM1" s="13" t="s">
        <v>142</v>
      </c>
      <c r="EN1" s="13" t="s">
        <v>143</v>
      </c>
      <c r="EO1" s="13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3" t="s">
        <v>167</v>
      </c>
      <c r="FM1" s="13" t="s">
        <v>168</v>
      </c>
      <c r="FN1" s="13" t="s">
        <v>169</v>
      </c>
      <c r="FO1" s="13" t="s">
        <v>170</v>
      </c>
      <c r="FP1" s="13" t="s">
        <v>171</v>
      </c>
      <c r="FQ1" s="13" t="s">
        <v>172</v>
      </c>
      <c r="FR1" s="14" t="s">
        <v>173</v>
      </c>
      <c r="FS1" s="15" t="s">
        <v>174</v>
      </c>
      <c r="FT1" s="16" t="s">
        <v>175</v>
      </c>
      <c r="FU1" s="17" t="s">
        <v>176</v>
      </c>
      <c r="FV1" s="10" t="s">
        <v>177</v>
      </c>
      <c r="FW1" s="10" t="s">
        <v>178</v>
      </c>
      <c r="FX1" s="18" t="s">
        <v>179</v>
      </c>
      <c r="FY1" s="18" t="s">
        <v>180</v>
      </c>
    </row>
    <row r="2" customFormat="false" ht="43.5" hidden="false" customHeight="true" outlineLevel="0" collapsed="false">
      <c r="A2" s="20" t="n">
        <v>2762</v>
      </c>
      <c r="B2" s="21" t="s">
        <v>181</v>
      </c>
      <c r="C2" s="21" t="s">
        <v>182</v>
      </c>
      <c r="D2" s="22"/>
      <c r="E2" s="23" t="n">
        <v>45519</v>
      </c>
      <c r="F2" s="23" t="n">
        <f aca="false">WORKDAY(E2,G2)</f>
        <v>45771</v>
      </c>
      <c r="G2" s="24" t="n">
        <v>180</v>
      </c>
      <c r="H2" s="25" t="n">
        <f aca="false">(FT2* 5)/M2</f>
        <v>120</v>
      </c>
      <c r="I2" s="25" t="n">
        <f aca="false">G2-H2</f>
        <v>60</v>
      </c>
      <c r="J2" s="26" t="s">
        <v>183</v>
      </c>
      <c r="K2" s="27" t="n">
        <v>300000</v>
      </c>
      <c r="L2" s="27" t="n">
        <v>810000</v>
      </c>
      <c r="M2" s="28" t="n">
        <f aca="false">(L2/G2)*5</f>
        <v>22500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 t="s">
        <v>184</v>
      </c>
      <c r="CB2" s="29" t="s">
        <v>184</v>
      </c>
      <c r="CC2" s="29" t="s">
        <v>184</v>
      </c>
      <c r="CD2" s="29" t="s">
        <v>184</v>
      </c>
      <c r="CE2" s="29" t="s">
        <v>184</v>
      </c>
      <c r="CF2" s="29"/>
      <c r="CG2" s="29" t="s">
        <v>184</v>
      </c>
      <c r="CH2" s="29" t="s">
        <v>184</v>
      </c>
      <c r="CI2" s="29"/>
      <c r="CJ2" s="29"/>
      <c r="CK2" s="29"/>
      <c r="CL2" s="29" t="s">
        <v>184</v>
      </c>
      <c r="CM2" s="29"/>
      <c r="CN2" s="29"/>
      <c r="CO2" s="29"/>
      <c r="CP2" s="29"/>
      <c r="CQ2" s="29"/>
      <c r="CR2" s="29"/>
      <c r="CS2" s="29"/>
      <c r="CT2" s="29"/>
      <c r="CU2" s="29"/>
      <c r="CV2" s="29"/>
      <c r="CW2" s="29"/>
      <c r="CX2" s="29"/>
      <c r="CY2" s="29"/>
      <c r="CZ2" s="29"/>
      <c r="DA2" s="29"/>
      <c r="DB2" s="29"/>
      <c r="DC2" s="29"/>
      <c r="DD2" s="29"/>
      <c r="DE2" s="29"/>
      <c r="DF2" s="29"/>
      <c r="DG2" s="29"/>
      <c r="DH2" s="29" t="n">
        <v>90000</v>
      </c>
      <c r="DI2" s="29"/>
      <c r="DJ2" s="29"/>
      <c r="DK2" s="29"/>
      <c r="DL2" s="29"/>
      <c r="DM2" s="29" t="n">
        <v>90000</v>
      </c>
      <c r="DN2" s="29"/>
      <c r="DO2" s="29"/>
      <c r="DP2" s="29"/>
      <c r="DQ2" s="29" t="n">
        <v>90000</v>
      </c>
      <c r="DR2" s="29"/>
      <c r="DS2" s="29"/>
      <c r="DT2" s="29"/>
      <c r="DU2" s="29"/>
      <c r="DV2" s="29" t="n">
        <v>90000</v>
      </c>
      <c r="DW2" s="29"/>
      <c r="DX2" s="29"/>
      <c r="DY2" s="29"/>
      <c r="DZ2" s="29"/>
      <c r="EA2" s="29" t="n">
        <v>90000</v>
      </c>
      <c r="EB2" s="29"/>
      <c r="EC2" s="29"/>
      <c r="ED2" s="29"/>
      <c r="EE2" s="29" t="n">
        <v>90000</v>
      </c>
      <c r="EF2" s="29"/>
      <c r="EG2" s="29"/>
      <c r="EH2" s="29"/>
      <c r="EI2" s="29"/>
      <c r="EJ2" s="29"/>
      <c r="EK2" s="29"/>
      <c r="EL2" s="29"/>
      <c r="EM2" s="29"/>
      <c r="EN2" s="29"/>
      <c r="EO2" s="29"/>
      <c r="EP2" s="29"/>
      <c r="EQ2" s="29"/>
      <c r="ER2" s="29"/>
      <c r="ES2" s="29"/>
      <c r="ET2" s="29"/>
      <c r="EU2" s="29"/>
      <c r="EV2" s="29"/>
      <c r="EW2" s="29"/>
      <c r="EX2" s="29"/>
      <c r="EY2" s="29"/>
      <c r="EZ2" s="29"/>
      <c r="FA2" s="29"/>
      <c r="FB2" s="29"/>
      <c r="FC2" s="29"/>
      <c r="FD2" s="29"/>
      <c r="FE2" s="29"/>
      <c r="FF2" s="29"/>
      <c r="FG2" s="29"/>
      <c r="FH2" s="29"/>
      <c r="FI2" s="29"/>
      <c r="FJ2" s="29"/>
      <c r="FK2" s="29"/>
      <c r="FL2" s="29"/>
      <c r="FM2" s="29"/>
      <c r="FN2" s="29"/>
      <c r="FO2" s="29"/>
      <c r="FP2" s="29"/>
      <c r="FQ2" s="29"/>
      <c r="FR2" s="29"/>
      <c r="FS2" s="29"/>
      <c r="FT2" s="29" t="n">
        <f aca="false">SUM(N2:FS2)</f>
        <v>540000</v>
      </c>
      <c r="FU2" s="30" t="n">
        <f aca="false">SUM(L2-FT2)</f>
        <v>270000</v>
      </c>
      <c r="FV2" s="31" t="n">
        <f aca="false">SUM( H2/5)</f>
        <v>24</v>
      </c>
      <c r="FW2" s="31" t="n">
        <f aca="false">SUM( I2/5)</f>
        <v>12</v>
      </c>
      <c r="FX2" s="32" t="n">
        <f aca="false">SUM(FV2/4)</f>
        <v>6</v>
      </c>
      <c r="FY2" s="32" t="n">
        <f aca="false">SUM(FW2/4)</f>
        <v>3</v>
      </c>
    </row>
    <row r="3" customFormat="false" ht="43.5" hidden="false" customHeight="true" outlineLevel="0" collapsed="false">
      <c r="A3" s="20" t="n">
        <v>3343</v>
      </c>
      <c r="B3" s="21" t="s">
        <v>185</v>
      </c>
      <c r="C3" s="21" t="s">
        <v>186</v>
      </c>
      <c r="D3" s="22"/>
      <c r="E3" s="23" t="n">
        <v>45880</v>
      </c>
      <c r="F3" s="23" t="n">
        <f aca="false">WORKDAY(E3,G3)</f>
        <v>45992</v>
      </c>
      <c r="G3" s="24" t="n">
        <v>80</v>
      </c>
      <c r="H3" s="25" t="n">
        <f aca="false">(FT3* 5)/M3</f>
        <v>60</v>
      </c>
      <c r="I3" s="25" t="n">
        <f aca="false">G3-H3</f>
        <v>20</v>
      </c>
      <c r="J3" s="26" t="s">
        <v>187</v>
      </c>
      <c r="K3" s="33" t="n">
        <v>100000</v>
      </c>
      <c r="L3" s="27" t="n">
        <v>216000</v>
      </c>
      <c r="M3" s="28" t="n">
        <f aca="false">(L3/G3)*5</f>
        <v>13500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 t="s">
        <v>184</v>
      </c>
      <c r="EL3" s="29"/>
      <c r="EM3" s="29" t="s">
        <v>184</v>
      </c>
      <c r="EN3" s="29" t="s">
        <v>184</v>
      </c>
      <c r="EO3" s="29"/>
      <c r="EP3" s="29"/>
      <c r="EQ3" s="29"/>
      <c r="ER3" s="29"/>
      <c r="ES3" s="29" t="s">
        <v>184</v>
      </c>
      <c r="ET3" s="29"/>
      <c r="EU3" s="29"/>
      <c r="EV3" s="29" t="s">
        <v>184</v>
      </c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 t="n">
        <v>54000</v>
      </c>
      <c r="FH3" s="29"/>
      <c r="FI3" s="29"/>
      <c r="FJ3" s="29" t="s">
        <v>184</v>
      </c>
      <c r="FK3" s="29" t="n">
        <v>54000</v>
      </c>
      <c r="FL3" s="29"/>
      <c r="FM3" s="29"/>
      <c r="FN3" s="29"/>
      <c r="FO3" s="29"/>
      <c r="FP3" s="29" t="n">
        <v>54000</v>
      </c>
      <c r="FQ3" s="29"/>
      <c r="FR3" s="29"/>
      <c r="FS3" s="29"/>
      <c r="FT3" s="29" t="n">
        <f aca="false">SUM(N3:FS3)</f>
        <v>162000</v>
      </c>
      <c r="FU3" s="30" t="n">
        <f aca="false">SUM(L3-FT3)</f>
        <v>54000</v>
      </c>
      <c r="FV3" s="31" t="n">
        <f aca="false">SUM( H3/5)</f>
        <v>12</v>
      </c>
      <c r="FW3" s="31" t="n">
        <f aca="false">SUM( I3/5)</f>
        <v>4</v>
      </c>
      <c r="FX3" s="32" t="n">
        <f aca="false">SUM(FV3/4)</f>
        <v>3</v>
      </c>
      <c r="FY3" s="32" t="n">
        <f aca="false">SUM(FW3/4)</f>
        <v>1</v>
      </c>
    </row>
    <row r="4" customFormat="false" ht="43.5" hidden="false" customHeight="true" outlineLevel="0" collapsed="false">
      <c r="A4" s="20" t="n">
        <v>3455</v>
      </c>
      <c r="B4" s="21" t="s">
        <v>185</v>
      </c>
      <c r="C4" s="21" t="s">
        <v>186</v>
      </c>
      <c r="D4" s="22"/>
      <c r="E4" s="23" t="n">
        <v>45950</v>
      </c>
      <c r="F4" s="23" t="n">
        <f aca="false">WORKDAY(E4,G4)</f>
        <v>46050</v>
      </c>
      <c r="G4" s="24" t="n">
        <v>72</v>
      </c>
      <c r="H4" s="25" t="n">
        <f aca="false">(FT4* 5)/M4</f>
        <v>30</v>
      </c>
      <c r="I4" s="25" t="n">
        <f aca="false">G4-H4</f>
        <v>42</v>
      </c>
      <c r="J4" s="34" t="s">
        <v>188</v>
      </c>
      <c r="K4" s="30" t="n">
        <v>100000</v>
      </c>
      <c r="L4" s="30" t="n">
        <v>216000</v>
      </c>
      <c r="M4" s="28" t="n">
        <f aca="false">(L4/G4)*5</f>
        <v>15000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 t="s">
        <v>184</v>
      </c>
      <c r="EL4" s="29"/>
      <c r="EM4" s="29" t="s">
        <v>184</v>
      </c>
      <c r="EN4" s="29" t="s">
        <v>184</v>
      </c>
      <c r="EO4" s="29"/>
      <c r="EP4" s="29"/>
      <c r="EQ4" s="29"/>
      <c r="ER4" s="29"/>
      <c r="ES4" s="29" t="s">
        <v>184</v>
      </c>
      <c r="ET4" s="29"/>
      <c r="EU4" s="29"/>
      <c r="EV4" s="29" t="s">
        <v>184</v>
      </c>
      <c r="EW4" s="29"/>
      <c r="EX4" s="29"/>
      <c r="EY4" s="29"/>
      <c r="EZ4" s="29"/>
      <c r="FA4" s="29"/>
      <c r="FB4" s="29"/>
      <c r="FC4" s="29" t="s">
        <v>184</v>
      </c>
      <c r="FD4" s="29"/>
      <c r="FE4" s="29"/>
      <c r="FF4" s="29"/>
      <c r="FG4" s="29"/>
      <c r="FH4" s="29"/>
      <c r="FI4" s="29"/>
      <c r="FJ4" s="29"/>
      <c r="FK4" s="29"/>
      <c r="FL4" s="29" t="s">
        <v>184</v>
      </c>
      <c r="FM4" s="29" t="n">
        <v>15000</v>
      </c>
      <c r="FN4" s="29"/>
      <c r="FO4" s="29" t="n">
        <v>15000</v>
      </c>
      <c r="FP4" s="29" t="n">
        <v>15000</v>
      </c>
      <c r="FQ4" s="29" t="n">
        <v>15000</v>
      </c>
      <c r="FR4" s="29"/>
      <c r="FS4" s="29" t="n">
        <v>30000</v>
      </c>
      <c r="FT4" s="29" t="n">
        <f aca="false">SUM(N4:FS4)</f>
        <v>90000</v>
      </c>
      <c r="FU4" s="30" t="n">
        <f aca="false">SUM(L4-FT4)</f>
        <v>126000</v>
      </c>
      <c r="FV4" s="31" t="n">
        <f aca="false">SUM( H4/5)</f>
        <v>6</v>
      </c>
      <c r="FW4" s="31" t="n">
        <f aca="false">SUM( I4/5)</f>
        <v>8.4</v>
      </c>
      <c r="FX4" s="32" t="n">
        <f aca="false">SUM(FV4/4)</f>
        <v>1.5</v>
      </c>
      <c r="FY4" s="32" t="n">
        <f aca="false">SUM(FW4/4)</f>
        <v>2.1</v>
      </c>
    </row>
    <row r="5" customFormat="false" ht="43.5" hidden="false" customHeight="true" outlineLevel="0" collapsed="false">
      <c r="A5" s="20" t="n">
        <v>3473</v>
      </c>
      <c r="B5" s="21" t="s">
        <v>189</v>
      </c>
      <c r="C5" s="21" t="s">
        <v>186</v>
      </c>
      <c r="D5" s="22"/>
      <c r="E5" s="23" t="n">
        <v>45962</v>
      </c>
      <c r="F5" s="23" t="n">
        <f aca="false">WORKDAY(E5,G5)</f>
        <v>46063</v>
      </c>
      <c r="G5" s="24" t="n">
        <v>72</v>
      </c>
      <c r="H5" s="25" t="n">
        <f aca="false">(FT5* 5)/M5</f>
        <v>15</v>
      </c>
      <c r="I5" s="25" t="n">
        <f aca="false">G5-H5</f>
        <v>57</v>
      </c>
      <c r="J5" s="34" t="s">
        <v>190</v>
      </c>
      <c r="K5" s="30" t="n">
        <v>200000</v>
      </c>
      <c r="L5" s="30" t="n">
        <v>432000</v>
      </c>
      <c r="M5" s="28" t="n">
        <f aca="false">(L5/G5)*5</f>
        <v>30000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 t="s">
        <v>184</v>
      </c>
      <c r="EL5" s="29"/>
      <c r="EM5" s="29" t="s">
        <v>184</v>
      </c>
      <c r="EN5" s="29" t="s">
        <v>184</v>
      </c>
      <c r="EO5" s="29"/>
      <c r="EP5" s="29"/>
      <c r="EQ5" s="29"/>
      <c r="ER5" s="29"/>
      <c r="ES5" s="29" t="s">
        <v>184</v>
      </c>
      <c r="ET5" s="29"/>
      <c r="EU5" s="29"/>
      <c r="EV5" s="29" t="s">
        <v>184</v>
      </c>
      <c r="EW5" s="29"/>
      <c r="EX5" s="29"/>
      <c r="EY5" s="29"/>
      <c r="EZ5" s="29"/>
      <c r="FA5" s="29"/>
      <c r="FB5" s="29"/>
      <c r="FC5" s="29" t="s">
        <v>184</v>
      </c>
      <c r="FD5" s="29"/>
      <c r="FE5" s="29"/>
      <c r="FF5" s="29"/>
      <c r="FG5" s="29"/>
      <c r="FH5" s="29"/>
      <c r="FI5" s="29"/>
      <c r="FJ5" s="29"/>
      <c r="FK5" s="29"/>
      <c r="FL5" s="29" t="s">
        <v>184</v>
      </c>
      <c r="FM5" s="29"/>
      <c r="FN5" s="29"/>
      <c r="FO5" s="29"/>
      <c r="FP5" s="29" t="n">
        <v>30000</v>
      </c>
      <c r="FQ5" s="29"/>
      <c r="FR5" s="29" t="n">
        <v>30000</v>
      </c>
      <c r="FS5" s="29" t="n">
        <v>30000</v>
      </c>
      <c r="FT5" s="29" t="n">
        <f aca="false">SUM(N5:FS5)</f>
        <v>90000</v>
      </c>
      <c r="FU5" s="30" t="n">
        <f aca="false">SUM(L5-FT5)</f>
        <v>342000</v>
      </c>
      <c r="FV5" s="31" t="n">
        <f aca="false">SUM( H5/5)</f>
        <v>3</v>
      </c>
      <c r="FW5" s="31" t="n">
        <f aca="false">SUM( I5/5)</f>
        <v>11.4</v>
      </c>
      <c r="FX5" s="32" t="n">
        <f aca="false">SUM(FV5/4)</f>
        <v>0.75</v>
      </c>
      <c r="FY5" s="32" t="n">
        <f aca="false">SUM(FW5/4)</f>
        <v>2.85</v>
      </c>
    </row>
    <row r="6" customFormat="false" ht="43.5" hidden="false" customHeight="true" outlineLevel="0" collapsed="false">
      <c r="A6" s="20" t="n">
        <v>3465</v>
      </c>
      <c r="B6" s="21" t="s">
        <v>191</v>
      </c>
      <c r="C6" s="21"/>
      <c r="D6" s="22" t="n">
        <v>22375673</v>
      </c>
      <c r="E6" s="23" t="n">
        <v>45958</v>
      </c>
      <c r="F6" s="23" t="n">
        <f aca="false">WORKDAY(E6,G6)</f>
        <v>46070</v>
      </c>
      <c r="G6" s="24" t="n">
        <v>80</v>
      </c>
      <c r="H6" s="25" t="n">
        <f aca="false">(FT6* 5)/M6</f>
        <v>0</v>
      </c>
      <c r="I6" s="25" t="n">
        <f aca="false">G6-H6</f>
        <v>80</v>
      </c>
      <c r="J6" s="35" t="s">
        <v>192</v>
      </c>
      <c r="K6" s="27" t="n">
        <v>300000</v>
      </c>
      <c r="L6" s="27" t="n">
        <v>648000</v>
      </c>
      <c r="M6" s="28" t="n">
        <f aca="false">(L6/G6)*5</f>
        <v>40500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 t="s">
        <v>184</v>
      </c>
      <c r="EL6" s="29"/>
      <c r="EM6" s="29" t="s">
        <v>184</v>
      </c>
      <c r="EN6" s="29" t="s">
        <v>184</v>
      </c>
      <c r="EO6" s="29"/>
      <c r="EP6" s="29"/>
      <c r="EQ6" s="29"/>
      <c r="ER6" s="29"/>
      <c r="ES6" s="29" t="s">
        <v>184</v>
      </c>
      <c r="ET6" s="29"/>
      <c r="EU6" s="29"/>
      <c r="EV6" s="29" t="s">
        <v>184</v>
      </c>
      <c r="EW6" s="29"/>
      <c r="EX6" s="29"/>
      <c r="EY6" s="29"/>
      <c r="EZ6" s="29"/>
      <c r="FA6" s="29"/>
      <c r="FB6" s="29"/>
      <c r="FC6" s="29" t="s">
        <v>184</v>
      </c>
      <c r="FD6" s="29"/>
      <c r="FE6" s="29"/>
      <c r="FF6" s="29"/>
      <c r="FG6" s="29"/>
      <c r="FH6" s="29"/>
      <c r="FI6" s="29"/>
      <c r="FJ6" s="29"/>
      <c r="FK6" s="29"/>
      <c r="FL6" s="29" t="s">
        <v>184</v>
      </c>
      <c r="FM6" s="29"/>
      <c r="FN6" s="29"/>
      <c r="FO6" s="29"/>
      <c r="FP6" s="29"/>
      <c r="FQ6" s="29"/>
      <c r="FR6" s="29"/>
      <c r="FS6" s="29"/>
      <c r="FT6" s="29" t="n">
        <f aca="false">SUM(N6:FS6)</f>
        <v>0</v>
      </c>
      <c r="FU6" s="30" t="n">
        <f aca="false">SUM(L6-FT6)</f>
        <v>648000</v>
      </c>
      <c r="FV6" s="31" t="n">
        <f aca="false">SUM( H6/5)</f>
        <v>0</v>
      </c>
      <c r="FW6" s="31" t="n">
        <f aca="false">SUM( I6/5)</f>
        <v>16</v>
      </c>
      <c r="FX6" s="32" t="n">
        <f aca="false">SUM(FV6/4)</f>
        <v>0</v>
      </c>
      <c r="FY6" s="32" t="n">
        <f aca="false">SUM(FW6/4)</f>
        <v>4</v>
      </c>
    </row>
    <row r="7" customFormat="false" ht="43.5" hidden="false" customHeight="true" outlineLevel="0" collapsed="false">
      <c r="A7" s="20" t="n">
        <v>3495</v>
      </c>
      <c r="B7" s="36" t="s">
        <v>193</v>
      </c>
      <c r="C7" s="22" t="s">
        <v>194</v>
      </c>
      <c r="D7" s="22"/>
      <c r="E7" s="23" t="n">
        <v>45976</v>
      </c>
      <c r="F7" s="23" t="n">
        <v>45292</v>
      </c>
      <c r="G7" s="37" t="n">
        <v>80</v>
      </c>
      <c r="H7" s="25" t="n">
        <f aca="false">(FT7* 5)/M7</f>
        <v>0</v>
      </c>
      <c r="I7" s="25" t="n">
        <f aca="false">G7-H7</f>
        <v>80</v>
      </c>
      <c r="J7" s="38" t="s">
        <v>195</v>
      </c>
      <c r="K7" s="27" t="n">
        <v>200000</v>
      </c>
      <c r="L7" s="27" t="n">
        <v>432000</v>
      </c>
      <c r="M7" s="28" t="n">
        <f aca="false">(L7/G7)*5</f>
        <v>27000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 t="s">
        <v>184</v>
      </c>
      <c r="EL7" s="29"/>
      <c r="EM7" s="29" t="s">
        <v>184</v>
      </c>
      <c r="EN7" s="29" t="s">
        <v>184</v>
      </c>
      <c r="EO7" s="29"/>
      <c r="EP7" s="29"/>
      <c r="EQ7" s="29"/>
      <c r="ER7" s="29"/>
      <c r="ES7" s="29" t="s">
        <v>184</v>
      </c>
      <c r="ET7" s="29"/>
      <c r="EU7" s="29"/>
      <c r="EV7" s="29" t="s">
        <v>184</v>
      </c>
      <c r="EW7" s="29"/>
      <c r="EX7" s="29"/>
      <c r="EY7" s="29"/>
      <c r="EZ7" s="29"/>
      <c r="FA7" s="29"/>
      <c r="FB7" s="29"/>
      <c r="FC7" s="29" t="s">
        <v>184</v>
      </c>
      <c r="FD7" s="29"/>
      <c r="FE7" s="29"/>
      <c r="FF7" s="29"/>
      <c r="FG7" s="29"/>
      <c r="FH7" s="29"/>
      <c r="FI7" s="29"/>
      <c r="FJ7" s="29"/>
      <c r="FK7" s="29"/>
      <c r="FL7" s="29" t="s">
        <v>184</v>
      </c>
      <c r="FM7" s="29"/>
      <c r="FN7" s="29"/>
      <c r="FO7" s="29"/>
      <c r="FP7" s="29"/>
      <c r="FQ7" s="29"/>
      <c r="FR7" s="29"/>
      <c r="FS7" s="29"/>
      <c r="FT7" s="29" t="n">
        <f aca="false">SUM(N7:FS7)</f>
        <v>0</v>
      </c>
      <c r="FU7" s="30" t="n">
        <f aca="false">SUM(L7-FT7)</f>
        <v>432000</v>
      </c>
      <c r="FV7" s="31" t="n">
        <f aca="false">SUM( H7/5)</f>
        <v>0</v>
      </c>
      <c r="FW7" s="31" t="n">
        <f aca="false">SUM( I7/5)</f>
        <v>16</v>
      </c>
      <c r="FX7" s="32" t="n">
        <f aca="false">SUM(FV7/4)</f>
        <v>0</v>
      </c>
      <c r="FY7" s="32" t="n">
        <f aca="false">SUM(FW7/4)</f>
        <v>4</v>
      </c>
    </row>
    <row r="8" customFormat="false" ht="43.5" hidden="false" customHeight="true" outlineLevel="0" collapsed="false">
      <c r="A8" s="20" t="n">
        <v>3394</v>
      </c>
      <c r="B8" s="21" t="s">
        <v>196</v>
      </c>
      <c r="C8" s="21" t="s">
        <v>197</v>
      </c>
      <c r="D8" s="22"/>
      <c r="E8" s="23" t="n">
        <v>45913</v>
      </c>
      <c r="F8" s="23" t="n">
        <f aca="false">WORKDAY(E8,G8)</f>
        <v>46024</v>
      </c>
      <c r="G8" s="24" t="n">
        <v>80</v>
      </c>
      <c r="H8" s="25" t="n">
        <f aca="false">(FT8* 5)/M8</f>
        <v>40</v>
      </c>
      <c r="I8" s="25" t="n">
        <f aca="false">G8-H8</f>
        <v>40</v>
      </c>
      <c r="J8" s="26" t="s">
        <v>198</v>
      </c>
      <c r="K8" s="39" t="n">
        <v>45000</v>
      </c>
      <c r="L8" s="27" t="n">
        <v>97200</v>
      </c>
      <c r="M8" s="28" t="n">
        <f aca="false">(L8/G8)*5</f>
        <v>6075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 t="s">
        <v>184</v>
      </c>
      <c r="EL8" s="29"/>
      <c r="EM8" s="29" t="s">
        <v>184</v>
      </c>
      <c r="EN8" s="29" t="s">
        <v>184</v>
      </c>
      <c r="EO8" s="29"/>
      <c r="EP8" s="29"/>
      <c r="EQ8" s="29"/>
      <c r="ER8" s="29"/>
      <c r="ES8" s="29" t="s">
        <v>184</v>
      </c>
      <c r="ET8" s="29"/>
      <c r="EU8" s="29"/>
      <c r="EV8" s="29" t="s">
        <v>184</v>
      </c>
      <c r="EW8" s="29"/>
      <c r="EX8" s="29"/>
      <c r="EY8" s="29"/>
      <c r="EZ8" s="29"/>
      <c r="FA8" s="29"/>
      <c r="FB8" s="29"/>
      <c r="FC8" s="29" t="s">
        <v>184</v>
      </c>
      <c r="FD8" s="29"/>
      <c r="FE8" s="29"/>
      <c r="FF8" s="29"/>
      <c r="FG8" s="29"/>
      <c r="FH8" s="29"/>
      <c r="FI8" s="29"/>
      <c r="FJ8" s="29"/>
      <c r="FK8" s="29"/>
      <c r="FL8" s="29" t="n">
        <v>24300</v>
      </c>
      <c r="FM8" s="29"/>
      <c r="FN8" s="29"/>
      <c r="FO8" s="29"/>
      <c r="FP8" s="40" t="n">
        <v>24300</v>
      </c>
      <c r="FQ8" s="40"/>
      <c r="FR8" s="29"/>
      <c r="FS8" s="29"/>
      <c r="FT8" s="29" t="n">
        <f aca="false">SUM(N8:FS8)</f>
        <v>48600</v>
      </c>
      <c r="FU8" s="30" t="n">
        <f aca="false">SUM(L8-FT8)</f>
        <v>48600</v>
      </c>
      <c r="FV8" s="31" t="n">
        <f aca="false">SUM( H8/5)</f>
        <v>8</v>
      </c>
      <c r="FW8" s="31" t="n">
        <f aca="false">SUM( I8/5)</f>
        <v>8</v>
      </c>
      <c r="FX8" s="32" t="n">
        <f aca="false">SUM(FV8/4)</f>
        <v>2</v>
      </c>
      <c r="FY8" s="32" t="n">
        <f aca="false">SUM(FW8/4)</f>
        <v>2</v>
      </c>
    </row>
    <row r="9" customFormat="false" ht="43.5" hidden="false" customHeight="true" outlineLevel="0" collapsed="false">
      <c r="A9" s="20" t="n">
        <v>3474</v>
      </c>
      <c r="B9" s="21" t="s">
        <v>196</v>
      </c>
      <c r="C9" s="21" t="s">
        <v>197</v>
      </c>
      <c r="D9" s="22"/>
      <c r="E9" s="23" t="n">
        <v>45962</v>
      </c>
      <c r="F9" s="23" t="n">
        <f aca="false">WORKDAY(E9,G9)</f>
        <v>46001</v>
      </c>
      <c r="G9" s="24" t="n">
        <v>28</v>
      </c>
      <c r="H9" s="25" t="e">
        <f aca="false">(FT9* 5)/M9</f>
        <v>#VALUE!</v>
      </c>
      <c r="I9" s="25" t="e">
        <f aca="false">G9-H9</f>
        <v>#VALUE!</v>
      </c>
      <c r="J9" s="26" t="s">
        <v>199</v>
      </c>
      <c r="K9" s="27" t="n">
        <v>100000</v>
      </c>
      <c r="L9" s="27" t="n">
        <v>160000</v>
      </c>
      <c r="M9" s="28" t="s">
        <v>184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  <c r="DU9" s="29"/>
      <c r="DV9" s="29"/>
      <c r="DW9" s="29"/>
      <c r="DX9" s="29"/>
      <c r="DY9" s="29"/>
      <c r="DZ9" s="29"/>
      <c r="EA9" s="29"/>
      <c r="EB9" s="29"/>
      <c r="EC9" s="29"/>
      <c r="ED9" s="29"/>
      <c r="EE9" s="29"/>
      <c r="EF9" s="29"/>
      <c r="EG9" s="29"/>
      <c r="EH9" s="29"/>
      <c r="EI9" s="29"/>
      <c r="EJ9" s="29"/>
      <c r="EK9" s="29" t="s">
        <v>184</v>
      </c>
      <c r="EL9" s="29"/>
      <c r="EM9" s="29" t="s">
        <v>184</v>
      </c>
      <c r="EN9" s="29" t="s">
        <v>184</v>
      </c>
      <c r="EO9" s="29"/>
      <c r="EP9" s="29"/>
      <c r="EQ9" s="29"/>
      <c r="ER9" s="29"/>
      <c r="ES9" s="29" t="s">
        <v>184</v>
      </c>
      <c r="ET9" s="29"/>
      <c r="EU9" s="29"/>
      <c r="EV9" s="29" t="s">
        <v>184</v>
      </c>
      <c r="EW9" s="29"/>
      <c r="EX9" s="29"/>
      <c r="EY9" s="29"/>
      <c r="EZ9" s="29"/>
      <c r="FA9" s="29"/>
      <c r="FB9" s="29"/>
      <c r="FC9" s="29" t="s">
        <v>184</v>
      </c>
      <c r="FD9" s="29"/>
      <c r="FE9" s="29"/>
      <c r="FF9" s="29"/>
      <c r="FG9" s="29"/>
      <c r="FH9" s="29"/>
      <c r="FI9" s="29"/>
      <c r="FJ9" s="29"/>
      <c r="FK9" s="29"/>
      <c r="FL9" s="29" t="s">
        <v>184</v>
      </c>
      <c r="FM9" s="29"/>
      <c r="FN9" s="29"/>
      <c r="FO9" s="29"/>
      <c r="FP9" s="29"/>
      <c r="FQ9" s="29"/>
      <c r="FR9" s="29"/>
      <c r="FS9" s="29"/>
      <c r="FT9" s="29" t="n">
        <f aca="false">SUM(N9:FS9)</f>
        <v>0</v>
      </c>
      <c r="FU9" s="30" t="n">
        <f aca="false">SUM(L9-FT9)</f>
        <v>160000</v>
      </c>
      <c r="FV9" s="31" t="e">
        <f aca="false">SUM( H9/5)</f>
        <v>#VALUE!</v>
      </c>
      <c r="FW9" s="31" t="e">
        <f aca="false">SUM( I9/5)</f>
        <v>#VALUE!</v>
      </c>
      <c r="FX9" s="32" t="e">
        <f aca="false">SUM(FV9/4)</f>
        <v>#VALUE!</v>
      </c>
      <c r="FY9" s="32" t="e">
        <f aca="false">SUM(FW9/4)</f>
        <v>#VALUE!</v>
      </c>
    </row>
    <row r="10" customFormat="false" ht="43.5" hidden="false" customHeight="true" outlineLevel="0" collapsed="false">
      <c r="A10" s="20" t="n">
        <v>3368</v>
      </c>
      <c r="B10" s="21" t="s">
        <v>200</v>
      </c>
      <c r="C10" s="21" t="s">
        <v>201</v>
      </c>
      <c r="D10" s="22"/>
      <c r="E10" s="23" t="n">
        <v>45894</v>
      </c>
      <c r="F10" s="23" t="n">
        <f aca="false">WORKDAY(E10,G10)</f>
        <v>45992</v>
      </c>
      <c r="G10" s="24" t="n">
        <v>70</v>
      </c>
      <c r="H10" s="25" t="n">
        <f aca="false">(FT10* 5)/M10</f>
        <v>40</v>
      </c>
      <c r="I10" s="25" t="n">
        <f aca="false">G10-H10</f>
        <v>30</v>
      </c>
      <c r="J10" s="26" t="s">
        <v>202</v>
      </c>
      <c r="K10" s="27" t="n">
        <v>454000</v>
      </c>
      <c r="L10" s="27" t="n">
        <v>987000</v>
      </c>
      <c r="M10" s="28" t="n">
        <f aca="false">(L10/G10)*5</f>
        <v>70500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29"/>
      <c r="DC10" s="29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29"/>
      <c r="DT10" s="29"/>
      <c r="DU10" s="29"/>
      <c r="DV10" s="29"/>
      <c r="DW10" s="29"/>
      <c r="DX10" s="29"/>
      <c r="DY10" s="29"/>
      <c r="DZ10" s="29"/>
      <c r="EA10" s="29"/>
      <c r="EB10" s="29"/>
      <c r="EC10" s="29"/>
      <c r="ED10" s="29"/>
      <c r="EE10" s="29"/>
      <c r="EF10" s="29"/>
      <c r="EG10" s="29"/>
      <c r="EH10" s="29"/>
      <c r="EI10" s="29"/>
      <c r="EJ10" s="29"/>
      <c r="EK10" s="29" t="s">
        <v>184</v>
      </c>
      <c r="EL10" s="29"/>
      <c r="EM10" s="29" t="s">
        <v>184</v>
      </c>
      <c r="EN10" s="29" t="s">
        <v>184</v>
      </c>
      <c r="EO10" s="29"/>
      <c r="EP10" s="29"/>
      <c r="EQ10" s="29"/>
      <c r="ER10" s="29"/>
      <c r="ES10" s="29" t="s">
        <v>184</v>
      </c>
      <c r="ET10" s="29"/>
      <c r="EU10" s="29"/>
      <c r="EV10" s="29" t="s">
        <v>184</v>
      </c>
      <c r="EW10" s="29"/>
      <c r="EX10" s="29"/>
      <c r="EY10" s="29"/>
      <c r="EZ10" s="29"/>
      <c r="FA10" s="29"/>
      <c r="FB10" s="29"/>
      <c r="FC10" s="29" t="s">
        <v>184</v>
      </c>
      <c r="FD10" s="29"/>
      <c r="FE10" s="29"/>
      <c r="FF10" s="29"/>
      <c r="FG10" s="29" t="n">
        <v>100000</v>
      </c>
      <c r="FH10" s="29" t="n">
        <v>41000</v>
      </c>
      <c r="FI10" s="29" t="n">
        <v>141000</v>
      </c>
      <c r="FJ10" s="29"/>
      <c r="FK10" s="29"/>
      <c r="FL10" s="29" t="n">
        <v>141000</v>
      </c>
      <c r="FM10" s="29"/>
      <c r="FN10" s="29"/>
      <c r="FO10" s="29"/>
      <c r="FP10" s="29" t="n">
        <v>100000</v>
      </c>
      <c r="FQ10" s="29" t="n">
        <v>41000</v>
      </c>
      <c r="FR10" s="29"/>
      <c r="FS10" s="29"/>
      <c r="FT10" s="29" t="n">
        <f aca="false">SUM(N10:FS10)</f>
        <v>564000</v>
      </c>
      <c r="FU10" s="30" t="n">
        <f aca="false">SUM(L10-FT10)</f>
        <v>423000</v>
      </c>
      <c r="FV10" s="31" t="n">
        <f aca="false">SUM( H10/5)</f>
        <v>8</v>
      </c>
      <c r="FW10" s="31" t="n">
        <f aca="false">SUM( I10/5)</f>
        <v>6</v>
      </c>
      <c r="FX10" s="32" t="n">
        <f aca="false">SUM(FV10/4)</f>
        <v>2</v>
      </c>
      <c r="FY10" s="32" t="n">
        <f aca="false">SUM(FW10/4)</f>
        <v>1.5</v>
      </c>
    </row>
    <row r="11" customFormat="false" ht="43.5" hidden="false" customHeight="true" outlineLevel="0" collapsed="false">
      <c r="A11" s="20" t="n">
        <v>3464</v>
      </c>
      <c r="B11" s="21" t="s">
        <v>203</v>
      </c>
      <c r="C11" s="34" t="s">
        <v>204</v>
      </c>
      <c r="D11" s="41"/>
      <c r="E11" s="42" t="n">
        <v>45957</v>
      </c>
      <c r="F11" s="23" t="n">
        <f aca="false">WORKDAY(E11,G11)</f>
        <v>46027</v>
      </c>
      <c r="G11" s="43" t="n">
        <v>50</v>
      </c>
      <c r="H11" s="25" t="n">
        <f aca="false">(FT11* 5)/M11</f>
        <v>20</v>
      </c>
      <c r="I11" s="25" t="n">
        <f aca="false">G11-H11</f>
        <v>30</v>
      </c>
      <c r="J11" s="34" t="s">
        <v>205</v>
      </c>
      <c r="K11" s="44" t="n">
        <v>200000</v>
      </c>
      <c r="L11" s="44" t="n">
        <v>500000</v>
      </c>
      <c r="M11" s="28" t="n">
        <f aca="false">(L11/G11)*5</f>
        <v>50000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 t="s">
        <v>184</v>
      </c>
      <c r="EL11" s="29"/>
      <c r="EM11" s="29" t="s">
        <v>184</v>
      </c>
      <c r="EN11" s="29" t="s">
        <v>184</v>
      </c>
      <c r="EO11" s="29"/>
      <c r="EP11" s="29"/>
      <c r="EQ11" s="29"/>
      <c r="ER11" s="29"/>
      <c r="ES11" s="29" t="s">
        <v>184</v>
      </c>
      <c r="ET11" s="29"/>
      <c r="EU11" s="29"/>
      <c r="EV11" s="29" t="s">
        <v>184</v>
      </c>
      <c r="EW11" s="29"/>
      <c r="EX11" s="29"/>
      <c r="EY11" s="29"/>
      <c r="EZ11" s="29"/>
      <c r="FA11" s="29"/>
      <c r="FB11" s="29"/>
      <c r="FC11" s="29" t="s">
        <v>184</v>
      </c>
      <c r="FD11" s="29"/>
      <c r="FE11" s="29"/>
      <c r="FF11" s="29"/>
      <c r="FG11" s="29"/>
      <c r="FH11" s="29"/>
      <c r="FI11" s="29"/>
      <c r="FJ11" s="29"/>
      <c r="FK11" s="29"/>
      <c r="FL11" s="29" t="s">
        <v>184</v>
      </c>
      <c r="FM11" s="29"/>
      <c r="FN11" s="29" t="n">
        <v>50000</v>
      </c>
      <c r="FO11" s="29" t="n">
        <v>50000</v>
      </c>
      <c r="FP11" s="29" t="n">
        <v>50000</v>
      </c>
      <c r="FQ11" s="29" t="n">
        <v>50000</v>
      </c>
      <c r="FR11" s="29"/>
      <c r="FS11" s="29"/>
      <c r="FT11" s="29" t="n">
        <f aca="false">SUM(N11:FS11)</f>
        <v>200000</v>
      </c>
      <c r="FU11" s="30" t="n">
        <f aca="false">SUM(L11-FT11)</f>
        <v>300000</v>
      </c>
      <c r="FV11" s="31" t="n">
        <f aca="false">SUM( H11/5)</f>
        <v>4</v>
      </c>
      <c r="FW11" s="31" t="n">
        <f aca="false">SUM( I11/5)</f>
        <v>6</v>
      </c>
      <c r="FX11" s="32" t="n">
        <f aca="false">SUM(FV11/4)</f>
        <v>1</v>
      </c>
      <c r="FY11" s="32" t="n">
        <f aca="false">SUM(FW11/4)</f>
        <v>1.5</v>
      </c>
    </row>
    <row r="12" customFormat="false" ht="43.5" hidden="false" customHeight="true" outlineLevel="0" collapsed="false">
      <c r="A12" s="20" t="n">
        <v>3296</v>
      </c>
      <c r="B12" s="21" t="s">
        <v>206</v>
      </c>
      <c r="C12" s="21" t="s">
        <v>207</v>
      </c>
      <c r="D12" s="22"/>
      <c r="E12" s="23" t="n">
        <v>45857</v>
      </c>
      <c r="F12" s="23" t="n">
        <f aca="false">WORKDAY(E12,G12)</f>
        <v>46010</v>
      </c>
      <c r="G12" s="24" t="n">
        <v>110</v>
      </c>
      <c r="H12" s="25" t="n">
        <f aca="false">(FT12* 5)/M12</f>
        <v>82.4679487179487</v>
      </c>
      <c r="I12" s="25" t="n">
        <f aca="false">G12-H12</f>
        <v>27.5320512820513</v>
      </c>
      <c r="J12" s="34" t="s">
        <v>208</v>
      </c>
      <c r="K12" s="27" t="n">
        <v>130000</v>
      </c>
      <c r="L12" s="27" t="n">
        <v>343200</v>
      </c>
      <c r="M12" s="28" t="n">
        <f aca="false">(L12/G12)*5</f>
        <v>15600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29"/>
      <c r="DF12" s="29"/>
      <c r="DG12" s="29"/>
      <c r="DH12" s="29"/>
      <c r="DI12" s="29"/>
      <c r="DJ12" s="29"/>
      <c r="DK12" s="29"/>
      <c r="DL12" s="29"/>
      <c r="DM12" s="29"/>
      <c r="DN12" s="29"/>
      <c r="DO12" s="29"/>
      <c r="DP12" s="29"/>
      <c r="DQ12" s="29"/>
      <c r="DR12" s="29"/>
      <c r="DS12" s="29"/>
      <c r="DT12" s="29"/>
      <c r="DU12" s="29"/>
      <c r="DV12" s="29"/>
      <c r="DW12" s="29"/>
      <c r="DX12" s="29"/>
      <c r="DY12" s="29"/>
      <c r="DZ12" s="29"/>
      <c r="EA12" s="29"/>
      <c r="EB12" s="29"/>
      <c r="EC12" s="29"/>
      <c r="ED12" s="29"/>
      <c r="EE12" s="29"/>
      <c r="EF12" s="29"/>
      <c r="EG12" s="29"/>
      <c r="EH12" s="29"/>
      <c r="EI12" s="29"/>
      <c r="EJ12" s="29"/>
      <c r="EK12" s="29" t="s">
        <v>184</v>
      </c>
      <c r="EL12" s="29"/>
      <c r="EM12" s="29" t="s">
        <v>184</v>
      </c>
      <c r="EN12" s="29" t="s">
        <v>184</v>
      </c>
      <c r="EO12" s="29"/>
      <c r="EP12" s="29"/>
      <c r="EQ12" s="29"/>
      <c r="ER12" s="29"/>
      <c r="ES12" s="29" t="s">
        <v>184</v>
      </c>
      <c r="ET12" s="29"/>
      <c r="EU12" s="29"/>
      <c r="EV12" s="29" t="s">
        <v>184</v>
      </c>
      <c r="EW12" s="29"/>
      <c r="EX12" s="29"/>
      <c r="EY12" s="29"/>
      <c r="EZ12" s="29" t="n">
        <v>6000</v>
      </c>
      <c r="FA12" s="29" t="n">
        <v>25200</v>
      </c>
      <c r="FB12" s="29" t="n">
        <v>15600</v>
      </c>
      <c r="FC12" s="29" t="n">
        <v>15600</v>
      </c>
      <c r="FD12" s="29" t="n">
        <v>15700</v>
      </c>
      <c r="FE12" s="29" t="n">
        <v>9400</v>
      </c>
      <c r="FF12" s="29" t="n">
        <v>15600</v>
      </c>
      <c r="FG12" s="29" t="n">
        <v>15600</v>
      </c>
      <c r="FH12" s="29" t="n">
        <v>15600</v>
      </c>
      <c r="FI12" s="29"/>
      <c r="FJ12" s="29" t="n">
        <v>30000</v>
      </c>
      <c r="FK12" s="29" t="n">
        <v>15600</v>
      </c>
      <c r="FL12" s="29" t="n">
        <v>15600</v>
      </c>
      <c r="FM12" s="29" t="n">
        <v>15600</v>
      </c>
      <c r="FN12" s="29" t="n">
        <v>15600</v>
      </c>
      <c r="FO12" s="29" t="n">
        <v>15600</v>
      </c>
      <c r="FP12" s="29" t="n">
        <v>15000</v>
      </c>
      <c r="FQ12" s="29"/>
      <c r="FR12" s="29"/>
      <c r="FS12" s="29"/>
      <c r="FT12" s="29" t="n">
        <f aca="false">SUM(N12:FS12)</f>
        <v>257300</v>
      </c>
      <c r="FU12" s="30" t="n">
        <f aca="false">SUM(L12-FT12)</f>
        <v>85900</v>
      </c>
      <c r="FV12" s="31" t="n">
        <f aca="false">SUM( H12/5)</f>
        <v>16.4935897435897</v>
      </c>
      <c r="FW12" s="31" t="n">
        <f aca="false">SUM( I12/5)</f>
        <v>5.50641025641026</v>
      </c>
      <c r="FX12" s="32" t="n">
        <f aca="false">SUM(FV12/4)</f>
        <v>4.12339743589744</v>
      </c>
      <c r="FY12" s="32" t="n">
        <f aca="false">SUM(FW12/4)</f>
        <v>1.37660256410256</v>
      </c>
    </row>
    <row r="13" customFormat="false" ht="43.5" hidden="false" customHeight="true" outlineLevel="0" collapsed="false">
      <c r="A13" s="20" t="n">
        <v>3395</v>
      </c>
      <c r="B13" s="21" t="s">
        <v>206</v>
      </c>
      <c r="C13" s="21" t="s">
        <v>207</v>
      </c>
      <c r="D13" s="22"/>
      <c r="E13" s="23" t="n">
        <v>45913</v>
      </c>
      <c r="F13" s="23" t="n">
        <f aca="false">WORKDAY(E13,G13)</f>
        <v>46014</v>
      </c>
      <c r="G13" s="24" t="n">
        <v>72</v>
      </c>
      <c r="H13" s="25" t="n">
        <f aca="false">(FT13* 5)/M13</f>
        <v>54.9</v>
      </c>
      <c r="I13" s="25" t="n">
        <f aca="false">G13-H13</f>
        <v>17.1</v>
      </c>
      <c r="J13" s="34" t="s">
        <v>190</v>
      </c>
      <c r="K13" s="27" t="n">
        <v>200000</v>
      </c>
      <c r="L13" s="27" t="n">
        <v>432000</v>
      </c>
      <c r="M13" s="28" t="n">
        <f aca="false">(L13/G13)*5</f>
        <v>30000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29"/>
      <c r="DF13" s="29"/>
      <c r="DG13" s="29"/>
      <c r="DH13" s="29"/>
      <c r="DI13" s="29"/>
      <c r="DJ13" s="29"/>
      <c r="DK13" s="29"/>
      <c r="DL13" s="29"/>
      <c r="DM13" s="29"/>
      <c r="DN13" s="29"/>
      <c r="DO13" s="29"/>
      <c r="DP13" s="29"/>
      <c r="DQ13" s="29"/>
      <c r="DR13" s="29"/>
      <c r="DS13" s="29"/>
      <c r="DT13" s="29"/>
      <c r="DU13" s="29"/>
      <c r="DV13" s="29"/>
      <c r="DW13" s="29"/>
      <c r="DX13" s="29"/>
      <c r="DY13" s="29"/>
      <c r="DZ13" s="29"/>
      <c r="EA13" s="29"/>
      <c r="EB13" s="29"/>
      <c r="EC13" s="29"/>
      <c r="ED13" s="29"/>
      <c r="EE13" s="29"/>
      <c r="EF13" s="29"/>
      <c r="EG13" s="29"/>
      <c r="EH13" s="29"/>
      <c r="EI13" s="29"/>
      <c r="EJ13" s="29"/>
      <c r="EK13" s="29" t="s">
        <v>184</v>
      </c>
      <c r="EL13" s="29"/>
      <c r="EM13" s="29" t="s">
        <v>184</v>
      </c>
      <c r="EN13" s="29" t="s">
        <v>184</v>
      </c>
      <c r="EO13" s="29"/>
      <c r="EP13" s="29"/>
      <c r="EQ13" s="29"/>
      <c r="ER13" s="29"/>
      <c r="ES13" s="29" t="s">
        <v>184</v>
      </c>
      <c r="ET13" s="29"/>
      <c r="EU13" s="29"/>
      <c r="EV13" s="29" t="s">
        <v>184</v>
      </c>
      <c r="EW13" s="29"/>
      <c r="EX13" s="29"/>
      <c r="EY13" s="29"/>
      <c r="EZ13" s="29"/>
      <c r="FA13" s="29"/>
      <c r="FB13" s="29"/>
      <c r="FC13" s="29" t="s">
        <v>184</v>
      </c>
      <c r="FD13" s="29"/>
      <c r="FE13" s="29"/>
      <c r="FF13" s="29"/>
      <c r="FG13" s="29"/>
      <c r="FH13" s="29" t="n">
        <v>29400</v>
      </c>
      <c r="FI13" s="29"/>
      <c r="FJ13" s="29" t="n">
        <v>60000</v>
      </c>
      <c r="FK13" s="29" t="n">
        <v>30000</v>
      </c>
      <c r="FL13" s="29" t="n">
        <v>30000</v>
      </c>
      <c r="FM13" s="29" t="n">
        <v>30000</v>
      </c>
      <c r="FN13" s="29" t="n">
        <v>30000</v>
      </c>
      <c r="FO13" s="29" t="n">
        <v>30000</v>
      </c>
      <c r="FP13" s="29" t="n">
        <v>30000</v>
      </c>
      <c r="FQ13" s="29"/>
      <c r="FR13" s="29" t="n">
        <v>60000</v>
      </c>
      <c r="FS13" s="29"/>
      <c r="FT13" s="29" t="n">
        <f aca="false">SUM(N13:FS13)</f>
        <v>329400</v>
      </c>
      <c r="FU13" s="30" t="n">
        <f aca="false">SUM(L13-FT13)</f>
        <v>102600</v>
      </c>
      <c r="FV13" s="31" t="n">
        <f aca="false">SUM( H13/5)</f>
        <v>10.98</v>
      </c>
      <c r="FW13" s="31" t="n">
        <f aca="false">SUM( I13/5)</f>
        <v>3.42</v>
      </c>
      <c r="FX13" s="32" t="n">
        <f aca="false">SUM(FV13/4)</f>
        <v>2.745</v>
      </c>
      <c r="FY13" s="32" t="n">
        <f aca="false">SUM(FW13/4)</f>
        <v>0.855</v>
      </c>
    </row>
    <row r="14" customFormat="false" ht="43.5" hidden="false" customHeight="true" outlineLevel="0" collapsed="false">
      <c r="A14" s="20" t="n">
        <v>3448</v>
      </c>
      <c r="B14" s="21" t="s">
        <v>206</v>
      </c>
      <c r="C14" s="21" t="s">
        <v>207</v>
      </c>
      <c r="D14" s="22"/>
      <c r="E14" s="23" t="n">
        <v>45948</v>
      </c>
      <c r="F14" s="23" t="n">
        <f aca="false">WORKDAY(E14,G14)</f>
        <v>46049</v>
      </c>
      <c r="G14" s="24" t="n">
        <v>72</v>
      </c>
      <c r="H14" s="25" t="n">
        <f aca="false">(FT14* 5)/M14</f>
        <v>33.3333333333333</v>
      </c>
      <c r="I14" s="25" t="n">
        <f aca="false">G14-H14</f>
        <v>38.6666666666667</v>
      </c>
      <c r="J14" s="34" t="s">
        <v>188</v>
      </c>
      <c r="K14" s="27" t="n">
        <v>100000</v>
      </c>
      <c r="L14" s="27" t="n">
        <v>216000</v>
      </c>
      <c r="M14" s="45" t="n">
        <f aca="false">(L14/G14)*5</f>
        <v>15000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P14" s="29"/>
      <c r="DQ14" s="29"/>
      <c r="DR14" s="29"/>
      <c r="DS14" s="29"/>
      <c r="DT14" s="29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29"/>
      <c r="EK14" s="29" t="s">
        <v>184</v>
      </c>
      <c r="EL14" s="29"/>
      <c r="EM14" s="29" t="s">
        <v>184</v>
      </c>
      <c r="EN14" s="29" t="s">
        <v>184</v>
      </c>
      <c r="EO14" s="29"/>
      <c r="EP14" s="29"/>
      <c r="EQ14" s="29"/>
      <c r="ER14" s="29"/>
      <c r="ES14" s="29" t="s">
        <v>184</v>
      </c>
      <c r="ET14" s="29"/>
      <c r="EU14" s="29"/>
      <c r="EV14" s="29" t="s">
        <v>184</v>
      </c>
      <c r="EW14" s="29"/>
      <c r="EX14" s="29"/>
      <c r="EY14" s="29"/>
      <c r="EZ14" s="29"/>
      <c r="FA14" s="29"/>
      <c r="FB14" s="29"/>
      <c r="FC14" s="29" t="s">
        <v>184</v>
      </c>
      <c r="FD14" s="29"/>
      <c r="FE14" s="29"/>
      <c r="FF14" s="29"/>
      <c r="FG14" s="29"/>
      <c r="FH14" s="29"/>
      <c r="FI14" s="29"/>
      <c r="FJ14" s="29"/>
      <c r="FK14" s="29"/>
      <c r="FL14" s="29"/>
      <c r="FM14" s="29" t="n">
        <v>15000</v>
      </c>
      <c r="FN14" s="29" t="n">
        <v>15000</v>
      </c>
      <c r="FO14" s="29" t="n">
        <v>15000</v>
      </c>
      <c r="FP14" s="29" t="n">
        <v>15000</v>
      </c>
      <c r="FQ14" s="29"/>
      <c r="FR14" s="29" t="n">
        <v>40000</v>
      </c>
      <c r="FS14" s="29"/>
      <c r="FT14" s="29" t="n">
        <f aca="false">SUM(N14:FS14)</f>
        <v>100000</v>
      </c>
      <c r="FU14" s="30" t="n">
        <f aca="false">SUM(L14-FT14)</f>
        <v>116000</v>
      </c>
      <c r="FV14" s="31" t="n">
        <f aca="false">SUM( H14/5)</f>
        <v>6.66666666666667</v>
      </c>
      <c r="FW14" s="31" t="n">
        <f aca="false">SUM( I14/5)</f>
        <v>7.73333333333333</v>
      </c>
      <c r="FX14" s="32" t="n">
        <f aca="false">SUM(FV14/4)</f>
        <v>1.66666666666667</v>
      </c>
      <c r="FY14" s="32" t="n">
        <f aca="false">SUM(FW14/4)</f>
        <v>1.93333333333333</v>
      </c>
    </row>
    <row r="15" customFormat="false" ht="43.5" hidden="false" customHeight="true" outlineLevel="0" collapsed="false">
      <c r="A15" s="20" t="n">
        <v>3466</v>
      </c>
      <c r="B15" s="21" t="s">
        <v>206</v>
      </c>
      <c r="C15" s="21" t="s">
        <v>207</v>
      </c>
      <c r="D15" s="22"/>
      <c r="E15" s="23" t="n">
        <v>45958</v>
      </c>
      <c r="F15" s="23" t="n">
        <f aca="false">WORKDAY(E15,G15)</f>
        <v>46058</v>
      </c>
      <c r="G15" s="24" t="n">
        <v>72</v>
      </c>
      <c r="H15" s="25" t="n">
        <f aca="false">(FT15* 5)/M15</f>
        <v>25</v>
      </c>
      <c r="I15" s="25" t="n">
        <f aca="false">G15-H15</f>
        <v>47</v>
      </c>
      <c r="J15" s="34" t="s">
        <v>190</v>
      </c>
      <c r="K15" s="30" t="n">
        <v>200000</v>
      </c>
      <c r="L15" s="30" t="n">
        <v>432000</v>
      </c>
      <c r="M15" s="28" t="n">
        <f aca="false">(L15/G15)*5</f>
        <v>30000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29"/>
      <c r="DT15" s="29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29"/>
      <c r="EK15" s="29" t="s">
        <v>184</v>
      </c>
      <c r="EL15" s="29"/>
      <c r="EM15" s="29" t="s">
        <v>184</v>
      </c>
      <c r="EN15" s="29" t="s">
        <v>184</v>
      </c>
      <c r="EO15" s="29"/>
      <c r="EP15" s="29"/>
      <c r="EQ15" s="29"/>
      <c r="ER15" s="29"/>
      <c r="ES15" s="29" t="s">
        <v>184</v>
      </c>
      <c r="ET15" s="29"/>
      <c r="EU15" s="29"/>
      <c r="EV15" s="29" t="s">
        <v>184</v>
      </c>
      <c r="EW15" s="29"/>
      <c r="EX15" s="29"/>
      <c r="EY15" s="29"/>
      <c r="EZ15" s="29"/>
      <c r="FA15" s="29"/>
      <c r="FB15" s="29"/>
      <c r="FC15" s="29" t="s">
        <v>184</v>
      </c>
      <c r="FD15" s="29"/>
      <c r="FE15" s="29"/>
      <c r="FF15" s="29"/>
      <c r="FG15" s="29"/>
      <c r="FH15" s="29"/>
      <c r="FI15" s="29"/>
      <c r="FJ15" s="29"/>
      <c r="FK15" s="29"/>
      <c r="FL15" s="29" t="s">
        <v>184</v>
      </c>
      <c r="FM15" s="29"/>
      <c r="FN15" s="29" t="n">
        <v>30000</v>
      </c>
      <c r="FO15" s="29" t="n">
        <v>30000</v>
      </c>
      <c r="FP15" s="29" t="n">
        <v>30000</v>
      </c>
      <c r="FQ15" s="29"/>
      <c r="FR15" s="29" t="n">
        <v>60000</v>
      </c>
      <c r="FS15" s="29"/>
      <c r="FT15" s="29" t="n">
        <f aca="false">SUM(N15:FS15)</f>
        <v>150000</v>
      </c>
      <c r="FU15" s="30" t="n">
        <f aca="false">SUM(L15-FT15)</f>
        <v>282000</v>
      </c>
      <c r="FV15" s="31" t="n">
        <f aca="false">SUM( H15/5)</f>
        <v>5</v>
      </c>
      <c r="FW15" s="31" t="n">
        <f aca="false">SUM( I15/5)</f>
        <v>9.4</v>
      </c>
      <c r="FX15" s="32" t="n">
        <f aca="false">SUM(FV15/4)</f>
        <v>1.25</v>
      </c>
      <c r="FY15" s="32" t="n">
        <f aca="false">SUM(FW15/4)</f>
        <v>2.35</v>
      </c>
    </row>
    <row r="16" customFormat="false" ht="43.5" hidden="false" customHeight="true" outlineLevel="0" collapsed="false">
      <c r="A16" s="20" t="n">
        <v>3233</v>
      </c>
      <c r="B16" s="21" t="s">
        <v>209</v>
      </c>
      <c r="C16" s="21" t="s">
        <v>210</v>
      </c>
      <c r="D16" s="22"/>
      <c r="E16" s="23" t="n">
        <v>45818</v>
      </c>
      <c r="F16" s="23" t="n">
        <f aca="false">WORKDAY(E16,G16)</f>
        <v>45986</v>
      </c>
      <c r="G16" s="24" t="n">
        <v>120</v>
      </c>
      <c r="H16" s="25" t="n">
        <f aca="false">(FT16* 5)/M16</f>
        <v>81.0606060606061</v>
      </c>
      <c r="I16" s="25" t="n">
        <f aca="false">G16-H16</f>
        <v>38.9393939393939</v>
      </c>
      <c r="J16" s="26" t="s">
        <v>211</v>
      </c>
      <c r="K16" s="30" t="n">
        <v>120000</v>
      </c>
      <c r="L16" s="30" t="n">
        <v>316800</v>
      </c>
      <c r="M16" s="28" t="n">
        <f aca="false">(L16/G16)*5</f>
        <v>13200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 t="s">
        <v>184</v>
      </c>
      <c r="EL16" s="29"/>
      <c r="EM16" s="29" t="s">
        <v>184</v>
      </c>
      <c r="EN16" s="29" t="s">
        <v>184</v>
      </c>
      <c r="EO16" s="29"/>
      <c r="EP16" s="29"/>
      <c r="EQ16" s="29"/>
      <c r="ER16" s="29"/>
      <c r="ES16" s="29" t="s">
        <v>184</v>
      </c>
      <c r="ET16" s="29"/>
      <c r="EU16" s="29"/>
      <c r="EV16" s="29"/>
      <c r="EW16" s="29"/>
      <c r="EX16" s="29"/>
      <c r="EY16" s="29"/>
      <c r="EZ16" s="29" t="n">
        <v>50000</v>
      </c>
      <c r="FA16" s="29"/>
      <c r="FB16" s="29"/>
      <c r="FC16" s="29"/>
      <c r="FD16" s="29"/>
      <c r="FE16" s="29"/>
      <c r="FF16" s="29" t="n">
        <v>50000</v>
      </c>
      <c r="FG16" s="29"/>
      <c r="FH16" s="29"/>
      <c r="FI16" s="29" t="n">
        <v>56000</v>
      </c>
      <c r="FJ16" s="29"/>
      <c r="FK16" s="29"/>
      <c r="FL16" s="29"/>
      <c r="FM16" s="29"/>
      <c r="FN16" s="29"/>
      <c r="FO16" s="29"/>
      <c r="FP16" s="29" t="n">
        <v>58000</v>
      </c>
      <c r="FQ16" s="29"/>
      <c r="FR16" s="29"/>
      <c r="FS16" s="29"/>
      <c r="FT16" s="29" t="n">
        <f aca="false">SUM(N16:FS16)</f>
        <v>214000</v>
      </c>
      <c r="FU16" s="30" t="n">
        <f aca="false">SUM(L16-FT16)</f>
        <v>102800</v>
      </c>
      <c r="FV16" s="31" t="n">
        <f aca="false">SUM( H16/5)</f>
        <v>16.2121212121212</v>
      </c>
      <c r="FW16" s="31" t="n">
        <f aca="false">SUM( I16/5)</f>
        <v>7.78787878787879</v>
      </c>
      <c r="FX16" s="32" t="n">
        <f aca="false">SUM(FV16/4)</f>
        <v>4.0530303030303</v>
      </c>
      <c r="FY16" s="32" t="n">
        <f aca="false">SUM(FW16/4)</f>
        <v>1.9469696969697</v>
      </c>
    </row>
    <row r="17" customFormat="false" ht="43.5" hidden="false" customHeight="true" outlineLevel="0" collapsed="false">
      <c r="A17" s="20" t="n">
        <v>3147</v>
      </c>
      <c r="B17" s="21" t="s">
        <v>212</v>
      </c>
      <c r="C17" s="21" t="s">
        <v>213</v>
      </c>
      <c r="D17" s="22" t="n">
        <v>27252034574</v>
      </c>
      <c r="E17" s="23" t="n">
        <v>45757</v>
      </c>
      <c r="F17" s="23" t="n">
        <f aca="false">WORKDAY(E17,G17)</f>
        <v>46009</v>
      </c>
      <c r="G17" s="24" t="n">
        <v>180</v>
      </c>
      <c r="H17" s="25" t="n">
        <f aca="false">(FT17* 5)/M17</f>
        <v>134.802631578947</v>
      </c>
      <c r="I17" s="25" t="n">
        <f aca="false">G17-H17</f>
        <v>45.1973684210527</v>
      </c>
      <c r="J17" s="46" t="s">
        <v>214</v>
      </c>
      <c r="K17" s="27" t="n">
        <v>300000</v>
      </c>
      <c r="L17" s="27" t="n">
        <v>912000</v>
      </c>
      <c r="M17" s="47" t="n">
        <f aca="false">(L17/G17)*5</f>
        <v>25333.3333333333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29"/>
      <c r="DT17" s="29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29"/>
      <c r="EK17" s="29" t="s">
        <v>184</v>
      </c>
      <c r="EL17" s="29" t="s">
        <v>184</v>
      </c>
      <c r="EM17" s="29"/>
      <c r="EN17" s="29"/>
      <c r="EO17" s="29" t="n">
        <v>57000</v>
      </c>
      <c r="EP17" s="29"/>
      <c r="EQ17" s="29" t="n">
        <v>58000</v>
      </c>
      <c r="ER17" s="29"/>
      <c r="ES17" s="29"/>
      <c r="ET17" s="29" t="n">
        <v>51000</v>
      </c>
      <c r="EU17" s="29" t="n">
        <v>57000</v>
      </c>
      <c r="EV17" s="29"/>
      <c r="EW17" s="29"/>
      <c r="EX17" s="29"/>
      <c r="EY17" s="29" t="n">
        <v>57000</v>
      </c>
      <c r="EZ17" s="29"/>
      <c r="FA17" s="29"/>
      <c r="FB17" s="29" t="n">
        <v>58000</v>
      </c>
      <c r="FC17" s="29"/>
      <c r="FD17" s="29" t="n">
        <v>57000</v>
      </c>
      <c r="FE17" s="29"/>
      <c r="FF17" s="29" t="n">
        <v>57000</v>
      </c>
      <c r="FG17" s="29"/>
      <c r="FH17" s="29" t="n">
        <v>58000</v>
      </c>
      <c r="FI17" s="29"/>
      <c r="FJ17" s="29"/>
      <c r="FK17" s="29" t="n">
        <v>57000</v>
      </c>
      <c r="FL17" s="29"/>
      <c r="FM17" s="29"/>
      <c r="FN17" s="29"/>
      <c r="FO17" s="29" t="n">
        <v>58000</v>
      </c>
      <c r="FP17" s="29"/>
      <c r="FQ17" s="29" t="n">
        <v>58000</v>
      </c>
      <c r="FR17" s="29"/>
      <c r="FS17" s="29"/>
      <c r="FT17" s="29" t="n">
        <f aca="false">SUM(N17:FS17)</f>
        <v>683000</v>
      </c>
      <c r="FU17" s="30" t="n">
        <f aca="false">SUM(L17-FT17)</f>
        <v>229000</v>
      </c>
      <c r="FV17" s="31" t="n">
        <f aca="false">SUM( H17/5)</f>
        <v>26.9605263157895</v>
      </c>
      <c r="FW17" s="31" t="n">
        <f aca="false">SUM( I17/5)</f>
        <v>9.03947368421053</v>
      </c>
      <c r="FX17" s="32" t="n">
        <f aca="false">SUM(FV17/4)</f>
        <v>6.74013157894737</v>
      </c>
      <c r="FY17" s="32" t="n">
        <f aca="false">SUM(FW17/4)</f>
        <v>2.25986842105263</v>
      </c>
    </row>
    <row r="18" customFormat="false" ht="43.5" hidden="false" customHeight="true" outlineLevel="0" collapsed="false">
      <c r="A18" s="20" t="n">
        <v>3279</v>
      </c>
      <c r="B18" s="21" t="s">
        <v>212</v>
      </c>
      <c r="C18" s="21" t="s">
        <v>213</v>
      </c>
      <c r="D18" s="22" t="n">
        <v>27252034574</v>
      </c>
      <c r="E18" s="23" t="n">
        <v>45846</v>
      </c>
      <c r="F18" s="23" t="n">
        <f aca="false">WORKDAY(E18,G18)</f>
        <v>45874</v>
      </c>
      <c r="G18" s="24" t="n">
        <v>20</v>
      </c>
      <c r="H18" s="25" t="n">
        <f aca="false">(FT18* 5)/M18</f>
        <v>15.0222222222222</v>
      </c>
      <c r="I18" s="25" t="n">
        <f aca="false">G18-H18</f>
        <v>4.97777777777778</v>
      </c>
      <c r="J18" s="34" t="s">
        <v>215</v>
      </c>
      <c r="K18" s="33" t="n">
        <v>150000</v>
      </c>
      <c r="L18" s="27" t="n">
        <v>225000</v>
      </c>
      <c r="M18" s="28" t="n">
        <f aca="false">(L18/G18)*5</f>
        <v>56250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  <c r="DI18" s="29"/>
      <c r="DJ18" s="29"/>
      <c r="DK18" s="29"/>
      <c r="DL18" s="29"/>
      <c r="DM18" s="29"/>
      <c r="DN18" s="29"/>
      <c r="DO18" s="29"/>
      <c r="DP18" s="29"/>
      <c r="DQ18" s="29"/>
      <c r="DR18" s="29"/>
      <c r="DS18" s="29"/>
      <c r="DT18" s="29"/>
      <c r="DU18" s="29"/>
      <c r="DV18" s="29"/>
      <c r="DW18" s="29"/>
      <c r="DX18" s="29"/>
      <c r="DY18" s="29"/>
      <c r="DZ18" s="29"/>
      <c r="EA18" s="29"/>
      <c r="EB18" s="29"/>
      <c r="EC18" s="29"/>
      <c r="ED18" s="29"/>
      <c r="EE18" s="29"/>
      <c r="EF18" s="29"/>
      <c r="EG18" s="29"/>
      <c r="EH18" s="29"/>
      <c r="EI18" s="29"/>
      <c r="EJ18" s="29"/>
      <c r="EK18" s="29" t="s">
        <v>184</v>
      </c>
      <c r="EL18" s="29"/>
      <c r="EM18" s="29" t="s">
        <v>184</v>
      </c>
      <c r="EN18" s="29" t="s">
        <v>184</v>
      </c>
      <c r="EO18" s="29"/>
      <c r="EP18" s="29"/>
      <c r="EQ18" s="29"/>
      <c r="ER18" s="29"/>
      <c r="ES18" s="29" t="s">
        <v>184</v>
      </c>
      <c r="ET18" s="29"/>
      <c r="EU18" s="29"/>
      <c r="EV18" s="29" t="s">
        <v>184</v>
      </c>
      <c r="EW18" s="29"/>
      <c r="EX18" s="29"/>
      <c r="EY18" s="29" t="n">
        <v>52000</v>
      </c>
      <c r="EZ18" s="29"/>
      <c r="FA18" s="29"/>
      <c r="FB18" s="29"/>
      <c r="FC18" s="29"/>
      <c r="FD18" s="29"/>
      <c r="FE18" s="29"/>
      <c r="FF18" s="29"/>
      <c r="FG18" s="29"/>
      <c r="FH18" s="29"/>
      <c r="FI18" s="29" t="n">
        <v>25000</v>
      </c>
      <c r="FJ18" s="29"/>
      <c r="FK18" s="29"/>
      <c r="FL18" s="29" t="n">
        <v>22000</v>
      </c>
      <c r="FM18" s="29" t="n">
        <v>20000</v>
      </c>
      <c r="FN18" s="29"/>
      <c r="FO18" s="29"/>
      <c r="FP18" s="29"/>
      <c r="FQ18" s="29" t="n">
        <v>50000</v>
      </c>
      <c r="FR18" s="29"/>
      <c r="FS18" s="29"/>
      <c r="FT18" s="29" t="n">
        <f aca="false">SUM(N18:FS18)</f>
        <v>169000</v>
      </c>
      <c r="FU18" s="30" t="n">
        <f aca="false">SUM(L18-FT18)</f>
        <v>56000</v>
      </c>
      <c r="FV18" s="31" t="n">
        <f aca="false">SUM( H18/5)</f>
        <v>3.00444444444444</v>
      </c>
      <c r="FW18" s="31" t="n">
        <f aca="false">SUM( I18/5)</f>
        <v>0.995555555555556</v>
      </c>
      <c r="FX18" s="32" t="n">
        <f aca="false">SUM(FV18/4)</f>
        <v>0.751111111111111</v>
      </c>
      <c r="FY18" s="32" t="n">
        <f aca="false">SUM(FW18/4)</f>
        <v>0.248888888888889</v>
      </c>
    </row>
    <row r="19" customFormat="false" ht="43.5" hidden="false" customHeight="true" outlineLevel="0" collapsed="false">
      <c r="A19" s="20" t="n">
        <v>2991</v>
      </c>
      <c r="B19" s="21" t="s">
        <v>216</v>
      </c>
      <c r="C19" s="21" t="s">
        <v>217</v>
      </c>
      <c r="D19" s="22" t="s">
        <v>218</v>
      </c>
      <c r="E19" s="23" t="n">
        <v>45664</v>
      </c>
      <c r="F19" s="23" t="n">
        <f aca="false">WORKDAY(E19,G19)</f>
        <v>45944</v>
      </c>
      <c r="G19" s="24" t="n">
        <v>200</v>
      </c>
      <c r="H19" s="25" t="n">
        <f aca="false">(FT19* 5)/M19</f>
        <v>160.029761904762</v>
      </c>
      <c r="I19" s="25" t="n">
        <f aca="false">G19-H19</f>
        <v>39.9702380952381</v>
      </c>
      <c r="J19" s="26" t="s">
        <v>219</v>
      </c>
      <c r="K19" s="27" t="n">
        <v>400000</v>
      </c>
      <c r="L19" s="27" t="n">
        <v>1344000</v>
      </c>
      <c r="M19" s="28" t="n">
        <f aca="false">(L19/G19)*5</f>
        <v>33600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  <c r="DK19" s="29"/>
      <c r="DL19" s="29"/>
      <c r="DM19" s="29"/>
      <c r="DN19" s="29"/>
      <c r="DO19" s="29"/>
      <c r="DP19" s="29"/>
      <c r="DQ19" s="29"/>
      <c r="DR19" s="29"/>
      <c r="DS19" s="29"/>
      <c r="DT19" s="29"/>
      <c r="DU19" s="29"/>
      <c r="DV19" s="29"/>
      <c r="DW19" s="29"/>
      <c r="DX19" s="29"/>
      <c r="DY19" s="29"/>
      <c r="DZ19" s="29"/>
      <c r="EA19" s="29"/>
      <c r="EB19" s="29"/>
      <c r="EC19" s="29" t="n">
        <v>134400</v>
      </c>
      <c r="ED19" s="29"/>
      <c r="EE19" s="29"/>
      <c r="EF19" s="29"/>
      <c r="EG19" s="29" t="n">
        <v>134400</v>
      </c>
      <c r="EH19" s="29"/>
      <c r="EI19" s="29"/>
      <c r="EJ19" s="29"/>
      <c r="EK19" s="29" t="n">
        <v>134400</v>
      </c>
      <c r="EL19" s="29"/>
      <c r="EM19" s="29"/>
      <c r="EN19" s="29"/>
      <c r="EO19" s="29"/>
      <c r="EP19" s="29" t="n">
        <v>134400</v>
      </c>
      <c r="EQ19" s="29"/>
      <c r="ER19" s="29"/>
      <c r="ES19" s="29"/>
      <c r="ET19" s="29"/>
      <c r="EU19" s="29"/>
      <c r="EV19" s="29"/>
      <c r="EW19" s="29" t="n">
        <v>134550</v>
      </c>
      <c r="EX19" s="29"/>
      <c r="EY19" s="29" t="n">
        <v>50</v>
      </c>
      <c r="EZ19" s="29"/>
      <c r="FA19" s="29"/>
      <c r="FB19" s="29" t="n">
        <v>134400</v>
      </c>
      <c r="FC19" s="29"/>
      <c r="FD19" s="29"/>
      <c r="FE19" s="29"/>
      <c r="FF19" s="29"/>
      <c r="FG19" s="29"/>
      <c r="FH19" s="29" t="n">
        <v>134400</v>
      </c>
      <c r="FI19" s="29"/>
      <c r="FJ19" s="29"/>
      <c r="FK19" s="29"/>
      <c r="FL19" s="29"/>
      <c r="FM19" s="29"/>
      <c r="FN19" s="29"/>
      <c r="FO19" s="29" t="n">
        <v>134400</v>
      </c>
      <c r="FP19" s="29"/>
      <c r="FQ19" s="29"/>
      <c r="FR19" s="29"/>
      <c r="FS19" s="29"/>
      <c r="FT19" s="29" t="n">
        <f aca="false">SUM(N19:FS19)</f>
        <v>1075400</v>
      </c>
      <c r="FU19" s="30" t="n">
        <f aca="false">SUM(L19-FT19)</f>
        <v>268600</v>
      </c>
      <c r="FV19" s="31" t="n">
        <f aca="false">SUM( H19/5)</f>
        <v>32.0059523809524</v>
      </c>
      <c r="FW19" s="31" t="n">
        <f aca="false">SUM( I19/5)</f>
        <v>7.99404761904762</v>
      </c>
      <c r="FX19" s="32" t="n">
        <f aca="false">SUM(FV19/4)</f>
        <v>8.0014880952381</v>
      </c>
      <c r="FY19" s="32" t="n">
        <f aca="false">SUM(FW19/4)</f>
        <v>1.99851190476191</v>
      </c>
    </row>
    <row r="20" customFormat="false" ht="43.5" hidden="false" customHeight="true" outlineLevel="0" collapsed="false">
      <c r="A20" s="20" t="n">
        <v>3139</v>
      </c>
      <c r="B20" s="21" t="s">
        <v>216</v>
      </c>
      <c r="C20" s="21" t="s">
        <v>217</v>
      </c>
      <c r="D20" s="22" t="s">
        <v>218</v>
      </c>
      <c r="E20" s="23" t="n">
        <v>45750</v>
      </c>
      <c r="F20" s="23" t="n">
        <f aca="false">WORKDAY(E20,G20)</f>
        <v>45974</v>
      </c>
      <c r="G20" s="24" t="n">
        <v>160</v>
      </c>
      <c r="H20" s="25" t="n">
        <f aca="false">(FT20* 5)/M20</f>
        <v>91.6711111111111</v>
      </c>
      <c r="I20" s="25" t="n">
        <f aca="false">G20-H20</f>
        <v>68.3288888888889</v>
      </c>
      <c r="J20" s="26" t="s">
        <v>220</v>
      </c>
      <c r="K20" s="27" t="n">
        <v>300000</v>
      </c>
      <c r="L20" s="27" t="n">
        <v>900000</v>
      </c>
      <c r="M20" s="28" t="n">
        <f aca="false">(L20/G20)*5</f>
        <v>28125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P20" s="29"/>
      <c r="DQ20" s="29"/>
      <c r="DR20" s="29"/>
      <c r="DS20" s="29"/>
      <c r="DT20" s="29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 t="s">
        <v>184</v>
      </c>
      <c r="EJ20" s="29"/>
      <c r="EK20" s="29" t="s">
        <v>184</v>
      </c>
      <c r="EL20" s="29"/>
      <c r="EM20" s="29"/>
      <c r="EN20" s="29"/>
      <c r="EO20" s="29"/>
      <c r="EP20" s="29" t="n">
        <v>112500</v>
      </c>
      <c r="EQ20" s="29"/>
      <c r="ER20" s="29"/>
      <c r="ES20" s="29"/>
      <c r="ET20" s="29"/>
      <c r="EU20" s="29"/>
      <c r="EV20" s="29"/>
      <c r="EW20" s="29" t="n">
        <v>112500</v>
      </c>
      <c r="EX20" s="29"/>
      <c r="EY20" s="29"/>
      <c r="EZ20" s="29"/>
      <c r="FA20" s="29"/>
      <c r="FB20" s="29" t="n">
        <v>112500</v>
      </c>
      <c r="FC20" s="29"/>
      <c r="FD20" s="29"/>
      <c r="FE20" s="29"/>
      <c r="FF20" s="29"/>
      <c r="FG20" s="29"/>
      <c r="FH20" s="29" t="n">
        <v>65650</v>
      </c>
      <c r="FI20" s="29"/>
      <c r="FJ20" s="29"/>
      <c r="FK20" s="29"/>
      <c r="FL20" s="29"/>
      <c r="FM20" s="29"/>
      <c r="FN20" s="29"/>
      <c r="FO20" s="29" t="n">
        <v>112500</v>
      </c>
      <c r="FP20" s="29"/>
      <c r="FQ20" s="29"/>
      <c r="FR20" s="29"/>
      <c r="FS20" s="29"/>
      <c r="FT20" s="29" t="n">
        <f aca="false">SUM(N20:FS20)</f>
        <v>515650</v>
      </c>
      <c r="FU20" s="30" t="n">
        <f aca="false">SUM(L20-FT20)</f>
        <v>384350</v>
      </c>
      <c r="FV20" s="31" t="n">
        <f aca="false">SUM( H20/5)</f>
        <v>18.3342222222222</v>
      </c>
      <c r="FW20" s="31" t="n">
        <f aca="false">SUM( I20/5)</f>
        <v>13.6657777777778</v>
      </c>
      <c r="FX20" s="32" t="n">
        <f aca="false">SUM(FV20/4)</f>
        <v>4.58355555555556</v>
      </c>
      <c r="FY20" s="32" t="n">
        <f aca="false">SUM(FW20/4)</f>
        <v>3.41644444444444</v>
      </c>
    </row>
    <row r="21" customFormat="false" ht="43.5" hidden="false" customHeight="true" outlineLevel="0" collapsed="false">
      <c r="A21" s="20" t="n">
        <v>3341</v>
      </c>
      <c r="B21" s="21" t="s">
        <v>216</v>
      </c>
      <c r="C21" s="21" t="s">
        <v>217</v>
      </c>
      <c r="D21" s="22" t="s">
        <v>218</v>
      </c>
      <c r="E21" s="23" t="n">
        <v>45878</v>
      </c>
      <c r="F21" s="23" t="n">
        <f aca="false">WORKDAY(E21,G21)</f>
        <v>46157</v>
      </c>
      <c r="G21" s="24" t="n">
        <v>200</v>
      </c>
      <c r="H21" s="25" t="n">
        <f aca="false">(FT21* 5)/M21</f>
        <v>3.40384615384615</v>
      </c>
      <c r="I21" s="25" t="n">
        <f aca="false">G21-H21</f>
        <v>196.596153846154</v>
      </c>
      <c r="J21" s="26" t="s">
        <v>221</v>
      </c>
      <c r="K21" s="27" t="n">
        <v>1000000</v>
      </c>
      <c r="L21" s="27" t="n">
        <v>3120000</v>
      </c>
      <c r="M21" s="28" t="n">
        <f aca="false">(L21/G21)*5</f>
        <v>78000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  <c r="DJ21" s="29"/>
      <c r="DK21" s="29"/>
      <c r="DL21" s="29"/>
      <c r="DM21" s="29"/>
      <c r="DN21" s="29"/>
      <c r="DO21" s="29"/>
      <c r="DP21" s="29"/>
      <c r="DQ21" s="29"/>
      <c r="DR21" s="29"/>
      <c r="DS21" s="29"/>
      <c r="DT21" s="29"/>
      <c r="DU21" s="29"/>
      <c r="DV21" s="29"/>
      <c r="DW21" s="29"/>
      <c r="DX21" s="29"/>
      <c r="DY21" s="29"/>
      <c r="DZ21" s="29"/>
      <c r="EA21" s="29"/>
      <c r="EB21" s="29"/>
      <c r="EC21" s="29"/>
      <c r="ED21" s="29"/>
      <c r="EE21" s="29"/>
      <c r="EF21" s="29"/>
      <c r="EG21" s="29"/>
      <c r="EH21" s="29"/>
      <c r="EI21" s="29"/>
      <c r="EJ21" s="29"/>
      <c r="EK21" s="29" t="s">
        <v>184</v>
      </c>
      <c r="EL21" s="29"/>
      <c r="EM21" s="29" t="s">
        <v>184</v>
      </c>
      <c r="EN21" s="29" t="s">
        <v>184</v>
      </c>
      <c r="EO21" s="29"/>
      <c r="EP21" s="29"/>
      <c r="EQ21" s="29"/>
      <c r="ER21" s="29"/>
      <c r="ES21" s="29" t="s">
        <v>184</v>
      </c>
      <c r="ET21" s="29"/>
      <c r="EU21" s="29"/>
      <c r="EV21" s="29" t="s">
        <v>184</v>
      </c>
      <c r="EW21" s="29"/>
      <c r="EX21" s="29"/>
      <c r="EY21" s="29"/>
      <c r="EZ21" s="29"/>
      <c r="FA21" s="29"/>
      <c r="FB21" s="29"/>
      <c r="FC21" s="29"/>
      <c r="FD21" s="29"/>
      <c r="FE21" s="29"/>
      <c r="FF21" s="29"/>
      <c r="FG21" s="29"/>
      <c r="FH21" s="29"/>
      <c r="FI21" s="29"/>
      <c r="FJ21" s="29"/>
      <c r="FK21" s="29"/>
      <c r="FL21" s="29"/>
      <c r="FM21" s="29"/>
      <c r="FN21" s="29"/>
      <c r="FO21" s="29" t="n">
        <v>53100</v>
      </c>
      <c r="FP21" s="29"/>
      <c r="FQ21" s="29"/>
      <c r="FR21" s="29"/>
      <c r="FS21" s="29"/>
      <c r="FT21" s="29" t="n">
        <f aca="false">SUM(N21:FS21)</f>
        <v>53100</v>
      </c>
      <c r="FU21" s="30" t="n">
        <f aca="false">SUM(L21-FT21)</f>
        <v>3066900</v>
      </c>
      <c r="FV21" s="31" t="n">
        <f aca="false">SUM( H21/5)</f>
        <v>0.680769230769231</v>
      </c>
      <c r="FW21" s="31" t="n">
        <f aca="false">SUM( I21/5)</f>
        <v>39.3192307692308</v>
      </c>
      <c r="FX21" s="32" t="n">
        <f aca="false">SUM(FV21/4)</f>
        <v>0.170192307692308</v>
      </c>
      <c r="FY21" s="32" t="n">
        <f aca="false">SUM(FW21/4)</f>
        <v>9.82980769230769</v>
      </c>
    </row>
    <row r="22" customFormat="false" ht="43.5" hidden="false" customHeight="true" outlineLevel="0" collapsed="false">
      <c r="A22" s="20" t="n">
        <v>3347</v>
      </c>
      <c r="B22" s="21" t="s">
        <v>222</v>
      </c>
      <c r="C22" s="21" t="s">
        <v>223</v>
      </c>
      <c r="D22" s="22"/>
      <c r="E22" s="23" t="n">
        <v>45883</v>
      </c>
      <c r="F22" s="23" t="n">
        <f aca="false">WORKDAY(E22,G22)</f>
        <v>46051</v>
      </c>
      <c r="G22" s="24" t="n">
        <v>120</v>
      </c>
      <c r="H22" s="25" t="n">
        <f aca="false">(FT22* 5)/M22</f>
        <v>60</v>
      </c>
      <c r="I22" s="25" t="n">
        <f aca="false">G22-H22</f>
        <v>60</v>
      </c>
      <c r="J22" s="26" t="s">
        <v>224</v>
      </c>
      <c r="K22" s="30" t="n">
        <v>400000</v>
      </c>
      <c r="L22" s="30" t="n">
        <v>1056000</v>
      </c>
      <c r="M22" s="28" t="n">
        <f aca="false">(L22/G22)*5</f>
        <v>44000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 t="s">
        <v>184</v>
      </c>
      <c r="EL22" s="29"/>
      <c r="EM22" s="29" t="s">
        <v>184</v>
      </c>
      <c r="EN22" s="29" t="s">
        <v>184</v>
      </c>
      <c r="EO22" s="29"/>
      <c r="EP22" s="29"/>
      <c r="EQ22" s="29"/>
      <c r="ER22" s="29"/>
      <c r="ES22" s="29" t="s">
        <v>184</v>
      </c>
      <c r="ET22" s="29"/>
      <c r="EU22" s="29"/>
      <c r="EV22" s="29" t="s">
        <v>184</v>
      </c>
      <c r="EW22" s="29"/>
      <c r="EX22" s="29"/>
      <c r="EY22" s="29"/>
      <c r="EZ22" s="29"/>
      <c r="FA22" s="29"/>
      <c r="FB22" s="29"/>
      <c r="FC22" s="29"/>
      <c r="FD22" s="29"/>
      <c r="FE22" s="29"/>
      <c r="FF22" s="29" t="n">
        <v>176000</v>
      </c>
      <c r="FG22" s="29"/>
      <c r="FH22" s="29"/>
      <c r="FI22" s="29"/>
      <c r="FJ22" s="29" t="n">
        <v>176000</v>
      </c>
      <c r="FK22" s="29"/>
      <c r="FL22" s="29"/>
      <c r="FM22" s="29" t="s">
        <v>184</v>
      </c>
      <c r="FN22" s="29"/>
      <c r="FO22" s="29" t="n">
        <v>176000</v>
      </c>
      <c r="FP22" s="29"/>
      <c r="FQ22" s="29"/>
      <c r="FR22" s="29"/>
      <c r="FS22" s="29"/>
      <c r="FT22" s="29" t="n">
        <f aca="false">SUM(N22:FS22)</f>
        <v>528000</v>
      </c>
      <c r="FU22" s="30" t="n">
        <f aca="false">SUM(L22-FT22)</f>
        <v>528000</v>
      </c>
      <c r="FV22" s="31" t="n">
        <f aca="false">SUM( H22/5)</f>
        <v>12</v>
      </c>
      <c r="FW22" s="31" t="n">
        <f aca="false">SUM( I22/5)</f>
        <v>12</v>
      </c>
      <c r="FX22" s="32" t="n">
        <f aca="false">SUM(FV22/4)</f>
        <v>3</v>
      </c>
      <c r="FY22" s="32" t="n">
        <f aca="false">SUM(FW22/4)</f>
        <v>3</v>
      </c>
    </row>
    <row r="23" customFormat="false" ht="43.5" hidden="false" customHeight="true" outlineLevel="0" collapsed="false">
      <c r="A23" s="20" t="n">
        <v>3391</v>
      </c>
      <c r="B23" s="21" t="s">
        <v>222</v>
      </c>
      <c r="C23" s="21" t="s">
        <v>223</v>
      </c>
      <c r="D23" s="22"/>
      <c r="E23" s="23" t="n">
        <v>45912</v>
      </c>
      <c r="F23" s="23" t="n">
        <f aca="false">WORKDAY(E23,G23)</f>
        <v>46014</v>
      </c>
      <c r="G23" s="24" t="n">
        <v>72</v>
      </c>
      <c r="H23" s="25" t="n">
        <f aca="false">(FT23* 5)/M23</f>
        <v>55.0574712643678</v>
      </c>
      <c r="I23" s="25" t="n">
        <f aca="false">G23-H23</f>
        <v>16.9425287356322</v>
      </c>
      <c r="J23" s="34" t="s">
        <v>225</v>
      </c>
      <c r="K23" s="30" t="n">
        <v>290000</v>
      </c>
      <c r="L23" s="30" t="n">
        <v>626400</v>
      </c>
      <c r="M23" s="28" t="n">
        <f aca="false">(L23/G23)*5</f>
        <v>43500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 t="s">
        <v>184</v>
      </c>
      <c r="EL23" s="29"/>
      <c r="EM23" s="29" t="s">
        <v>184</v>
      </c>
      <c r="EN23" s="29" t="s">
        <v>184</v>
      </c>
      <c r="EO23" s="29"/>
      <c r="EP23" s="29"/>
      <c r="EQ23" s="29"/>
      <c r="ER23" s="29"/>
      <c r="ES23" s="29" t="s">
        <v>184</v>
      </c>
      <c r="ET23" s="29"/>
      <c r="EU23" s="29"/>
      <c r="EV23" s="29" t="s">
        <v>184</v>
      </c>
      <c r="EW23" s="29"/>
      <c r="EX23" s="29"/>
      <c r="EY23" s="29"/>
      <c r="EZ23" s="29"/>
      <c r="FA23" s="29"/>
      <c r="FB23" s="29"/>
      <c r="FC23" s="29" t="s">
        <v>184</v>
      </c>
      <c r="FD23" s="29"/>
      <c r="FE23" s="29"/>
      <c r="FF23" s="29"/>
      <c r="FG23" s="29"/>
      <c r="FH23" s="29" t="n">
        <v>43500</v>
      </c>
      <c r="FI23" s="29" t="n">
        <v>43500</v>
      </c>
      <c r="FJ23" s="29" t="n">
        <v>43500</v>
      </c>
      <c r="FK23" s="29" t="n">
        <v>43500</v>
      </c>
      <c r="FL23" s="29" t="n">
        <v>43500</v>
      </c>
      <c r="FM23" s="29" t="n">
        <v>44000</v>
      </c>
      <c r="FN23" s="29" t="n">
        <v>43500</v>
      </c>
      <c r="FO23" s="29" t="n">
        <v>43500</v>
      </c>
      <c r="FP23" s="29" t="n">
        <v>43500</v>
      </c>
      <c r="FQ23" s="29" t="n">
        <v>43500</v>
      </c>
      <c r="FR23" s="29" t="n">
        <v>43500</v>
      </c>
      <c r="FS23" s="29"/>
      <c r="FT23" s="29" t="n">
        <f aca="false">SUM(N23:FS23)</f>
        <v>479000</v>
      </c>
      <c r="FU23" s="30" t="n">
        <f aca="false">SUM(L23-FT23)</f>
        <v>147400</v>
      </c>
      <c r="FV23" s="31" t="n">
        <f aca="false">SUM( H23/5)</f>
        <v>11.0114942528736</v>
      </c>
      <c r="FW23" s="31" t="n">
        <f aca="false">SUM( I23/5)</f>
        <v>3.38850574712644</v>
      </c>
      <c r="FX23" s="32" t="n">
        <f aca="false">SUM(FV23/4)</f>
        <v>2.75287356321839</v>
      </c>
      <c r="FY23" s="32" t="n">
        <f aca="false">SUM(FW23/4)</f>
        <v>0.847126436781609</v>
      </c>
    </row>
    <row r="24" customFormat="false" ht="43.5" hidden="false" customHeight="true" outlineLevel="0" collapsed="false">
      <c r="A24" s="20" t="n">
        <v>3404</v>
      </c>
      <c r="B24" s="21" t="s">
        <v>226</v>
      </c>
      <c r="C24" s="21" t="s">
        <v>227</v>
      </c>
      <c r="D24" s="22"/>
      <c r="E24" s="23" t="n">
        <v>45919</v>
      </c>
      <c r="F24" s="23" t="n">
        <f aca="false">WORKDAY(E24,G24)</f>
        <v>46073</v>
      </c>
      <c r="G24" s="24" t="n">
        <v>110</v>
      </c>
      <c r="H24" s="25" t="n">
        <f aca="false">(FT24* 5)/M24</f>
        <v>29.6180555555556</v>
      </c>
      <c r="I24" s="25" t="n">
        <f aca="false">G24-H24</f>
        <v>80.3819444444444</v>
      </c>
      <c r="J24" s="34" t="s">
        <v>228</v>
      </c>
      <c r="K24" s="27" t="n">
        <v>120000</v>
      </c>
      <c r="L24" s="27" t="n">
        <v>316800</v>
      </c>
      <c r="M24" s="28" t="n">
        <f aca="false">(L24/G24)*5</f>
        <v>14400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29"/>
      <c r="CG24" s="29"/>
      <c r="CH24" s="29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  <c r="DI24" s="29"/>
      <c r="DJ24" s="29"/>
      <c r="DK24" s="29"/>
      <c r="DL24" s="29"/>
      <c r="DM24" s="29"/>
      <c r="DN24" s="29"/>
      <c r="DO24" s="29"/>
      <c r="DP24" s="29"/>
      <c r="DQ24" s="29"/>
      <c r="DR24" s="29"/>
      <c r="DS24" s="29"/>
      <c r="DT24" s="29"/>
      <c r="DU24" s="29"/>
      <c r="DV24" s="29"/>
      <c r="DW24" s="29"/>
      <c r="DX24" s="29"/>
      <c r="DY24" s="29"/>
      <c r="DZ24" s="29"/>
      <c r="EA24" s="29"/>
      <c r="EB24" s="29"/>
      <c r="EC24" s="29"/>
      <c r="ED24" s="29"/>
      <c r="EE24" s="29"/>
      <c r="EF24" s="29"/>
      <c r="EG24" s="29"/>
      <c r="EH24" s="29"/>
      <c r="EI24" s="29"/>
      <c r="EJ24" s="29"/>
      <c r="EK24" s="29" t="s">
        <v>184</v>
      </c>
      <c r="EL24" s="29"/>
      <c r="EM24" s="29" t="s">
        <v>184</v>
      </c>
      <c r="EN24" s="29" t="s">
        <v>184</v>
      </c>
      <c r="EO24" s="29"/>
      <c r="EP24" s="29"/>
      <c r="EQ24" s="29"/>
      <c r="ER24" s="29"/>
      <c r="ES24" s="29" t="s">
        <v>184</v>
      </c>
      <c r="ET24" s="29"/>
      <c r="EU24" s="29"/>
      <c r="EV24" s="29" t="s">
        <v>184</v>
      </c>
      <c r="EW24" s="29"/>
      <c r="EX24" s="29"/>
      <c r="EY24" s="29"/>
      <c r="EZ24" s="29"/>
      <c r="FA24" s="29"/>
      <c r="FB24" s="29"/>
      <c r="FC24" s="29" t="s">
        <v>184</v>
      </c>
      <c r="FD24" s="29"/>
      <c r="FE24" s="29"/>
      <c r="FF24" s="29"/>
      <c r="FG24" s="29"/>
      <c r="FH24" s="29"/>
      <c r="FI24" s="29"/>
      <c r="FJ24" s="29"/>
      <c r="FK24" s="29" t="n">
        <v>14400</v>
      </c>
      <c r="FL24" s="29"/>
      <c r="FM24" s="29" t="n">
        <v>14600</v>
      </c>
      <c r="FN24" s="29" t="n">
        <v>13700</v>
      </c>
      <c r="FO24" s="29" t="n">
        <v>15000</v>
      </c>
      <c r="FP24" s="29" t="n">
        <v>10000</v>
      </c>
      <c r="FQ24" s="29" t="n">
        <v>10100</v>
      </c>
      <c r="FR24" s="29" t="n">
        <v>7500</v>
      </c>
      <c r="FS24" s="29"/>
      <c r="FT24" s="29" t="n">
        <f aca="false">SUM(N24:FS24)</f>
        <v>85300</v>
      </c>
      <c r="FU24" s="30" t="n">
        <f aca="false">SUM(L24-FT24)</f>
        <v>231500</v>
      </c>
      <c r="FV24" s="31" t="n">
        <f aca="false">SUM( H24/5)</f>
        <v>5.92361111111111</v>
      </c>
      <c r="FW24" s="31" t="n">
        <f aca="false">SUM( I24/5)</f>
        <v>16.0763888888889</v>
      </c>
      <c r="FX24" s="32" t="n">
        <f aca="false">SUM(FV24/4)</f>
        <v>1.48090277777778</v>
      </c>
      <c r="FY24" s="32" t="n">
        <f aca="false">SUM(FW24/4)</f>
        <v>4.01909722222222</v>
      </c>
    </row>
    <row r="25" customFormat="false" ht="43.5" hidden="false" customHeight="true" outlineLevel="0" collapsed="false">
      <c r="A25" s="20" t="n">
        <v>3414</v>
      </c>
      <c r="B25" s="22" t="s">
        <v>229</v>
      </c>
      <c r="C25" s="22" t="s">
        <v>230</v>
      </c>
      <c r="D25" s="48"/>
      <c r="E25" s="23" t="n">
        <v>45923</v>
      </c>
      <c r="F25" s="23" t="n">
        <v>45581</v>
      </c>
      <c r="G25" s="49" t="n">
        <v>60.0010000166669</v>
      </c>
      <c r="H25" s="25" t="n">
        <f aca="false">(FT25* 5)/M25</f>
        <v>29.6879947999133</v>
      </c>
      <c r="I25" s="25" t="n">
        <f aca="false">G25-H25</f>
        <v>30.3130052167536</v>
      </c>
      <c r="J25" s="35" t="s">
        <v>231</v>
      </c>
      <c r="K25" s="27" t="n">
        <v>2000000</v>
      </c>
      <c r="L25" s="27" t="n">
        <v>3840000</v>
      </c>
      <c r="M25" s="28" t="n">
        <f aca="false">(L25/G25)*5</f>
        <v>319994.666666667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29"/>
      <c r="DT25" s="29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29"/>
      <c r="EK25" s="29" t="s">
        <v>184</v>
      </c>
      <c r="EL25" s="29"/>
      <c r="EM25" s="29" t="s">
        <v>184</v>
      </c>
      <c r="EN25" s="29" t="s">
        <v>184</v>
      </c>
      <c r="EO25" s="29"/>
      <c r="EP25" s="29"/>
      <c r="EQ25" s="29"/>
      <c r="ER25" s="29"/>
      <c r="ES25" s="29" t="s">
        <v>184</v>
      </c>
      <c r="ET25" s="29"/>
      <c r="EU25" s="29"/>
      <c r="EV25" s="29" t="s">
        <v>184</v>
      </c>
      <c r="EW25" s="29"/>
      <c r="EX25" s="29"/>
      <c r="EY25" s="29"/>
      <c r="EZ25" s="29"/>
      <c r="FA25" s="29"/>
      <c r="FB25" s="29"/>
      <c r="FC25" s="29" t="s">
        <v>184</v>
      </c>
      <c r="FD25" s="29"/>
      <c r="FE25" s="29"/>
      <c r="FF25" s="29"/>
      <c r="FG25" s="29"/>
      <c r="FH25" s="29"/>
      <c r="FI25" s="29"/>
      <c r="FJ25" s="29"/>
      <c r="FK25" s="29"/>
      <c r="FL25" s="29"/>
      <c r="FM25" s="29"/>
      <c r="FN25" s="29" t="n">
        <v>800000</v>
      </c>
      <c r="FO25" s="29" t="n">
        <v>400000</v>
      </c>
      <c r="FP25" s="29"/>
      <c r="FQ25" s="29"/>
      <c r="FR25" s="29" t="n">
        <v>700000</v>
      </c>
      <c r="FS25" s="29"/>
      <c r="FT25" s="29" t="n">
        <f aca="false">SUM(N25:FS25)</f>
        <v>1900000</v>
      </c>
      <c r="FU25" s="30" t="n">
        <f aca="false">SUM(L25-FT25)</f>
        <v>1940000</v>
      </c>
      <c r="FV25" s="31" t="n">
        <f aca="false">SUM( H25/5)</f>
        <v>5.93759895998267</v>
      </c>
      <c r="FW25" s="31" t="n">
        <f aca="false">SUM( I25/5)</f>
        <v>6.06260104335072</v>
      </c>
      <c r="FX25" s="32" t="n">
        <f aca="false">SUM(FV25/4)</f>
        <v>1.48439973999567</v>
      </c>
      <c r="FY25" s="32" t="n">
        <f aca="false">SUM(FW25/4)</f>
        <v>1.51565026083768</v>
      </c>
    </row>
    <row r="26" customFormat="false" ht="43.5" hidden="false" customHeight="true" outlineLevel="0" collapsed="false">
      <c r="A26" s="20" t="n">
        <v>3382</v>
      </c>
      <c r="B26" s="21" t="s">
        <v>232</v>
      </c>
      <c r="C26" s="21" t="s">
        <v>233</v>
      </c>
      <c r="D26" s="22"/>
      <c r="E26" s="23" t="n">
        <v>45908</v>
      </c>
      <c r="F26" s="23" t="n">
        <f aca="false">WORKDAY(E26,G26)</f>
        <v>46008</v>
      </c>
      <c r="G26" s="24" t="n">
        <v>72</v>
      </c>
      <c r="H26" s="25" t="n">
        <f aca="false">(FT26* 5)/M26</f>
        <v>35</v>
      </c>
      <c r="I26" s="25" t="n">
        <f aca="false">G26-H26</f>
        <v>37</v>
      </c>
      <c r="J26" s="34" t="s">
        <v>190</v>
      </c>
      <c r="K26" s="50" t="n">
        <v>200000</v>
      </c>
      <c r="L26" s="27" t="n">
        <v>432000</v>
      </c>
      <c r="M26" s="28" t="n">
        <f aca="false">(L26/G26)*5</f>
        <v>30000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29"/>
      <c r="DT26" s="29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 t="s">
        <v>184</v>
      </c>
      <c r="EL26" s="29"/>
      <c r="EM26" s="29" t="s">
        <v>184</v>
      </c>
      <c r="EN26" s="29" t="s">
        <v>184</v>
      </c>
      <c r="EO26" s="29"/>
      <c r="EP26" s="29"/>
      <c r="EQ26" s="29"/>
      <c r="ER26" s="29"/>
      <c r="ES26" s="29" t="s">
        <v>184</v>
      </c>
      <c r="ET26" s="29"/>
      <c r="EU26" s="29"/>
      <c r="EV26" s="29" t="s">
        <v>184</v>
      </c>
      <c r="EW26" s="29"/>
      <c r="EX26" s="29"/>
      <c r="EY26" s="29"/>
      <c r="EZ26" s="29"/>
      <c r="FA26" s="29"/>
      <c r="FB26" s="29"/>
      <c r="FC26" s="29" t="s">
        <v>184</v>
      </c>
      <c r="FD26" s="29"/>
      <c r="FE26" s="29"/>
      <c r="FF26" s="29"/>
      <c r="FG26" s="29"/>
      <c r="FH26" s="29" t="n">
        <v>30000</v>
      </c>
      <c r="FI26" s="29" t="n">
        <v>15000</v>
      </c>
      <c r="FJ26" s="29" t="n">
        <v>15000</v>
      </c>
      <c r="FK26" s="29"/>
      <c r="FL26" s="29"/>
      <c r="FM26" s="29" t="n">
        <v>30000</v>
      </c>
      <c r="FN26" s="29" t="n">
        <v>30000</v>
      </c>
      <c r="FO26" s="29" t="n">
        <v>30000</v>
      </c>
      <c r="FP26" s="29" t="n">
        <v>30000</v>
      </c>
      <c r="FQ26" s="29" t="n">
        <v>30000</v>
      </c>
      <c r="FR26" s="29"/>
      <c r="FS26" s="29"/>
      <c r="FT26" s="29" t="n">
        <f aca="false">SUM(N26:FS26)</f>
        <v>210000</v>
      </c>
      <c r="FU26" s="30" t="n">
        <f aca="false">SUM(L26-FT26)</f>
        <v>222000</v>
      </c>
      <c r="FV26" s="31" t="n">
        <f aca="false">SUM( H26/5)</f>
        <v>7</v>
      </c>
      <c r="FW26" s="31" t="n">
        <f aca="false">SUM( I26/5)</f>
        <v>7.4</v>
      </c>
      <c r="FX26" s="32" t="n">
        <f aca="false">SUM(FV26/4)</f>
        <v>1.75</v>
      </c>
      <c r="FY26" s="32" t="n">
        <f aca="false">SUM(FW26/4)</f>
        <v>1.85</v>
      </c>
    </row>
    <row r="27" customFormat="false" ht="43.5" hidden="false" customHeight="true" outlineLevel="0" collapsed="false">
      <c r="A27" s="20" t="n">
        <v>3452</v>
      </c>
      <c r="B27" s="21" t="s">
        <v>232</v>
      </c>
      <c r="C27" s="21" t="s">
        <v>233</v>
      </c>
      <c r="D27" s="22"/>
      <c r="E27" s="23" t="n">
        <v>45948</v>
      </c>
      <c r="F27" s="23" t="n">
        <f aca="false">WORKDAY(E27,G27)</f>
        <v>46049</v>
      </c>
      <c r="G27" s="24" t="n">
        <v>72</v>
      </c>
      <c r="H27" s="25" t="n">
        <f aca="false">(FT27* 5)/M27</f>
        <v>25</v>
      </c>
      <c r="I27" s="25" t="n">
        <f aca="false">G27-H27</f>
        <v>47</v>
      </c>
      <c r="J27" s="34" t="s">
        <v>190</v>
      </c>
      <c r="K27" s="50" t="n">
        <v>200000</v>
      </c>
      <c r="L27" s="27" t="n">
        <v>432000</v>
      </c>
      <c r="M27" s="28" t="n">
        <f aca="false">(L27/G27)*5</f>
        <v>30000</v>
      </c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 t="s">
        <v>184</v>
      </c>
      <c r="EL27" s="29"/>
      <c r="EM27" s="29" t="s">
        <v>184</v>
      </c>
      <c r="EN27" s="29" t="s">
        <v>184</v>
      </c>
      <c r="EO27" s="29"/>
      <c r="EP27" s="29"/>
      <c r="EQ27" s="29"/>
      <c r="ER27" s="29"/>
      <c r="ES27" s="29" t="s">
        <v>184</v>
      </c>
      <c r="ET27" s="29"/>
      <c r="EU27" s="29"/>
      <c r="EV27" s="29" t="s">
        <v>184</v>
      </c>
      <c r="EW27" s="29"/>
      <c r="EX27" s="29"/>
      <c r="EY27" s="29"/>
      <c r="EZ27" s="29"/>
      <c r="FA27" s="29"/>
      <c r="FB27" s="29"/>
      <c r="FC27" s="29" t="s">
        <v>184</v>
      </c>
      <c r="FD27" s="29"/>
      <c r="FE27" s="29"/>
      <c r="FF27" s="29"/>
      <c r="FG27" s="29"/>
      <c r="FH27" s="29"/>
      <c r="FI27" s="29"/>
      <c r="FJ27" s="29"/>
      <c r="FK27" s="29"/>
      <c r="FL27" s="29" t="s">
        <v>184</v>
      </c>
      <c r="FM27" s="29" t="n">
        <v>30000</v>
      </c>
      <c r="FN27" s="29" t="n">
        <v>30000</v>
      </c>
      <c r="FO27" s="29" t="n">
        <v>30000</v>
      </c>
      <c r="FP27" s="29" t="n">
        <v>30000</v>
      </c>
      <c r="FQ27" s="29" t="n">
        <v>30000</v>
      </c>
      <c r="FR27" s="29"/>
      <c r="FS27" s="29"/>
      <c r="FT27" s="29" t="n">
        <f aca="false">SUM(N27:FS27)</f>
        <v>150000</v>
      </c>
      <c r="FU27" s="30" t="n">
        <f aca="false">SUM(L27-FT27)</f>
        <v>282000</v>
      </c>
      <c r="FV27" s="31" t="n">
        <f aca="false">SUM( H27/5)</f>
        <v>5</v>
      </c>
      <c r="FW27" s="31" t="n">
        <f aca="false">SUM( I27/5)</f>
        <v>9.4</v>
      </c>
      <c r="FX27" s="32" t="n">
        <f aca="false">SUM(FV27/4)</f>
        <v>1.25</v>
      </c>
      <c r="FY27" s="32" t="n">
        <f aca="false">SUM(FW27/4)</f>
        <v>2.35</v>
      </c>
    </row>
    <row r="28" customFormat="false" ht="43.5" hidden="false" customHeight="true" outlineLevel="0" collapsed="false">
      <c r="A28" s="20" t="n">
        <v>3346</v>
      </c>
      <c r="B28" s="21" t="s">
        <v>234</v>
      </c>
      <c r="C28" s="21" t="s">
        <v>235</v>
      </c>
      <c r="D28" s="22" t="n">
        <v>24016318</v>
      </c>
      <c r="E28" s="23" t="n">
        <v>45883</v>
      </c>
      <c r="F28" s="23" t="n">
        <v>45671</v>
      </c>
      <c r="G28" s="24" t="n">
        <v>110</v>
      </c>
      <c r="H28" s="25" t="n">
        <f aca="false">(FT28* 5)/M28</f>
        <v>28.3854166666667</v>
      </c>
      <c r="I28" s="25" t="n">
        <f aca="false">G28-H28</f>
        <v>81.6145833333333</v>
      </c>
      <c r="J28" s="26" t="s">
        <v>236</v>
      </c>
      <c r="K28" s="30" t="n">
        <v>800000</v>
      </c>
      <c r="L28" s="30" t="n">
        <v>2112000</v>
      </c>
      <c r="M28" s="45" t="n">
        <f aca="false">(L28/G28)*5</f>
        <v>96000</v>
      </c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 t="s">
        <v>184</v>
      </c>
      <c r="EL28" s="29"/>
      <c r="EM28" s="29" t="s">
        <v>184</v>
      </c>
      <c r="EN28" s="29" t="s">
        <v>184</v>
      </c>
      <c r="EO28" s="29"/>
      <c r="EP28" s="29"/>
      <c r="EQ28" s="29"/>
      <c r="ER28" s="29"/>
      <c r="ES28" s="29" t="s">
        <v>184</v>
      </c>
      <c r="ET28" s="29"/>
      <c r="EU28" s="29"/>
      <c r="EV28" s="29" t="s">
        <v>184</v>
      </c>
      <c r="EW28" s="29"/>
      <c r="EX28" s="29"/>
      <c r="EY28" s="29"/>
      <c r="EZ28" s="29"/>
      <c r="FA28" s="29"/>
      <c r="FB28" s="29"/>
      <c r="FC28" s="29" t="s">
        <v>184</v>
      </c>
      <c r="FD28" s="29"/>
      <c r="FE28" s="29"/>
      <c r="FF28" s="29" t="n">
        <v>97000</v>
      </c>
      <c r="FG28" s="29"/>
      <c r="FH28" s="29" t="n">
        <v>97000</v>
      </c>
      <c r="FI28" s="29"/>
      <c r="FJ28" s="29"/>
      <c r="FK28" s="29" t="n">
        <v>97000</v>
      </c>
      <c r="FL28" s="29"/>
      <c r="FM28" s="29" t="n">
        <v>50000</v>
      </c>
      <c r="FN28" s="29" t="n">
        <v>47000</v>
      </c>
      <c r="FO28" s="29" t="n">
        <v>60000</v>
      </c>
      <c r="FP28" s="29"/>
      <c r="FQ28" s="29" t="n">
        <v>97000</v>
      </c>
      <c r="FR28" s="29"/>
      <c r="FS28" s="29"/>
      <c r="FT28" s="29" t="n">
        <f aca="false">SUM(N28:FS28)</f>
        <v>545000</v>
      </c>
      <c r="FU28" s="30" t="n">
        <f aca="false">SUM(L28-FT28)</f>
        <v>1567000</v>
      </c>
      <c r="FV28" s="31" t="n">
        <f aca="false">SUM( H28/5)</f>
        <v>5.67708333333333</v>
      </c>
      <c r="FW28" s="31" t="n">
        <f aca="false">SUM( I28/5)</f>
        <v>16.3229166666667</v>
      </c>
      <c r="FX28" s="32" t="n">
        <f aca="false">SUM(FV28/4)</f>
        <v>1.41927083333333</v>
      </c>
      <c r="FY28" s="32" t="n">
        <f aca="false">SUM(FW28/4)</f>
        <v>4.08072916666667</v>
      </c>
    </row>
    <row r="29" customFormat="false" ht="43.5" hidden="false" customHeight="true" outlineLevel="0" collapsed="false">
      <c r="A29" s="20" t="n">
        <v>3383</v>
      </c>
      <c r="B29" s="21" t="s">
        <v>237</v>
      </c>
      <c r="C29" s="21" t="s">
        <v>238</v>
      </c>
      <c r="D29" s="22"/>
      <c r="E29" s="23" t="n">
        <v>45909</v>
      </c>
      <c r="F29" s="23" t="n">
        <f aca="false">WORKDAY(E29,G29)</f>
        <v>46021</v>
      </c>
      <c r="G29" s="24" t="n">
        <v>80</v>
      </c>
      <c r="H29" s="25" t="n">
        <f aca="false">(FT29* 5)/M29</f>
        <v>40</v>
      </c>
      <c r="I29" s="25" t="n">
        <f aca="false">G29-H29</f>
        <v>40</v>
      </c>
      <c r="J29" s="51" t="s">
        <v>239</v>
      </c>
      <c r="K29" s="45" t="n">
        <v>200000</v>
      </c>
      <c r="L29" s="27" t="n">
        <v>432000</v>
      </c>
      <c r="M29" s="28" t="n">
        <f aca="false">(L29/G29)*5</f>
        <v>27000</v>
      </c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 t="s">
        <v>184</v>
      </c>
      <c r="EL29" s="29"/>
      <c r="EM29" s="29" t="s">
        <v>184</v>
      </c>
      <c r="EN29" s="29" t="s">
        <v>184</v>
      </c>
      <c r="EO29" s="29"/>
      <c r="EP29" s="29"/>
      <c r="EQ29" s="29"/>
      <c r="ER29" s="29"/>
      <c r="ES29" s="29" t="s">
        <v>184</v>
      </c>
      <c r="ET29" s="29"/>
      <c r="EU29" s="29"/>
      <c r="EV29" s="29" t="s">
        <v>184</v>
      </c>
      <c r="EW29" s="29"/>
      <c r="EX29" s="29"/>
      <c r="EY29" s="29"/>
      <c r="EZ29" s="29"/>
      <c r="FA29" s="29"/>
      <c r="FB29" s="29"/>
      <c r="FC29" s="29" t="s">
        <v>184</v>
      </c>
      <c r="FD29" s="29"/>
      <c r="FE29" s="29"/>
      <c r="FF29" s="29"/>
      <c r="FG29" s="29"/>
      <c r="FH29" s="29"/>
      <c r="FI29" s="29"/>
      <c r="FJ29" s="29"/>
      <c r="FK29" s="29" t="n">
        <v>108000</v>
      </c>
      <c r="FL29" s="29"/>
      <c r="FM29" s="29"/>
      <c r="FN29" s="29"/>
      <c r="FO29" s="29"/>
      <c r="FP29" s="29" t="n">
        <v>108000</v>
      </c>
      <c r="FQ29" s="29"/>
      <c r="FR29" s="29"/>
      <c r="FS29" s="29"/>
      <c r="FT29" s="29" t="n">
        <f aca="false">SUM(N29:FS29)</f>
        <v>216000</v>
      </c>
      <c r="FU29" s="30" t="n">
        <f aca="false">SUM(L29-FT29)</f>
        <v>216000</v>
      </c>
      <c r="FV29" s="31" t="n">
        <f aca="false">SUM( H29/5)</f>
        <v>8</v>
      </c>
      <c r="FW29" s="31" t="n">
        <f aca="false">SUM( I29/5)</f>
        <v>8</v>
      </c>
      <c r="FX29" s="32" t="n">
        <f aca="false">SUM(FV29/4)</f>
        <v>2</v>
      </c>
      <c r="FY29" s="32" t="n">
        <f aca="false">SUM(FW29/4)</f>
        <v>2</v>
      </c>
    </row>
    <row r="30" customFormat="false" ht="43.5" hidden="false" customHeight="true" outlineLevel="0" collapsed="false">
      <c r="A30" s="52" t="n">
        <v>3490</v>
      </c>
      <c r="B30" s="21" t="s">
        <v>240</v>
      </c>
      <c r="C30" s="21" t="s">
        <v>241</v>
      </c>
      <c r="D30" s="22"/>
      <c r="E30" s="23" t="n">
        <v>45974</v>
      </c>
      <c r="F30" s="23" t="n">
        <f aca="false">WORKDAY(E30,G30)</f>
        <v>46198</v>
      </c>
      <c r="G30" s="24" t="n">
        <v>160</v>
      </c>
      <c r="H30" s="25" t="n">
        <f aca="false">(FT30* 5)/M30</f>
        <v>0</v>
      </c>
      <c r="I30" s="25" t="n">
        <f aca="false">G30-H30</f>
        <v>160</v>
      </c>
      <c r="J30" s="46" t="s">
        <v>242</v>
      </c>
      <c r="K30" s="27" t="n">
        <v>300000</v>
      </c>
      <c r="L30" s="27" t="n">
        <v>864000</v>
      </c>
      <c r="M30" s="28" t="n">
        <f aca="false">(L30/G30)*5</f>
        <v>27000</v>
      </c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 t="s">
        <v>184</v>
      </c>
      <c r="EL30" s="29"/>
      <c r="EM30" s="29" t="s">
        <v>184</v>
      </c>
      <c r="EN30" s="29" t="s">
        <v>184</v>
      </c>
      <c r="EO30" s="29"/>
      <c r="EP30" s="29"/>
      <c r="EQ30" s="29"/>
      <c r="ER30" s="29"/>
      <c r="ES30" s="29" t="s">
        <v>184</v>
      </c>
      <c r="ET30" s="29"/>
      <c r="EU30" s="29"/>
      <c r="EV30" s="29" t="s">
        <v>184</v>
      </c>
      <c r="EW30" s="29"/>
      <c r="EX30" s="29"/>
      <c r="EY30" s="29"/>
      <c r="EZ30" s="29"/>
      <c r="FA30" s="29"/>
      <c r="FB30" s="29"/>
      <c r="FC30" s="29" t="s">
        <v>184</v>
      </c>
      <c r="FD30" s="29"/>
      <c r="FE30" s="29"/>
      <c r="FF30" s="29"/>
      <c r="FG30" s="29"/>
      <c r="FH30" s="29"/>
      <c r="FI30" s="29"/>
      <c r="FJ30" s="29"/>
      <c r="FK30" s="29"/>
      <c r="FL30" s="29" t="s">
        <v>184</v>
      </c>
      <c r="FM30" s="29"/>
      <c r="FN30" s="29"/>
      <c r="FO30" s="29"/>
      <c r="FP30" s="29"/>
      <c r="FQ30" s="29"/>
      <c r="FR30" s="29"/>
      <c r="FS30" s="29"/>
      <c r="FT30" s="29" t="n">
        <f aca="false">SUM(N30:FS30)</f>
        <v>0</v>
      </c>
      <c r="FU30" s="30" t="n">
        <f aca="false">SUM(L30-FT30)</f>
        <v>864000</v>
      </c>
      <c r="FV30" s="31" t="n">
        <f aca="false">SUM( H30/5)</f>
        <v>0</v>
      </c>
      <c r="FW30" s="31" t="n">
        <f aca="false">SUM( I30/5)</f>
        <v>32</v>
      </c>
      <c r="FX30" s="32" t="n">
        <f aca="false">SUM(FV30/4)</f>
        <v>0</v>
      </c>
      <c r="FY30" s="32" t="n">
        <f aca="false">SUM(FW30/4)</f>
        <v>8</v>
      </c>
    </row>
    <row r="31" customFormat="false" ht="43.5" hidden="false" customHeight="true" outlineLevel="0" collapsed="false">
      <c r="A31" s="20" t="n">
        <v>3377</v>
      </c>
      <c r="B31" s="21" t="s">
        <v>243</v>
      </c>
      <c r="C31" s="21" t="s">
        <v>244</v>
      </c>
      <c r="D31" s="22" t="n">
        <v>20386454729</v>
      </c>
      <c r="E31" s="23" t="n">
        <v>45906</v>
      </c>
      <c r="F31" s="23" t="n">
        <f aca="false">WORKDAY(E31,G31)</f>
        <v>46017</v>
      </c>
      <c r="G31" s="24" t="n">
        <v>80</v>
      </c>
      <c r="H31" s="25" t="n">
        <f aca="false">(FT31* 5)/M31</f>
        <v>40</v>
      </c>
      <c r="I31" s="25" t="n">
        <f aca="false">G31-H31</f>
        <v>40</v>
      </c>
      <c r="J31" s="26" t="s">
        <v>245</v>
      </c>
      <c r="K31" s="27" t="n">
        <v>300000</v>
      </c>
      <c r="L31" s="27" t="n">
        <v>648000</v>
      </c>
      <c r="M31" s="45" t="n">
        <f aca="false">(L31/G31)*5</f>
        <v>40500</v>
      </c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 t="s">
        <v>184</v>
      </c>
      <c r="EL31" s="29"/>
      <c r="EM31" s="29" t="s">
        <v>184</v>
      </c>
      <c r="EN31" s="29" t="s">
        <v>184</v>
      </c>
      <c r="EO31" s="29"/>
      <c r="EP31" s="29"/>
      <c r="EQ31" s="29"/>
      <c r="ER31" s="29"/>
      <c r="ES31" s="29" t="s">
        <v>184</v>
      </c>
      <c r="ET31" s="29"/>
      <c r="EU31" s="29"/>
      <c r="EV31" s="29" t="s">
        <v>184</v>
      </c>
      <c r="EW31" s="29"/>
      <c r="EX31" s="29"/>
      <c r="EY31" s="29"/>
      <c r="EZ31" s="29"/>
      <c r="FA31" s="29"/>
      <c r="FB31" s="29"/>
      <c r="FC31" s="29" t="s">
        <v>184</v>
      </c>
      <c r="FD31" s="29"/>
      <c r="FE31" s="29"/>
      <c r="FF31" s="29"/>
      <c r="FG31" s="29"/>
      <c r="FH31" s="29"/>
      <c r="FI31" s="29"/>
      <c r="FJ31" s="29"/>
      <c r="FK31" s="29" t="n">
        <v>162000</v>
      </c>
      <c r="FL31" s="29"/>
      <c r="FM31" s="29"/>
      <c r="FN31" s="29"/>
      <c r="FO31" s="29" t="n">
        <v>162000</v>
      </c>
      <c r="FP31" s="29"/>
      <c r="FQ31" s="29"/>
      <c r="FR31" s="29"/>
      <c r="FS31" s="29"/>
      <c r="FT31" s="29" t="n">
        <f aca="false">SUM(N31:FS31)</f>
        <v>324000</v>
      </c>
      <c r="FU31" s="30" t="n">
        <f aca="false">SUM(L31-FT31)</f>
        <v>324000</v>
      </c>
      <c r="FV31" s="31" t="n">
        <f aca="false">SUM( H31/5)</f>
        <v>8</v>
      </c>
      <c r="FW31" s="31" t="n">
        <f aca="false">SUM( I31/5)</f>
        <v>8</v>
      </c>
      <c r="FX31" s="32" t="n">
        <f aca="false">SUM(FV31/4)</f>
        <v>2</v>
      </c>
      <c r="FY31" s="32" t="n">
        <f aca="false">SUM(FW31/4)</f>
        <v>2</v>
      </c>
    </row>
    <row r="32" customFormat="false" ht="43.5" hidden="false" customHeight="true" outlineLevel="0" collapsed="false">
      <c r="A32" s="20" t="n">
        <v>3462</v>
      </c>
      <c r="B32" s="21" t="s">
        <v>243</v>
      </c>
      <c r="C32" s="21" t="s">
        <v>244</v>
      </c>
      <c r="D32" s="22" t="n">
        <v>20386454729</v>
      </c>
      <c r="E32" s="23" t="n">
        <v>45955</v>
      </c>
      <c r="F32" s="23" t="n">
        <f aca="false">WORKDAY(E32,G32)</f>
        <v>46066</v>
      </c>
      <c r="G32" s="24" t="n">
        <v>80</v>
      </c>
      <c r="H32" s="25" t="n">
        <f aca="false">(FT32* 5)/M32</f>
        <v>20</v>
      </c>
      <c r="I32" s="25" t="n">
        <f aca="false">G32-H32</f>
        <v>60</v>
      </c>
      <c r="J32" s="26" t="s">
        <v>246</v>
      </c>
      <c r="K32" s="27" t="n">
        <v>100000</v>
      </c>
      <c r="L32" s="27" t="n">
        <v>216000</v>
      </c>
      <c r="M32" s="28" t="n">
        <f aca="false">(L32/G32)*5</f>
        <v>13500</v>
      </c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 t="s">
        <v>184</v>
      </c>
      <c r="EL32" s="29"/>
      <c r="EM32" s="29" t="s">
        <v>184</v>
      </c>
      <c r="EN32" s="29" t="s">
        <v>184</v>
      </c>
      <c r="EO32" s="29"/>
      <c r="EP32" s="29"/>
      <c r="EQ32" s="29"/>
      <c r="ER32" s="29"/>
      <c r="ES32" s="29" t="s">
        <v>184</v>
      </c>
      <c r="ET32" s="29"/>
      <c r="EU32" s="29"/>
      <c r="EV32" s="29" t="s">
        <v>184</v>
      </c>
      <c r="EW32" s="29"/>
      <c r="EX32" s="29"/>
      <c r="EY32" s="29"/>
      <c r="EZ32" s="29"/>
      <c r="FA32" s="29"/>
      <c r="FB32" s="29"/>
      <c r="FC32" s="29" t="s">
        <v>184</v>
      </c>
      <c r="FD32" s="29"/>
      <c r="FE32" s="29"/>
      <c r="FF32" s="29"/>
      <c r="FG32" s="29"/>
      <c r="FH32" s="29"/>
      <c r="FI32" s="29"/>
      <c r="FJ32" s="29"/>
      <c r="FK32" s="29"/>
      <c r="FL32" s="29" t="s">
        <v>184</v>
      </c>
      <c r="FM32" s="29"/>
      <c r="FN32" s="29"/>
      <c r="FO32" s="29" t="n">
        <v>54000</v>
      </c>
      <c r="FP32" s="29"/>
      <c r="FQ32" s="29"/>
      <c r="FR32" s="29"/>
      <c r="FS32" s="29"/>
      <c r="FT32" s="29" t="n">
        <f aca="false">SUM(N32:FS32)</f>
        <v>54000</v>
      </c>
      <c r="FU32" s="30" t="n">
        <f aca="false">SUM(L32-FT32)</f>
        <v>162000</v>
      </c>
      <c r="FV32" s="31" t="n">
        <f aca="false">SUM( H32/5)</f>
        <v>4</v>
      </c>
      <c r="FW32" s="31" t="n">
        <f aca="false">SUM( I32/5)</f>
        <v>12</v>
      </c>
      <c r="FX32" s="32" t="n">
        <f aca="false">SUM(FV32/4)</f>
        <v>1</v>
      </c>
      <c r="FY32" s="32" t="n">
        <f aca="false">SUM(FW32/4)</f>
        <v>3</v>
      </c>
    </row>
    <row r="33" customFormat="false" ht="43.5" hidden="false" customHeight="true" outlineLevel="0" collapsed="false">
      <c r="A33" s="20" t="n">
        <v>3486</v>
      </c>
      <c r="B33" s="21" t="s">
        <v>243</v>
      </c>
      <c r="C33" s="21" t="s">
        <v>244</v>
      </c>
      <c r="D33" s="22" t="n">
        <v>20386454729</v>
      </c>
      <c r="E33" s="23" t="n">
        <v>45972</v>
      </c>
      <c r="F33" s="23" t="n">
        <f aca="false">WORKDAY(E33,G33)</f>
        <v>46252</v>
      </c>
      <c r="G33" s="24" t="n">
        <v>200</v>
      </c>
      <c r="H33" s="25" t="n">
        <f aca="false">(FT33* 5)/M33</f>
        <v>0</v>
      </c>
      <c r="I33" s="25" t="n">
        <f aca="false">G33-H33</f>
        <v>200</v>
      </c>
      <c r="J33" s="26" t="s">
        <v>247</v>
      </c>
      <c r="K33" s="27" t="n">
        <v>500000</v>
      </c>
      <c r="L33" s="27" t="n">
        <v>1560000</v>
      </c>
      <c r="M33" s="45" t="n">
        <f aca="false">(L33/G33)*5</f>
        <v>39000</v>
      </c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29"/>
      <c r="EK33" s="29" t="s">
        <v>184</v>
      </c>
      <c r="EL33" s="29"/>
      <c r="EM33" s="29" t="s">
        <v>184</v>
      </c>
      <c r="EN33" s="29" t="s">
        <v>184</v>
      </c>
      <c r="EO33" s="29"/>
      <c r="EP33" s="29"/>
      <c r="EQ33" s="29"/>
      <c r="ER33" s="29"/>
      <c r="ES33" s="29" t="s">
        <v>184</v>
      </c>
      <c r="ET33" s="29"/>
      <c r="EU33" s="29"/>
      <c r="EV33" s="29" t="s">
        <v>184</v>
      </c>
      <c r="EW33" s="29"/>
      <c r="EX33" s="29"/>
      <c r="EY33" s="29"/>
      <c r="EZ33" s="29"/>
      <c r="FA33" s="29"/>
      <c r="FB33" s="29"/>
      <c r="FC33" s="29" t="s">
        <v>184</v>
      </c>
      <c r="FD33" s="29"/>
      <c r="FE33" s="29"/>
      <c r="FF33" s="29"/>
      <c r="FG33" s="29"/>
      <c r="FH33" s="29"/>
      <c r="FI33" s="29"/>
      <c r="FJ33" s="29"/>
      <c r="FK33" s="29"/>
      <c r="FL33" s="29" t="s">
        <v>184</v>
      </c>
      <c r="FM33" s="29"/>
      <c r="FN33" s="29"/>
      <c r="FO33" s="29"/>
      <c r="FP33" s="29"/>
      <c r="FQ33" s="29"/>
      <c r="FR33" s="29"/>
      <c r="FS33" s="29"/>
      <c r="FT33" s="29" t="n">
        <f aca="false">SUM(N33:FS33)</f>
        <v>0</v>
      </c>
      <c r="FU33" s="30" t="n">
        <f aca="false">SUM(L33-FT33)</f>
        <v>1560000</v>
      </c>
      <c r="FV33" s="31" t="n">
        <f aca="false">SUM( H33/5)</f>
        <v>0</v>
      </c>
      <c r="FW33" s="31" t="n">
        <f aca="false">SUM( I33/5)</f>
        <v>40</v>
      </c>
      <c r="FX33" s="32" t="n">
        <f aca="false">SUM(FV33/4)</f>
        <v>0</v>
      </c>
      <c r="FY33" s="32" t="n">
        <f aca="false">SUM(FW33/4)</f>
        <v>10</v>
      </c>
    </row>
    <row r="34" customFormat="false" ht="43.5" hidden="false" customHeight="true" outlineLevel="0" collapsed="false">
      <c r="A34" s="20" t="n">
        <v>3429</v>
      </c>
      <c r="B34" s="21" t="s">
        <v>248</v>
      </c>
      <c r="C34" s="21" t="s">
        <v>249</v>
      </c>
      <c r="D34" s="22"/>
      <c r="E34" s="23" t="n">
        <v>45938</v>
      </c>
      <c r="F34" s="23" t="n">
        <v>45912</v>
      </c>
      <c r="G34" s="24" t="n">
        <v>80</v>
      </c>
      <c r="H34" s="25" t="n">
        <f aca="false">(FT34* 5)/M34</f>
        <v>20</v>
      </c>
      <c r="I34" s="25" t="n">
        <f aca="false">G34-H34</f>
        <v>60</v>
      </c>
      <c r="J34" s="26" t="s">
        <v>250</v>
      </c>
      <c r="K34" s="27" t="n">
        <v>100000</v>
      </c>
      <c r="L34" s="27" t="n">
        <v>216000</v>
      </c>
      <c r="M34" s="47" t="n">
        <v>13500</v>
      </c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 t="s">
        <v>184</v>
      </c>
      <c r="EL34" s="29"/>
      <c r="EM34" s="29" t="s">
        <v>184</v>
      </c>
      <c r="EN34" s="29" t="s">
        <v>184</v>
      </c>
      <c r="EO34" s="29"/>
      <c r="EP34" s="29"/>
      <c r="EQ34" s="29"/>
      <c r="ER34" s="29"/>
      <c r="ES34" s="29" t="s">
        <v>184</v>
      </c>
      <c r="ET34" s="29"/>
      <c r="EU34" s="29"/>
      <c r="EV34" s="29" t="s">
        <v>184</v>
      </c>
      <c r="EW34" s="29"/>
      <c r="EX34" s="29"/>
      <c r="EY34" s="29"/>
      <c r="EZ34" s="29"/>
      <c r="FA34" s="29"/>
      <c r="FB34" s="29"/>
      <c r="FC34" s="29" t="s">
        <v>184</v>
      </c>
      <c r="FD34" s="29"/>
      <c r="FE34" s="29"/>
      <c r="FF34" s="29"/>
      <c r="FG34" s="29"/>
      <c r="FH34" s="29"/>
      <c r="FI34" s="29"/>
      <c r="FJ34" s="29"/>
      <c r="FK34" s="29"/>
      <c r="FL34" s="29"/>
      <c r="FM34" s="29"/>
      <c r="FN34" s="29"/>
      <c r="FO34" s="29"/>
      <c r="FP34" s="29" t="n">
        <v>54000</v>
      </c>
      <c r="FQ34" s="29"/>
      <c r="FR34" s="29"/>
      <c r="FS34" s="29"/>
      <c r="FT34" s="29" t="n">
        <f aca="false">SUM(N34:FS34)</f>
        <v>54000</v>
      </c>
      <c r="FU34" s="30" t="n">
        <f aca="false">SUM(L34-FT34)</f>
        <v>162000</v>
      </c>
      <c r="FV34" s="31" t="n">
        <f aca="false">SUM( H34/5)</f>
        <v>4</v>
      </c>
      <c r="FW34" s="31" t="n">
        <f aca="false">SUM( I34/5)</f>
        <v>12</v>
      </c>
      <c r="FX34" s="32" t="n">
        <f aca="false">SUM(FV34/4)</f>
        <v>1</v>
      </c>
      <c r="FY34" s="32" t="n">
        <f aca="false">SUM(FW34/4)</f>
        <v>3</v>
      </c>
    </row>
    <row r="35" customFormat="false" ht="43.5" hidden="false" customHeight="true" outlineLevel="0" collapsed="false">
      <c r="A35" s="20" t="n">
        <v>3274</v>
      </c>
      <c r="B35" s="21" t="s">
        <v>251</v>
      </c>
      <c r="C35" s="21" t="s">
        <v>252</v>
      </c>
      <c r="D35" s="22"/>
      <c r="E35" s="23" t="n">
        <v>45810</v>
      </c>
      <c r="F35" s="23" t="n">
        <f aca="false">WORKDAY(E35,G35)</f>
        <v>46062</v>
      </c>
      <c r="G35" s="24" t="n">
        <v>180</v>
      </c>
      <c r="H35" s="25" t="n">
        <f aca="false">(FT35* 5)/M35</f>
        <v>100</v>
      </c>
      <c r="I35" s="25" t="n">
        <f aca="false">G35-H35</f>
        <v>80</v>
      </c>
      <c r="J35" s="26" t="s">
        <v>253</v>
      </c>
      <c r="K35" s="30" t="n">
        <v>200000</v>
      </c>
      <c r="L35" s="30" t="n">
        <v>603000</v>
      </c>
      <c r="M35" s="45" t="n">
        <f aca="false">(L35/G35)*5</f>
        <v>16750</v>
      </c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  <c r="DV35" s="29"/>
      <c r="DW35" s="29" t="s">
        <v>184</v>
      </c>
      <c r="DX35" s="29"/>
      <c r="DY35" s="29"/>
      <c r="DZ35" s="29"/>
      <c r="EA35" s="29"/>
      <c r="EB35" s="29"/>
      <c r="EC35" s="29"/>
      <c r="ED35" s="29" t="s">
        <v>184</v>
      </c>
      <c r="EE35" s="29"/>
      <c r="EF35" s="29"/>
      <c r="EG35" s="29"/>
      <c r="EH35" s="29" t="s">
        <v>184</v>
      </c>
      <c r="EI35" s="29"/>
      <c r="EJ35" s="29"/>
      <c r="EK35" s="29"/>
      <c r="EL35" s="29" t="s">
        <v>184</v>
      </c>
      <c r="EM35" s="29"/>
      <c r="EN35" s="29"/>
      <c r="EO35" s="29"/>
      <c r="EP35" s="29" t="s">
        <v>184</v>
      </c>
      <c r="EQ35" s="29"/>
      <c r="ER35" s="29"/>
      <c r="ES35" s="29"/>
      <c r="ET35" s="29"/>
      <c r="EU35" s="29"/>
      <c r="EV35" s="29" t="s">
        <v>184</v>
      </c>
      <c r="EW35" s="29"/>
      <c r="EX35" s="29"/>
      <c r="EY35" s="29"/>
      <c r="EZ35" s="29"/>
      <c r="FA35" s="29" t="n">
        <v>67000</v>
      </c>
      <c r="FB35" s="29"/>
      <c r="FC35" s="29"/>
      <c r="FD35" s="29"/>
      <c r="FE35" s="29" t="n">
        <v>67000</v>
      </c>
      <c r="FF35" s="29"/>
      <c r="FG35" s="29"/>
      <c r="FH35" s="29"/>
      <c r="FI35" s="29"/>
      <c r="FJ35" s="29" t="n">
        <v>67000</v>
      </c>
      <c r="FK35" s="29"/>
      <c r="FL35" s="29"/>
      <c r="FM35" s="29"/>
      <c r="FN35" s="29" t="n">
        <v>67000</v>
      </c>
      <c r="FO35" s="29"/>
      <c r="FP35" s="29"/>
      <c r="FQ35" s="29"/>
      <c r="FR35" s="29" t="n">
        <v>67000</v>
      </c>
      <c r="FS35" s="29"/>
      <c r="FT35" s="29" t="n">
        <f aca="false">SUM(N35:FS35)</f>
        <v>335000</v>
      </c>
      <c r="FU35" s="30" t="n">
        <f aca="false">SUM(L35-FT35)</f>
        <v>268000</v>
      </c>
      <c r="FV35" s="31" t="n">
        <f aca="false">SUM( H35/5)</f>
        <v>20</v>
      </c>
      <c r="FW35" s="31" t="n">
        <f aca="false">SUM( I35/5)</f>
        <v>16</v>
      </c>
      <c r="FX35" s="32" t="n">
        <f aca="false">SUM(FV35/4)</f>
        <v>5</v>
      </c>
      <c r="FY35" s="32" t="n">
        <f aca="false">SUM(FW35/4)</f>
        <v>4</v>
      </c>
    </row>
    <row r="36" customFormat="false" ht="43.5" hidden="false" customHeight="true" outlineLevel="0" collapsed="false">
      <c r="A36" s="20" t="n">
        <v>3427</v>
      </c>
      <c r="B36" s="21" t="s">
        <v>251</v>
      </c>
      <c r="C36" s="21" t="s">
        <v>252</v>
      </c>
      <c r="D36" s="22"/>
      <c r="E36" s="23" t="n">
        <v>45937</v>
      </c>
      <c r="F36" s="23" t="n">
        <f aca="false">WORKDAY(E36,G36)</f>
        <v>46091</v>
      </c>
      <c r="G36" s="24" t="n">
        <v>110</v>
      </c>
      <c r="H36" s="25" t="n">
        <f aca="false">(FT36* 5)/M36</f>
        <v>40</v>
      </c>
      <c r="I36" s="25" t="n">
        <f aca="false">G36-H36</f>
        <v>70</v>
      </c>
      <c r="J36" s="34" t="s">
        <v>254</v>
      </c>
      <c r="K36" s="27" t="n">
        <v>100000</v>
      </c>
      <c r="L36" s="27" t="n">
        <v>264000</v>
      </c>
      <c r="M36" s="28" t="n">
        <f aca="false">(L36/G36)*5</f>
        <v>12000</v>
      </c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  <c r="DK36" s="29"/>
      <c r="DL36" s="29"/>
      <c r="DM36" s="29"/>
      <c r="DN36" s="29"/>
      <c r="DO36" s="29"/>
      <c r="DP36" s="29"/>
      <c r="DQ36" s="29"/>
      <c r="DR36" s="29"/>
      <c r="DS36" s="29"/>
      <c r="DT36" s="29"/>
      <c r="DU36" s="29"/>
      <c r="DV36" s="29"/>
      <c r="DW36" s="29"/>
      <c r="DX36" s="29"/>
      <c r="DY36" s="29"/>
      <c r="DZ36" s="29"/>
      <c r="EA36" s="29"/>
      <c r="EB36" s="29"/>
      <c r="EC36" s="29"/>
      <c r="ED36" s="29"/>
      <c r="EE36" s="29"/>
      <c r="EF36" s="29"/>
      <c r="EG36" s="29"/>
      <c r="EH36" s="29"/>
      <c r="EI36" s="29"/>
      <c r="EJ36" s="29"/>
      <c r="EK36" s="29" t="s">
        <v>184</v>
      </c>
      <c r="EL36" s="29"/>
      <c r="EM36" s="29" t="s">
        <v>184</v>
      </c>
      <c r="EN36" s="29" t="s">
        <v>184</v>
      </c>
      <c r="EO36" s="29"/>
      <c r="EP36" s="29"/>
      <c r="EQ36" s="29"/>
      <c r="ER36" s="29"/>
      <c r="ES36" s="29" t="s">
        <v>184</v>
      </c>
      <c r="ET36" s="29"/>
      <c r="EU36" s="29"/>
      <c r="EV36" s="29" t="s">
        <v>184</v>
      </c>
      <c r="EW36" s="29"/>
      <c r="EX36" s="29"/>
      <c r="EY36" s="29"/>
      <c r="EZ36" s="29"/>
      <c r="FA36" s="29"/>
      <c r="FB36" s="29"/>
      <c r="FC36" s="29" t="s">
        <v>184</v>
      </c>
      <c r="FD36" s="29"/>
      <c r="FE36" s="29"/>
      <c r="FF36" s="29"/>
      <c r="FG36" s="29"/>
      <c r="FH36" s="29"/>
      <c r="FI36" s="29"/>
      <c r="FJ36" s="29"/>
      <c r="FK36" s="29"/>
      <c r="FL36" s="29" t="n">
        <v>24000</v>
      </c>
      <c r="FM36" s="29"/>
      <c r="FN36" s="29" t="n">
        <v>24000</v>
      </c>
      <c r="FO36" s="29"/>
      <c r="FP36" s="29" t="n">
        <v>24000</v>
      </c>
      <c r="FQ36" s="29" t="n">
        <v>24000</v>
      </c>
      <c r="FR36" s="29"/>
      <c r="FS36" s="29"/>
      <c r="FT36" s="29" t="n">
        <f aca="false">SUM(N36:FS36)</f>
        <v>96000</v>
      </c>
      <c r="FU36" s="30" t="n">
        <f aca="false">SUM(L36-FT36)</f>
        <v>168000</v>
      </c>
      <c r="FV36" s="31" t="n">
        <f aca="false">SUM( H36/5)</f>
        <v>8</v>
      </c>
      <c r="FW36" s="31" t="n">
        <f aca="false">SUM( I36/5)</f>
        <v>14</v>
      </c>
      <c r="FX36" s="32" t="n">
        <f aca="false">SUM(FV36/4)</f>
        <v>2</v>
      </c>
      <c r="FY36" s="32" t="n">
        <f aca="false">SUM(FW36/4)</f>
        <v>3.5</v>
      </c>
    </row>
    <row r="37" customFormat="false" ht="43.5" hidden="false" customHeight="true" outlineLevel="0" collapsed="false">
      <c r="A37" s="52" t="n">
        <v>3509</v>
      </c>
      <c r="B37" s="21" t="s">
        <v>251</v>
      </c>
      <c r="C37" s="21" t="s">
        <v>252</v>
      </c>
      <c r="D37" s="22"/>
      <c r="E37" s="23" t="n">
        <v>45983</v>
      </c>
      <c r="F37" s="23" t="n">
        <f aca="false">WORKDAY(E37,G37)</f>
        <v>46262</v>
      </c>
      <c r="G37" s="24" t="n">
        <v>200</v>
      </c>
      <c r="H37" s="25" t="n">
        <f aca="false">(FT37* 5)/M37</f>
        <v>0</v>
      </c>
      <c r="I37" s="25" t="n">
        <f aca="false">G37-H37</f>
        <v>200</v>
      </c>
      <c r="J37" s="26" t="s">
        <v>255</v>
      </c>
      <c r="K37" s="27" t="n">
        <v>200000</v>
      </c>
      <c r="L37" s="27" t="n">
        <v>624000</v>
      </c>
      <c r="M37" s="28" t="n">
        <f aca="false">(L37/G37)*5</f>
        <v>15600</v>
      </c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29"/>
      <c r="DT37" s="29"/>
      <c r="DU37" s="29"/>
      <c r="DV37" s="29"/>
      <c r="DW37" s="29"/>
      <c r="DX37" s="29"/>
      <c r="DY37" s="29"/>
      <c r="DZ37" s="29"/>
      <c r="EA37" s="29"/>
      <c r="EB37" s="29"/>
      <c r="EC37" s="29"/>
      <c r="ED37" s="29"/>
      <c r="EE37" s="29"/>
      <c r="EF37" s="29"/>
      <c r="EG37" s="29"/>
      <c r="EH37" s="29"/>
      <c r="EI37" s="29"/>
      <c r="EJ37" s="29"/>
      <c r="EK37" s="29" t="s">
        <v>184</v>
      </c>
      <c r="EL37" s="29"/>
      <c r="EM37" s="29" t="s">
        <v>184</v>
      </c>
      <c r="EN37" s="29" t="s">
        <v>184</v>
      </c>
      <c r="EO37" s="29"/>
      <c r="EP37" s="29"/>
      <c r="EQ37" s="29"/>
      <c r="ER37" s="29"/>
      <c r="ES37" s="29" t="s">
        <v>184</v>
      </c>
      <c r="ET37" s="29"/>
      <c r="EU37" s="29"/>
      <c r="EV37" s="29" t="s">
        <v>184</v>
      </c>
      <c r="EW37" s="29"/>
      <c r="EX37" s="29"/>
      <c r="EY37" s="29"/>
      <c r="EZ37" s="29"/>
      <c r="FA37" s="29"/>
      <c r="FB37" s="29"/>
      <c r="FC37" s="29" t="s">
        <v>184</v>
      </c>
      <c r="FD37" s="29"/>
      <c r="FE37" s="29"/>
      <c r="FF37" s="29"/>
      <c r="FG37" s="29"/>
      <c r="FH37" s="29"/>
      <c r="FI37" s="29"/>
      <c r="FJ37" s="29"/>
      <c r="FK37" s="29"/>
      <c r="FL37" s="29" t="s">
        <v>184</v>
      </c>
      <c r="FM37" s="29"/>
      <c r="FN37" s="29"/>
      <c r="FO37" s="29"/>
      <c r="FP37" s="29"/>
      <c r="FQ37" s="29"/>
      <c r="FR37" s="29"/>
      <c r="FS37" s="29"/>
      <c r="FT37" s="29" t="n">
        <f aca="false">SUM(N37:FS37)</f>
        <v>0</v>
      </c>
      <c r="FU37" s="30" t="n">
        <f aca="false">SUM(L37-FT37)</f>
        <v>624000</v>
      </c>
      <c r="FV37" s="31" t="n">
        <f aca="false">SUM( H37/5)</f>
        <v>0</v>
      </c>
      <c r="FW37" s="31" t="n">
        <f aca="false">SUM( I37/5)</f>
        <v>40</v>
      </c>
      <c r="FX37" s="32" t="n">
        <f aca="false">SUM(FV37/4)</f>
        <v>0</v>
      </c>
      <c r="FY37" s="32" t="n">
        <f aca="false">SUM(FW37/4)</f>
        <v>10</v>
      </c>
    </row>
    <row r="38" customFormat="false" ht="43.5" hidden="false" customHeight="true" outlineLevel="0" collapsed="false">
      <c r="A38" s="20" t="n">
        <v>3378</v>
      </c>
      <c r="B38" s="21" t="s">
        <v>256</v>
      </c>
      <c r="C38" s="21" t="s">
        <v>252</v>
      </c>
      <c r="D38" s="22"/>
      <c r="E38" s="23" t="n">
        <v>45906</v>
      </c>
      <c r="F38" s="23" t="n">
        <f aca="false">WORKDAY(E38,G38)</f>
        <v>46007</v>
      </c>
      <c r="G38" s="24" t="n">
        <v>72</v>
      </c>
      <c r="H38" s="25" t="n">
        <f aca="false">(FT38* 5)/M38</f>
        <v>45</v>
      </c>
      <c r="I38" s="25" t="n">
        <f aca="false">G38-H38</f>
        <v>27</v>
      </c>
      <c r="J38" s="34" t="s">
        <v>188</v>
      </c>
      <c r="K38" s="27" t="n">
        <v>100000</v>
      </c>
      <c r="L38" s="27" t="n">
        <v>216000</v>
      </c>
      <c r="M38" s="28" t="n">
        <f aca="false">(L38/G38)*5</f>
        <v>15000</v>
      </c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 t="s">
        <v>184</v>
      </c>
      <c r="EL38" s="29"/>
      <c r="EM38" s="29" t="s">
        <v>184</v>
      </c>
      <c r="EN38" s="29" t="s">
        <v>184</v>
      </c>
      <c r="EO38" s="29"/>
      <c r="EP38" s="29"/>
      <c r="EQ38" s="29"/>
      <c r="ER38" s="29"/>
      <c r="ES38" s="29" t="s">
        <v>184</v>
      </c>
      <c r="ET38" s="29"/>
      <c r="EU38" s="29"/>
      <c r="EV38" s="29" t="s">
        <v>184</v>
      </c>
      <c r="EW38" s="29"/>
      <c r="EX38" s="29"/>
      <c r="EY38" s="29"/>
      <c r="EZ38" s="29"/>
      <c r="FA38" s="29"/>
      <c r="FB38" s="29"/>
      <c r="FC38" s="29" t="s">
        <v>184</v>
      </c>
      <c r="FD38" s="29"/>
      <c r="FE38" s="29"/>
      <c r="FF38" s="29"/>
      <c r="FG38" s="29" t="n">
        <v>15000</v>
      </c>
      <c r="FH38" s="29" t="n">
        <v>15000</v>
      </c>
      <c r="FI38" s="29" t="n">
        <v>15000</v>
      </c>
      <c r="FJ38" s="29" t="n">
        <v>15000</v>
      </c>
      <c r="FK38" s="29"/>
      <c r="FL38" s="29"/>
      <c r="FM38" s="29"/>
      <c r="FN38" s="29" t="n">
        <v>15000</v>
      </c>
      <c r="FO38" s="29" t="n">
        <v>15000</v>
      </c>
      <c r="FP38" s="29" t="n">
        <v>15000</v>
      </c>
      <c r="FQ38" s="29" t="n">
        <v>15000</v>
      </c>
      <c r="FR38" s="29" t="n">
        <v>15000</v>
      </c>
      <c r="FS38" s="29"/>
      <c r="FT38" s="29" t="n">
        <f aca="false">SUM(N38:FS38)</f>
        <v>135000</v>
      </c>
      <c r="FU38" s="30" t="n">
        <f aca="false">SUM(L38-FT38)</f>
        <v>81000</v>
      </c>
      <c r="FV38" s="31" t="n">
        <f aca="false">SUM( H38/5)</f>
        <v>9</v>
      </c>
      <c r="FW38" s="31" t="n">
        <f aca="false">SUM( I38/5)</f>
        <v>5.4</v>
      </c>
      <c r="FX38" s="32" t="n">
        <f aca="false">SUM(FV38/4)</f>
        <v>2.25</v>
      </c>
      <c r="FY38" s="32" t="n">
        <f aca="false">SUM(FW38/4)</f>
        <v>1.35</v>
      </c>
    </row>
    <row r="39" customFormat="false" ht="43.5" hidden="false" customHeight="true" outlineLevel="0" collapsed="false">
      <c r="A39" s="52" t="n">
        <v>3511</v>
      </c>
      <c r="B39" s="21" t="s">
        <v>257</v>
      </c>
      <c r="C39" s="21" t="s">
        <v>252</v>
      </c>
      <c r="D39" s="22"/>
      <c r="E39" s="23" t="n">
        <v>45983</v>
      </c>
      <c r="F39" s="23" t="n">
        <f aca="false">WORKDAY(E39,G39)</f>
        <v>46150</v>
      </c>
      <c r="G39" s="24" t="n">
        <v>120</v>
      </c>
      <c r="H39" s="25" t="n">
        <f aca="false">(FT39* 5)/M39</f>
        <v>0</v>
      </c>
      <c r="I39" s="25" t="n">
        <f aca="false">G39-H39</f>
        <v>120</v>
      </c>
      <c r="J39" s="26" t="s">
        <v>258</v>
      </c>
      <c r="K39" s="27" t="n">
        <v>50000</v>
      </c>
      <c r="L39" s="27" t="n">
        <v>132000</v>
      </c>
      <c r="M39" s="45" t="n">
        <f aca="false">(L39/G39)*5</f>
        <v>5500</v>
      </c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29"/>
      <c r="CG39" s="29"/>
      <c r="CH39" s="29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  <c r="DK39" s="29"/>
      <c r="DL39" s="29"/>
      <c r="DM39" s="29"/>
      <c r="DN39" s="29"/>
      <c r="DO39" s="29"/>
      <c r="DP39" s="29"/>
      <c r="DQ39" s="29"/>
      <c r="DR39" s="29"/>
      <c r="DS39" s="29"/>
      <c r="DT39" s="29"/>
      <c r="DU39" s="29"/>
      <c r="DV39" s="29"/>
      <c r="DW39" s="29"/>
      <c r="DX39" s="29"/>
      <c r="DY39" s="29"/>
      <c r="DZ39" s="29"/>
      <c r="EA39" s="29"/>
      <c r="EB39" s="29"/>
      <c r="EC39" s="29"/>
      <c r="ED39" s="29"/>
      <c r="EE39" s="29"/>
      <c r="EF39" s="29"/>
      <c r="EG39" s="29"/>
      <c r="EH39" s="29"/>
      <c r="EI39" s="29"/>
      <c r="EJ39" s="29"/>
      <c r="EK39" s="29" t="s">
        <v>184</v>
      </c>
      <c r="EL39" s="29"/>
      <c r="EM39" s="29" t="s">
        <v>184</v>
      </c>
      <c r="EN39" s="29" t="s">
        <v>184</v>
      </c>
      <c r="EO39" s="29"/>
      <c r="EP39" s="29"/>
      <c r="EQ39" s="29"/>
      <c r="ER39" s="29"/>
      <c r="ES39" s="29" t="s">
        <v>184</v>
      </c>
      <c r="ET39" s="29"/>
      <c r="EU39" s="29"/>
      <c r="EV39" s="29" t="s">
        <v>184</v>
      </c>
      <c r="EW39" s="29"/>
      <c r="EX39" s="29"/>
      <c r="EY39" s="29"/>
      <c r="EZ39" s="29"/>
      <c r="FA39" s="29"/>
      <c r="FB39" s="29"/>
      <c r="FC39" s="29" t="s">
        <v>184</v>
      </c>
      <c r="FD39" s="29"/>
      <c r="FE39" s="29"/>
      <c r="FF39" s="29"/>
      <c r="FG39" s="29"/>
      <c r="FH39" s="29"/>
      <c r="FI39" s="29"/>
      <c r="FJ39" s="29"/>
      <c r="FK39" s="29"/>
      <c r="FL39" s="29" t="s">
        <v>184</v>
      </c>
      <c r="FM39" s="29"/>
      <c r="FN39" s="29"/>
      <c r="FO39" s="29"/>
      <c r="FP39" s="29"/>
      <c r="FQ39" s="29"/>
      <c r="FR39" s="29"/>
      <c r="FS39" s="29"/>
      <c r="FT39" s="29" t="n">
        <f aca="false">SUM(N39:FS39)</f>
        <v>0</v>
      </c>
      <c r="FU39" s="30" t="n">
        <f aca="false">SUM(L39-FT39)</f>
        <v>132000</v>
      </c>
      <c r="FV39" s="31" t="n">
        <f aca="false">SUM( H39/5)</f>
        <v>0</v>
      </c>
      <c r="FW39" s="31" t="n">
        <f aca="false">SUM( I39/5)</f>
        <v>24</v>
      </c>
      <c r="FX39" s="32" t="n">
        <f aca="false">SUM(FV39/4)</f>
        <v>0</v>
      </c>
      <c r="FY39" s="32" t="n">
        <f aca="false">SUM(FW39/4)</f>
        <v>6</v>
      </c>
    </row>
    <row r="40" customFormat="false" ht="43.5" hidden="false" customHeight="true" outlineLevel="0" collapsed="false">
      <c r="A40" s="20" t="n">
        <v>2691</v>
      </c>
      <c r="B40" s="21" t="s">
        <v>259</v>
      </c>
      <c r="C40" s="21" t="s">
        <v>260</v>
      </c>
      <c r="D40" s="22"/>
      <c r="E40" s="23" t="n">
        <v>45476</v>
      </c>
      <c r="F40" s="23" t="n">
        <f aca="false">WORKDAY(E40,G40)</f>
        <v>45700</v>
      </c>
      <c r="G40" s="24" t="n">
        <v>160</v>
      </c>
      <c r="H40" s="25" t="n">
        <f aca="false">(FT40* 5)/M40</f>
        <v>15.695652173913</v>
      </c>
      <c r="I40" s="25" t="n">
        <f aca="false">G40-H40</f>
        <v>144.304347826087</v>
      </c>
      <c r="J40" s="34" t="s">
        <v>261</v>
      </c>
      <c r="K40" s="27" t="n">
        <v>2557200</v>
      </c>
      <c r="L40" s="27" t="n">
        <v>3680000</v>
      </c>
      <c r="M40" s="28" t="n">
        <f aca="false">(L40/G40)*5</f>
        <v>115000</v>
      </c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 t="s">
        <v>184</v>
      </c>
      <c r="CB40" s="29" t="s">
        <v>184</v>
      </c>
      <c r="CC40" s="29" t="s">
        <v>184</v>
      </c>
      <c r="CD40" s="29" t="s">
        <v>184</v>
      </c>
      <c r="CE40" s="29" t="s">
        <v>184</v>
      </c>
      <c r="CF40" s="29"/>
      <c r="CG40" s="29" t="s">
        <v>184</v>
      </c>
      <c r="CH40" s="29" t="s">
        <v>184</v>
      </c>
      <c r="CI40" s="29"/>
      <c r="CJ40" s="29"/>
      <c r="CK40" s="29"/>
      <c r="CL40" s="29" t="s">
        <v>184</v>
      </c>
      <c r="CM40" s="29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 t="n">
        <v>100000</v>
      </c>
      <c r="CY40" s="29"/>
      <c r="CZ40" s="29" t="n">
        <v>17000</v>
      </c>
      <c r="DA40" s="29"/>
      <c r="DB40" s="29" t="n">
        <v>19000</v>
      </c>
      <c r="DC40" s="29"/>
      <c r="DD40" s="29"/>
      <c r="DE40" s="29"/>
      <c r="DF40" s="29"/>
      <c r="DG40" s="29"/>
      <c r="DH40" s="29"/>
      <c r="DI40" s="29"/>
      <c r="DJ40" s="29"/>
      <c r="DK40" s="29"/>
      <c r="DL40" s="29"/>
      <c r="DM40" s="29"/>
      <c r="DN40" s="29"/>
      <c r="DO40" s="29"/>
      <c r="DP40" s="29"/>
      <c r="DQ40" s="29"/>
      <c r="DR40" s="29"/>
      <c r="DS40" s="29"/>
      <c r="DT40" s="29"/>
      <c r="DU40" s="29"/>
      <c r="DV40" s="29"/>
      <c r="DW40" s="29"/>
      <c r="DX40" s="29"/>
      <c r="DY40" s="29"/>
      <c r="DZ40" s="29"/>
      <c r="EA40" s="29"/>
      <c r="EB40" s="29"/>
      <c r="EC40" s="29"/>
      <c r="ED40" s="29"/>
      <c r="EE40" s="29"/>
      <c r="EF40" s="29"/>
      <c r="EG40" s="29" t="n">
        <v>30000</v>
      </c>
      <c r="EH40" s="29"/>
      <c r="EI40" s="29"/>
      <c r="EJ40" s="29"/>
      <c r="EK40" s="29" t="n">
        <v>30000</v>
      </c>
      <c r="EL40" s="29"/>
      <c r="EM40" s="29"/>
      <c r="EN40" s="29"/>
      <c r="EO40" s="29"/>
      <c r="EP40" s="29" t="n">
        <v>15000</v>
      </c>
      <c r="EQ40" s="29" t="n">
        <v>15000</v>
      </c>
      <c r="ER40" s="29" t="n">
        <v>15000</v>
      </c>
      <c r="ES40" s="29" t="n">
        <v>15000</v>
      </c>
      <c r="ET40" s="29" t="n">
        <v>15000</v>
      </c>
      <c r="EU40" s="29" t="n">
        <v>15000</v>
      </c>
      <c r="EV40" s="29"/>
      <c r="EW40" s="29"/>
      <c r="EX40" s="29"/>
      <c r="EY40" s="29" t="n">
        <v>15000</v>
      </c>
      <c r="EZ40" s="29"/>
      <c r="FA40" s="29"/>
      <c r="FB40" s="29" t="n">
        <v>15000</v>
      </c>
      <c r="FC40" s="29" t="n">
        <v>15000</v>
      </c>
      <c r="FD40" s="29"/>
      <c r="FE40" s="29"/>
      <c r="FF40" s="29"/>
      <c r="FG40" s="29"/>
      <c r="FH40" s="29"/>
      <c r="FI40" s="29"/>
      <c r="FJ40" s="29"/>
      <c r="FK40" s="29" t="n">
        <v>15000</v>
      </c>
      <c r="FL40" s="29"/>
      <c r="FM40" s="29"/>
      <c r="FN40" s="29"/>
      <c r="FO40" s="29"/>
      <c r="FP40" s="29"/>
      <c r="FQ40" s="29"/>
      <c r="FR40" s="29" t="n">
        <v>15000</v>
      </c>
      <c r="FS40" s="29"/>
      <c r="FT40" s="29" t="n">
        <f aca="false">SUM(N40:FS40)</f>
        <v>361000</v>
      </c>
      <c r="FU40" s="30" t="n">
        <f aca="false">SUM(L40-FT40)</f>
        <v>3319000</v>
      </c>
      <c r="FV40" s="31" t="n">
        <f aca="false">SUM( H40/5)</f>
        <v>3.13913043478261</v>
      </c>
      <c r="FW40" s="31" t="n">
        <f aca="false">SUM( I40/5)</f>
        <v>28.8608695652174</v>
      </c>
      <c r="FX40" s="32" t="n">
        <f aca="false">SUM(FV40/4)</f>
        <v>0.784782608695652</v>
      </c>
      <c r="FY40" s="32" t="n">
        <f aca="false">SUM(FW40/4)</f>
        <v>7.21521739130435</v>
      </c>
    </row>
    <row r="41" customFormat="false" ht="43.5" hidden="false" customHeight="true" outlineLevel="0" collapsed="false">
      <c r="A41" s="20" t="n">
        <v>3205</v>
      </c>
      <c r="B41" s="21" t="s">
        <v>262</v>
      </c>
      <c r="C41" s="21" t="s">
        <v>263</v>
      </c>
      <c r="D41" s="22"/>
      <c r="E41" s="23" t="n">
        <v>45798</v>
      </c>
      <c r="F41" s="23" t="n">
        <f aca="false">WORKDAY(E41,G41)</f>
        <v>45882</v>
      </c>
      <c r="G41" s="24" t="n">
        <v>60</v>
      </c>
      <c r="H41" s="25" t="n">
        <f aca="false">(FT41* 5)/M41</f>
        <v>40</v>
      </c>
      <c r="I41" s="25" t="n">
        <f aca="false">G41-H41</f>
        <v>20</v>
      </c>
      <c r="J41" s="26" t="s">
        <v>264</v>
      </c>
      <c r="K41" s="27" t="n">
        <v>270000</v>
      </c>
      <c r="L41" s="27" t="n">
        <v>499500</v>
      </c>
      <c r="M41" s="28" t="n">
        <f aca="false">(L41/G41)*5</f>
        <v>41625</v>
      </c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  <c r="DK41" s="29"/>
      <c r="DL41" s="29"/>
      <c r="DM41" s="29"/>
      <c r="DN41" s="29"/>
      <c r="DO41" s="29"/>
      <c r="DP41" s="29"/>
      <c r="DQ41" s="29"/>
      <c r="DR41" s="29"/>
      <c r="DS41" s="29"/>
      <c r="DT41" s="29"/>
      <c r="DU41" s="29"/>
      <c r="DV41" s="29"/>
      <c r="DW41" s="29"/>
      <c r="DX41" s="29"/>
      <c r="DY41" s="29"/>
      <c r="DZ41" s="29"/>
      <c r="EA41" s="29"/>
      <c r="EB41" s="29"/>
      <c r="EC41" s="29"/>
      <c r="ED41" s="29"/>
      <c r="EE41" s="29"/>
      <c r="EF41" s="29"/>
      <c r="EG41" s="29"/>
      <c r="EH41" s="29"/>
      <c r="EI41" s="29"/>
      <c r="EJ41" s="29"/>
      <c r="EK41" s="29" t="s">
        <v>184</v>
      </c>
      <c r="EL41" s="29"/>
      <c r="EM41" s="29" t="s">
        <v>184</v>
      </c>
      <c r="EN41" s="29" t="s">
        <v>184</v>
      </c>
      <c r="EO41" s="29"/>
      <c r="EP41" s="29"/>
      <c r="EQ41" s="29"/>
      <c r="ER41" s="29"/>
      <c r="ES41" s="29"/>
      <c r="ET41" s="29"/>
      <c r="EU41" s="29" t="n">
        <v>166500</v>
      </c>
      <c r="EV41" s="29"/>
      <c r="EW41" s="29"/>
      <c r="EX41" s="29"/>
      <c r="EY41" s="29" t="n">
        <v>166500</v>
      </c>
      <c r="EZ41" s="29"/>
      <c r="FA41" s="29"/>
      <c r="FB41" s="29"/>
      <c r="FC41" s="29"/>
      <c r="FD41" s="29"/>
      <c r="FE41" s="29"/>
      <c r="FF41" s="29"/>
      <c r="FG41" s="29"/>
      <c r="FH41" s="29"/>
      <c r="FI41" s="29"/>
      <c r="FJ41" s="29"/>
      <c r="FK41" s="29"/>
      <c r="FL41" s="29"/>
      <c r="FM41" s="29"/>
      <c r="FN41" s="29"/>
      <c r="FO41" s="29"/>
      <c r="FP41" s="29"/>
      <c r="FQ41" s="29"/>
      <c r="FR41" s="29"/>
      <c r="FS41" s="29"/>
      <c r="FT41" s="29" t="n">
        <f aca="false">SUM(N41:FS41)</f>
        <v>333000</v>
      </c>
      <c r="FU41" s="30" t="n">
        <f aca="false">SUM(L41-FT41)</f>
        <v>166500</v>
      </c>
      <c r="FV41" s="31" t="n">
        <f aca="false">SUM( H41/5)</f>
        <v>8</v>
      </c>
      <c r="FW41" s="31" t="n">
        <f aca="false">SUM( I41/5)</f>
        <v>4</v>
      </c>
      <c r="FX41" s="32" t="n">
        <f aca="false">SUM(FV41/4)</f>
        <v>2</v>
      </c>
      <c r="FY41" s="32" t="n">
        <f aca="false">SUM(FW41/4)</f>
        <v>1</v>
      </c>
    </row>
    <row r="42" customFormat="false" ht="43.5" hidden="false" customHeight="true" outlineLevel="0" collapsed="false">
      <c r="A42" s="20" t="n">
        <v>2403</v>
      </c>
      <c r="B42" s="21" t="s">
        <v>265</v>
      </c>
      <c r="C42" s="21" t="s">
        <v>266</v>
      </c>
      <c r="D42" s="22"/>
      <c r="E42" s="23" t="n">
        <v>45297</v>
      </c>
      <c r="F42" s="23" t="n">
        <f aca="false">WORKDAY(E42,G42)</f>
        <v>45548</v>
      </c>
      <c r="G42" s="24" t="n">
        <v>180</v>
      </c>
      <c r="H42" s="25" t="n">
        <f aca="false">(FT42* 5)/M42</f>
        <v>99.4756554307116</v>
      </c>
      <c r="I42" s="25" t="n">
        <f aca="false">G42-H42</f>
        <v>80.5243445692884</v>
      </c>
      <c r="J42" s="26" t="s">
        <v>267</v>
      </c>
      <c r="K42" s="27" t="n">
        <v>150000</v>
      </c>
      <c r="L42" s="27" t="n">
        <v>480600</v>
      </c>
      <c r="M42" s="28" t="n">
        <f aca="false">(L42/G42)*5</f>
        <v>13350</v>
      </c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 t="s">
        <v>184</v>
      </c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 t="s">
        <v>184</v>
      </c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 t="n">
        <v>54500</v>
      </c>
      <c r="CC42" s="29"/>
      <c r="CD42" s="29"/>
      <c r="CE42" s="29"/>
      <c r="CF42" s="29" t="n">
        <v>54500</v>
      </c>
      <c r="CG42" s="29"/>
      <c r="CH42" s="29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  <c r="DB42" s="29"/>
      <c r="DC42" s="29"/>
      <c r="DD42" s="29" t="n">
        <v>20000</v>
      </c>
      <c r="DE42" s="29"/>
      <c r="DF42" s="29"/>
      <c r="DG42" s="29"/>
      <c r="DH42" s="29"/>
      <c r="DI42" s="29"/>
      <c r="DJ42" s="29"/>
      <c r="DK42" s="29"/>
      <c r="DL42" s="29" t="n">
        <v>20000</v>
      </c>
      <c r="DM42" s="29"/>
      <c r="DN42" s="29"/>
      <c r="DO42" s="29"/>
      <c r="DP42" s="29"/>
      <c r="DQ42" s="29"/>
      <c r="DR42" s="29"/>
      <c r="DS42" s="29"/>
      <c r="DT42" s="29"/>
      <c r="DU42" s="29"/>
      <c r="DV42" s="29"/>
      <c r="DW42" s="29"/>
      <c r="DX42" s="29"/>
      <c r="DY42" s="29"/>
      <c r="DZ42" s="29"/>
      <c r="EA42" s="29"/>
      <c r="EB42" s="29"/>
      <c r="EC42" s="29"/>
      <c r="ED42" s="29"/>
      <c r="EE42" s="29"/>
      <c r="EF42" s="29" t="n">
        <v>31600</v>
      </c>
      <c r="EG42" s="29"/>
      <c r="EH42" s="29"/>
      <c r="EI42" s="29"/>
      <c r="EJ42" s="29"/>
      <c r="EK42" s="29"/>
      <c r="EL42" s="29"/>
      <c r="EM42" s="29"/>
      <c r="EN42" s="29"/>
      <c r="EO42" s="29"/>
      <c r="EP42" s="29"/>
      <c r="EQ42" s="29"/>
      <c r="ER42" s="29"/>
      <c r="ES42" s="29"/>
      <c r="ET42" s="29"/>
      <c r="EU42" s="29"/>
      <c r="EV42" s="29" t="n">
        <v>15000</v>
      </c>
      <c r="EW42" s="29" t="n">
        <v>13000</v>
      </c>
      <c r="EX42" s="29"/>
      <c r="EY42" s="29" t="n">
        <v>12000</v>
      </c>
      <c r="EZ42" s="29"/>
      <c r="FA42" s="29"/>
      <c r="FB42" s="29" t="n">
        <v>10000</v>
      </c>
      <c r="FC42" s="29" t="n">
        <v>25000</v>
      </c>
      <c r="FD42" s="29"/>
      <c r="FE42" s="29"/>
      <c r="FF42" s="29" t="s">
        <v>184</v>
      </c>
      <c r="FG42" s="29"/>
      <c r="FH42" s="29"/>
      <c r="FI42" s="29"/>
      <c r="FJ42" s="29"/>
      <c r="FK42" s="29"/>
      <c r="FL42" s="29"/>
      <c r="FM42" s="29"/>
      <c r="FN42" s="29"/>
      <c r="FO42" s="29"/>
      <c r="FP42" s="29"/>
      <c r="FQ42" s="29" t="n">
        <v>10000</v>
      </c>
      <c r="FR42" s="29"/>
      <c r="FS42" s="29"/>
      <c r="FT42" s="29" t="n">
        <f aca="false">SUM(N42:FS42)</f>
        <v>265600</v>
      </c>
      <c r="FU42" s="30" t="n">
        <f aca="false">SUM(L42-FT42)</f>
        <v>215000</v>
      </c>
      <c r="FV42" s="31" t="n">
        <f aca="false">SUM( H42/5)</f>
        <v>19.8951310861423</v>
      </c>
      <c r="FW42" s="31" t="n">
        <f aca="false">SUM( I42/5)</f>
        <v>16.1048689138577</v>
      </c>
      <c r="FX42" s="32" t="n">
        <f aca="false">SUM(FV42/4)</f>
        <v>4.97378277153558</v>
      </c>
      <c r="FY42" s="32" t="n">
        <f aca="false">SUM(FW42/4)</f>
        <v>4.02621722846442</v>
      </c>
    </row>
    <row r="43" customFormat="false" ht="43.5" hidden="false" customHeight="true" outlineLevel="0" collapsed="false">
      <c r="A43" s="20" t="n">
        <v>3006</v>
      </c>
      <c r="B43" s="21" t="s">
        <v>268</v>
      </c>
      <c r="C43" s="53" t="s">
        <v>269</v>
      </c>
      <c r="D43" s="22" t="n">
        <v>22375673</v>
      </c>
      <c r="E43" s="23" t="n">
        <v>45674</v>
      </c>
      <c r="F43" s="23" t="n">
        <f aca="false">WORKDAY(E43,G43)</f>
        <v>46066</v>
      </c>
      <c r="G43" s="24" t="n">
        <v>280</v>
      </c>
      <c r="H43" s="25" t="n">
        <f aca="false">(FT43* 5)/M43</f>
        <v>150.384615384615</v>
      </c>
      <c r="I43" s="25" t="n">
        <f aca="false">G43-H43</f>
        <v>129.615384615385</v>
      </c>
      <c r="J43" s="26" t="s">
        <v>270</v>
      </c>
      <c r="K43" s="27" t="n">
        <v>1200000</v>
      </c>
      <c r="L43" s="27" t="n">
        <v>3640000</v>
      </c>
      <c r="M43" s="45" t="n">
        <f aca="false">(L43/G43)*5</f>
        <v>65000</v>
      </c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29"/>
      <c r="CG43" s="29"/>
      <c r="CH43" s="29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  <c r="DI43" s="29"/>
      <c r="DJ43" s="29"/>
      <c r="DK43" s="29"/>
      <c r="DL43" s="29"/>
      <c r="DM43" s="29"/>
      <c r="DN43" s="29"/>
      <c r="DO43" s="29"/>
      <c r="DP43" s="29"/>
      <c r="DQ43" s="29"/>
      <c r="DR43" s="29"/>
      <c r="DS43" s="29"/>
      <c r="DT43" s="29"/>
      <c r="DU43" s="29"/>
      <c r="DV43" s="29"/>
      <c r="DW43" s="29"/>
      <c r="DX43" s="29"/>
      <c r="DY43" s="29"/>
      <c r="DZ43" s="29"/>
      <c r="EA43" s="29"/>
      <c r="EB43" s="29"/>
      <c r="EC43" s="29"/>
      <c r="ED43" s="29" t="n">
        <v>200000</v>
      </c>
      <c r="EE43" s="29" t="n">
        <v>60000</v>
      </c>
      <c r="EF43" s="29"/>
      <c r="EG43" s="29"/>
      <c r="EH43" s="29"/>
      <c r="EI43" s="29" t="n">
        <v>260000</v>
      </c>
      <c r="EJ43" s="29"/>
      <c r="EK43" s="29"/>
      <c r="EL43" s="29" t="n">
        <v>260000</v>
      </c>
      <c r="EM43" s="29"/>
      <c r="EN43" s="29"/>
      <c r="EO43" s="29"/>
      <c r="EP43" s="29" t="n">
        <v>260000</v>
      </c>
      <c r="EQ43" s="29"/>
      <c r="ER43" s="29"/>
      <c r="ES43" s="29"/>
      <c r="ET43" s="29" t="n">
        <v>260000</v>
      </c>
      <c r="EU43" s="29"/>
      <c r="EV43" s="29"/>
      <c r="EW43" s="29"/>
      <c r="EX43" s="29"/>
      <c r="EY43" s="29"/>
      <c r="EZ43" s="29" t="n">
        <v>245000</v>
      </c>
      <c r="FA43" s="29"/>
      <c r="FB43" s="29" t="n">
        <v>150000</v>
      </c>
      <c r="FC43" s="29"/>
      <c r="FD43" s="29"/>
      <c r="FE43" s="29"/>
      <c r="FF43" s="29" t="s">
        <v>184</v>
      </c>
      <c r="FG43" s="29"/>
      <c r="FH43" s="29" t="s">
        <v>184</v>
      </c>
      <c r="FI43" s="29"/>
      <c r="FJ43" s="29"/>
      <c r="FK43" s="29" t="n">
        <v>200000</v>
      </c>
      <c r="FL43" s="29" t="n">
        <v>60000</v>
      </c>
      <c r="FM43" s="29"/>
      <c r="FN43" s="29"/>
      <c r="FO43" s="29"/>
      <c r="FP43" s="29"/>
      <c r="FQ43" s="29"/>
      <c r="FR43" s="29"/>
      <c r="FS43" s="29"/>
      <c r="FT43" s="29" t="n">
        <f aca="false">SUM(N43:FS43)</f>
        <v>1955000</v>
      </c>
      <c r="FU43" s="30" t="n">
        <f aca="false">SUM(L43-FT43)</f>
        <v>1685000</v>
      </c>
      <c r="FV43" s="31" t="n">
        <f aca="false">SUM( H43/5)</f>
        <v>30.0769230769231</v>
      </c>
      <c r="FW43" s="31" t="n">
        <f aca="false">SUM( I43/5)</f>
        <v>25.9230769230769</v>
      </c>
      <c r="FX43" s="32" t="n">
        <f aca="false">SUM(FV43/4)</f>
        <v>7.51923076923077</v>
      </c>
      <c r="FY43" s="32" t="n">
        <f aca="false">SUM(FW43/4)</f>
        <v>6.48076923076923</v>
      </c>
    </row>
    <row r="44" customFormat="false" ht="43.5" hidden="false" customHeight="true" outlineLevel="0" collapsed="false">
      <c r="A44" s="20" t="n">
        <v>3158</v>
      </c>
      <c r="B44" s="21" t="s">
        <v>268</v>
      </c>
      <c r="C44" s="53" t="s">
        <v>269</v>
      </c>
      <c r="D44" s="22" t="n">
        <v>22375673</v>
      </c>
      <c r="E44" s="23" t="n">
        <v>45768</v>
      </c>
      <c r="F44" s="23" t="n">
        <f aca="false">WORKDAY(E44,G44)</f>
        <v>46160</v>
      </c>
      <c r="G44" s="24" t="n">
        <v>280</v>
      </c>
      <c r="H44" s="25" t="n">
        <f aca="false">(FT44* 5)/M44</f>
        <v>91.7241379310345</v>
      </c>
      <c r="I44" s="25" t="n">
        <f aca="false">G44-H44</f>
        <v>188.275862068966</v>
      </c>
      <c r="J44" s="26" t="s">
        <v>271</v>
      </c>
      <c r="K44" s="27" t="n">
        <v>800000</v>
      </c>
      <c r="L44" s="27" t="n">
        <v>2436000</v>
      </c>
      <c r="M44" s="45" t="n">
        <f aca="false">(L44/G44)*5</f>
        <v>43500</v>
      </c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  <c r="CF44" s="29"/>
      <c r="CG44" s="29"/>
      <c r="CH44" s="29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  <c r="DI44" s="29"/>
      <c r="DJ44" s="29"/>
      <c r="DK44" s="29"/>
      <c r="DL44" s="29"/>
      <c r="DM44" s="29"/>
      <c r="DN44" s="29"/>
      <c r="DO44" s="29"/>
      <c r="DP44" s="29"/>
      <c r="DQ44" s="29"/>
      <c r="DR44" s="29"/>
      <c r="DS44" s="29"/>
      <c r="DT44" s="29"/>
      <c r="DU44" s="29"/>
      <c r="DV44" s="29"/>
      <c r="DW44" s="29"/>
      <c r="DX44" s="29"/>
      <c r="DY44" s="29"/>
      <c r="DZ44" s="29"/>
      <c r="EA44" s="29"/>
      <c r="EB44" s="29"/>
      <c r="EC44" s="29"/>
      <c r="ED44" s="29"/>
      <c r="EE44" s="29"/>
      <c r="EF44" s="29"/>
      <c r="EG44" s="29"/>
      <c r="EH44" s="29"/>
      <c r="EI44" s="29"/>
      <c r="EJ44" s="29"/>
      <c r="EK44" s="29" t="s">
        <v>184</v>
      </c>
      <c r="EL44" s="29"/>
      <c r="EM44" s="29"/>
      <c r="EN44" s="29"/>
      <c r="EO44" s="29"/>
      <c r="EP44" s="29"/>
      <c r="EQ44" s="29"/>
      <c r="ER44" s="29"/>
      <c r="ES44" s="29" t="n">
        <v>160000</v>
      </c>
      <c r="ET44" s="29"/>
      <c r="EU44" s="29"/>
      <c r="EV44" s="29"/>
      <c r="EW44" s="29"/>
      <c r="EX44" s="29"/>
      <c r="EY44" s="29"/>
      <c r="EZ44" s="29"/>
      <c r="FA44" s="29"/>
      <c r="FB44" s="29"/>
      <c r="FC44" s="29"/>
      <c r="FD44" s="29" t="n">
        <v>100000</v>
      </c>
      <c r="FE44" s="29" t="n">
        <v>74000</v>
      </c>
      <c r="FF44" s="29"/>
      <c r="FG44" s="29"/>
      <c r="FH44" s="29"/>
      <c r="FI44" s="29" t="n">
        <v>140000</v>
      </c>
      <c r="FJ44" s="29"/>
      <c r="FK44" s="29"/>
      <c r="FL44" s="29"/>
      <c r="FM44" s="29" t="n">
        <v>164000</v>
      </c>
      <c r="FN44" s="29"/>
      <c r="FO44" s="29"/>
      <c r="FP44" s="29"/>
      <c r="FQ44" s="29"/>
      <c r="FR44" s="29" t="n">
        <v>160000</v>
      </c>
      <c r="FS44" s="29"/>
      <c r="FT44" s="29" t="n">
        <f aca="false">SUM(N44:FS44)</f>
        <v>798000</v>
      </c>
      <c r="FU44" s="30" t="n">
        <f aca="false">SUM(L44-FT44)</f>
        <v>1638000</v>
      </c>
      <c r="FV44" s="31" t="n">
        <f aca="false">SUM( H44/5)</f>
        <v>18.3448275862069</v>
      </c>
      <c r="FW44" s="31" t="n">
        <f aca="false">SUM( I44/5)</f>
        <v>37.6551724137931</v>
      </c>
      <c r="FX44" s="32" t="n">
        <f aca="false">SUM(FV44/4)</f>
        <v>4.58620689655172</v>
      </c>
      <c r="FY44" s="32" t="n">
        <f aca="false">SUM(FW44/4)</f>
        <v>9.41379310344828</v>
      </c>
    </row>
    <row r="45" customFormat="false" ht="43.5" hidden="false" customHeight="true" outlineLevel="0" collapsed="false">
      <c r="A45" s="20" t="n">
        <v>3227</v>
      </c>
      <c r="B45" s="21" t="s">
        <v>268</v>
      </c>
      <c r="C45" s="53" t="s">
        <v>269</v>
      </c>
      <c r="D45" s="22" t="n">
        <v>22375673</v>
      </c>
      <c r="E45" s="23" t="n">
        <v>45813</v>
      </c>
      <c r="F45" s="23" t="n">
        <f aca="false">WORKDAY(E45,G45)</f>
        <v>46205</v>
      </c>
      <c r="G45" s="24" t="n">
        <v>280</v>
      </c>
      <c r="H45" s="25" t="n">
        <f aca="false">(FT45* 5)/M45</f>
        <v>54.4615384615385</v>
      </c>
      <c r="I45" s="25" t="n">
        <f aca="false">G45-H45</f>
        <v>225.538461538462</v>
      </c>
      <c r="J45" s="26" t="s">
        <v>270</v>
      </c>
      <c r="K45" s="27" t="n">
        <v>1200000</v>
      </c>
      <c r="L45" s="27" t="n">
        <v>3640000</v>
      </c>
      <c r="M45" s="28" t="n">
        <f aca="false">(L45/G45)*5</f>
        <v>65000</v>
      </c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29"/>
      <c r="CG45" s="29"/>
      <c r="CH45" s="29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  <c r="DI45" s="29"/>
      <c r="DJ45" s="29"/>
      <c r="DK45" s="29"/>
      <c r="DL45" s="29"/>
      <c r="DM45" s="29"/>
      <c r="DN45" s="29"/>
      <c r="DO45" s="29"/>
      <c r="DP45" s="29"/>
      <c r="DQ45" s="29"/>
      <c r="DR45" s="29"/>
      <c r="DS45" s="29"/>
      <c r="DT45" s="29"/>
      <c r="DU45" s="29"/>
      <c r="DV45" s="29"/>
      <c r="DW45" s="29"/>
      <c r="DX45" s="29"/>
      <c r="DY45" s="29"/>
      <c r="DZ45" s="29"/>
      <c r="EA45" s="29"/>
      <c r="EB45" s="29"/>
      <c r="EC45" s="29"/>
      <c r="ED45" s="29"/>
      <c r="EE45" s="29"/>
      <c r="EF45" s="29"/>
      <c r="EG45" s="29"/>
      <c r="EH45" s="29"/>
      <c r="EI45" s="29"/>
      <c r="EJ45" s="29"/>
      <c r="EK45" s="29" t="s">
        <v>184</v>
      </c>
      <c r="EL45" s="29"/>
      <c r="EM45" s="29" t="s">
        <v>184</v>
      </c>
      <c r="EN45" s="29" t="s">
        <v>184</v>
      </c>
      <c r="EO45" s="29"/>
      <c r="EP45" s="29"/>
      <c r="EQ45" s="29"/>
      <c r="ER45" s="29"/>
      <c r="ES45" s="29"/>
      <c r="ET45" s="29"/>
      <c r="EU45" s="29"/>
      <c r="EV45" s="29"/>
      <c r="EW45" s="29"/>
      <c r="EX45" s="29" t="n">
        <v>170000</v>
      </c>
      <c r="EY45" s="29"/>
      <c r="EZ45" s="29"/>
      <c r="FA45" s="29"/>
      <c r="FB45" s="29"/>
      <c r="FC45" s="29"/>
      <c r="FD45" s="29"/>
      <c r="FE45" s="29" t="n">
        <v>26000</v>
      </c>
      <c r="FF45" s="29"/>
      <c r="FG45" s="29" t="n">
        <v>250000</v>
      </c>
      <c r="FH45" s="29"/>
      <c r="FI45" s="29"/>
      <c r="FJ45" s="29"/>
      <c r="FK45" s="29"/>
      <c r="FL45" s="29"/>
      <c r="FM45" s="29"/>
      <c r="FN45" s="29"/>
      <c r="FO45" s="29"/>
      <c r="FP45" s="29" t="n">
        <v>262000</v>
      </c>
      <c r="FQ45" s="29"/>
      <c r="FR45" s="29"/>
      <c r="FS45" s="29"/>
      <c r="FT45" s="29" t="n">
        <f aca="false">SUM(N45:FS45)</f>
        <v>708000</v>
      </c>
      <c r="FU45" s="30" t="n">
        <f aca="false">SUM(L45-FT45)</f>
        <v>2932000</v>
      </c>
      <c r="FV45" s="31" t="n">
        <f aca="false">SUM( H45/5)</f>
        <v>10.8923076923077</v>
      </c>
      <c r="FW45" s="31" t="n">
        <f aca="false">SUM( I45/5)</f>
        <v>45.1076923076923</v>
      </c>
      <c r="FX45" s="32" t="n">
        <f aca="false">SUM(FV45/4)</f>
        <v>2.72307692307692</v>
      </c>
      <c r="FY45" s="32" t="n">
        <f aca="false">SUM(FW45/4)</f>
        <v>11.2769230769231</v>
      </c>
    </row>
    <row r="46" customFormat="false" ht="43.5" hidden="false" customHeight="true" outlineLevel="0" collapsed="false">
      <c r="A46" s="20" t="n">
        <v>3431</v>
      </c>
      <c r="B46" s="21" t="s">
        <v>272</v>
      </c>
      <c r="C46" s="53" t="s">
        <v>269</v>
      </c>
      <c r="D46" s="22" t="n">
        <v>22375673</v>
      </c>
      <c r="E46" s="23" t="n">
        <v>45939</v>
      </c>
      <c r="F46" s="23" t="n">
        <f aca="false">WORKDAY(E46,G46)</f>
        <v>46051</v>
      </c>
      <c r="G46" s="24" t="n">
        <v>80</v>
      </c>
      <c r="H46" s="25" t="n">
        <f aca="false">(FT46* 5)/M46</f>
        <v>20</v>
      </c>
      <c r="I46" s="25" t="n">
        <f aca="false">G46-H46</f>
        <v>60</v>
      </c>
      <c r="J46" s="26" t="s">
        <v>273</v>
      </c>
      <c r="K46" s="30" t="n">
        <v>300000</v>
      </c>
      <c r="L46" s="30" t="n">
        <v>648000</v>
      </c>
      <c r="M46" s="28" t="n">
        <f aca="false">(L46/G46)*5</f>
        <v>40500</v>
      </c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  <c r="CE46" s="29"/>
      <c r="CF46" s="29"/>
      <c r="CG46" s="29"/>
      <c r="CH46" s="29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  <c r="DI46" s="29"/>
      <c r="DJ46" s="29"/>
      <c r="DK46" s="29"/>
      <c r="DL46" s="29"/>
      <c r="DM46" s="29"/>
      <c r="DN46" s="29"/>
      <c r="DO46" s="29"/>
      <c r="DP46" s="29"/>
      <c r="DQ46" s="29"/>
      <c r="DR46" s="29"/>
      <c r="DS46" s="29"/>
      <c r="DT46" s="29"/>
      <c r="DU46" s="29"/>
      <c r="DV46" s="29"/>
      <c r="DW46" s="29"/>
      <c r="DX46" s="29"/>
      <c r="DY46" s="29"/>
      <c r="DZ46" s="29"/>
      <c r="EA46" s="29"/>
      <c r="EB46" s="29"/>
      <c r="EC46" s="29"/>
      <c r="ED46" s="29"/>
      <c r="EE46" s="29"/>
      <c r="EF46" s="29"/>
      <c r="EG46" s="29"/>
      <c r="EH46" s="29"/>
      <c r="EI46" s="29"/>
      <c r="EJ46" s="29"/>
      <c r="EK46" s="29" t="s">
        <v>184</v>
      </c>
      <c r="EL46" s="29"/>
      <c r="EM46" s="29" t="s">
        <v>184</v>
      </c>
      <c r="EN46" s="29" t="s">
        <v>184</v>
      </c>
      <c r="EO46" s="29"/>
      <c r="EP46" s="29"/>
      <c r="EQ46" s="29"/>
      <c r="ER46" s="29"/>
      <c r="ES46" s="29" t="s">
        <v>184</v>
      </c>
      <c r="ET46" s="29"/>
      <c r="EU46" s="29"/>
      <c r="EV46" s="29" t="s">
        <v>184</v>
      </c>
      <c r="EW46" s="29"/>
      <c r="EX46" s="29"/>
      <c r="EY46" s="29"/>
      <c r="EZ46" s="29"/>
      <c r="FA46" s="29"/>
      <c r="FB46" s="29"/>
      <c r="FC46" s="29" t="s">
        <v>184</v>
      </c>
      <c r="FD46" s="29"/>
      <c r="FE46" s="29"/>
      <c r="FF46" s="29"/>
      <c r="FG46" s="29"/>
      <c r="FH46" s="29"/>
      <c r="FI46" s="29"/>
      <c r="FJ46" s="29"/>
      <c r="FK46" s="29"/>
      <c r="FL46" s="29"/>
      <c r="FM46" s="29"/>
      <c r="FN46" s="29"/>
      <c r="FO46" s="29"/>
      <c r="FP46" s="29" t="n">
        <v>162000</v>
      </c>
      <c r="FQ46" s="29"/>
      <c r="FR46" s="29"/>
      <c r="FS46" s="29"/>
      <c r="FT46" s="29" t="n">
        <f aca="false">SUM(N46:FS46)</f>
        <v>162000</v>
      </c>
      <c r="FU46" s="30" t="n">
        <f aca="false">SUM(L46-FT46)</f>
        <v>486000</v>
      </c>
      <c r="FV46" s="31" t="n">
        <f aca="false">SUM( H46/5)</f>
        <v>4</v>
      </c>
      <c r="FW46" s="31" t="n">
        <f aca="false">SUM( I46/5)</f>
        <v>12</v>
      </c>
      <c r="FX46" s="32" t="n">
        <f aca="false">SUM(FV46/4)</f>
        <v>1</v>
      </c>
      <c r="FY46" s="32" t="n">
        <f aca="false">SUM(FW46/4)</f>
        <v>3</v>
      </c>
    </row>
    <row r="47" customFormat="false" ht="43.5" hidden="false" customHeight="true" outlineLevel="0" collapsed="false">
      <c r="A47" s="20" t="n">
        <v>3273</v>
      </c>
      <c r="B47" s="54" t="s">
        <v>274</v>
      </c>
      <c r="C47" s="21" t="s">
        <v>275</v>
      </c>
      <c r="D47" s="22"/>
      <c r="E47" s="23" t="n">
        <v>45881</v>
      </c>
      <c r="F47" s="23" t="n">
        <f aca="false">WORKDAY(E47,G47)</f>
        <v>46273</v>
      </c>
      <c r="G47" s="24" t="n">
        <v>280</v>
      </c>
      <c r="H47" s="25" t="n">
        <f aca="false">(FT47* 5)/M47</f>
        <v>60</v>
      </c>
      <c r="I47" s="25" t="n">
        <f aca="false">G47-H47</f>
        <v>220</v>
      </c>
      <c r="J47" s="26" t="s">
        <v>276</v>
      </c>
      <c r="K47" s="27" t="n">
        <v>500000</v>
      </c>
      <c r="L47" s="27" t="n">
        <v>1400000</v>
      </c>
      <c r="M47" s="45" t="n">
        <f aca="false">(L47/G47)*5</f>
        <v>25000</v>
      </c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29"/>
      <c r="CG47" s="29"/>
      <c r="CH47" s="29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  <c r="DI47" s="29"/>
      <c r="DJ47" s="29"/>
      <c r="DK47" s="29"/>
      <c r="DL47" s="29"/>
      <c r="DM47" s="29"/>
      <c r="DN47" s="29"/>
      <c r="DO47" s="29"/>
      <c r="DP47" s="29"/>
      <c r="DQ47" s="29"/>
      <c r="DR47" s="29"/>
      <c r="DS47" s="29"/>
      <c r="DT47" s="29"/>
      <c r="DU47" s="29"/>
      <c r="DV47" s="29"/>
      <c r="DW47" s="29"/>
      <c r="DX47" s="29"/>
      <c r="DY47" s="29"/>
      <c r="DZ47" s="29"/>
      <c r="EA47" s="29"/>
      <c r="EB47" s="29"/>
      <c r="EC47" s="29"/>
      <c r="ED47" s="29"/>
      <c r="EE47" s="29"/>
      <c r="EF47" s="29"/>
      <c r="EG47" s="29"/>
      <c r="EH47" s="29"/>
      <c r="EI47" s="29"/>
      <c r="EJ47" s="29"/>
      <c r="EK47" s="29" t="s">
        <v>184</v>
      </c>
      <c r="EL47" s="29"/>
      <c r="EM47" s="29" t="s">
        <v>184</v>
      </c>
      <c r="EN47" s="29" t="s">
        <v>184</v>
      </c>
      <c r="EO47" s="29"/>
      <c r="EP47" s="29"/>
      <c r="EQ47" s="29"/>
      <c r="ER47" s="29"/>
      <c r="ES47" s="29" t="s">
        <v>184</v>
      </c>
      <c r="ET47" s="29"/>
      <c r="EU47" s="29"/>
      <c r="EV47" s="29" t="s">
        <v>184</v>
      </c>
      <c r="EW47" s="29"/>
      <c r="EX47" s="29"/>
      <c r="EY47" s="29"/>
      <c r="EZ47" s="29"/>
      <c r="FA47" s="29"/>
      <c r="FB47" s="29"/>
      <c r="FC47" s="29"/>
      <c r="FD47" s="29"/>
      <c r="FE47" s="29"/>
      <c r="FF47" s="29" t="n">
        <v>100000</v>
      </c>
      <c r="FG47" s="29"/>
      <c r="FH47" s="29"/>
      <c r="FI47" s="29"/>
      <c r="FJ47" s="29"/>
      <c r="FK47" s="29"/>
      <c r="FL47" s="29" t="n">
        <v>100000</v>
      </c>
      <c r="FM47" s="29"/>
      <c r="FN47" s="29"/>
      <c r="FO47" s="29"/>
      <c r="FP47" s="29" t="n">
        <v>100000</v>
      </c>
      <c r="FQ47" s="29"/>
      <c r="FR47" s="29"/>
      <c r="FS47" s="29"/>
      <c r="FT47" s="29" t="n">
        <f aca="false">SUM(N47:FS47)</f>
        <v>300000</v>
      </c>
      <c r="FU47" s="30" t="n">
        <f aca="false">SUM(L47-FT47)</f>
        <v>1100000</v>
      </c>
      <c r="FV47" s="31" t="n">
        <f aca="false">SUM( H47/5)</f>
        <v>12</v>
      </c>
      <c r="FW47" s="31" t="n">
        <f aca="false">SUM( I47/5)</f>
        <v>44</v>
      </c>
      <c r="FX47" s="32" t="n">
        <f aca="false">SUM(FV47/4)</f>
        <v>3</v>
      </c>
      <c r="FY47" s="32" t="n">
        <f aca="false">SUM(FW47/4)</f>
        <v>11</v>
      </c>
    </row>
    <row r="48" customFormat="false" ht="43.5" hidden="false" customHeight="true" outlineLevel="0" collapsed="false">
      <c r="A48" s="20" t="n">
        <v>3219</v>
      </c>
      <c r="B48" s="21" t="s">
        <v>277</v>
      </c>
      <c r="C48" s="21" t="s">
        <v>278</v>
      </c>
      <c r="D48" s="22" t="n">
        <v>14154231</v>
      </c>
      <c r="E48" s="23" t="n">
        <v>45699</v>
      </c>
      <c r="F48" s="23" t="n">
        <f aca="false">WORKDAY(E48,G48)</f>
        <v>45811</v>
      </c>
      <c r="G48" s="24" t="n">
        <v>80</v>
      </c>
      <c r="H48" s="25" t="n">
        <f aca="false">(FT48* 5)/M48</f>
        <v>37.037037037037</v>
      </c>
      <c r="I48" s="25" t="n">
        <f aca="false">G48-H48</f>
        <v>42.962962962963</v>
      </c>
      <c r="J48" s="26" t="s">
        <v>279</v>
      </c>
      <c r="K48" s="30" t="n">
        <v>300000</v>
      </c>
      <c r="L48" s="30" t="n">
        <v>648000</v>
      </c>
      <c r="M48" s="28" t="n">
        <f aca="false">(L48/G48)*5</f>
        <v>40500</v>
      </c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 t="s">
        <v>184</v>
      </c>
      <c r="EL48" s="29"/>
      <c r="EM48" s="29" t="s">
        <v>184</v>
      </c>
      <c r="EN48" s="29" t="s">
        <v>184</v>
      </c>
      <c r="EO48" s="29"/>
      <c r="EP48" s="29"/>
      <c r="EQ48" s="29"/>
      <c r="ER48" s="29"/>
      <c r="ES48" s="29"/>
      <c r="ET48" s="29"/>
      <c r="EU48" s="29"/>
      <c r="EV48" s="29"/>
      <c r="EW48" s="29"/>
      <c r="EX48" s="29"/>
      <c r="EY48" s="29"/>
      <c r="EZ48" s="29"/>
      <c r="FA48" s="29" t="n">
        <v>100000</v>
      </c>
      <c r="FB48" s="29"/>
      <c r="FC48" s="29"/>
      <c r="FD48" s="29"/>
      <c r="FE48" s="29" t="n">
        <v>100000</v>
      </c>
      <c r="FF48" s="29"/>
      <c r="FG48" s="29"/>
      <c r="FH48" s="29"/>
      <c r="FI48" s="29"/>
      <c r="FJ48" s="29"/>
      <c r="FK48" s="29"/>
      <c r="FL48" s="29"/>
      <c r="FM48" s="29"/>
      <c r="FN48" s="29"/>
      <c r="FO48" s="29" t="n">
        <v>100000</v>
      </c>
      <c r="FP48" s="29"/>
      <c r="FQ48" s="29"/>
      <c r="FR48" s="29"/>
      <c r="FS48" s="29"/>
      <c r="FT48" s="29" t="n">
        <f aca="false">SUM(N48:FS48)</f>
        <v>300000</v>
      </c>
      <c r="FU48" s="30" t="n">
        <f aca="false">SUM(L48-FT48)</f>
        <v>348000</v>
      </c>
      <c r="FV48" s="31" t="n">
        <f aca="false">SUM( H48/5)</f>
        <v>7.40740740740741</v>
      </c>
      <c r="FW48" s="31" t="n">
        <f aca="false">SUM( I48/5)</f>
        <v>8.59259259259259</v>
      </c>
      <c r="FX48" s="32" t="n">
        <f aca="false">SUM(FV48/4)</f>
        <v>1.85185185185185</v>
      </c>
      <c r="FY48" s="32" t="n">
        <f aca="false">SUM(FW48/4)</f>
        <v>2.14814814814815</v>
      </c>
    </row>
    <row r="49" customFormat="false" ht="43.5" hidden="false" customHeight="true" outlineLevel="0" collapsed="false">
      <c r="A49" s="20" t="n">
        <v>3004</v>
      </c>
      <c r="B49" s="21" t="s">
        <v>280</v>
      </c>
      <c r="C49" s="21" t="s">
        <v>281</v>
      </c>
      <c r="D49" s="22" t="s">
        <v>282</v>
      </c>
      <c r="E49" s="23" t="n">
        <v>45672</v>
      </c>
      <c r="F49" s="23" t="n">
        <f aca="false">WORKDAY(E49,G49)</f>
        <v>45868</v>
      </c>
      <c r="G49" s="24" t="n">
        <v>140</v>
      </c>
      <c r="H49" s="25" t="n">
        <f aca="false">(FT49* 5)/M49</f>
        <v>134.158012121212</v>
      </c>
      <c r="I49" s="25" t="n">
        <f aca="false">G49-H49</f>
        <v>5.8419878787879</v>
      </c>
      <c r="J49" s="26" t="s">
        <v>283</v>
      </c>
      <c r="K49" s="50" t="n">
        <v>300000</v>
      </c>
      <c r="L49" s="27" t="n">
        <v>825000</v>
      </c>
      <c r="M49" s="28" t="n">
        <f aca="false">(L49/G49)*5</f>
        <v>29464.2857142857</v>
      </c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  <c r="CF49" s="29"/>
      <c r="CG49" s="29"/>
      <c r="CH49" s="29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  <c r="DI49" s="29"/>
      <c r="DJ49" s="29"/>
      <c r="DK49" s="29"/>
      <c r="DL49" s="29"/>
      <c r="DM49" s="29"/>
      <c r="DN49" s="29"/>
      <c r="DO49" s="29"/>
      <c r="DP49" s="29"/>
      <c r="DQ49" s="29"/>
      <c r="DR49" s="29"/>
      <c r="DS49" s="29"/>
      <c r="DT49" s="29"/>
      <c r="DU49" s="29"/>
      <c r="DV49" s="29"/>
      <c r="DW49" s="29"/>
      <c r="DX49" s="29"/>
      <c r="DY49" s="29"/>
      <c r="DZ49" s="29"/>
      <c r="EA49" s="29"/>
      <c r="EB49" s="29"/>
      <c r="EC49" s="29" t="n">
        <v>85400</v>
      </c>
      <c r="ED49" s="29" t="n">
        <v>32500</v>
      </c>
      <c r="EE49" s="29"/>
      <c r="EF49" s="29"/>
      <c r="EG49" s="29"/>
      <c r="EH49" s="29" t="n">
        <v>88400</v>
      </c>
      <c r="EI49" s="29" t="n">
        <v>30000</v>
      </c>
      <c r="EJ49" s="29"/>
      <c r="EK49" s="29"/>
      <c r="EL49" s="29" t="n">
        <v>42200</v>
      </c>
      <c r="EM49" s="29" t="n">
        <v>70000</v>
      </c>
      <c r="EN49" s="29"/>
      <c r="EO49" s="29"/>
      <c r="EP49" s="29" t="n">
        <v>9000</v>
      </c>
      <c r="EQ49" s="29" t="n">
        <v>60000</v>
      </c>
      <c r="ER49" s="29" t="n">
        <v>10000</v>
      </c>
      <c r="ES49" s="29" t="n">
        <v>38858</v>
      </c>
      <c r="ET49" s="29"/>
      <c r="EU49" s="29" t="n">
        <v>11500</v>
      </c>
      <c r="EV49" s="29"/>
      <c r="EW49" s="29" t="n">
        <v>117858</v>
      </c>
      <c r="EX49" s="29"/>
      <c r="EY49" s="29"/>
      <c r="EZ49" s="29"/>
      <c r="FA49" s="29" t="n">
        <v>14642</v>
      </c>
      <c r="FB49" s="29" t="n">
        <v>100000</v>
      </c>
      <c r="FC49" s="29" t="n">
        <v>3216</v>
      </c>
      <c r="FD49" s="29"/>
      <c r="FE49" s="29"/>
      <c r="FF49" s="29"/>
      <c r="FG49" s="29"/>
      <c r="FH49" s="29"/>
      <c r="FI49" s="29" t="n">
        <v>19500</v>
      </c>
      <c r="FJ49" s="29"/>
      <c r="FK49" s="29"/>
      <c r="FL49" s="29"/>
      <c r="FM49" s="29"/>
      <c r="FN49" s="29"/>
      <c r="FO49" s="29" t="n">
        <v>27500</v>
      </c>
      <c r="FP49" s="29"/>
      <c r="FQ49" s="29"/>
      <c r="FR49" s="29"/>
      <c r="FS49" s="29" t="n">
        <v>30000</v>
      </c>
      <c r="FT49" s="29" t="n">
        <f aca="false">SUM(N49:FS49)</f>
        <v>790574</v>
      </c>
      <c r="FU49" s="30" t="n">
        <f aca="false">SUM(L49-FT49)</f>
        <v>34426</v>
      </c>
      <c r="FV49" s="31" t="n">
        <f aca="false">SUM( H49/5)</f>
        <v>26.8316024242424</v>
      </c>
      <c r="FW49" s="31" t="n">
        <f aca="false">SUM( I49/5)</f>
        <v>1.16839757575758</v>
      </c>
      <c r="FX49" s="32" t="n">
        <f aca="false">SUM(FV49/4)</f>
        <v>6.70790060606061</v>
      </c>
      <c r="FY49" s="32" t="n">
        <f aca="false">SUM(FW49/4)</f>
        <v>0.292099393939395</v>
      </c>
    </row>
    <row r="50" customFormat="false" ht="43.5" hidden="false" customHeight="true" outlineLevel="0" collapsed="false">
      <c r="A50" s="20" t="n">
        <v>3146</v>
      </c>
      <c r="B50" s="21" t="s">
        <v>280</v>
      </c>
      <c r="C50" s="21" t="s">
        <v>281</v>
      </c>
      <c r="D50" s="22" t="s">
        <v>282</v>
      </c>
      <c r="E50" s="23" t="n">
        <v>45756</v>
      </c>
      <c r="F50" s="23" t="n">
        <f aca="false">WORKDAY(E50,G50)</f>
        <v>46050</v>
      </c>
      <c r="G50" s="24" t="n">
        <v>210</v>
      </c>
      <c r="H50" s="25" t="n">
        <f aca="false">(FT50* 5)/M50</f>
        <v>135</v>
      </c>
      <c r="I50" s="25" t="n">
        <f aca="false">G50-H50</f>
        <v>75</v>
      </c>
      <c r="J50" s="34" t="s">
        <v>284</v>
      </c>
      <c r="K50" s="30" t="n">
        <v>500000</v>
      </c>
      <c r="L50" s="30" t="n">
        <v>1701000</v>
      </c>
      <c r="M50" s="45" t="n">
        <f aca="false">(L50/G50)*5</f>
        <v>40500</v>
      </c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  <c r="DK50" s="29"/>
      <c r="DL50" s="29"/>
      <c r="DM50" s="29"/>
      <c r="DN50" s="29"/>
      <c r="DO50" s="29"/>
      <c r="DP50" s="29"/>
      <c r="DQ50" s="29"/>
      <c r="DR50" s="29"/>
      <c r="DS50" s="29"/>
      <c r="DT50" s="29"/>
      <c r="DU50" s="29"/>
      <c r="DV50" s="29"/>
      <c r="DW50" s="29"/>
      <c r="DX50" s="29"/>
      <c r="DY50" s="29"/>
      <c r="DZ50" s="29"/>
      <c r="EA50" s="29"/>
      <c r="EB50" s="29"/>
      <c r="EC50" s="29"/>
      <c r="ED50" s="29"/>
      <c r="EE50" s="29"/>
      <c r="EF50" s="29"/>
      <c r="EG50" s="29"/>
      <c r="EH50" s="29"/>
      <c r="EI50" s="29"/>
      <c r="EJ50" s="29"/>
      <c r="EK50" s="29" t="s">
        <v>184</v>
      </c>
      <c r="EL50" s="29"/>
      <c r="EM50" s="29" t="n">
        <v>40500</v>
      </c>
      <c r="EN50" s="29" t="n">
        <v>40500</v>
      </c>
      <c r="EO50" s="29" t="n">
        <v>40500</v>
      </c>
      <c r="EP50" s="29" t="n">
        <v>40500</v>
      </c>
      <c r="EQ50" s="29" t="n">
        <v>40500</v>
      </c>
      <c r="ER50" s="29" t="n">
        <v>40500</v>
      </c>
      <c r="ES50" s="29" t="n">
        <v>40500</v>
      </c>
      <c r="ET50" s="29" t="n">
        <v>40500</v>
      </c>
      <c r="EU50" s="29" t="n">
        <v>40500</v>
      </c>
      <c r="EV50" s="29" t="n">
        <v>40500</v>
      </c>
      <c r="EW50" s="29" t="n">
        <v>40500</v>
      </c>
      <c r="EX50" s="29" t="n">
        <v>40500</v>
      </c>
      <c r="EY50" s="29" t="n">
        <v>40500</v>
      </c>
      <c r="EZ50" s="29" t="n">
        <v>40500</v>
      </c>
      <c r="FA50" s="29" t="n">
        <v>40500</v>
      </c>
      <c r="FB50" s="29" t="n">
        <v>40500</v>
      </c>
      <c r="FC50" s="29" t="n">
        <v>40500</v>
      </c>
      <c r="FD50" s="29" t="n">
        <v>40500</v>
      </c>
      <c r="FE50" s="29" t="n">
        <v>40500</v>
      </c>
      <c r="FF50" s="29" t="n">
        <v>40500</v>
      </c>
      <c r="FG50" s="29" t="n">
        <v>40500</v>
      </c>
      <c r="FH50" s="29" t="n">
        <v>40500</v>
      </c>
      <c r="FI50" s="29" t="n">
        <v>40500</v>
      </c>
      <c r="FJ50" s="29" t="n">
        <v>40500</v>
      </c>
      <c r="FK50" s="29"/>
      <c r="FL50" s="29" t="n">
        <v>40500</v>
      </c>
      <c r="FM50" s="29"/>
      <c r="FN50" s="29" t="n">
        <v>40500</v>
      </c>
      <c r="FO50" s="29" t="n">
        <v>40500</v>
      </c>
      <c r="FP50" s="29"/>
      <c r="FQ50" s="29"/>
      <c r="FR50" s="29"/>
      <c r="FS50" s="29"/>
      <c r="FT50" s="29" t="n">
        <f aca="false">SUM(N50:FS50)</f>
        <v>1093500</v>
      </c>
      <c r="FU50" s="27" t="n">
        <f aca="false">SUM(L50-FT50)</f>
        <v>607500</v>
      </c>
      <c r="FV50" s="31" t="n">
        <f aca="false">SUM( H50/5)</f>
        <v>27</v>
      </c>
      <c r="FW50" s="31" t="n">
        <f aca="false">SUM( I50/5)</f>
        <v>15</v>
      </c>
      <c r="FX50" s="32" t="n">
        <f aca="false">SUM(FV50/4)</f>
        <v>6.75</v>
      </c>
      <c r="FY50" s="32" t="n">
        <f aca="false">SUM(FW50/4)</f>
        <v>3.75</v>
      </c>
    </row>
    <row r="51" customFormat="false" ht="43.5" hidden="false" customHeight="true" outlineLevel="0" collapsed="false">
      <c r="A51" s="20" t="n">
        <v>3176</v>
      </c>
      <c r="B51" s="21" t="s">
        <v>280</v>
      </c>
      <c r="C51" s="21" t="s">
        <v>281</v>
      </c>
      <c r="D51" s="22" t="s">
        <v>282</v>
      </c>
      <c r="E51" s="23" t="n">
        <v>45777</v>
      </c>
      <c r="F51" s="23" t="n">
        <f aca="false">WORKDAY(E51,G51)</f>
        <v>46001</v>
      </c>
      <c r="G51" s="24" t="n">
        <v>160</v>
      </c>
      <c r="H51" s="25" t="n">
        <f aca="false">(FT51* 5)/M51</f>
        <v>49.7045333333333</v>
      </c>
      <c r="I51" s="25" t="n">
        <f aca="false">G51-H51</f>
        <v>110.295466666667</v>
      </c>
      <c r="J51" s="26" t="s">
        <v>285</v>
      </c>
      <c r="K51" s="55" t="n">
        <v>400000</v>
      </c>
      <c r="L51" s="30" t="n">
        <v>1200000</v>
      </c>
      <c r="M51" s="45" t="n">
        <f aca="false">(L51/G51)*5</f>
        <v>37500</v>
      </c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C51" s="40"/>
      <c r="CD51" s="40"/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P51" s="40"/>
      <c r="CQ51" s="40"/>
      <c r="CR51" s="40"/>
      <c r="CS51" s="40"/>
      <c r="CT51" s="40"/>
      <c r="CU51" s="40"/>
      <c r="CV51" s="40"/>
      <c r="CW51" s="40"/>
      <c r="CX51" s="40"/>
      <c r="CY51" s="40"/>
      <c r="CZ51" s="40"/>
      <c r="DA51" s="40"/>
      <c r="DB51" s="40"/>
      <c r="DC51" s="40"/>
      <c r="DD51" s="40"/>
      <c r="DE51" s="40"/>
      <c r="DF51" s="40"/>
      <c r="DG51" s="40"/>
      <c r="DH51" s="40"/>
      <c r="DI51" s="40"/>
      <c r="DJ51" s="40"/>
      <c r="DK51" s="40"/>
      <c r="DL51" s="40"/>
      <c r="DM51" s="40"/>
      <c r="DN51" s="40"/>
      <c r="DO51" s="40"/>
      <c r="DP51" s="40"/>
      <c r="DQ51" s="40"/>
      <c r="DR51" s="40"/>
      <c r="DS51" s="40"/>
      <c r="DT51" s="40"/>
      <c r="DU51" s="40"/>
      <c r="DV51" s="40"/>
      <c r="DW51" s="40"/>
      <c r="DX51" s="40"/>
      <c r="DY51" s="40"/>
      <c r="DZ51" s="40"/>
      <c r="EA51" s="40"/>
      <c r="EB51" s="40"/>
      <c r="EC51" s="40"/>
      <c r="ED51" s="40"/>
      <c r="EE51" s="40"/>
      <c r="EF51" s="40"/>
      <c r="EG51" s="40"/>
      <c r="EH51" s="40"/>
      <c r="EI51" s="40"/>
      <c r="EJ51" s="40"/>
      <c r="EK51" s="40"/>
      <c r="EL51" s="40"/>
      <c r="EM51" s="40"/>
      <c r="EN51" s="40"/>
      <c r="EO51" s="40"/>
      <c r="EP51" s="40"/>
      <c r="EQ51" s="29"/>
      <c r="ER51" s="29"/>
      <c r="ES51" s="29"/>
      <c r="ET51" s="29"/>
      <c r="EU51" s="29"/>
      <c r="EV51" s="29"/>
      <c r="EW51" s="29" t="n">
        <v>83642</v>
      </c>
      <c r="EX51" s="29"/>
      <c r="EY51" s="29" t="n">
        <v>36858</v>
      </c>
      <c r="EZ51" s="29" t="n">
        <v>60000</v>
      </c>
      <c r="FA51" s="29"/>
      <c r="FB51" s="29"/>
      <c r="FC51" s="29" t="n">
        <v>38284</v>
      </c>
      <c r="FD51" s="29" t="n">
        <v>41500</v>
      </c>
      <c r="FE51" s="29"/>
      <c r="FF51" s="29" t="n">
        <v>29500</v>
      </c>
      <c r="FG51" s="29"/>
      <c r="FH51" s="29" t="n">
        <v>39500</v>
      </c>
      <c r="FI51" s="29" t="n">
        <v>40000</v>
      </c>
      <c r="FJ51" s="29"/>
      <c r="FK51" s="29"/>
      <c r="FL51" s="29"/>
      <c r="FM51" s="29"/>
      <c r="FN51" s="29" t="n">
        <v>3500</v>
      </c>
      <c r="FO51" s="29"/>
      <c r="FP51" s="29"/>
      <c r="FQ51" s="29"/>
      <c r="FR51" s="29"/>
      <c r="FS51" s="29"/>
      <c r="FT51" s="29" t="n">
        <f aca="false">SUM(N51:FS51)</f>
        <v>372784</v>
      </c>
      <c r="FU51" s="27" t="n">
        <f aca="false">SUM(L51-FT51)</f>
        <v>827216</v>
      </c>
      <c r="FV51" s="31" t="n">
        <f aca="false">SUM( H51/5)</f>
        <v>9.94090666666667</v>
      </c>
      <c r="FW51" s="31" t="n">
        <f aca="false">SUM( I51/5)</f>
        <v>22.0590933333333</v>
      </c>
      <c r="FX51" s="32" t="n">
        <f aca="false">SUM(FV51/4)</f>
        <v>2.48522666666667</v>
      </c>
      <c r="FY51" s="32" t="n">
        <f aca="false">SUM(FW51/4)</f>
        <v>5.51477333333333</v>
      </c>
    </row>
    <row r="52" customFormat="false" ht="43.5" hidden="false" customHeight="true" outlineLevel="0" collapsed="false">
      <c r="A52" s="20" t="n">
        <v>3322</v>
      </c>
      <c r="B52" s="21" t="s">
        <v>280</v>
      </c>
      <c r="C52" s="21" t="s">
        <v>281</v>
      </c>
      <c r="D52" s="22" t="s">
        <v>282</v>
      </c>
      <c r="E52" s="23" t="n">
        <v>45866</v>
      </c>
      <c r="F52" s="23" t="n">
        <f aca="false">WORKDAY(E52,G52)</f>
        <v>46034</v>
      </c>
      <c r="G52" s="24" t="n">
        <v>120</v>
      </c>
      <c r="H52" s="25" t="n">
        <f aca="false">(FT52* 5)/M52</f>
        <v>2.55681818181818</v>
      </c>
      <c r="I52" s="25" t="n">
        <f aca="false">G52-H52</f>
        <v>117.443181818182</v>
      </c>
      <c r="J52" s="26" t="s">
        <v>224</v>
      </c>
      <c r="K52" s="50" t="n">
        <v>400000</v>
      </c>
      <c r="L52" s="27" t="n">
        <v>1056000</v>
      </c>
      <c r="M52" s="45" t="n">
        <f aca="false">(L52/G52)*5</f>
        <v>44000</v>
      </c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  <c r="DI52" s="29"/>
      <c r="DJ52" s="29"/>
      <c r="DK52" s="29"/>
      <c r="DL52" s="29"/>
      <c r="DM52" s="29"/>
      <c r="DN52" s="29"/>
      <c r="DO52" s="29"/>
      <c r="DP52" s="29"/>
      <c r="DQ52" s="29"/>
      <c r="DR52" s="29"/>
      <c r="DS52" s="29"/>
      <c r="DT52" s="29"/>
      <c r="DU52" s="29"/>
      <c r="DV52" s="29"/>
      <c r="DW52" s="29"/>
      <c r="DX52" s="29"/>
      <c r="DY52" s="29"/>
      <c r="DZ52" s="29"/>
      <c r="EA52" s="29"/>
      <c r="EB52" s="29"/>
      <c r="EC52" s="29"/>
      <c r="ED52" s="29"/>
      <c r="EE52" s="29"/>
      <c r="EF52" s="29"/>
      <c r="EG52" s="29"/>
      <c r="EH52" s="29"/>
      <c r="EI52" s="29"/>
      <c r="EJ52" s="29"/>
      <c r="EK52" s="29" t="s">
        <v>184</v>
      </c>
      <c r="EL52" s="29"/>
      <c r="EM52" s="29" t="s">
        <v>184</v>
      </c>
      <c r="EN52" s="29" t="s">
        <v>184</v>
      </c>
      <c r="EO52" s="29"/>
      <c r="EP52" s="29"/>
      <c r="EQ52" s="29"/>
      <c r="ER52" s="29"/>
      <c r="ES52" s="29" t="s">
        <v>184</v>
      </c>
      <c r="ET52" s="29"/>
      <c r="EU52" s="29"/>
      <c r="EV52" s="29" t="s">
        <v>184</v>
      </c>
      <c r="EW52" s="29"/>
      <c r="EX52" s="29"/>
      <c r="EY52" s="29"/>
      <c r="EZ52" s="29"/>
      <c r="FA52" s="29"/>
      <c r="FB52" s="29"/>
      <c r="FC52" s="29"/>
      <c r="FD52" s="29"/>
      <c r="FE52" s="29"/>
      <c r="FF52" s="29"/>
      <c r="FG52" s="29"/>
      <c r="FH52" s="29"/>
      <c r="FI52" s="29"/>
      <c r="FJ52" s="29" t="n">
        <v>22500</v>
      </c>
      <c r="FK52" s="29"/>
      <c r="FL52" s="29"/>
      <c r="FM52" s="29"/>
      <c r="FN52" s="29"/>
      <c r="FO52" s="29"/>
      <c r="FP52" s="29"/>
      <c r="FQ52" s="29"/>
      <c r="FR52" s="29"/>
      <c r="FS52" s="29"/>
      <c r="FT52" s="29" t="n">
        <f aca="false">SUM(N52:FS52)</f>
        <v>22500</v>
      </c>
      <c r="FU52" s="30" t="n">
        <f aca="false">SUM(L52-FT52)</f>
        <v>1033500</v>
      </c>
      <c r="FV52" s="31" t="n">
        <f aca="false">SUM( H52/5)</f>
        <v>0.511363636363636</v>
      </c>
      <c r="FW52" s="31" t="n">
        <f aca="false">SUM( I52/5)</f>
        <v>23.4886363636364</v>
      </c>
      <c r="FX52" s="32" t="n">
        <f aca="false">SUM(FV52/4)</f>
        <v>0.127840909090909</v>
      </c>
      <c r="FY52" s="32" t="n">
        <f aca="false">SUM(FW52/4)</f>
        <v>5.87215909090909</v>
      </c>
    </row>
    <row r="53" customFormat="false" ht="43.5" hidden="false" customHeight="true" outlineLevel="0" collapsed="false">
      <c r="A53" s="20" t="n">
        <v>3421</v>
      </c>
      <c r="B53" s="21" t="s">
        <v>280</v>
      </c>
      <c r="C53" s="21" t="s">
        <v>281</v>
      </c>
      <c r="D53" s="22" t="s">
        <v>282</v>
      </c>
      <c r="E53" s="23" t="n">
        <v>45929</v>
      </c>
      <c r="F53" s="23" t="n">
        <f aca="false">WORKDAY(E53,G53)</f>
        <v>46153</v>
      </c>
      <c r="G53" s="24" t="n">
        <v>160</v>
      </c>
      <c r="H53" s="25" t="n">
        <f aca="false">(FT53* 5)/M53</f>
        <v>16.0185185185185</v>
      </c>
      <c r="I53" s="25" t="n">
        <f aca="false">G53-H53</f>
        <v>143.981481481481</v>
      </c>
      <c r="J53" s="34" t="s">
        <v>286</v>
      </c>
      <c r="K53" s="30" t="n">
        <v>300000</v>
      </c>
      <c r="L53" s="30" t="n">
        <v>864000</v>
      </c>
      <c r="M53" s="45" t="n">
        <f aca="false">(L53/G53)*5</f>
        <v>27000</v>
      </c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 t="s">
        <v>184</v>
      </c>
      <c r="EL53" s="40"/>
      <c r="EM53" s="40" t="s">
        <v>184</v>
      </c>
      <c r="EN53" s="40" t="s">
        <v>184</v>
      </c>
      <c r="EO53" s="40"/>
      <c r="EP53" s="40"/>
      <c r="EQ53" s="29"/>
      <c r="ER53" s="29"/>
      <c r="ES53" s="29" t="s">
        <v>184</v>
      </c>
      <c r="ET53" s="29"/>
      <c r="EU53" s="29"/>
      <c r="EV53" s="29" t="s">
        <v>184</v>
      </c>
      <c r="EW53" s="29"/>
      <c r="EX53" s="29"/>
      <c r="EY53" s="29"/>
      <c r="EZ53" s="29"/>
      <c r="FA53" s="29"/>
      <c r="FB53" s="29"/>
      <c r="FC53" s="29" t="s">
        <v>184</v>
      </c>
      <c r="FD53" s="29"/>
      <c r="FE53" s="29"/>
      <c r="FF53" s="29"/>
      <c r="FG53" s="29"/>
      <c r="FH53" s="29"/>
      <c r="FI53" s="29"/>
      <c r="FJ53" s="29" t="n">
        <v>27000</v>
      </c>
      <c r="FK53" s="29"/>
      <c r="FL53" s="29" t="n">
        <v>27000</v>
      </c>
      <c r="FM53" s="29" t="n">
        <v>32500</v>
      </c>
      <c r="FN53" s="29"/>
      <c r="FO53" s="29"/>
      <c r="FP53" s="29"/>
      <c r="FQ53" s="29"/>
      <c r="FR53" s="29"/>
      <c r="FS53" s="29"/>
      <c r="FT53" s="29" t="n">
        <f aca="false">SUM(N53:FS53)</f>
        <v>86500</v>
      </c>
      <c r="FU53" s="27" t="n">
        <f aca="false">SUM(L53-FT53)</f>
        <v>777500</v>
      </c>
      <c r="FV53" s="31" t="n">
        <f aca="false">SUM( H53/5)</f>
        <v>3.2037037037037</v>
      </c>
      <c r="FW53" s="31" t="n">
        <f aca="false">SUM( I53/5)</f>
        <v>28.7962962962963</v>
      </c>
      <c r="FX53" s="32" t="n">
        <f aca="false">SUM(FV53/4)</f>
        <v>0.800925925925926</v>
      </c>
      <c r="FY53" s="32" t="n">
        <f aca="false">SUM(FW53/4)</f>
        <v>7.19907407407407</v>
      </c>
    </row>
    <row r="54" customFormat="false" ht="43.5" hidden="false" customHeight="true" outlineLevel="0" collapsed="false">
      <c r="A54" s="20" t="n">
        <v>3371</v>
      </c>
      <c r="B54" s="21" t="s">
        <v>287</v>
      </c>
      <c r="C54" s="21" t="s">
        <v>288</v>
      </c>
      <c r="D54" s="22"/>
      <c r="E54" s="23" t="n">
        <v>45897</v>
      </c>
      <c r="F54" s="23" t="n">
        <f aca="false">WORKDAY(E54,G54)</f>
        <v>46051</v>
      </c>
      <c r="G54" s="24" t="n">
        <v>110</v>
      </c>
      <c r="H54" s="25" t="n">
        <f aca="false">(FT54* 5)/M54</f>
        <v>60</v>
      </c>
      <c r="I54" s="25" t="n">
        <f aca="false">G54-H54</f>
        <v>50</v>
      </c>
      <c r="J54" s="34" t="s">
        <v>289</v>
      </c>
      <c r="K54" s="27" t="n">
        <v>500000</v>
      </c>
      <c r="L54" s="27" t="n">
        <v>1320000</v>
      </c>
      <c r="M54" s="28" t="n">
        <f aca="false">(L54/G54)*5</f>
        <v>60000</v>
      </c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40"/>
      <c r="CN54" s="40"/>
      <c r="CO54" s="40"/>
      <c r="CP54" s="40"/>
      <c r="CQ54" s="40"/>
      <c r="CR54" s="40"/>
      <c r="CS54" s="40"/>
      <c r="CT54" s="40"/>
      <c r="CU54" s="40"/>
      <c r="CV54" s="40"/>
      <c r="CW54" s="40"/>
      <c r="CX54" s="40"/>
      <c r="CY54" s="40"/>
      <c r="CZ54" s="40"/>
      <c r="DA54" s="40"/>
      <c r="DB54" s="40"/>
      <c r="DC54" s="40"/>
      <c r="DD54" s="40"/>
      <c r="DE54" s="40"/>
      <c r="DF54" s="40"/>
      <c r="DG54" s="40"/>
      <c r="DH54" s="40"/>
      <c r="DI54" s="40"/>
      <c r="DJ54" s="40"/>
      <c r="DK54" s="40"/>
      <c r="DL54" s="40"/>
      <c r="DM54" s="40"/>
      <c r="DN54" s="40"/>
      <c r="DO54" s="40"/>
      <c r="DP54" s="40"/>
      <c r="DQ54" s="40"/>
      <c r="DR54" s="40"/>
      <c r="DS54" s="40"/>
      <c r="DT54" s="40"/>
      <c r="DU54" s="40"/>
      <c r="DV54" s="40"/>
      <c r="DW54" s="40"/>
      <c r="DX54" s="40"/>
      <c r="DY54" s="40"/>
      <c r="DZ54" s="40"/>
      <c r="EA54" s="40"/>
      <c r="EB54" s="40"/>
      <c r="EC54" s="40"/>
      <c r="ED54" s="40"/>
      <c r="EE54" s="40"/>
      <c r="EF54" s="40"/>
      <c r="EG54" s="40"/>
      <c r="EH54" s="40"/>
      <c r="EI54" s="40"/>
      <c r="EJ54" s="40"/>
      <c r="EK54" s="40" t="s">
        <v>184</v>
      </c>
      <c r="EL54" s="40"/>
      <c r="EM54" s="40" t="s">
        <v>184</v>
      </c>
      <c r="EN54" s="40" t="s">
        <v>184</v>
      </c>
      <c r="EO54" s="40"/>
      <c r="EP54" s="40"/>
      <c r="EQ54" s="29"/>
      <c r="ER54" s="29"/>
      <c r="ES54" s="29" t="s">
        <v>184</v>
      </c>
      <c r="ET54" s="29"/>
      <c r="EU54" s="29"/>
      <c r="EV54" s="29" t="s">
        <v>184</v>
      </c>
      <c r="EW54" s="29"/>
      <c r="EX54" s="29"/>
      <c r="EY54" s="29"/>
      <c r="EZ54" s="29"/>
      <c r="FA54" s="29"/>
      <c r="FB54" s="29"/>
      <c r="FC54" s="29" t="s">
        <v>184</v>
      </c>
      <c r="FD54" s="29"/>
      <c r="FE54" s="29"/>
      <c r="FF54" s="29"/>
      <c r="FG54" s="29" t="n">
        <v>60000</v>
      </c>
      <c r="FH54" s="29" t="n">
        <v>60000</v>
      </c>
      <c r="FI54" s="29" t="n">
        <v>60000</v>
      </c>
      <c r="FJ54" s="29"/>
      <c r="FK54" s="29" t="n">
        <v>120000</v>
      </c>
      <c r="FL54" s="29" t="n">
        <v>60000</v>
      </c>
      <c r="FM54" s="29" t="n">
        <v>60000</v>
      </c>
      <c r="FN54" s="29" t="n">
        <v>60000</v>
      </c>
      <c r="FO54" s="29"/>
      <c r="FP54" s="29" t="n">
        <v>120000</v>
      </c>
      <c r="FQ54" s="29"/>
      <c r="FR54" s="29" t="n">
        <v>120000</v>
      </c>
      <c r="FS54" s="29"/>
      <c r="FT54" s="29" t="n">
        <f aca="false">SUM(N54:FS54)</f>
        <v>720000</v>
      </c>
      <c r="FU54" s="27" t="n">
        <f aca="false">SUM(L54-FT54)</f>
        <v>600000</v>
      </c>
      <c r="FV54" s="31" t="n">
        <f aca="false">SUM( H54/5)</f>
        <v>12</v>
      </c>
      <c r="FW54" s="31" t="n">
        <f aca="false">SUM( I54/5)</f>
        <v>10</v>
      </c>
      <c r="FX54" s="32" t="n">
        <f aca="false">SUM(FV54/4)</f>
        <v>3</v>
      </c>
      <c r="FY54" s="32" t="n">
        <f aca="false">SUM(FW54/4)</f>
        <v>2.5</v>
      </c>
    </row>
    <row r="55" customFormat="false" ht="43.5" hidden="false" customHeight="true" outlineLevel="0" collapsed="false">
      <c r="A55" s="20" t="n">
        <v>3441</v>
      </c>
      <c r="B55" s="21" t="s">
        <v>287</v>
      </c>
      <c r="C55" s="21" t="s">
        <v>288</v>
      </c>
      <c r="D55" s="22"/>
      <c r="E55" s="23" t="n">
        <v>45944</v>
      </c>
      <c r="F55" s="23" t="n">
        <f aca="false">WORKDAY(E55,G55)</f>
        <v>46168</v>
      </c>
      <c r="G55" s="24" t="n">
        <v>160</v>
      </c>
      <c r="H55" s="25" t="n">
        <f aca="false">(FT55* 5)/M55</f>
        <v>27.2222222222222</v>
      </c>
      <c r="I55" s="25" t="n">
        <f aca="false">G55-H55</f>
        <v>132.777777777778</v>
      </c>
      <c r="J55" s="34" t="s">
        <v>290</v>
      </c>
      <c r="K55" s="30" t="n">
        <v>1000000</v>
      </c>
      <c r="L55" s="30" t="n">
        <v>2880000</v>
      </c>
      <c r="M55" s="28" t="n">
        <f aca="false">(L55/G55)*5</f>
        <v>90000</v>
      </c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D55" s="40"/>
      <c r="CE55" s="40"/>
      <c r="CF55" s="40"/>
      <c r="CG55" s="40"/>
      <c r="CH55" s="40"/>
      <c r="CI55" s="40"/>
      <c r="CJ55" s="40"/>
      <c r="CK55" s="40"/>
      <c r="CL55" s="40"/>
      <c r="CM55" s="40"/>
      <c r="CN55" s="40"/>
      <c r="CO55" s="40"/>
      <c r="CP55" s="40"/>
      <c r="CQ55" s="40"/>
      <c r="CR55" s="40"/>
      <c r="CS55" s="40"/>
      <c r="CT55" s="40"/>
      <c r="CU55" s="40"/>
      <c r="CV55" s="40"/>
      <c r="CW55" s="40"/>
      <c r="CX55" s="40"/>
      <c r="CY55" s="40"/>
      <c r="CZ55" s="40"/>
      <c r="DA55" s="40"/>
      <c r="DB55" s="40"/>
      <c r="DC55" s="40"/>
      <c r="DD55" s="40"/>
      <c r="DE55" s="40"/>
      <c r="DF55" s="40"/>
      <c r="DG55" s="40"/>
      <c r="DH55" s="40"/>
      <c r="DI55" s="40"/>
      <c r="DJ55" s="40"/>
      <c r="DK55" s="40"/>
      <c r="DL55" s="40"/>
      <c r="DM55" s="40"/>
      <c r="DN55" s="40"/>
      <c r="DO55" s="40"/>
      <c r="DP55" s="40"/>
      <c r="DQ55" s="40"/>
      <c r="DR55" s="40"/>
      <c r="DS55" s="40"/>
      <c r="DT55" s="40"/>
      <c r="DU55" s="40"/>
      <c r="DV55" s="40"/>
      <c r="DW55" s="40"/>
      <c r="DX55" s="40"/>
      <c r="DY55" s="40"/>
      <c r="DZ55" s="40"/>
      <c r="EA55" s="40"/>
      <c r="EB55" s="40"/>
      <c r="EC55" s="40"/>
      <c r="ED55" s="40"/>
      <c r="EE55" s="40"/>
      <c r="EF55" s="40"/>
      <c r="EG55" s="40"/>
      <c r="EH55" s="40"/>
      <c r="EI55" s="40"/>
      <c r="EJ55" s="40"/>
      <c r="EK55" s="40" t="s">
        <v>184</v>
      </c>
      <c r="EL55" s="40"/>
      <c r="EM55" s="40" t="s">
        <v>184</v>
      </c>
      <c r="EN55" s="40" t="s">
        <v>184</v>
      </c>
      <c r="EO55" s="40"/>
      <c r="EP55" s="40"/>
      <c r="EQ55" s="29"/>
      <c r="ER55" s="29"/>
      <c r="ES55" s="29" t="s">
        <v>184</v>
      </c>
      <c r="ET55" s="29"/>
      <c r="EU55" s="29"/>
      <c r="EV55" s="29" t="s">
        <v>184</v>
      </c>
      <c r="EW55" s="29"/>
      <c r="EX55" s="29"/>
      <c r="EY55" s="29"/>
      <c r="EZ55" s="29"/>
      <c r="FA55" s="29"/>
      <c r="FB55" s="29"/>
      <c r="FC55" s="29" t="s">
        <v>184</v>
      </c>
      <c r="FD55" s="29"/>
      <c r="FE55" s="29"/>
      <c r="FF55" s="29"/>
      <c r="FG55" s="29"/>
      <c r="FH55" s="29"/>
      <c r="FI55" s="29"/>
      <c r="FJ55" s="29"/>
      <c r="FK55" s="29"/>
      <c r="FL55" s="29"/>
      <c r="FM55" s="29" t="n">
        <v>90000</v>
      </c>
      <c r="FN55" s="29" t="n">
        <v>90000</v>
      </c>
      <c r="FO55" s="29"/>
      <c r="FP55" s="29" t="n">
        <v>180000</v>
      </c>
      <c r="FQ55" s="29"/>
      <c r="FR55" s="29" t="n">
        <v>130000</v>
      </c>
      <c r="FS55" s="29"/>
      <c r="FT55" s="29" t="n">
        <f aca="false">SUM(N55:FS55)</f>
        <v>490000</v>
      </c>
      <c r="FU55" s="27" t="n">
        <f aca="false">SUM(L55-FT55)</f>
        <v>2390000</v>
      </c>
      <c r="FV55" s="31" t="n">
        <f aca="false">SUM( H55/5)</f>
        <v>5.44444444444445</v>
      </c>
      <c r="FW55" s="31" t="n">
        <f aca="false">SUM( I55/5)</f>
        <v>26.5555555555556</v>
      </c>
      <c r="FX55" s="32" t="n">
        <f aca="false">SUM(FV55/4)</f>
        <v>1.36111111111111</v>
      </c>
      <c r="FY55" s="32" t="n">
        <f aca="false">SUM(FW55/4)</f>
        <v>6.63888888888889</v>
      </c>
    </row>
    <row r="56" customFormat="false" ht="43.5" hidden="false" customHeight="true" outlineLevel="0" collapsed="false">
      <c r="A56" s="20" t="n">
        <v>3275</v>
      </c>
      <c r="B56" s="21" t="s">
        <v>291</v>
      </c>
      <c r="C56" s="21" t="s">
        <v>292</v>
      </c>
      <c r="D56" s="22"/>
      <c r="E56" s="23" t="n">
        <v>45840</v>
      </c>
      <c r="F56" s="23" t="n">
        <f aca="false">WORKDAY(E56,G56)</f>
        <v>46092</v>
      </c>
      <c r="G56" s="24" t="n">
        <v>180</v>
      </c>
      <c r="H56" s="25" t="n">
        <f aca="false">(FT56* 5)/M56</f>
        <v>100</v>
      </c>
      <c r="I56" s="25" t="n">
        <f aca="false">G56-H56</f>
        <v>80</v>
      </c>
      <c r="J56" s="26" t="s">
        <v>253</v>
      </c>
      <c r="K56" s="27" t="n">
        <v>200000</v>
      </c>
      <c r="L56" s="27" t="n">
        <v>603000</v>
      </c>
      <c r="M56" s="28" t="n">
        <f aca="false">(L56/G56)*5</f>
        <v>16750</v>
      </c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 t="s">
        <v>184</v>
      </c>
      <c r="EL56" s="40"/>
      <c r="EM56" s="40" t="s">
        <v>184</v>
      </c>
      <c r="EN56" s="40" t="s">
        <v>184</v>
      </c>
      <c r="EO56" s="40"/>
      <c r="EP56" s="40"/>
      <c r="EQ56" s="29"/>
      <c r="ER56" s="29"/>
      <c r="ES56" s="29" t="s">
        <v>184</v>
      </c>
      <c r="ET56" s="29"/>
      <c r="EU56" s="29"/>
      <c r="EV56" s="29" t="s">
        <v>184</v>
      </c>
      <c r="EW56" s="29"/>
      <c r="EX56" s="29"/>
      <c r="EY56" s="29"/>
      <c r="EZ56" s="29" t="n">
        <v>67000</v>
      </c>
      <c r="FA56" s="29"/>
      <c r="FB56" s="29"/>
      <c r="FC56" s="29"/>
      <c r="FD56" s="29" t="n">
        <v>67000</v>
      </c>
      <c r="FE56" s="29"/>
      <c r="FF56" s="29"/>
      <c r="FG56" s="29"/>
      <c r="FH56" s="29"/>
      <c r="FI56" s="29" t="n">
        <v>67000</v>
      </c>
      <c r="FJ56" s="29"/>
      <c r="FK56" s="29"/>
      <c r="FL56" s="29"/>
      <c r="FM56" s="29" t="n">
        <v>67000</v>
      </c>
      <c r="FN56" s="29"/>
      <c r="FO56" s="29"/>
      <c r="FP56" s="29"/>
      <c r="FQ56" s="29" t="n">
        <v>67000</v>
      </c>
      <c r="FR56" s="29"/>
      <c r="FS56" s="29"/>
      <c r="FT56" s="29" t="n">
        <f aca="false">SUM(N56:FS56)</f>
        <v>335000</v>
      </c>
      <c r="FU56" s="27" t="n">
        <f aca="false">SUM(L56-FT56)</f>
        <v>268000</v>
      </c>
      <c r="FV56" s="31" t="n">
        <f aca="false">SUM( H56/5)</f>
        <v>20</v>
      </c>
      <c r="FW56" s="31" t="n">
        <f aca="false">SUM( I56/5)</f>
        <v>16</v>
      </c>
      <c r="FX56" s="32" t="n">
        <f aca="false">SUM(FV56/4)</f>
        <v>5</v>
      </c>
      <c r="FY56" s="32" t="n">
        <f aca="false">SUM(FW56/4)</f>
        <v>4</v>
      </c>
    </row>
    <row r="57" customFormat="false" ht="43.5" hidden="false" customHeight="true" outlineLevel="0" collapsed="false">
      <c r="A57" s="20" t="n">
        <v>3327</v>
      </c>
      <c r="B57" s="21" t="s">
        <v>291</v>
      </c>
      <c r="C57" s="21" t="s">
        <v>292</v>
      </c>
      <c r="D57" s="22"/>
      <c r="E57" s="23" t="n">
        <v>45868</v>
      </c>
      <c r="F57" s="23" t="n">
        <f aca="false">WORKDAY(E57,G57)</f>
        <v>46036</v>
      </c>
      <c r="G57" s="24" t="n">
        <v>120</v>
      </c>
      <c r="H57" s="25" t="n">
        <f aca="false">(FT57* 5)/M57</f>
        <v>60.0909090909091</v>
      </c>
      <c r="I57" s="25" t="n">
        <f aca="false">G57-H57</f>
        <v>59.9090909090909</v>
      </c>
      <c r="J57" s="26" t="s">
        <v>293</v>
      </c>
      <c r="K57" s="27" t="n">
        <v>100000</v>
      </c>
      <c r="L57" s="27" t="n">
        <v>264000</v>
      </c>
      <c r="M57" s="45" t="n">
        <f aca="false">(L57/G57)*5</f>
        <v>11000</v>
      </c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40"/>
      <c r="DB57" s="40"/>
      <c r="DC57" s="40"/>
      <c r="DD57" s="40"/>
      <c r="DE57" s="40"/>
      <c r="DF57" s="40"/>
      <c r="DG57" s="40"/>
      <c r="DH57" s="40"/>
      <c r="DI57" s="40"/>
      <c r="DJ57" s="40"/>
      <c r="DK57" s="40"/>
      <c r="DL57" s="40"/>
      <c r="DM57" s="40"/>
      <c r="DN57" s="40"/>
      <c r="DO57" s="40"/>
      <c r="DP57" s="40"/>
      <c r="DQ57" s="40"/>
      <c r="DR57" s="40"/>
      <c r="DS57" s="40"/>
      <c r="DT57" s="40"/>
      <c r="DU57" s="40"/>
      <c r="DV57" s="40"/>
      <c r="DW57" s="40"/>
      <c r="DX57" s="40"/>
      <c r="DY57" s="40"/>
      <c r="DZ57" s="40"/>
      <c r="EA57" s="40"/>
      <c r="EB57" s="40"/>
      <c r="EC57" s="40"/>
      <c r="ED57" s="40"/>
      <c r="EE57" s="40"/>
      <c r="EF57" s="40"/>
      <c r="EG57" s="40"/>
      <c r="EH57" s="40"/>
      <c r="EI57" s="40"/>
      <c r="EJ57" s="40"/>
      <c r="EK57" s="40" t="s">
        <v>184</v>
      </c>
      <c r="EL57" s="40"/>
      <c r="EM57" s="40" t="s">
        <v>184</v>
      </c>
      <c r="EN57" s="40" t="s">
        <v>184</v>
      </c>
      <c r="EO57" s="40"/>
      <c r="EP57" s="40"/>
      <c r="EQ57" s="29"/>
      <c r="ER57" s="29"/>
      <c r="ES57" s="29" t="s">
        <v>184</v>
      </c>
      <c r="ET57" s="29"/>
      <c r="EU57" s="29"/>
      <c r="EV57" s="29" t="s">
        <v>184</v>
      </c>
      <c r="EW57" s="29"/>
      <c r="EX57" s="29"/>
      <c r="EY57" s="29"/>
      <c r="EZ57" s="29"/>
      <c r="FA57" s="29"/>
      <c r="FB57" s="29"/>
      <c r="FC57" s="29"/>
      <c r="FD57" s="29" t="n">
        <v>44000</v>
      </c>
      <c r="FE57" s="29"/>
      <c r="FF57" s="29"/>
      <c r="FG57" s="29"/>
      <c r="FH57" s="29"/>
      <c r="FI57" s="29" t="n">
        <v>44000</v>
      </c>
      <c r="FJ57" s="29"/>
      <c r="FK57" s="29"/>
      <c r="FL57" s="29"/>
      <c r="FM57" s="29" t="n">
        <v>44000</v>
      </c>
      <c r="FN57" s="29"/>
      <c r="FO57" s="29"/>
      <c r="FP57" s="29"/>
      <c r="FQ57" s="29" t="n">
        <v>200</v>
      </c>
      <c r="FR57" s="29"/>
      <c r="FS57" s="29"/>
      <c r="FT57" s="29" t="n">
        <f aca="false">SUM(N57:FS57)</f>
        <v>132200</v>
      </c>
      <c r="FU57" s="27" t="n">
        <f aca="false">SUM(L57-FT57)</f>
        <v>131800</v>
      </c>
      <c r="FV57" s="31" t="n">
        <f aca="false">SUM( H57/5)</f>
        <v>12.0181818181818</v>
      </c>
      <c r="FW57" s="31" t="n">
        <f aca="false">SUM( I57/5)</f>
        <v>11.9818181818182</v>
      </c>
      <c r="FX57" s="32" t="n">
        <f aca="false">SUM(FV57/4)</f>
        <v>3.00454545454546</v>
      </c>
      <c r="FY57" s="32" t="n">
        <f aca="false">SUM(FW57/4)</f>
        <v>2.99545454545455</v>
      </c>
    </row>
    <row r="58" customFormat="false" ht="43.5" hidden="false" customHeight="true" outlineLevel="0" collapsed="false">
      <c r="A58" s="20" t="n">
        <v>3349</v>
      </c>
      <c r="B58" s="21" t="s">
        <v>291</v>
      </c>
      <c r="C58" s="21" t="s">
        <v>292</v>
      </c>
      <c r="D58" s="22"/>
      <c r="E58" s="23" t="n">
        <v>45884</v>
      </c>
      <c r="F58" s="23" t="n">
        <f aca="false">WORKDAY(E58,G58)</f>
        <v>45996</v>
      </c>
      <c r="G58" s="24" t="n">
        <v>80</v>
      </c>
      <c r="H58" s="25" t="n">
        <f aca="false">(FT58* 5)/M58</f>
        <v>40</v>
      </c>
      <c r="I58" s="25" t="n">
        <f aca="false">G58-H58</f>
        <v>40</v>
      </c>
      <c r="J58" s="26" t="s">
        <v>294</v>
      </c>
      <c r="K58" s="27" t="n">
        <v>10000</v>
      </c>
      <c r="L58" s="27" t="n">
        <v>21600</v>
      </c>
      <c r="M58" s="28" t="n">
        <f aca="false">(L58/G58)*5</f>
        <v>1350</v>
      </c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D58" s="40"/>
      <c r="CE58" s="40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40"/>
      <c r="DB58" s="40"/>
      <c r="DC58" s="40"/>
      <c r="DD58" s="40"/>
      <c r="DE58" s="40"/>
      <c r="DF58" s="40"/>
      <c r="DG58" s="40"/>
      <c r="DH58" s="40"/>
      <c r="DI58" s="40"/>
      <c r="DJ58" s="40"/>
      <c r="DK58" s="40"/>
      <c r="DL58" s="40"/>
      <c r="DM58" s="40"/>
      <c r="DN58" s="40"/>
      <c r="DO58" s="40"/>
      <c r="DP58" s="40"/>
      <c r="DQ58" s="40"/>
      <c r="DR58" s="40"/>
      <c r="DS58" s="40"/>
      <c r="DT58" s="40"/>
      <c r="DU58" s="40"/>
      <c r="DV58" s="40"/>
      <c r="DW58" s="40"/>
      <c r="DX58" s="40"/>
      <c r="DY58" s="40"/>
      <c r="DZ58" s="40"/>
      <c r="EA58" s="40"/>
      <c r="EB58" s="40"/>
      <c r="EC58" s="40"/>
      <c r="ED58" s="40"/>
      <c r="EE58" s="40"/>
      <c r="EF58" s="40"/>
      <c r="EG58" s="40"/>
      <c r="EH58" s="40"/>
      <c r="EI58" s="40"/>
      <c r="EJ58" s="40"/>
      <c r="EK58" s="40" t="s">
        <v>184</v>
      </c>
      <c r="EL58" s="40"/>
      <c r="EM58" s="40" t="s">
        <v>184</v>
      </c>
      <c r="EN58" s="40" t="s">
        <v>184</v>
      </c>
      <c r="EO58" s="40"/>
      <c r="EP58" s="40"/>
      <c r="EQ58" s="29"/>
      <c r="ER58" s="29"/>
      <c r="ES58" s="29" t="s">
        <v>184</v>
      </c>
      <c r="ET58" s="29"/>
      <c r="EU58" s="29"/>
      <c r="EV58" s="29" t="s">
        <v>184</v>
      </c>
      <c r="EW58" s="29"/>
      <c r="EX58" s="29"/>
      <c r="EY58" s="29"/>
      <c r="EZ58" s="29"/>
      <c r="FA58" s="29"/>
      <c r="FB58" s="29"/>
      <c r="FC58" s="29"/>
      <c r="FD58" s="29"/>
      <c r="FE58" s="29"/>
      <c r="FF58" s="29"/>
      <c r="FG58" s="29"/>
      <c r="FH58" s="29"/>
      <c r="FI58" s="29" t="n">
        <v>5400</v>
      </c>
      <c r="FJ58" s="29"/>
      <c r="FK58" s="29"/>
      <c r="FL58" s="29"/>
      <c r="FM58" s="29" t="n">
        <v>5400</v>
      </c>
      <c r="FN58" s="29"/>
      <c r="FO58" s="29"/>
      <c r="FP58" s="29"/>
      <c r="FQ58" s="29"/>
      <c r="FR58" s="29"/>
      <c r="FS58" s="29"/>
      <c r="FT58" s="29" t="n">
        <f aca="false">SUM(N58:FS58)</f>
        <v>10800</v>
      </c>
      <c r="FU58" s="27" t="n">
        <f aca="false">SUM(L58-FT58)</f>
        <v>10800</v>
      </c>
      <c r="FV58" s="31" t="n">
        <f aca="false">SUM( H58/5)</f>
        <v>8</v>
      </c>
      <c r="FW58" s="31" t="n">
        <f aca="false">SUM( I58/5)</f>
        <v>8</v>
      </c>
      <c r="FX58" s="32" t="n">
        <f aca="false">SUM(FV58/4)</f>
        <v>2</v>
      </c>
      <c r="FY58" s="32" t="n">
        <f aca="false">SUM(FW58/4)</f>
        <v>2</v>
      </c>
    </row>
    <row r="59" customFormat="false" ht="43.5" hidden="false" customHeight="true" outlineLevel="0" collapsed="false">
      <c r="A59" s="20" t="n">
        <v>3367</v>
      </c>
      <c r="B59" s="21" t="s">
        <v>291</v>
      </c>
      <c r="C59" s="21" t="s">
        <v>292</v>
      </c>
      <c r="D59" s="22"/>
      <c r="E59" s="23" t="n">
        <v>45894</v>
      </c>
      <c r="F59" s="23" t="n">
        <f aca="false">WORKDAY(E59,G59)</f>
        <v>46062</v>
      </c>
      <c r="G59" s="24" t="n">
        <v>120</v>
      </c>
      <c r="H59" s="25" t="n">
        <f aca="false">(FT59* 5)/M59</f>
        <v>40</v>
      </c>
      <c r="I59" s="25" t="n">
        <f aca="false">G59-H59</f>
        <v>80</v>
      </c>
      <c r="J59" s="26" t="s">
        <v>295</v>
      </c>
      <c r="K59" s="27" t="n">
        <v>50000</v>
      </c>
      <c r="L59" s="27" t="n">
        <v>132000</v>
      </c>
      <c r="M59" s="28" t="n">
        <f aca="false">(L59/G59)*5</f>
        <v>5500</v>
      </c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 t="s">
        <v>184</v>
      </c>
      <c r="EL59" s="40"/>
      <c r="EM59" s="40" t="s">
        <v>184</v>
      </c>
      <c r="EN59" s="40" t="s">
        <v>184</v>
      </c>
      <c r="EO59" s="40"/>
      <c r="EP59" s="40"/>
      <c r="EQ59" s="29"/>
      <c r="ER59" s="29"/>
      <c r="ES59" s="29" t="s">
        <v>184</v>
      </c>
      <c r="ET59" s="29"/>
      <c r="EU59" s="29"/>
      <c r="EV59" s="29" t="s">
        <v>184</v>
      </c>
      <c r="EW59" s="29"/>
      <c r="EX59" s="29"/>
      <c r="EY59" s="29"/>
      <c r="EZ59" s="29"/>
      <c r="FA59" s="29"/>
      <c r="FB59" s="29"/>
      <c r="FC59" s="29" t="s">
        <v>184</v>
      </c>
      <c r="FD59" s="29"/>
      <c r="FE59" s="29"/>
      <c r="FF59" s="29"/>
      <c r="FG59" s="29"/>
      <c r="FH59" s="29"/>
      <c r="FI59" s="29" t="n">
        <v>22000</v>
      </c>
      <c r="FJ59" s="29"/>
      <c r="FK59" s="29"/>
      <c r="FL59" s="29"/>
      <c r="FM59" s="29" t="n">
        <v>22000</v>
      </c>
      <c r="FN59" s="29"/>
      <c r="FO59" s="29"/>
      <c r="FP59" s="29"/>
      <c r="FQ59" s="29"/>
      <c r="FR59" s="29"/>
      <c r="FS59" s="29"/>
      <c r="FT59" s="29" t="n">
        <f aca="false">SUM(N59:FS59)</f>
        <v>44000</v>
      </c>
      <c r="FU59" s="27" t="n">
        <f aca="false">SUM(L59-FT59)</f>
        <v>88000</v>
      </c>
      <c r="FV59" s="31" t="n">
        <f aca="false">SUM( H59/5)</f>
        <v>8</v>
      </c>
      <c r="FW59" s="31" t="n">
        <f aca="false">SUM( I59/5)</f>
        <v>16</v>
      </c>
      <c r="FX59" s="32" t="n">
        <f aca="false">SUM(FV59/4)</f>
        <v>2</v>
      </c>
      <c r="FY59" s="32" t="n">
        <f aca="false">SUM(FW59/4)</f>
        <v>4</v>
      </c>
    </row>
    <row r="60" customFormat="false" ht="43.5" hidden="false" customHeight="true" outlineLevel="0" collapsed="false">
      <c r="A60" s="20" t="n">
        <v>3385</v>
      </c>
      <c r="B60" s="21" t="s">
        <v>291</v>
      </c>
      <c r="C60" s="21" t="s">
        <v>292</v>
      </c>
      <c r="D60" s="22"/>
      <c r="E60" s="23" t="n">
        <v>45909</v>
      </c>
      <c r="F60" s="23" t="n">
        <f aca="false">WORKDAY(E60,G60)</f>
        <v>46021</v>
      </c>
      <c r="G60" s="24" t="n">
        <v>80</v>
      </c>
      <c r="H60" s="25" t="n">
        <f aca="false">(FT60* 5)/M60</f>
        <v>40</v>
      </c>
      <c r="I60" s="25" t="n">
        <f aca="false">G60-H60</f>
        <v>40</v>
      </c>
      <c r="J60" s="26" t="s">
        <v>296</v>
      </c>
      <c r="K60" s="27" t="n">
        <v>20000</v>
      </c>
      <c r="L60" s="27" t="n">
        <v>43200</v>
      </c>
      <c r="M60" s="28" t="n">
        <f aca="false">(L60/G60)*5</f>
        <v>2700</v>
      </c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D60" s="40"/>
      <c r="CE60" s="40"/>
      <c r="CF60" s="40"/>
      <c r="CG60" s="40"/>
      <c r="CH60" s="40"/>
      <c r="CI60" s="40"/>
      <c r="CJ60" s="40"/>
      <c r="CK60" s="40"/>
      <c r="CL60" s="40"/>
      <c r="CM60" s="40"/>
      <c r="CN60" s="40"/>
      <c r="CO60" s="40"/>
      <c r="CP60" s="40"/>
      <c r="CQ60" s="40"/>
      <c r="CR60" s="40"/>
      <c r="CS60" s="40"/>
      <c r="CT60" s="40"/>
      <c r="CU60" s="40"/>
      <c r="CV60" s="40"/>
      <c r="CW60" s="40"/>
      <c r="CX60" s="40"/>
      <c r="CY60" s="40"/>
      <c r="CZ60" s="40"/>
      <c r="DA60" s="40"/>
      <c r="DB60" s="40"/>
      <c r="DC60" s="40"/>
      <c r="DD60" s="40"/>
      <c r="DE60" s="40"/>
      <c r="DF60" s="40"/>
      <c r="DG60" s="40"/>
      <c r="DH60" s="40"/>
      <c r="DI60" s="40"/>
      <c r="DJ60" s="40"/>
      <c r="DK60" s="40"/>
      <c r="DL60" s="40"/>
      <c r="DM60" s="40"/>
      <c r="DN60" s="40"/>
      <c r="DO60" s="40"/>
      <c r="DP60" s="40"/>
      <c r="DQ60" s="40"/>
      <c r="DR60" s="40"/>
      <c r="DS60" s="40"/>
      <c r="DT60" s="40"/>
      <c r="DU60" s="40"/>
      <c r="DV60" s="40"/>
      <c r="DW60" s="40"/>
      <c r="DX60" s="40"/>
      <c r="DY60" s="40"/>
      <c r="DZ60" s="40"/>
      <c r="EA60" s="40"/>
      <c r="EB60" s="40"/>
      <c r="EC60" s="40"/>
      <c r="ED60" s="40"/>
      <c r="EE60" s="40"/>
      <c r="EF60" s="40"/>
      <c r="EG60" s="40"/>
      <c r="EH60" s="40"/>
      <c r="EI60" s="40"/>
      <c r="EJ60" s="40"/>
      <c r="EK60" s="40" t="s">
        <v>184</v>
      </c>
      <c r="EL60" s="40"/>
      <c r="EM60" s="40" t="s">
        <v>184</v>
      </c>
      <c r="EN60" s="40" t="s">
        <v>184</v>
      </c>
      <c r="EO60" s="40"/>
      <c r="EP60" s="40"/>
      <c r="EQ60" s="29"/>
      <c r="ER60" s="29"/>
      <c r="ES60" s="29" t="s">
        <v>184</v>
      </c>
      <c r="ET60" s="29"/>
      <c r="EU60" s="29"/>
      <c r="EV60" s="29" t="s">
        <v>184</v>
      </c>
      <c r="EW60" s="29"/>
      <c r="EX60" s="29"/>
      <c r="EY60" s="29"/>
      <c r="EZ60" s="29"/>
      <c r="FA60" s="29"/>
      <c r="FB60" s="29"/>
      <c r="FC60" s="29" t="s">
        <v>184</v>
      </c>
      <c r="FD60" s="29"/>
      <c r="FE60" s="29"/>
      <c r="FF60" s="29"/>
      <c r="FG60" s="29"/>
      <c r="FH60" s="29"/>
      <c r="FI60" s="29" t="n">
        <v>10800</v>
      </c>
      <c r="FJ60" s="29"/>
      <c r="FK60" s="29"/>
      <c r="FL60" s="29"/>
      <c r="FM60" s="29" t="n">
        <v>10800</v>
      </c>
      <c r="FN60" s="29"/>
      <c r="FO60" s="29"/>
      <c r="FP60" s="29"/>
      <c r="FQ60" s="29"/>
      <c r="FR60" s="29"/>
      <c r="FS60" s="29"/>
      <c r="FT60" s="29" t="n">
        <f aca="false">SUM(N60:FS60)</f>
        <v>21600</v>
      </c>
      <c r="FU60" s="27" t="n">
        <f aca="false">SUM(L60-FT60)</f>
        <v>21600</v>
      </c>
      <c r="FV60" s="31" t="n">
        <f aca="false">SUM( H60/5)</f>
        <v>8</v>
      </c>
      <c r="FW60" s="31" t="n">
        <f aca="false">SUM( I60/5)</f>
        <v>8</v>
      </c>
      <c r="FX60" s="32" t="n">
        <f aca="false">SUM(FV60/4)</f>
        <v>2</v>
      </c>
      <c r="FY60" s="32" t="n">
        <f aca="false">SUM(FW60/4)</f>
        <v>2</v>
      </c>
    </row>
    <row r="61" customFormat="false" ht="43.5" hidden="false" customHeight="true" outlineLevel="0" collapsed="false">
      <c r="A61" s="20" t="n">
        <v>3415</v>
      </c>
      <c r="B61" s="21" t="s">
        <v>291</v>
      </c>
      <c r="C61" s="21" t="s">
        <v>292</v>
      </c>
      <c r="D61" s="22"/>
      <c r="E61" s="23" t="n">
        <v>45924</v>
      </c>
      <c r="F61" s="23" t="n">
        <f aca="false">WORKDAY(E61,G61)</f>
        <v>46036</v>
      </c>
      <c r="G61" s="24" t="n">
        <v>80</v>
      </c>
      <c r="H61" s="25" t="n">
        <f aca="false">(FT61* 5)/M61</f>
        <v>20</v>
      </c>
      <c r="I61" s="25" t="n">
        <f aca="false">G61-H61</f>
        <v>60</v>
      </c>
      <c r="J61" s="26" t="s">
        <v>296</v>
      </c>
      <c r="K61" s="30" t="n">
        <v>20000</v>
      </c>
      <c r="L61" s="30" t="n">
        <v>43200</v>
      </c>
      <c r="M61" s="45" t="n">
        <f aca="false">(L61/G61)*5</f>
        <v>2700</v>
      </c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D61" s="40"/>
      <c r="CE61" s="40"/>
      <c r="CF61" s="40"/>
      <c r="CG61" s="40"/>
      <c r="CH61" s="40"/>
      <c r="CI61" s="40"/>
      <c r="CJ61" s="40"/>
      <c r="CK61" s="40"/>
      <c r="CL61" s="40"/>
      <c r="CM61" s="40"/>
      <c r="CN61" s="40"/>
      <c r="CO61" s="40"/>
      <c r="CP61" s="40"/>
      <c r="CQ61" s="40"/>
      <c r="CR61" s="40"/>
      <c r="CS61" s="40"/>
      <c r="CT61" s="40"/>
      <c r="CU61" s="40"/>
      <c r="CV61" s="40"/>
      <c r="CW61" s="40"/>
      <c r="CX61" s="40"/>
      <c r="CY61" s="40"/>
      <c r="CZ61" s="40"/>
      <c r="DA61" s="40"/>
      <c r="DB61" s="40"/>
      <c r="DC61" s="40"/>
      <c r="DD61" s="40"/>
      <c r="DE61" s="40"/>
      <c r="DF61" s="40"/>
      <c r="DG61" s="40"/>
      <c r="DH61" s="40"/>
      <c r="DI61" s="40"/>
      <c r="DJ61" s="40"/>
      <c r="DK61" s="40"/>
      <c r="DL61" s="40"/>
      <c r="DM61" s="40"/>
      <c r="DN61" s="40"/>
      <c r="DO61" s="40"/>
      <c r="DP61" s="40"/>
      <c r="DQ61" s="40"/>
      <c r="DR61" s="40"/>
      <c r="DS61" s="40"/>
      <c r="DT61" s="40"/>
      <c r="DU61" s="40"/>
      <c r="DV61" s="40"/>
      <c r="DW61" s="40"/>
      <c r="DX61" s="40"/>
      <c r="DY61" s="40"/>
      <c r="DZ61" s="40"/>
      <c r="EA61" s="40"/>
      <c r="EB61" s="40"/>
      <c r="EC61" s="40"/>
      <c r="ED61" s="40"/>
      <c r="EE61" s="40"/>
      <c r="EF61" s="40"/>
      <c r="EG61" s="40"/>
      <c r="EH61" s="40"/>
      <c r="EI61" s="40"/>
      <c r="EJ61" s="40"/>
      <c r="EK61" s="40" t="s">
        <v>184</v>
      </c>
      <c r="EL61" s="40"/>
      <c r="EM61" s="40" t="s">
        <v>184</v>
      </c>
      <c r="EN61" s="40" t="s">
        <v>184</v>
      </c>
      <c r="EO61" s="40"/>
      <c r="EP61" s="40"/>
      <c r="EQ61" s="29"/>
      <c r="ER61" s="29"/>
      <c r="ES61" s="29" t="s">
        <v>184</v>
      </c>
      <c r="ET61" s="29"/>
      <c r="EU61" s="29"/>
      <c r="EV61" s="29" t="s">
        <v>184</v>
      </c>
      <c r="EW61" s="29"/>
      <c r="EX61" s="29"/>
      <c r="EY61" s="29"/>
      <c r="EZ61" s="29"/>
      <c r="FA61" s="29"/>
      <c r="FB61" s="29"/>
      <c r="FC61" s="29" t="s">
        <v>184</v>
      </c>
      <c r="FD61" s="29"/>
      <c r="FE61" s="29"/>
      <c r="FF61" s="29"/>
      <c r="FG61" s="29"/>
      <c r="FH61" s="29"/>
      <c r="FI61" s="29"/>
      <c r="FJ61" s="29"/>
      <c r="FK61" s="29"/>
      <c r="FL61" s="29"/>
      <c r="FM61" s="29" t="n">
        <v>10800</v>
      </c>
      <c r="FN61" s="29"/>
      <c r="FO61" s="29"/>
      <c r="FP61" s="29"/>
      <c r="FQ61" s="29"/>
      <c r="FR61" s="29"/>
      <c r="FS61" s="29"/>
      <c r="FT61" s="29" t="n">
        <f aca="false">SUM(N61:FS61)</f>
        <v>10800</v>
      </c>
      <c r="FU61" s="27" t="n">
        <f aca="false">SUM(L61-FT61)</f>
        <v>32400</v>
      </c>
      <c r="FV61" s="31" t="n">
        <f aca="false">SUM( H61/5)</f>
        <v>4</v>
      </c>
      <c r="FW61" s="31" t="n">
        <f aca="false">SUM( I61/5)</f>
        <v>12</v>
      </c>
      <c r="FX61" s="32" t="n">
        <f aca="false">SUM(FV61/4)</f>
        <v>1</v>
      </c>
      <c r="FY61" s="32" t="n">
        <f aca="false">SUM(FW61/4)</f>
        <v>3</v>
      </c>
    </row>
    <row r="62" customFormat="false" ht="43.5" hidden="false" customHeight="true" outlineLevel="0" collapsed="false">
      <c r="A62" s="20" t="n">
        <v>3423</v>
      </c>
      <c r="B62" s="21" t="s">
        <v>291</v>
      </c>
      <c r="C62" s="21" t="s">
        <v>292</v>
      </c>
      <c r="D62" s="22"/>
      <c r="E62" s="23" t="n">
        <v>45930</v>
      </c>
      <c r="F62" s="23" t="n">
        <f aca="false">WORKDAY(E62,G62)</f>
        <v>46042</v>
      </c>
      <c r="G62" s="24" t="n">
        <v>80</v>
      </c>
      <c r="H62" s="25" t="n">
        <f aca="false">(FT62* 5)/M62</f>
        <v>20</v>
      </c>
      <c r="I62" s="25" t="n">
        <f aca="false">G62-H62</f>
        <v>60</v>
      </c>
      <c r="J62" s="26" t="s">
        <v>297</v>
      </c>
      <c r="K62" s="27" t="n">
        <v>100000</v>
      </c>
      <c r="L62" s="27" t="n">
        <v>216000</v>
      </c>
      <c r="M62" s="45" t="n">
        <f aca="false">(L62/G62)*5</f>
        <v>13500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 t="s">
        <v>184</v>
      </c>
      <c r="EL62" s="40"/>
      <c r="EM62" s="40" t="s">
        <v>184</v>
      </c>
      <c r="EN62" s="40" t="s">
        <v>184</v>
      </c>
      <c r="EO62" s="40"/>
      <c r="EP62" s="40"/>
      <c r="EQ62" s="29"/>
      <c r="ER62" s="29"/>
      <c r="ES62" s="29" t="s">
        <v>184</v>
      </c>
      <c r="ET62" s="29"/>
      <c r="EU62" s="29"/>
      <c r="EV62" s="29" t="s">
        <v>184</v>
      </c>
      <c r="EW62" s="29"/>
      <c r="EX62" s="29"/>
      <c r="EY62" s="29"/>
      <c r="EZ62" s="29"/>
      <c r="FA62" s="29"/>
      <c r="FB62" s="29"/>
      <c r="FC62" s="29" t="s">
        <v>184</v>
      </c>
      <c r="FD62" s="29"/>
      <c r="FE62" s="29"/>
      <c r="FF62" s="29"/>
      <c r="FG62" s="29"/>
      <c r="FH62" s="29"/>
      <c r="FI62" s="29"/>
      <c r="FJ62" s="29"/>
      <c r="FK62" s="29"/>
      <c r="FL62" s="29"/>
      <c r="FM62" s="29" t="n">
        <v>54000</v>
      </c>
      <c r="FN62" s="29"/>
      <c r="FO62" s="29"/>
      <c r="FP62" s="29"/>
      <c r="FQ62" s="29"/>
      <c r="FR62" s="29"/>
      <c r="FS62" s="29"/>
      <c r="FT62" s="29" t="n">
        <f aca="false">SUM(N62:FS62)</f>
        <v>54000</v>
      </c>
      <c r="FU62" s="27" t="n">
        <f aca="false">SUM(L62-FT62)</f>
        <v>162000</v>
      </c>
      <c r="FV62" s="31" t="n">
        <f aca="false">SUM( H62/5)</f>
        <v>4</v>
      </c>
      <c r="FW62" s="31" t="n">
        <f aca="false">SUM( I62/5)</f>
        <v>12</v>
      </c>
      <c r="FX62" s="32" t="n">
        <f aca="false">SUM(FV62/4)</f>
        <v>1</v>
      </c>
      <c r="FY62" s="32" t="n">
        <f aca="false">SUM(FW62/4)</f>
        <v>3</v>
      </c>
    </row>
    <row r="63" customFormat="false" ht="43.5" hidden="false" customHeight="true" outlineLevel="0" collapsed="false">
      <c r="A63" s="20" t="n">
        <v>3456</v>
      </c>
      <c r="B63" s="21" t="s">
        <v>291</v>
      </c>
      <c r="C63" s="21" t="s">
        <v>292</v>
      </c>
      <c r="D63" s="22"/>
      <c r="E63" s="23" t="n">
        <v>45953</v>
      </c>
      <c r="F63" s="23" t="n">
        <f aca="false">WORKDAY(E63,G63)</f>
        <v>46121</v>
      </c>
      <c r="G63" s="24" t="n">
        <v>120</v>
      </c>
      <c r="H63" s="25" t="n">
        <f aca="false">(FT63* 5)/M63</f>
        <v>0</v>
      </c>
      <c r="I63" s="25" t="n">
        <f aca="false">G63-H63</f>
        <v>120</v>
      </c>
      <c r="J63" s="26" t="s">
        <v>298</v>
      </c>
      <c r="K63" s="30" t="n">
        <v>51200</v>
      </c>
      <c r="L63" s="30" t="n">
        <v>135168</v>
      </c>
      <c r="M63" s="28" t="n">
        <f aca="false">(L63/G63)*5</f>
        <v>5632</v>
      </c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/>
      <c r="BL63" s="40"/>
      <c r="BM63" s="40"/>
      <c r="BN63" s="40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C63" s="40"/>
      <c r="CD63" s="40"/>
      <c r="CE63" s="40"/>
      <c r="CF63" s="40"/>
      <c r="CG63" s="40"/>
      <c r="CH63" s="40"/>
      <c r="CI63" s="40"/>
      <c r="CJ63" s="40"/>
      <c r="CK63" s="40"/>
      <c r="CL63" s="40"/>
      <c r="CM63" s="40"/>
      <c r="CN63" s="40"/>
      <c r="CO63" s="40"/>
      <c r="CP63" s="40"/>
      <c r="CQ63" s="40"/>
      <c r="CR63" s="40"/>
      <c r="CS63" s="40"/>
      <c r="CT63" s="40"/>
      <c r="CU63" s="40"/>
      <c r="CV63" s="40"/>
      <c r="CW63" s="40"/>
      <c r="CX63" s="40"/>
      <c r="CY63" s="40"/>
      <c r="CZ63" s="40"/>
      <c r="DA63" s="40"/>
      <c r="DB63" s="40"/>
      <c r="DC63" s="40"/>
      <c r="DD63" s="40"/>
      <c r="DE63" s="40"/>
      <c r="DF63" s="40"/>
      <c r="DG63" s="40"/>
      <c r="DH63" s="40"/>
      <c r="DI63" s="40"/>
      <c r="DJ63" s="40"/>
      <c r="DK63" s="40"/>
      <c r="DL63" s="40"/>
      <c r="DM63" s="40"/>
      <c r="DN63" s="40"/>
      <c r="DO63" s="40"/>
      <c r="DP63" s="40"/>
      <c r="DQ63" s="40"/>
      <c r="DR63" s="40"/>
      <c r="DS63" s="40"/>
      <c r="DT63" s="40"/>
      <c r="DU63" s="40"/>
      <c r="DV63" s="40"/>
      <c r="DW63" s="40"/>
      <c r="DX63" s="40"/>
      <c r="DY63" s="40"/>
      <c r="DZ63" s="40"/>
      <c r="EA63" s="40"/>
      <c r="EB63" s="40"/>
      <c r="EC63" s="40"/>
      <c r="ED63" s="40"/>
      <c r="EE63" s="40"/>
      <c r="EF63" s="40"/>
      <c r="EG63" s="40"/>
      <c r="EH63" s="40"/>
      <c r="EI63" s="40"/>
      <c r="EJ63" s="40"/>
      <c r="EK63" s="40" t="s">
        <v>184</v>
      </c>
      <c r="EL63" s="40"/>
      <c r="EM63" s="40" t="s">
        <v>184</v>
      </c>
      <c r="EN63" s="40" t="s">
        <v>184</v>
      </c>
      <c r="EO63" s="40"/>
      <c r="EP63" s="40"/>
      <c r="EQ63" s="29"/>
      <c r="ER63" s="29"/>
      <c r="ES63" s="29" t="s">
        <v>184</v>
      </c>
      <c r="ET63" s="29"/>
      <c r="EU63" s="29"/>
      <c r="EV63" s="29" t="s">
        <v>184</v>
      </c>
      <c r="EW63" s="29"/>
      <c r="EX63" s="29"/>
      <c r="EY63" s="29"/>
      <c r="EZ63" s="29"/>
      <c r="FA63" s="29"/>
      <c r="FB63" s="29"/>
      <c r="FC63" s="29" t="s">
        <v>184</v>
      </c>
      <c r="FD63" s="29"/>
      <c r="FE63" s="29"/>
      <c r="FF63" s="29"/>
      <c r="FG63" s="29"/>
      <c r="FH63" s="29"/>
      <c r="FI63" s="29"/>
      <c r="FJ63" s="29"/>
      <c r="FK63" s="29"/>
      <c r="FL63" s="29" t="s">
        <v>184</v>
      </c>
      <c r="FM63" s="29"/>
      <c r="FN63" s="29"/>
      <c r="FO63" s="29"/>
      <c r="FP63" s="29"/>
      <c r="FQ63" s="29"/>
      <c r="FR63" s="29"/>
      <c r="FS63" s="29"/>
      <c r="FT63" s="29" t="n">
        <f aca="false">SUM(N63:FS63)</f>
        <v>0</v>
      </c>
      <c r="FU63" s="27" t="n">
        <f aca="false">SUM(L63-FT63)</f>
        <v>135168</v>
      </c>
      <c r="FV63" s="31" t="n">
        <f aca="false">SUM( H63/5)</f>
        <v>0</v>
      </c>
      <c r="FW63" s="31" t="n">
        <f aca="false">SUM( I63/5)</f>
        <v>24</v>
      </c>
      <c r="FX63" s="32" t="n">
        <f aca="false">SUM(FV63/4)</f>
        <v>0</v>
      </c>
      <c r="FY63" s="32" t="n">
        <f aca="false">SUM(FW63/4)</f>
        <v>6</v>
      </c>
    </row>
    <row r="64" customFormat="false" ht="43.5" hidden="false" customHeight="true" outlineLevel="0" collapsed="false">
      <c r="A64" s="52" t="n">
        <v>3499</v>
      </c>
      <c r="B64" s="21" t="s">
        <v>291</v>
      </c>
      <c r="C64" s="21" t="s">
        <v>292</v>
      </c>
      <c r="D64" s="22"/>
      <c r="E64" s="23" t="n">
        <v>45978</v>
      </c>
      <c r="F64" s="23" t="n">
        <f aca="false">WORKDAY(E64,G64)</f>
        <v>46090</v>
      </c>
      <c r="G64" s="24" t="n">
        <v>80</v>
      </c>
      <c r="H64" s="25" t="n">
        <f aca="false">(FT64* 5)/M64</f>
        <v>0</v>
      </c>
      <c r="I64" s="25" t="n">
        <f aca="false">G64-H64</f>
        <v>80</v>
      </c>
      <c r="J64" s="26" t="s">
        <v>296</v>
      </c>
      <c r="K64" s="30" t="n">
        <v>20000</v>
      </c>
      <c r="L64" s="30" t="n">
        <v>43200</v>
      </c>
      <c r="M64" s="28" t="n">
        <f aca="false">(L64/G64)*5</f>
        <v>2700</v>
      </c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/>
      <c r="BL64" s="40"/>
      <c r="BM64" s="40"/>
      <c r="BN64" s="40"/>
      <c r="BO64" s="40"/>
      <c r="BP64" s="40"/>
      <c r="BQ64" s="40"/>
      <c r="BR64" s="40"/>
      <c r="BS64" s="40"/>
      <c r="BT64" s="40"/>
      <c r="BU64" s="40"/>
      <c r="BV64" s="40"/>
      <c r="BW64" s="40"/>
      <c r="BX64" s="40"/>
      <c r="BY64" s="40"/>
      <c r="BZ64" s="40"/>
      <c r="CA64" s="40"/>
      <c r="CB64" s="40"/>
      <c r="CC64" s="40"/>
      <c r="CD64" s="40"/>
      <c r="CE64" s="40"/>
      <c r="CF64" s="40"/>
      <c r="CG64" s="40"/>
      <c r="CH64" s="40"/>
      <c r="CI64" s="40"/>
      <c r="CJ64" s="40"/>
      <c r="CK64" s="40"/>
      <c r="CL64" s="40"/>
      <c r="CM64" s="40"/>
      <c r="CN64" s="40"/>
      <c r="CO64" s="40"/>
      <c r="CP64" s="40"/>
      <c r="CQ64" s="40"/>
      <c r="CR64" s="40"/>
      <c r="CS64" s="40"/>
      <c r="CT64" s="40"/>
      <c r="CU64" s="40"/>
      <c r="CV64" s="40"/>
      <c r="CW64" s="40"/>
      <c r="CX64" s="40"/>
      <c r="CY64" s="40"/>
      <c r="CZ64" s="40"/>
      <c r="DA64" s="40"/>
      <c r="DB64" s="40"/>
      <c r="DC64" s="40"/>
      <c r="DD64" s="40"/>
      <c r="DE64" s="40"/>
      <c r="DF64" s="40"/>
      <c r="DG64" s="40"/>
      <c r="DH64" s="40"/>
      <c r="DI64" s="40"/>
      <c r="DJ64" s="40"/>
      <c r="DK64" s="40"/>
      <c r="DL64" s="40"/>
      <c r="DM64" s="40"/>
      <c r="DN64" s="40"/>
      <c r="DO64" s="40"/>
      <c r="DP64" s="40"/>
      <c r="DQ64" s="40"/>
      <c r="DR64" s="40"/>
      <c r="DS64" s="40"/>
      <c r="DT64" s="40"/>
      <c r="DU64" s="40"/>
      <c r="DV64" s="40"/>
      <c r="DW64" s="40"/>
      <c r="DX64" s="40"/>
      <c r="DY64" s="40"/>
      <c r="DZ64" s="40"/>
      <c r="EA64" s="40"/>
      <c r="EB64" s="40"/>
      <c r="EC64" s="40"/>
      <c r="ED64" s="40"/>
      <c r="EE64" s="40"/>
      <c r="EF64" s="40"/>
      <c r="EG64" s="40"/>
      <c r="EH64" s="40"/>
      <c r="EI64" s="40"/>
      <c r="EJ64" s="40"/>
      <c r="EK64" s="40" t="s">
        <v>184</v>
      </c>
      <c r="EL64" s="40"/>
      <c r="EM64" s="40" t="s">
        <v>184</v>
      </c>
      <c r="EN64" s="40" t="s">
        <v>184</v>
      </c>
      <c r="EO64" s="40"/>
      <c r="EP64" s="40"/>
      <c r="EQ64" s="29"/>
      <c r="ER64" s="29"/>
      <c r="ES64" s="29" t="s">
        <v>184</v>
      </c>
      <c r="ET64" s="29"/>
      <c r="EU64" s="29"/>
      <c r="EV64" s="29" t="s">
        <v>184</v>
      </c>
      <c r="EW64" s="29"/>
      <c r="EX64" s="29"/>
      <c r="EY64" s="29"/>
      <c r="EZ64" s="29"/>
      <c r="FA64" s="29"/>
      <c r="FB64" s="29"/>
      <c r="FC64" s="29" t="s">
        <v>184</v>
      </c>
      <c r="FD64" s="29"/>
      <c r="FE64" s="29"/>
      <c r="FF64" s="29"/>
      <c r="FG64" s="29"/>
      <c r="FH64" s="29"/>
      <c r="FI64" s="29"/>
      <c r="FJ64" s="29"/>
      <c r="FK64" s="29"/>
      <c r="FL64" s="29" t="s">
        <v>184</v>
      </c>
      <c r="FM64" s="29"/>
      <c r="FN64" s="29"/>
      <c r="FO64" s="29"/>
      <c r="FP64" s="29"/>
      <c r="FQ64" s="29"/>
      <c r="FR64" s="29"/>
      <c r="FS64" s="29"/>
      <c r="FT64" s="29" t="n">
        <f aca="false">SUM(N64:FS64)</f>
        <v>0</v>
      </c>
      <c r="FU64" s="27" t="n">
        <f aca="false">SUM(L64-FT64)</f>
        <v>43200</v>
      </c>
      <c r="FV64" s="31" t="n">
        <f aca="false">SUM( H64/5)</f>
        <v>0</v>
      </c>
      <c r="FW64" s="31" t="n">
        <f aca="false">SUM( I64/5)</f>
        <v>16</v>
      </c>
      <c r="FX64" s="32" t="n">
        <f aca="false">SUM(FV64/4)</f>
        <v>0</v>
      </c>
      <c r="FY64" s="32" t="n">
        <f aca="false">SUM(FW64/4)</f>
        <v>4</v>
      </c>
    </row>
    <row r="65" customFormat="false" ht="43.5" hidden="false" customHeight="true" outlineLevel="0" collapsed="false">
      <c r="A65" s="20" t="n">
        <v>3432</v>
      </c>
      <c r="B65" s="21" t="s">
        <v>299</v>
      </c>
      <c r="C65" s="21" t="s">
        <v>300</v>
      </c>
      <c r="D65" s="22" t="n">
        <v>27350892988</v>
      </c>
      <c r="E65" s="23" t="n">
        <v>45939</v>
      </c>
      <c r="F65" s="23" t="n">
        <f aca="false">WORKDAY(E65,G65)</f>
        <v>46023</v>
      </c>
      <c r="G65" s="24" t="n">
        <v>60</v>
      </c>
      <c r="H65" s="25" t="n">
        <f aca="false">(FT65* 5)/M65</f>
        <v>20</v>
      </c>
      <c r="I65" s="25" t="n">
        <f aca="false">G65-H65</f>
        <v>40</v>
      </c>
      <c r="J65" s="34" t="s">
        <v>301</v>
      </c>
      <c r="K65" s="27" t="n">
        <v>500000</v>
      </c>
      <c r="L65" s="27" t="n">
        <v>960000</v>
      </c>
      <c r="M65" s="28" t="n">
        <f aca="false">(L65/G65)*5</f>
        <v>80000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 t="s">
        <v>184</v>
      </c>
      <c r="EL65" s="40"/>
      <c r="EM65" s="40" t="s">
        <v>184</v>
      </c>
      <c r="EN65" s="40" t="s">
        <v>184</v>
      </c>
      <c r="EO65" s="40"/>
      <c r="EP65" s="40"/>
      <c r="EQ65" s="29"/>
      <c r="ER65" s="29"/>
      <c r="ES65" s="29" t="s">
        <v>184</v>
      </c>
      <c r="ET65" s="29"/>
      <c r="EU65" s="29"/>
      <c r="EV65" s="29" t="s">
        <v>184</v>
      </c>
      <c r="EW65" s="29"/>
      <c r="EX65" s="29"/>
      <c r="EY65" s="29"/>
      <c r="EZ65" s="29"/>
      <c r="FA65" s="29"/>
      <c r="FB65" s="29"/>
      <c r="FC65" s="29" t="s">
        <v>184</v>
      </c>
      <c r="FD65" s="29"/>
      <c r="FE65" s="29"/>
      <c r="FF65" s="29"/>
      <c r="FG65" s="29"/>
      <c r="FH65" s="29"/>
      <c r="FI65" s="29"/>
      <c r="FJ65" s="29"/>
      <c r="FK65" s="29"/>
      <c r="FL65" s="29"/>
      <c r="FM65" s="29" t="n">
        <v>80000</v>
      </c>
      <c r="FN65" s="29" t="n">
        <v>80000</v>
      </c>
      <c r="FO65" s="29" t="n">
        <v>80000</v>
      </c>
      <c r="FP65" s="29"/>
      <c r="FQ65" s="29"/>
      <c r="FR65" s="29" t="n">
        <v>80000</v>
      </c>
      <c r="FS65" s="29"/>
      <c r="FT65" s="29" t="n">
        <f aca="false">SUM(N65:FS65)</f>
        <v>320000</v>
      </c>
      <c r="FU65" s="27" t="n">
        <f aca="false">SUM(L65-FT65)</f>
        <v>640000</v>
      </c>
      <c r="FV65" s="31" t="n">
        <f aca="false">SUM( H65/5)</f>
        <v>4</v>
      </c>
      <c r="FW65" s="31" t="n">
        <f aca="false">SUM( I65/5)</f>
        <v>8</v>
      </c>
      <c r="FX65" s="32" t="n">
        <f aca="false">SUM(FV65/4)</f>
        <v>1</v>
      </c>
      <c r="FY65" s="32" t="n">
        <f aca="false">SUM(FW65/4)</f>
        <v>2</v>
      </c>
    </row>
    <row r="66" customFormat="false" ht="43.5" hidden="false" customHeight="true" outlineLevel="0" collapsed="false">
      <c r="A66" s="20" t="n">
        <v>3102</v>
      </c>
      <c r="B66" s="21" t="s">
        <v>302</v>
      </c>
      <c r="C66" s="21" t="s">
        <v>303</v>
      </c>
      <c r="D66" s="22" t="n">
        <v>27212523</v>
      </c>
      <c r="E66" s="23" t="n">
        <v>45728</v>
      </c>
      <c r="F66" s="23" t="n">
        <f aca="false">WORKDAY(E66,G66)</f>
        <v>45882</v>
      </c>
      <c r="G66" s="24" t="n">
        <v>110</v>
      </c>
      <c r="H66" s="25" t="n">
        <f aca="false">(FT66* 5)/M66</f>
        <v>82</v>
      </c>
      <c r="I66" s="25" t="n">
        <f aca="false">G66-H66</f>
        <v>28</v>
      </c>
      <c r="J66" s="46" t="s">
        <v>304</v>
      </c>
      <c r="K66" s="27" t="n">
        <v>100000</v>
      </c>
      <c r="L66" s="27" t="n">
        <v>264000</v>
      </c>
      <c r="M66" s="45" t="n">
        <f aca="false">(L66/G66)*5</f>
        <v>12000</v>
      </c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D66" s="40"/>
      <c r="CE66" s="40"/>
      <c r="CF66" s="40"/>
      <c r="CG66" s="40"/>
      <c r="CH66" s="40"/>
      <c r="CI66" s="40"/>
      <c r="CJ66" s="40"/>
      <c r="CK66" s="40"/>
      <c r="CL66" s="40"/>
      <c r="CM66" s="40"/>
      <c r="CN66" s="40"/>
      <c r="CO66" s="40"/>
      <c r="CP66" s="40"/>
      <c r="CQ66" s="40"/>
      <c r="CR66" s="40"/>
      <c r="CS66" s="40"/>
      <c r="CT66" s="40"/>
      <c r="CU66" s="40"/>
      <c r="CV66" s="40"/>
      <c r="CW66" s="40"/>
      <c r="CX66" s="40"/>
      <c r="CY66" s="40"/>
      <c r="CZ66" s="40"/>
      <c r="DA66" s="40"/>
      <c r="DB66" s="40"/>
      <c r="DC66" s="40"/>
      <c r="DD66" s="40"/>
      <c r="DE66" s="40"/>
      <c r="DF66" s="40"/>
      <c r="DG66" s="40"/>
      <c r="DH66" s="40"/>
      <c r="DI66" s="40"/>
      <c r="DJ66" s="40"/>
      <c r="DK66" s="40"/>
      <c r="DL66" s="40"/>
      <c r="DM66" s="40"/>
      <c r="DN66" s="40"/>
      <c r="DO66" s="40"/>
      <c r="DP66" s="40"/>
      <c r="DQ66" s="40"/>
      <c r="DR66" s="40"/>
      <c r="DS66" s="40"/>
      <c r="DT66" s="40"/>
      <c r="DU66" s="40"/>
      <c r="DV66" s="40"/>
      <c r="DW66" s="40"/>
      <c r="DX66" s="40"/>
      <c r="DY66" s="40"/>
      <c r="DZ66" s="40"/>
      <c r="EA66" s="40"/>
      <c r="EB66" s="40"/>
      <c r="EC66" s="40"/>
      <c r="ED66" s="40"/>
      <c r="EE66" s="40"/>
      <c r="EF66" s="40"/>
      <c r="EG66" s="40"/>
      <c r="EH66" s="40" t="n">
        <v>19200</v>
      </c>
      <c r="EI66" s="40"/>
      <c r="EJ66" s="40"/>
      <c r="EK66" s="40"/>
      <c r="EL66" s="40" t="n">
        <v>19200</v>
      </c>
      <c r="EM66" s="40" t="n">
        <v>19200</v>
      </c>
      <c r="EN66" s="40"/>
      <c r="EO66" s="40" t="n">
        <v>19200</v>
      </c>
      <c r="EP66" s="40"/>
      <c r="EQ66" s="29"/>
      <c r="ER66" s="29" t="n">
        <v>24000</v>
      </c>
      <c r="ES66" s="29"/>
      <c r="ET66" s="29" t="n">
        <v>24000</v>
      </c>
      <c r="EU66" s="29"/>
      <c r="EV66" s="29"/>
      <c r="EW66" s="29" t="n">
        <v>24000</v>
      </c>
      <c r="EX66" s="29"/>
      <c r="EY66" s="29" t="n">
        <v>24000</v>
      </c>
      <c r="EZ66" s="29"/>
      <c r="FA66" s="29"/>
      <c r="FB66" s="29"/>
      <c r="FC66" s="29"/>
      <c r="FD66" s="29" t="n">
        <v>24000</v>
      </c>
      <c r="FE66" s="29"/>
      <c r="FF66" s="29"/>
      <c r="FG66" s="29"/>
      <c r="FH66" s="29"/>
      <c r="FI66" s="29"/>
      <c r="FJ66" s="29"/>
      <c r="FK66" s="29"/>
      <c r="FL66" s="29"/>
      <c r="FM66" s="29"/>
      <c r="FN66" s="29"/>
      <c r="FO66" s="29"/>
      <c r="FP66" s="29"/>
      <c r="FQ66" s="29"/>
      <c r="FR66" s="29"/>
      <c r="FS66" s="29"/>
      <c r="FT66" s="29" t="n">
        <f aca="false">SUM(N66:FS66)</f>
        <v>196800</v>
      </c>
      <c r="FU66" s="27" t="n">
        <f aca="false">SUM(L66-FT66)</f>
        <v>67200</v>
      </c>
      <c r="FV66" s="31" t="n">
        <f aca="false">SUM( H66/5)</f>
        <v>16.4</v>
      </c>
      <c r="FW66" s="31" t="n">
        <f aca="false">SUM( I66/5)</f>
        <v>5.6</v>
      </c>
      <c r="FX66" s="32" t="n">
        <f aca="false">SUM(FV66/4)</f>
        <v>4.1</v>
      </c>
      <c r="FY66" s="32" t="n">
        <f aca="false">SUM(FW66/4)</f>
        <v>1.4</v>
      </c>
    </row>
    <row r="67" customFormat="false" ht="43.5" hidden="false" customHeight="true" outlineLevel="0" collapsed="false">
      <c r="A67" s="20" t="n">
        <v>3161</v>
      </c>
      <c r="B67" s="21" t="s">
        <v>302</v>
      </c>
      <c r="C67" s="21" t="s">
        <v>303</v>
      </c>
      <c r="D67" s="22" t="n">
        <v>27212523</v>
      </c>
      <c r="E67" s="23" t="n">
        <v>45770</v>
      </c>
      <c r="F67" s="23" t="n">
        <f aca="false">WORKDAY(E67,G67)</f>
        <v>45994</v>
      </c>
      <c r="G67" s="24" t="n">
        <v>160</v>
      </c>
      <c r="H67" s="25" t="n">
        <f aca="false">(FT67* 5)/M67</f>
        <v>56.6069333333333</v>
      </c>
      <c r="I67" s="25" t="n">
        <f aca="false">G67-H67</f>
        <v>103.393066666667</v>
      </c>
      <c r="J67" s="46" t="s">
        <v>305</v>
      </c>
      <c r="K67" s="27" t="n">
        <v>250000</v>
      </c>
      <c r="L67" s="27" t="n">
        <v>750000</v>
      </c>
      <c r="M67" s="28" t="n">
        <f aca="false">(L67/G67)*5</f>
        <v>23437.5</v>
      </c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D67" s="40"/>
      <c r="CE67" s="40"/>
      <c r="CF67" s="40"/>
      <c r="CG67" s="40"/>
      <c r="CH67" s="40"/>
      <c r="CI67" s="40"/>
      <c r="CJ67" s="40"/>
      <c r="CK67" s="40"/>
      <c r="CL67" s="40"/>
      <c r="CM67" s="40"/>
      <c r="CN67" s="40"/>
      <c r="CO67" s="40"/>
      <c r="CP67" s="40"/>
      <c r="CQ67" s="40"/>
      <c r="CR67" s="40"/>
      <c r="CS67" s="40"/>
      <c r="CT67" s="40"/>
      <c r="CU67" s="40"/>
      <c r="CV67" s="40"/>
      <c r="CW67" s="40"/>
      <c r="CX67" s="40"/>
      <c r="CY67" s="40"/>
      <c r="CZ67" s="40"/>
      <c r="DA67" s="40"/>
      <c r="DB67" s="40"/>
      <c r="DC67" s="40"/>
      <c r="DD67" s="40"/>
      <c r="DE67" s="40"/>
      <c r="DF67" s="40"/>
      <c r="DG67" s="40"/>
      <c r="DH67" s="40"/>
      <c r="DI67" s="40"/>
      <c r="DJ67" s="40"/>
      <c r="DK67" s="40"/>
      <c r="DL67" s="40"/>
      <c r="DM67" s="40"/>
      <c r="DN67" s="40"/>
      <c r="DO67" s="40"/>
      <c r="DP67" s="40"/>
      <c r="DQ67" s="40"/>
      <c r="DR67" s="40"/>
      <c r="DS67" s="40"/>
      <c r="DT67" s="40"/>
      <c r="DU67" s="40"/>
      <c r="DV67" s="40"/>
      <c r="DW67" s="40"/>
      <c r="DX67" s="40"/>
      <c r="DY67" s="40"/>
      <c r="DZ67" s="40"/>
      <c r="EA67" s="40"/>
      <c r="EB67" s="40"/>
      <c r="EC67" s="40"/>
      <c r="ED67" s="40"/>
      <c r="EE67" s="40"/>
      <c r="EF67" s="40"/>
      <c r="EG67" s="40"/>
      <c r="EH67" s="40"/>
      <c r="EI67" s="40"/>
      <c r="EJ67" s="40"/>
      <c r="EK67" s="40" t="s">
        <v>184</v>
      </c>
      <c r="EL67" s="40"/>
      <c r="EM67" s="40"/>
      <c r="EN67" s="40"/>
      <c r="EO67" s="40" t="n">
        <v>30970</v>
      </c>
      <c r="EP67" s="40"/>
      <c r="EQ67" s="29"/>
      <c r="ER67" s="29" t="n">
        <v>46875</v>
      </c>
      <c r="ES67" s="29"/>
      <c r="ET67" s="29" t="n">
        <v>46875</v>
      </c>
      <c r="EU67" s="29"/>
      <c r="EV67" s="29"/>
      <c r="EW67" s="29" t="n">
        <v>46875</v>
      </c>
      <c r="EX67" s="29"/>
      <c r="EY67" s="29" t="n">
        <v>46875</v>
      </c>
      <c r="EZ67" s="29"/>
      <c r="FA67" s="29"/>
      <c r="FB67" s="29"/>
      <c r="FC67" s="29"/>
      <c r="FD67" s="29" t="n">
        <v>46875</v>
      </c>
      <c r="FE67" s="29"/>
      <c r="FF67" s="29"/>
      <c r="FG67" s="29"/>
      <c r="FH67" s="29"/>
      <c r="FI67" s="29"/>
      <c r="FJ67" s="29"/>
      <c r="FK67" s="29"/>
      <c r="FL67" s="29"/>
      <c r="FM67" s="29"/>
      <c r="FN67" s="29"/>
      <c r="FO67" s="29"/>
      <c r="FP67" s="29"/>
      <c r="FQ67" s="29"/>
      <c r="FR67" s="29"/>
      <c r="FS67" s="29"/>
      <c r="FT67" s="29" t="n">
        <f aca="false">SUM(N67:FS67)</f>
        <v>265345</v>
      </c>
      <c r="FU67" s="27" t="n">
        <f aca="false">SUM(L67-FT67)</f>
        <v>484655</v>
      </c>
      <c r="FV67" s="31" t="n">
        <f aca="false">SUM( H67/5)</f>
        <v>11.3213866666667</v>
      </c>
      <c r="FW67" s="31" t="n">
        <f aca="false">SUM( I67/5)</f>
        <v>20.6786133333333</v>
      </c>
      <c r="FX67" s="32" t="n">
        <f aca="false">SUM(FV67/4)</f>
        <v>2.83034666666667</v>
      </c>
      <c r="FY67" s="32" t="n">
        <f aca="false">SUM(FW67/4)</f>
        <v>5.16965333333333</v>
      </c>
    </row>
    <row r="68" customFormat="false" ht="43.5" hidden="false" customHeight="true" outlineLevel="0" collapsed="false">
      <c r="A68" s="20" t="n">
        <v>3167</v>
      </c>
      <c r="B68" s="21" t="s">
        <v>302</v>
      </c>
      <c r="C68" s="21" t="s">
        <v>303</v>
      </c>
      <c r="D68" s="22" t="n">
        <v>27212523</v>
      </c>
      <c r="E68" s="23" t="n">
        <v>45770</v>
      </c>
      <c r="F68" s="23" t="n">
        <f aca="false">WORKDAY(E68,G68)</f>
        <v>45994</v>
      </c>
      <c r="G68" s="24" t="n">
        <v>160</v>
      </c>
      <c r="H68" s="25" t="n">
        <f aca="false">(FT68* 5)/M68</f>
        <v>50</v>
      </c>
      <c r="I68" s="25" t="n">
        <f aca="false">G68-H68</f>
        <v>110</v>
      </c>
      <c r="J68" s="46" t="s">
        <v>306</v>
      </c>
      <c r="K68" s="27" t="n">
        <v>50000</v>
      </c>
      <c r="L68" s="27" t="n">
        <v>150000</v>
      </c>
      <c r="M68" s="28" t="n">
        <f aca="false">(L68/G68)*5</f>
        <v>4687.5</v>
      </c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 t="s">
        <v>184</v>
      </c>
      <c r="EP68" s="40"/>
      <c r="EQ68" s="29"/>
      <c r="ER68" s="29" t="n">
        <v>9375</v>
      </c>
      <c r="ES68" s="29"/>
      <c r="ET68" s="29" t="n">
        <v>9375</v>
      </c>
      <c r="EU68" s="29"/>
      <c r="EV68" s="29"/>
      <c r="EW68" s="29" t="n">
        <v>9375</v>
      </c>
      <c r="EX68" s="29"/>
      <c r="EY68" s="29" t="n">
        <v>9375</v>
      </c>
      <c r="EZ68" s="29"/>
      <c r="FA68" s="29"/>
      <c r="FB68" s="29"/>
      <c r="FC68" s="29"/>
      <c r="FD68" s="29" t="n">
        <v>9375</v>
      </c>
      <c r="FE68" s="29"/>
      <c r="FF68" s="29"/>
      <c r="FG68" s="29"/>
      <c r="FH68" s="29"/>
      <c r="FI68" s="29"/>
      <c r="FJ68" s="29"/>
      <c r="FK68" s="29"/>
      <c r="FL68" s="29"/>
      <c r="FM68" s="29"/>
      <c r="FN68" s="29"/>
      <c r="FO68" s="29"/>
      <c r="FP68" s="29"/>
      <c r="FQ68" s="29"/>
      <c r="FR68" s="29"/>
      <c r="FS68" s="29"/>
      <c r="FT68" s="29" t="n">
        <f aca="false">SUM(N68:FS68)</f>
        <v>46875</v>
      </c>
      <c r="FU68" s="27" t="n">
        <f aca="false">SUM(L68-FT68)</f>
        <v>103125</v>
      </c>
      <c r="FV68" s="31" t="n">
        <f aca="false">SUM( H68/5)</f>
        <v>10</v>
      </c>
      <c r="FW68" s="31" t="n">
        <f aca="false">SUM( I68/5)</f>
        <v>22</v>
      </c>
      <c r="FX68" s="32" t="n">
        <f aca="false">SUM(FV68/4)</f>
        <v>2.5</v>
      </c>
      <c r="FY68" s="32" t="n">
        <f aca="false">SUM(FW68/4)</f>
        <v>5.5</v>
      </c>
    </row>
    <row r="69" customFormat="false" ht="43.5" hidden="false" customHeight="true" outlineLevel="0" collapsed="false">
      <c r="A69" s="20" t="n">
        <v>3183</v>
      </c>
      <c r="B69" s="21" t="s">
        <v>302</v>
      </c>
      <c r="C69" s="21" t="s">
        <v>303</v>
      </c>
      <c r="D69" s="22" t="n">
        <v>27212523</v>
      </c>
      <c r="E69" s="23" t="n">
        <v>45785</v>
      </c>
      <c r="F69" s="23" t="n">
        <f aca="false">WORKDAY(E69,G69)</f>
        <v>45939</v>
      </c>
      <c r="G69" s="24" t="n">
        <v>110</v>
      </c>
      <c r="H69" s="25" t="n">
        <f aca="false">(FT69* 5)/M69</f>
        <v>52.0833333333333</v>
      </c>
      <c r="I69" s="25" t="n">
        <f aca="false">G69-H69</f>
        <v>57.9166666666667</v>
      </c>
      <c r="J69" s="46" t="s">
        <v>304</v>
      </c>
      <c r="K69" s="27" t="n">
        <v>100000</v>
      </c>
      <c r="L69" s="27" t="n">
        <v>264000</v>
      </c>
      <c r="M69" s="28" t="n">
        <f aca="false">(L69/G69)*5</f>
        <v>12000</v>
      </c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D69" s="40"/>
      <c r="CE69" s="40"/>
      <c r="CF69" s="40"/>
      <c r="CG69" s="40"/>
      <c r="CH69" s="40"/>
      <c r="CI69" s="40"/>
      <c r="CJ69" s="40"/>
      <c r="CK69" s="40"/>
      <c r="CL69" s="40"/>
      <c r="CM69" s="40"/>
      <c r="CN69" s="40"/>
      <c r="CO69" s="40"/>
      <c r="CP69" s="40"/>
      <c r="CQ69" s="40"/>
      <c r="CR69" s="40"/>
      <c r="CS69" s="40"/>
      <c r="CT69" s="40"/>
      <c r="CU69" s="40"/>
      <c r="CV69" s="40"/>
      <c r="CW69" s="40"/>
      <c r="CX69" s="40"/>
      <c r="CY69" s="40"/>
      <c r="CZ69" s="40"/>
      <c r="DA69" s="40"/>
      <c r="DB69" s="40"/>
      <c r="DC69" s="40"/>
      <c r="DD69" s="40"/>
      <c r="DE69" s="40"/>
      <c r="DF69" s="40"/>
      <c r="DG69" s="40"/>
      <c r="DH69" s="40"/>
      <c r="DI69" s="40"/>
      <c r="DJ69" s="40"/>
      <c r="DK69" s="40"/>
      <c r="DL69" s="40"/>
      <c r="DM69" s="40"/>
      <c r="DN69" s="40"/>
      <c r="DO69" s="40"/>
      <c r="DP69" s="40"/>
      <c r="DQ69" s="40"/>
      <c r="DR69" s="40"/>
      <c r="DS69" s="40"/>
      <c r="DT69" s="40"/>
      <c r="DU69" s="40"/>
      <c r="DV69" s="40"/>
      <c r="DW69" s="40"/>
      <c r="DX69" s="40"/>
      <c r="DY69" s="40"/>
      <c r="DZ69" s="40"/>
      <c r="EA69" s="40"/>
      <c r="EB69" s="40"/>
      <c r="EC69" s="40"/>
      <c r="ED69" s="40"/>
      <c r="EE69" s="40"/>
      <c r="EF69" s="40"/>
      <c r="EG69" s="40"/>
      <c r="EH69" s="40"/>
      <c r="EI69" s="40"/>
      <c r="EJ69" s="40"/>
      <c r="EK69" s="40" t="s">
        <v>184</v>
      </c>
      <c r="EL69" s="40"/>
      <c r="EM69" s="40" t="s">
        <v>184</v>
      </c>
      <c r="EN69" s="40" t="s">
        <v>184</v>
      </c>
      <c r="EO69" s="40"/>
      <c r="EP69" s="40"/>
      <c r="EQ69" s="29"/>
      <c r="ER69" s="29" t="n">
        <v>24000</v>
      </c>
      <c r="ES69" s="29"/>
      <c r="ET69" s="29" t="n">
        <v>29000</v>
      </c>
      <c r="EU69" s="29"/>
      <c r="EV69" s="29"/>
      <c r="EW69" s="29" t="n">
        <v>24000</v>
      </c>
      <c r="EX69" s="29"/>
      <c r="EY69" s="29" t="n">
        <v>24000</v>
      </c>
      <c r="EZ69" s="29"/>
      <c r="FA69" s="29"/>
      <c r="FB69" s="29"/>
      <c r="FC69" s="29"/>
      <c r="FD69" s="29" t="n">
        <v>24000</v>
      </c>
      <c r="FE69" s="29"/>
      <c r="FF69" s="29"/>
      <c r="FG69" s="29"/>
      <c r="FH69" s="29"/>
      <c r="FI69" s="29"/>
      <c r="FJ69" s="29"/>
      <c r="FK69" s="29"/>
      <c r="FL69" s="29"/>
      <c r="FM69" s="29"/>
      <c r="FN69" s="29"/>
      <c r="FO69" s="29"/>
      <c r="FP69" s="29"/>
      <c r="FQ69" s="29"/>
      <c r="FR69" s="29"/>
      <c r="FS69" s="29"/>
      <c r="FT69" s="29" t="n">
        <f aca="false">SUM(N69:FS69)</f>
        <v>125000</v>
      </c>
      <c r="FU69" s="27" t="n">
        <f aca="false">SUM(L69-FT69)</f>
        <v>139000</v>
      </c>
      <c r="FV69" s="31" t="n">
        <f aca="false">SUM( H69/5)</f>
        <v>10.4166666666667</v>
      </c>
      <c r="FW69" s="31" t="n">
        <f aca="false">SUM( I69/5)</f>
        <v>11.5833333333333</v>
      </c>
      <c r="FX69" s="32" t="n">
        <f aca="false">SUM(FV69/4)</f>
        <v>2.60416666666667</v>
      </c>
      <c r="FY69" s="32" t="n">
        <f aca="false">SUM(FW69/4)</f>
        <v>2.89583333333333</v>
      </c>
    </row>
    <row r="70" customFormat="false" ht="43.5" hidden="false" customHeight="true" outlineLevel="0" collapsed="false">
      <c r="A70" s="20" t="n">
        <v>3224</v>
      </c>
      <c r="B70" s="21" t="s">
        <v>302</v>
      </c>
      <c r="C70" s="21" t="s">
        <v>303</v>
      </c>
      <c r="D70" s="22" t="n">
        <v>27212523</v>
      </c>
      <c r="E70" s="23" t="n">
        <v>45807</v>
      </c>
      <c r="F70" s="23" t="n">
        <f aca="false">WORKDAY(E70,G70)</f>
        <v>45961</v>
      </c>
      <c r="G70" s="24" t="n">
        <v>110</v>
      </c>
      <c r="H70" s="25" t="n">
        <f aca="false">(FT70* 5)/M70</f>
        <v>8.68125</v>
      </c>
      <c r="I70" s="25" t="n">
        <f aca="false">G70-H70</f>
        <v>101.31875</v>
      </c>
      <c r="J70" s="46" t="s">
        <v>307</v>
      </c>
      <c r="K70" s="30" t="n">
        <v>200000</v>
      </c>
      <c r="L70" s="30" t="n">
        <v>528000</v>
      </c>
      <c r="M70" s="28" t="n">
        <f aca="false">(L70/G70)*5</f>
        <v>24000</v>
      </c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D70" s="40"/>
      <c r="CE70" s="40"/>
      <c r="CF70" s="40"/>
      <c r="CG70" s="40"/>
      <c r="CH70" s="40"/>
      <c r="CI70" s="40"/>
      <c r="CJ70" s="40"/>
      <c r="CK70" s="40"/>
      <c r="CL70" s="40"/>
      <c r="CM70" s="40"/>
      <c r="CN70" s="40"/>
      <c r="CO70" s="40"/>
      <c r="CP70" s="40"/>
      <c r="CQ70" s="40"/>
      <c r="CR70" s="40"/>
      <c r="CS70" s="40"/>
      <c r="CT70" s="40"/>
      <c r="CU70" s="40"/>
      <c r="CV70" s="40"/>
      <c r="CW70" s="40"/>
      <c r="CX70" s="40"/>
      <c r="CY70" s="40"/>
      <c r="CZ70" s="40"/>
      <c r="DA70" s="40"/>
      <c r="DB70" s="40"/>
      <c r="DC70" s="40"/>
      <c r="DD70" s="40"/>
      <c r="DE70" s="40"/>
      <c r="DF70" s="40"/>
      <c r="DG70" s="40"/>
      <c r="DH70" s="40"/>
      <c r="DI70" s="40"/>
      <c r="DJ70" s="40"/>
      <c r="DK70" s="40"/>
      <c r="DL70" s="40"/>
      <c r="DM70" s="40"/>
      <c r="DN70" s="40"/>
      <c r="DO70" s="40"/>
      <c r="DP70" s="40"/>
      <c r="DQ70" s="40"/>
      <c r="DR70" s="40"/>
      <c r="DS70" s="40"/>
      <c r="DT70" s="40"/>
      <c r="DU70" s="40"/>
      <c r="DV70" s="40"/>
      <c r="DW70" s="40"/>
      <c r="DX70" s="40"/>
      <c r="DY70" s="40"/>
      <c r="DZ70" s="40"/>
      <c r="EA70" s="40"/>
      <c r="EB70" s="40"/>
      <c r="EC70" s="40"/>
      <c r="ED70" s="40"/>
      <c r="EE70" s="40"/>
      <c r="EF70" s="40"/>
      <c r="EG70" s="40"/>
      <c r="EH70" s="40"/>
      <c r="EI70" s="40"/>
      <c r="EJ70" s="40"/>
      <c r="EK70" s="40" t="s">
        <v>184</v>
      </c>
      <c r="EL70" s="40"/>
      <c r="EM70" s="40" t="s">
        <v>184</v>
      </c>
      <c r="EN70" s="40" t="s">
        <v>184</v>
      </c>
      <c r="EO70" s="40"/>
      <c r="EP70" s="40"/>
      <c r="EQ70" s="29"/>
      <c r="ER70" s="29"/>
      <c r="ES70" s="29"/>
      <c r="ET70" s="29"/>
      <c r="EU70" s="29"/>
      <c r="EV70" s="29"/>
      <c r="EW70" s="29" t="n">
        <v>5120</v>
      </c>
      <c r="EX70" s="29"/>
      <c r="EY70" s="29" t="n">
        <v>20550</v>
      </c>
      <c r="EZ70" s="29"/>
      <c r="FA70" s="29"/>
      <c r="FB70" s="29"/>
      <c r="FC70" s="29"/>
      <c r="FD70" s="29" t="n">
        <v>16000</v>
      </c>
      <c r="FE70" s="29"/>
      <c r="FF70" s="29"/>
      <c r="FG70" s="29"/>
      <c r="FH70" s="29"/>
      <c r="FI70" s="29"/>
      <c r="FJ70" s="29"/>
      <c r="FK70" s="29"/>
      <c r="FL70" s="29"/>
      <c r="FM70" s="29"/>
      <c r="FN70" s="29"/>
      <c r="FO70" s="29"/>
      <c r="FP70" s="29"/>
      <c r="FQ70" s="29"/>
      <c r="FR70" s="29"/>
      <c r="FS70" s="29"/>
      <c r="FT70" s="29" t="n">
        <f aca="false">SUM(N70:FS70)</f>
        <v>41670</v>
      </c>
      <c r="FU70" s="27" t="n">
        <f aca="false">SUM(L70-FT70)</f>
        <v>486330</v>
      </c>
      <c r="FV70" s="31" t="n">
        <f aca="false">SUM( H70/5)</f>
        <v>1.73625</v>
      </c>
      <c r="FW70" s="31" t="n">
        <f aca="false">SUM( I70/5)</f>
        <v>20.26375</v>
      </c>
      <c r="FX70" s="32" t="n">
        <f aca="false">SUM(FV70/4)</f>
        <v>0.4340625</v>
      </c>
      <c r="FY70" s="32" t="n">
        <f aca="false">SUM(FW70/4)</f>
        <v>5.0659375</v>
      </c>
    </row>
    <row r="71" customFormat="false" ht="43.5" hidden="false" customHeight="true" outlineLevel="0" collapsed="false">
      <c r="A71" s="20" t="n">
        <v>3265</v>
      </c>
      <c r="B71" s="22" t="s">
        <v>308</v>
      </c>
      <c r="C71" s="22" t="s">
        <v>309</v>
      </c>
      <c r="D71" s="56"/>
      <c r="E71" s="23" t="n">
        <v>45835</v>
      </c>
      <c r="F71" s="23" t="n">
        <v>45800</v>
      </c>
      <c r="G71" s="24" t="n">
        <v>160</v>
      </c>
      <c r="H71" s="25" t="n">
        <f aca="false">(FT71* 5)/M71</f>
        <v>80</v>
      </c>
      <c r="I71" s="25" t="n">
        <f aca="false">G71-H71</f>
        <v>80</v>
      </c>
      <c r="J71" s="26" t="s">
        <v>310</v>
      </c>
      <c r="K71" s="27" t="n">
        <v>1000000</v>
      </c>
      <c r="L71" s="27" t="n">
        <v>3000000</v>
      </c>
      <c r="M71" s="28" t="n">
        <f aca="false">(L71/G71)*5</f>
        <v>93750</v>
      </c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D71" s="40"/>
      <c r="CE71" s="40"/>
      <c r="CF71" s="40"/>
      <c r="CG71" s="40"/>
      <c r="CH71" s="40"/>
      <c r="CI71" s="40"/>
      <c r="CJ71" s="40"/>
      <c r="CK71" s="40"/>
      <c r="CL71" s="40"/>
      <c r="CM71" s="40"/>
      <c r="CN71" s="40"/>
      <c r="CO71" s="40"/>
      <c r="CP71" s="40"/>
      <c r="CQ71" s="40"/>
      <c r="CR71" s="40"/>
      <c r="CS71" s="40"/>
      <c r="CT71" s="40"/>
      <c r="CU71" s="40"/>
      <c r="CV71" s="40"/>
      <c r="CW71" s="40"/>
      <c r="CX71" s="40"/>
      <c r="CY71" s="40"/>
      <c r="CZ71" s="40"/>
      <c r="DA71" s="40"/>
      <c r="DB71" s="40"/>
      <c r="DC71" s="40"/>
      <c r="DD71" s="40"/>
      <c r="DE71" s="40"/>
      <c r="DF71" s="40"/>
      <c r="DG71" s="40"/>
      <c r="DH71" s="40"/>
      <c r="DI71" s="40"/>
      <c r="DJ71" s="40"/>
      <c r="DK71" s="40"/>
      <c r="DL71" s="40"/>
      <c r="DM71" s="40"/>
      <c r="DN71" s="40"/>
      <c r="DO71" s="40"/>
      <c r="DP71" s="40"/>
      <c r="DQ71" s="40"/>
      <c r="DR71" s="40"/>
      <c r="DS71" s="40"/>
      <c r="DT71" s="40"/>
      <c r="DU71" s="40"/>
      <c r="DV71" s="40"/>
      <c r="DW71" s="40"/>
      <c r="DX71" s="40"/>
      <c r="DY71" s="40"/>
      <c r="DZ71" s="40"/>
      <c r="EA71" s="40"/>
      <c r="EB71" s="40"/>
      <c r="EC71" s="40"/>
      <c r="ED71" s="40"/>
      <c r="EE71" s="40"/>
      <c r="EF71" s="40"/>
      <c r="EG71" s="40"/>
      <c r="EH71" s="40"/>
      <c r="EI71" s="40"/>
      <c r="EJ71" s="40"/>
      <c r="EK71" s="40" t="s">
        <v>184</v>
      </c>
      <c r="EL71" s="40"/>
      <c r="EM71" s="40" t="s">
        <v>184</v>
      </c>
      <c r="EN71" s="40" t="s">
        <v>184</v>
      </c>
      <c r="EO71" s="40"/>
      <c r="EP71" s="40"/>
      <c r="EQ71" s="29"/>
      <c r="ER71" s="29"/>
      <c r="ES71" s="29" t="s">
        <v>184</v>
      </c>
      <c r="ET71" s="29"/>
      <c r="EU71" s="29"/>
      <c r="EV71" s="29"/>
      <c r="EW71" s="29"/>
      <c r="EX71" s="29"/>
      <c r="EY71" s="29"/>
      <c r="EZ71" s="29"/>
      <c r="FA71" s="29"/>
      <c r="FB71" s="29" t="n">
        <v>375000</v>
      </c>
      <c r="FC71" s="29"/>
      <c r="FD71" s="29"/>
      <c r="FE71" s="29"/>
      <c r="FF71" s="29" t="n">
        <v>375000</v>
      </c>
      <c r="FG71" s="29"/>
      <c r="FH71" s="29"/>
      <c r="FI71" s="29"/>
      <c r="FJ71" s="29" t="n">
        <v>375000</v>
      </c>
      <c r="FK71" s="29"/>
      <c r="FL71" s="29"/>
      <c r="FM71" s="29"/>
      <c r="FN71" s="29"/>
      <c r="FO71" s="29" t="n">
        <v>375000</v>
      </c>
      <c r="FP71" s="29"/>
      <c r="FQ71" s="29"/>
      <c r="FR71" s="29"/>
      <c r="FS71" s="29"/>
      <c r="FT71" s="29" t="n">
        <f aca="false">SUM(N71:FS71)</f>
        <v>1500000</v>
      </c>
      <c r="FU71" s="27" t="n">
        <f aca="false">SUM(L71-FT71)</f>
        <v>1500000</v>
      </c>
      <c r="FV71" s="31" t="n">
        <f aca="false">SUM( H71/5)</f>
        <v>16</v>
      </c>
      <c r="FW71" s="31" t="n">
        <f aca="false">SUM( I71/5)</f>
        <v>16</v>
      </c>
      <c r="FX71" s="32" t="n">
        <f aca="false">SUM(FV71/4)</f>
        <v>4</v>
      </c>
      <c r="FY71" s="32" t="n">
        <f aca="false">SUM(FW71/4)</f>
        <v>4</v>
      </c>
    </row>
    <row r="72" customFormat="false" ht="43.5" hidden="false" customHeight="true" outlineLevel="0" collapsed="false">
      <c r="A72" s="20" t="n">
        <v>3426</v>
      </c>
      <c r="B72" s="22" t="s">
        <v>308</v>
      </c>
      <c r="C72" s="22" t="s">
        <v>309</v>
      </c>
      <c r="D72" s="22" t="s">
        <v>311</v>
      </c>
      <c r="E72" s="23" t="n">
        <v>45937</v>
      </c>
      <c r="F72" s="23" t="n">
        <f aca="false">WORKDAY(E72,G72)</f>
        <v>46049</v>
      </c>
      <c r="G72" s="24" t="n">
        <v>80</v>
      </c>
      <c r="H72" s="25" t="n">
        <f aca="false">(FT72* 5)/M72</f>
        <v>20</v>
      </c>
      <c r="I72" s="25" t="n">
        <f aca="false">G72-H72</f>
        <v>60</v>
      </c>
      <c r="J72" s="26" t="s">
        <v>312</v>
      </c>
      <c r="K72" s="57" t="n">
        <v>200000</v>
      </c>
      <c r="L72" s="27" t="n">
        <v>432000</v>
      </c>
      <c r="M72" s="28" t="n">
        <f aca="false">(L72/G72)*5</f>
        <v>27000</v>
      </c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D72" s="40"/>
      <c r="CE72" s="40"/>
      <c r="CF72" s="40"/>
      <c r="CG72" s="40"/>
      <c r="CH72" s="40"/>
      <c r="CI72" s="40"/>
      <c r="CJ72" s="40"/>
      <c r="CK72" s="40"/>
      <c r="CL72" s="40"/>
      <c r="CM72" s="40"/>
      <c r="CN72" s="40"/>
      <c r="CO72" s="40"/>
      <c r="CP72" s="40"/>
      <c r="CQ72" s="40"/>
      <c r="CR72" s="40"/>
      <c r="CS72" s="40"/>
      <c r="CT72" s="40"/>
      <c r="CU72" s="40"/>
      <c r="CV72" s="40"/>
      <c r="CW72" s="40"/>
      <c r="CX72" s="40"/>
      <c r="CY72" s="40"/>
      <c r="CZ72" s="40"/>
      <c r="DA72" s="40"/>
      <c r="DB72" s="40"/>
      <c r="DC72" s="40"/>
      <c r="DD72" s="40"/>
      <c r="DE72" s="40"/>
      <c r="DF72" s="40"/>
      <c r="DG72" s="40"/>
      <c r="DH72" s="40"/>
      <c r="DI72" s="40"/>
      <c r="DJ72" s="40"/>
      <c r="DK72" s="40"/>
      <c r="DL72" s="40"/>
      <c r="DM72" s="40"/>
      <c r="DN72" s="40"/>
      <c r="DO72" s="40"/>
      <c r="DP72" s="40"/>
      <c r="DQ72" s="40"/>
      <c r="DR72" s="40"/>
      <c r="DS72" s="40"/>
      <c r="DT72" s="40"/>
      <c r="DU72" s="40"/>
      <c r="DV72" s="40"/>
      <c r="DW72" s="40"/>
      <c r="DX72" s="40"/>
      <c r="DY72" s="40"/>
      <c r="DZ72" s="40"/>
      <c r="EA72" s="40"/>
      <c r="EB72" s="40"/>
      <c r="EC72" s="40"/>
      <c r="ED72" s="40"/>
      <c r="EE72" s="40"/>
      <c r="EF72" s="40"/>
      <c r="EG72" s="40"/>
      <c r="EH72" s="40"/>
      <c r="EI72" s="40"/>
      <c r="EJ72" s="40"/>
      <c r="EK72" s="40" t="s">
        <v>184</v>
      </c>
      <c r="EL72" s="40"/>
      <c r="EM72" s="40" t="s">
        <v>184</v>
      </c>
      <c r="EN72" s="40" t="s">
        <v>184</v>
      </c>
      <c r="EO72" s="40"/>
      <c r="EP72" s="40"/>
      <c r="EQ72" s="29"/>
      <c r="ER72" s="29"/>
      <c r="ES72" s="29" t="s">
        <v>184</v>
      </c>
      <c r="ET72" s="29"/>
      <c r="EU72" s="29"/>
      <c r="EV72" s="29" t="s">
        <v>184</v>
      </c>
      <c r="EW72" s="29"/>
      <c r="EX72" s="29"/>
      <c r="EY72" s="29"/>
      <c r="EZ72" s="29"/>
      <c r="FA72" s="29"/>
      <c r="FB72" s="29"/>
      <c r="FC72" s="29" t="s">
        <v>184</v>
      </c>
      <c r="FD72" s="29"/>
      <c r="FE72" s="29"/>
      <c r="FF72" s="29"/>
      <c r="FG72" s="29"/>
      <c r="FH72" s="29"/>
      <c r="FI72" s="29"/>
      <c r="FJ72" s="29"/>
      <c r="FK72" s="29"/>
      <c r="FL72" s="29"/>
      <c r="FM72" s="29"/>
      <c r="FN72" s="29"/>
      <c r="FO72" s="29" t="n">
        <v>108000</v>
      </c>
      <c r="FP72" s="29"/>
      <c r="FQ72" s="29"/>
      <c r="FR72" s="29"/>
      <c r="FS72" s="29"/>
      <c r="FT72" s="29" t="n">
        <f aca="false">SUM(N72:FS72)</f>
        <v>108000</v>
      </c>
      <c r="FU72" s="27" t="n">
        <f aca="false">SUM(L72-FT72)</f>
        <v>324000</v>
      </c>
      <c r="FV72" s="31" t="n">
        <f aca="false">SUM( H72/5)</f>
        <v>4</v>
      </c>
      <c r="FW72" s="31" t="n">
        <f aca="false">SUM( I72/5)</f>
        <v>12</v>
      </c>
      <c r="FX72" s="32" t="n">
        <f aca="false">SUM(FV72/4)</f>
        <v>1</v>
      </c>
      <c r="FY72" s="32" t="n">
        <f aca="false">SUM(FW72/4)</f>
        <v>3</v>
      </c>
    </row>
    <row r="73" customFormat="false" ht="43.5" hidden="false" customHeight="true" outlineLevel="0" collapsed="false">
      <c r="A73" s="20" t="n">
        <v>2710</v>
      </c>
      <c r="B73" s="21" t="s">
        <v>313</v>
      </c>
      <c r="C73" s="21" t="s">
        <v>314</v>
      </c>
      <c r="D73" s="22"/>
      <c r="E73" s="23" t="n">
        <v>45488</v>
      </c>
      <c r="F73" s="23" t="n">
        <f aca="false">WORKDAY(E73,G73)</f>
        <v>45600</v>
      </c>
      <c r="G73" s="24" t="n">
        <v>80</v>
      </c>
      <c r="H73" s="25" t="n">
        <f aca="false">(FT73* 5)/M73</f>
        <v>42.0987654320988</v>
      </c>
      <c r="I73" s="25" t="n">
        <f aca="false">G73-H73</f>
        <v>37.9012345679012</v>
      </c>
      <c r="J73" s="46" t="s">
        <v>315</v>
      </c>
      <c r="K73" s="27" t="n">
        <v>150000</v>
      </c>
      <c r="L73" s="27" t="n">
        <v>324000</v>
      </c>
      <c r="M73" s="28" t="n">
        <f aca="false">(L73/G73)*5</f>
        <v>20250</v>
      </c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 t="s">
        <v>184</v>
      </c>
      <c r="CB73" s="40" t="s">
        <v>184</v>
      </c>
      <c r="CC73" s="40" t="s">
        <v>184</v>
      </c>
      <c r="CD73" s="40" t="s">
        <v>184</v>
      </c>
      <c r="CE73" s="40" t="s">
        <v>184</v>
      </c>
      <c r="CF73" s="40"/>
      <c r="CG73" s="40" t="s">
        <v>184</v>
      </c>
      <c r="CH73" s="40" t="s">
        <v>184</v>
      </c>
      <c r="CI73" s="40"/>
      <c r="CJ73" s="40"/>
      <c r="CK73" s="40"/>
      <c r="CL73" s="40" t="s">
        <v>184</v>
      </c>
      <c r="CM73" s="40"/>
      <c r="CN73" s="40"/>
      <c r="CO73" s="40"/>
      <c r="CP73" s="40"/>
      <c r="CQ73" s="40"/>
      <c r="CR73" s="40"/>
      <c r="CS73" s="40"/>
      <c r="CT73" s="40"/>
      <c r="CU73" s="40"/>
      <c r="CV73" s="40"/>
      <c r="CW73" s="40"/>
      <c r="CX73" s="40"/>
      <c r="CY73" s="40"/>
      <c r="CZ73" s="40"/>
      <c r="DA73" s="40" t="n">
        <v>40500</v>
      </c>
      <c r="DB73" s="40"/>
      <c r="DC73" s="40"/>
      <c r="DD73" s="40"/>
      <c r="DE73" s="40"/>
      <c r="DF73" s="40"/>
      <c r="DG73" s="40"/>
      <c r="DH73" s="40"/>
      <c r="DI73" s="40" t="n">
        <v>30000</v>
      </c>
      <c r="DJ73" s="40"/>
      <c r="DK73" s="40"/>
      <c r="DL73" s="40"/>
      <c r="DM73" s="40"/>
      <c r="DN73" s="40" t="n">
        <v>50000</v>
      </c>
      <c r="DO73" s="40"/>
      <c r="DP73" s="40"/>
      <c r="DQ73" s="40"/>
      <c r="DR73" s="40"/>
      <c r="DS73" s="40" t="n">
        <v>50000</v>
      </c>
      <c r="DT73" s="40"/>
      <c r="DU73" s="40"/>
      <c r="DV73" s="40"/>
      <c r="DW73" s="40"/>
      <c r="DX73" s="40"/>
      <c r="DY73" s="40"/>
      <c r="DZ73" s="40"/>
      <c r="EA73" s="40"/>
      <c r="EB73" s="40"/>
      <c r="EC73" s="40"/>
      <c r="ED73" s="40"/>
      <c r="EE73" s="40"/>
      <c r="EF73" s="40"/>
      <c r="EG73" s="40"/>
      <c r="EH73" s="40"/>
      <c r="EI73" s="40"/>
      <c r="EJ73" s="40"/>
      <c r="EK73" s="40"/>
      <c r="EL73" s="40"/>
      <c r="EM73" s="40"/>
      <c r="EN73" s="40"/>
      <c r="EO73" s="40"/>
      <c r="EP73" s="40"/>
      <c r="EQ73" s="29"/>
      <c r="ER73" s="29"/>
      <c r="ES73" s="29"/>
      <c r="ET73" s="29"/>
      <c r="EU73" s="29"/>
      <c r="EV73" s="29"/>
      <c r="EW73" s="29"/>
      <c r="EX73" s="29"/>
      <c r="EY73" s="29"/>
      <c r="EZ73" s="29"/>
      <c r="FA73" s="29"/>
      <c r="FB73" s="29"/>
      <c r="FC73" s="29"/>
      <c r="FD73" s="29"/>
      <c r="FE73" s="29"/>
      <c r="FF73" s="29"/>
      <c r="FG73" s="29"/>
      <c r="FH73" s="29"/>
      <c r="FI73" s="29"/>
      <c r="FJ73" s="29"/>
      <c r="FK73" s="29"/>
      <c r="FL73" s="29"/>
      <c r="FM73" s="29"/>
      <c r="FN73" s="29"/>
      <c r="FO73" s="29"/>
      <c r="FP73" s="29"/>
      <c r="FQ73" s="29"/>
      <c r="FR73" s="29"/>
      <c r="FS73" s="29"/>
      <c r="FT73" s="29" t="n">
        <f aca="false">SUM(N73:FS73)</f>
        <v>170500</v>
      </c>
      <c r="FU73" s="27" t="n">
        <f aca="false">SUM(L73-FT73)</f>
        <v>153500</v>
      </c>
      <c r="FV73" s="31" t="n">
        <f aca="false">SUM( H73/5)</f>
        <v>8.41975308641975</v>
      </c>
      <c r="FW73" s="31" t="n">
        <f aca="false">SUM( I73/5)</f>
        <v>7.58024691358025</v>
      </c>
      <c r="FX73" s="32" t="n">
        <f aca="false">SUM(FV73/4)</f>
        <v>2.10493827160494</v>
      </c>
      <c r="FY73" s="32" t="n">
        <f aca="false">SUM(FW73/4)</f>
        <v>1.89506172839506</v>
      </c>
    </row>
    <row r="74" customFormat="false" ht="43.5" hidden="false" customHeight="true" outlineLevel="0" collapsed="false">
      <c r="A74" s="24" t="n">
        <v>3362</v>
      </c>
      <c r="B74" s="22" t="s">
        <v>316</v>
      </c>
      <c r="C74" s="22" t="s">
        <v>317</v>
      </c>
      <c r="D74" s="23" t="n">
        <v>45329</v>
      </c>
      <c r="E74" s="23" t="n">
        <v>45892</v>
      </c>
      <c r="F74" s="23" t="n">
        <v>45429</v>
      </c>
      <c r="G74" s="53" t="n">
        <v>110</v>
      </c>
      <c r="H74" s="25" t="n">
        <f aca="false">(FT74* 5)/M74</f>
        <v>60</v>
      </c>
      <c r="I74" s="25" t="n">
        <f aca="false">G74-H74</f>
        <v>50</v>
      </c>
      <c r="J74" s="22" t="s">
        <v>254</v>
      </c>
      <c r="K74" s="27" t="n">
        <v>100000</v>
      </c>
      <c r="L74" s="27" t="n">
        <v>264000</v>
      </c>
      <c r="M74" s="45" t="n">
        <f aca="false">(L74/G74)*5</f>
        <v>12000</v>
      </c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D74" s="40"/>
      <c r="CE74" s="40"/>
      <c r="CF74" s="40"/>
      <c r="CG74" s="40"/>
      <c r="CH74" s="40"/>
      <c r="CI74" s="40"/>
      <c r="CJ74" s="40"/>
      <c r="CK74" s="40"/>
      <c r="CL74" s="40"/>
      <c r="CM74" s="40"/>
      <c r="CN74" s="40"/>
      <c r="CO74" s="40"/>
      <c r="CP74" s="40"/>
      <c r="CQ74" s="40"/>
      <c r="CR74" s="40"/>
      <c r="CS74" s="40"/>
      <c r="CT74" s="40"/>
      <c r="CU74" s="40"/>
      <c r="CV74" s="40"/>
      <c r="CW74" s="40"/>
      <c r="CX74" s="40"/>
      <c r="CY74" s="40"/>
      <c r="CZ74" s="40"/>
      <c r="DA74" s="40"/>
      <c r="DB74" s="40"/>
      <c r="DC74" s="40"/>
      <c r="DD74" s="40"/>
      <c r="DE74" s="40"/>
      <c r="DF74" s="40"/>
      <c r="DG74" s="40"/>
      <c r="DH74" s="40"/>
      <c r="DI74" s="40"/>
      <c r="DJ74" s="40"/>
      <c r="DK74" s="40"/>
      <c r="DL74" s="40"/>
      <c r="DM74" s="40"/>
      <c r="DN74" s="40"/>
      <c r="DO74" s="40"/>
      <c r="DP74" s="40"/>
      <c r="DQ74" s="40"/>
      <c r="DR74" s="40"/>
      <c r="DS74" s="40"/>
      <c r="DT74" s="40"/>
      <c r="DU74" s="40"/>
      <c r="DV74" s="40"/>
      <c r="DW74" s="40"/>
      <c r="DX74" s="40"/>
      <c r="DY74" s="40"/>
      <c r="DZ74" s="40"/>
      <c r="EA74" s="40"/>
      <c r="EB74" s="40"/>
      <c r="EC74" s="40"/>
      <c r="ED74" s="40"/>
      <c r="EE74" s="40"/>
      <c r="EF74" s="40"/>
      <c r="EG74" s="40"/>
      <c r="EH74" s="40"/>
      <c r="EI74" s="40"/>
      <c r="EJ74" s="40"/>
      <c r="EK74" s="40" t="s">
        <v>184</v>
      </c>
      <c r="EL74" s="40"/>
      <c r="EM74" s="40" t="s">
        <v>184</v>
      </c>
      <c r="EN74" s="40" t="s">
        <v>184</v>
      </c>
      <c r="EO74" s="40"/>
      <c r="EP74" s="40"/>
      <c r="EQ74" s="29"/>
      <c r="ER74" s="29"/>
      <c r="ES74" s="29" t="s">
        <v>184</v>
      </c>
      <c r="ET74" s="29"/>
      <c r="EU74" s="29"/>
      <c r="EV74" s="29" t="s">
        <v>184</v>
      </c>
      <c r="EW74" s="29"/>
      <c r="EX74" s="29"/>
      <c r="EY74" s="29"/>
      <c r="EZ74" s="29"/>
      <c r="FA74" s="29"/>
      <c r="FB74" s="29"/>
      <c r="FC74" s="29" t="s">
        <v>184</v>
      </c>
      <c r="FD74" s="29"/>
      <c r="FE74" s="29"/>
      <c r="FF74" s="29"/>
      <c r="FG74" s="29" t="n">
        <v>24000</v>
      </c>
      <c r="FH74" s="29"/>
      <c r="FI74" s="29" t="n">
        <v>24000</v>
      </c>
      <c r="FJ74" s="29"/>
      <c r="FK74" s="29" t="n">
        <v>24000</v>
      </c>
      <c r="FL74" s="29"/>
      <c r="FM74" s="29" t="n">
        <v>24000</v>
      </c>
      <c r="FN74" s="29"/>
      <c r="FO74" s="29"/>
      <c r="FP74" s="29" t="n">
        <v>24000</v>
      </c>
      <c r="FQ74" s="29"/>
      <c r="FR74" s="29" t="n">
        <v>24000</v>
      </c>
      <c r="FS74" s="29"/>
      <c r="FT74" s="29" t="n">
        <f aca="false">SUM(N74:FS74)</f>
        <v>144000</v>
      </c>
      <c r="FU74" s="27" t="n">
        <f aca="false">SUM(L74-FT74)</f>
        <v>120000</v>
      </c>
      <c r="FV74" s="31" t="n">
        <f aca="false">SUM( H74/5)</f>
        <v>12</v>
      </c>
      <c r="FW74" s="31" t="n">
        <f aca="false">SUM( I74/5)</f>
        <v>10</v>
      </c>
      <c r="FX74" s="32" t="n">
        <f aca="false">SUM(FV74/4)</f>
        <v>3</v>
      </c>
      <c r="FY74" s="32" t="n">
        <f aca="false">SUM(FW74/4)</f>
        <v>2.5</v>
      </c>
    </row>
    <row r="75" customFormat="false" ht="43.5" hidden="false" customHeight="true" outlineLevel="0" collapsed="false">
      <c r="A75" s="24" t="n">
        <v>1936</v>
      </c>
      <c r="B75" s="21" t="s">
        <v>318</v>
      </c>
      <c r="C75" s="21" t="s">
        <v>319</v>
      </c>
      <c r="D75" s="22" t="n">
        <v>42259096</v>
      </c>
      <c r="E75" s="23" t="n">
        <v>44929</v>
      </c>
      <c r="F75" s="23" t="n">
        <f aca="false">WORKDAY(E75,G75)</f>
        <v>45349</v>
      </c>
      <c r="G75" s="24" t="n">
        <v>300</v>
      </c>
      <c r="H75" s="25" t="n">
        <f aca="false">(FT75* 5)/M75</f>
        <v>140</v>
      </c>
      <c r="I75" s="25" t="n">
        <f aca="false">G75-H75</f>
        <v>160</v>
      </c>
      <c r="J75" s="26" t="s">
        <v>320</v>
      </c>
      <c r="K75" s="27" t="n">
        <v>80000</v>
      </c>
      <c r="L75" s="27" t="n">
        <v>214350</v>
      </c>
      <c r="M75" s="28" t="n">
        <f aca="false">(L75/G75)*5</f>
        <v>3572.5</v>
      </c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 t="n">
        <v>14290</v>
      </c>
      <c r="AB75" s="40"/>
      <c r="AC75" s="40"/>
      <c r="AD75" s="40"/>
      <c r="AE75" s="40"/>
      <c r="AF75" s="40"/>
      <c r="AG75" s="40"/>
      <c r="AH75" s="40"/>
      <c r="AI75" s="40" t="n">
        <v>14290</v>
      </c>
      <c r="AJ75" s="40"/>
      <c r="AK75" s="40"/>
      <c r="AL75" s="40"/>
      <c r="AM75" s="40" t="n">
        <v>14290</v>
      </c>
      <c r="AN75" s="40"/>
      <c r="AO75" s="40"/>
      <c r="AP75" s="40"/>
      <c r="AQ75" s="40"/>
      <c r="AR75" s="40" t="n">
        <v>14290</v>
      </c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 t="n">
        <v>14290</v>
      </c>
      <c r="BF75" s="40"/>
      <c r="BG75" s="40"/>
      <c r="BH75" s="40"/>
      <c r="BI75" s="40" t="n">
        <v>14290</v>
      </c>
      <c r="BJ75" s="40"/>
      <c r="BK75" s="40"/>
      <c r="BL75" s="40"/>
      <c r="BM75" s="40"/>
      <c r="BN75" s="40" t="n">
        <v>14290</v>
      </c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D75" s="40"/>
      <c r="CE75" s="40"/>
      <c r="CF75" s="40"/>
      <c r="CG75" s="40"/>
      <c r="CH75" s="40"/>
      <c r="CI75" s="40"/>
      <c r="CJ75" s="40"/>
      <c r="CK75" s="40"/>
      <c r="CL75" s="40"/>
      <c r="CM75" s="40"/>
      <c r="CN75" s="40"/>
      <c r="CO75" s="40"/>
      <c r="CP75" s="40"/>
      <c r="CQ75" s="40"/>
      <c r="CR75" s="40"/>
      <c r="CS75" s="40"/>
      <c r="CT75" s="40"/>
      <c r="CU75" s="40"/>
      <c r="CV75" s="40"/>
      <c r="CW75" s="40"/>
      <c r="CX75" s="40"/>
      <c r="CY75" s="40"/>
      <c r="CZ75" s="40"/>
      <c r="DA75" s="40"/>
      <c r="DB75" s="40"/>
      <c r="DC75" s="40"/>
      <c r="DD75" s="40"/>
      <c r="DE75" s="40"/>
      <c r="DF75" s="40"/>
      <c r="DG75" s="40"/>
      <c r="DH75" s="40"/>
      <c r="DI75" s="40"/>
      <c r="DJ75" s="40"/>
      <c r="DK75" s="40"/>
      <c r="DL75" s="40"/>
      <c r="DM75" s="40"/>
      <c r="DN75" s="40"/>
      <c r="DO75" s="40"/>
      <c r="DP75" s="40"/>
      <c r="DQ75" s="40"/>
      <c r="DR75" s="40"/>
      <c r="DS75" s="40"/>
      <c r="DT75" s="40"/>
      <c r="DU75" s="40"/>
      <c r="DV75" s="40"/>
      <c r="DW75" s="40"/>
      <c r="DX75" s="40"/>
      <c r="DY75" s="40"/>
      <c r="DZ75" s="40"/>
      <c r="EA75" s="40"/>
      <c r="EB75" s="40"/>
      <c r="EC75" s="40"/>
      <c r="ED75" s="40"/>
      <c r="EE75" s="40"/>
      <c r="EF75" s="40"/>
      <c r="EG75" s="40"/>
      <c r="EH75" s="40"/>
      <c r="EI75" s="40"/>
      <c r="EJ75" s="40"/>
      <c r="EK75" s="40"/>
      <c r="EL75" s="40"/>
      <c r="EM75" s="40"/>
      <c r="EN75" s="40"/>
      <c r="EO75" s="40"/>
      <c r="EP75" s="40"/>
      <c r="EQ75" s="29"/>
      <c r="ER75" s="29"/>
      <c r="ES75" s="29"/>
      <c r="ET75" s="29"/>
      <c r="EU75" s="29"/>
      <c r="EV75" s="29"/>
      <c r="EW75" s="29"/>
      <c r="EX75" s="29"/>
      <c r="EY75" s="29"/>
      <c r="EZ75" s="29"/>
      <c r="FA75" s="29"/>
      <c r="FB75" s="29"/>
      <c r="FC75" s="29"/>
      <c r="FD75" s="29"/>
      <c r="FE75" s="29"/>
      <c r="FF75" s="29"/>
      <c r="FG75" s="29"/>
      <c r="FH75" s="29"/>
      <c r="FI75" s="29"/>
      <c r="FJ75" s="29"/>
      <c r="FK75" s="29"/>
      <c r="FL75" s="29"/>
      <c r="FM75" s="29"/>
      <c r="FN75" s="29"/>
      <c r="FO75" s="29"/>
      <c r="FP75" s="29"/>
      <c r="FQ75" s="29"/>
      <c r="FR75" s="29"/>
      <c r="FS75" s="29"/>
      <c r="FT75" s="29" t="n">
        <f aca="false">SUM(N75:FS75)</f>
        <v>100030</v>
      </c>
      <c r="FU75" s="27" t="n">
        <f aca="false">SUM(L75-FT75)</f>
        <v>114320</v>
      </c>
      <c r="FV75" s="31" t="n">
        <f aca="false">SUM( H75/5)</f>
        <v>28</v>
      </c>
      <c r="FW75" s="31" t="n">
        <f aca="false">SUM( I75/5)</f>
        <v>32</v>
      </c>
      <c r="FX75" s="32" t="n">
        <f aca="false">SUM(FV75/4)</f>
        <v>7</v>
      </c>
      <c r="FY75" s="32" t="n">
        <f aca="false">SUM(FW75/4)</f>
        <v>8</v>
      </c>
    </row>
    <row r="76" customFormat="false" ht="43.5" hidden="false" customHeight="true" outlineLevel="0" collapsed="false">
      <c r="A76" s="24" t="n">
        <v>1949</v>
      </c>
      <c r="B76" s="21" t="s">
        <v>318</v>
      </c>
      <c r="C76" s="21" t="s">
        <v>319</v>
      </c>
      <c r="D76" s="22"/>
      <c r="E76" s="23" t="n">
        <v>44939</v>
      </c>
      <c r="F76" s="23" t="n">
        <f aca="false">WORKDAY(E76,G76)</f>
        <v>45352</v>
      </c>
      <c r="G76" s="24" t="n">
        <v>295</v>
      </c>
      <c r="H76" s="25" t="n">
        <f aca="false">(FT76* 5)/M76</f>
        <v>147.5</v>
      </c>
      <c r="I76" s="25" t="n">
        <f aca="false">G76-H76</f>
        <v>147.5</v>
      </c>
      <c r="J76" s="26" t="s">
        <v>321</v>
      </c>
      <c r="K76" s="27" t="n">
        <v>30000</v>
      </c>
      <c r="L76" s="27" t="n">
        <v>84000</v>
      </c>
      <c r="M76" s="28" t="n">
        <f aca="false">(L76/G76)*5</f>
        <v>1423.72881355932</v>
      </c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 t="n">
        <v>7000</v>
      </c>
      <c r="AJ76" s="40"/>
      <c r="AK76" s="40"/>
      <c r="AL76" s="40"/>
      <c r="AM76" s="40" t="n">
        <v>7000</v>
      </c>
      <c r="AN76" s="40"/>
      <c r="AO76" s="40"/>
      <c r="AP76" s="40"/>
      <c r="AQ76" s="40"/>
      <c r="AR76" s="40" t="n">
        <v>7000</v>
      </c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 t="n">
        <v>7000</v>
      </c>
      <c r="BF76" s="40"/>
      <c r="BG76" s="40"/>
      <c r="BH76" s="40"/>
      <c r="BI76" s="40" t="n">
        <v>7000</v>
      </c>
      <c r="BJ76" s="40"/>
      <c r="BK76" s="40"/>
      <c r="BL76" s="40"/>
      <c r="BM76" s="40"/>
      <c r="BN76" s="40" t="n">
        <v>7000</v>
      </c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D76" s="40"/>
      <c r="CE76" s="40"/>
      <c r="CF76" s="40"/>
      <c r="CG76" s="40"/>
      <c r="CH76" s="40"/>
      <c r="CI76" s="40"/>
      <c r="CJ76" s="40"/>
      <c r="CK76" s="40"/>
      <c r="CL76" s="40"/>
      <c r="CM76" s="40"/>
      <c r="CN76" s="40"/>
      <c r="CO76" s="40"/>
      <c r="CP76" s="40"/>
      <c r="CQ76" s="40"/>
      <c r="CR76" s="40"/>
      <c r="CS76" s="40"/>
      <c r="CT76" s="40"/>
      <c r="CU76" s="40"/>
      <c r="CV76" s="40"/>
      <c r="CW76" s="40"/>
      <c r="CX76" s="40"/>
      <c r="CY76" s="40"/>
      <c r="CZ76" s="40"/>
      <c r="DA76" s="40"/>
      <c r="DB76" s="40"/>
      <c r="DC76" s="40"/>
      <c r="DD76" s="40"/>
      <c r="DE76" s="40"/>
      <c r="DF76" s="40"/>
      <c r="DG76" s="40"/>
      <c r="DH76" s="40"/>
      <c r="DI76" s="40"/>
      <c r="DJ76" s="40"/>
      <c r="DK76" s="40"/>
      <c r="DL76" s="40"/>
      <c r="DM76" s="40"/>
      <c r="DN76" s="40"/>
      <c r="DO76" s="40"/>
      <c r="DP76" s="40"/>
      <c r="DQ76" s="40"/>
      <c r="DR76" s="40"/>
      <c r="DS76" s="40"/>
      <c r="DT76" s="40"/>
      <c r="DU76" s="40"/>
      <c r="DV76" s="40"/>
      <c r="DW76" s="40"/>
      <c r="DX76" s="40"/>
      <c r="DY76" s="40"/>
      <c r="DZ76" s="40"/>
      <c r="EA76" s="40"/>
      <c r="EB76" s="40"/>
      <c r="EC76" s="40"/>
      <c r="ED76" s="40"/>
      <c r="EE76" s="40"/>
      <c r="EF76" s="40"/>
      <c r="EG76" s="40"/>
      <c r="EH76" s="40"/>
      <c r="EI76" s="40"/>
      <c r="EJ76" s="40"/>
      <c r="EK76" s="40"/>
      <c r="EL76" s="40"/>
      <c r="EM76" s="40"/>
      <c r="EN76" s="40"/>
      <c r="EO76" s="40"/>
      <c r="EP76" s="40"/>
      <c r="EQ76" s="29"/>
      <c r="ER76" s="29"/>
      <c r="ES76" s="29"/>
      <c r="ET76" s="29"/>
      <c r="EU76" s="29"/>
      <c r="EV76" s="29"/>
      <c r="EW76" s="29"/>
      <c r="EX76" s="29"/>
      <c r="EY76" s="29"/>
      <c r="EZ76" s="29"/>
      <c r="FA76" s="29"/>
      <c r="FB76" s="29"/>
      <c r="FC76" s="29"/>
      <c r="FD76" s="29"/>
      <c r="FE76" s="29"/>
      <c r="FF76" s="29" t="s">
        <v>184</v>
      </c>
      <c r="FG76" s="29"/>
      <c r="FH76" s="29"/>
      <c r="FI76" s="29"/>
      <c r="FJ76" s="29"/>
      <c r="FK76" s="29"/>
      <c r="FL76" s="29"/>
      <c r="FM76" s="29"/>
      <c r="FN76" s="29"/>
      <c r="FO76" s="29"/>
      <c r="FP76" s="29"/>
      <c r="FQ76" s="29"/>
      <c r="FR76" s="29"/>
      <c r="FS76" s="29"/>
      <c r="FT76" s="29" t="n">
        <f aca="false">SUM(N76:FS76)</f>
        <v>42000</v>
      </c>
      <c r="FU76" s="27" t="n">
        <f aca="false">SUM(L76-FT76)</f>
        <v>42000</v>
      </c>
      <c r="FV76" s="31" t="n">
        <f aca="false">SUM( H76/5)</f>
        <v>29.5</v>
      </c>
      <c r="FW76" s="31" t="n">
        <f aca="false">SUM( I76/5)</f>
        <v>29.5</v>
      </c>
      <c r="FX76" s="32" t="n">
        <f aca="false">SUM(FV76/4)</f>
        <v>7.375</v>
      </c>
      <c r="FY76" s="32" t="n">
        <f aca="false">SUM(FW76/4)</f>
        <v>7.375</v>
      </c>
    </row>
    <row r="77" customFormat="false" ht="43.5" hidden="false" customHeight="true" outlineLevel="0" collapsed="false">
      <c r="A77" s="24" t="n">
        <v>1980</v>
      </c>
      <c r="B77" s="21" t="s">
        <v>318</v>
      </c>
      <c r="C77" s="21" t="s">
        <v>319</v>
      </c>
      <c r="D77" s="22"/>
      <c r="E77" s="23" t="n">
        <v>44972</v>
      </c>
      <c r="F77" s="23" t="n">
        <f aca="false">WORKDAY(E77,G77)</f>
        <v>45308</v>
      </c>
      <c r="G77" s="24" t="n">
        <v>240</v>
      </c>
      <c r="H77" s="25" t="n">
        <f aca="false">(FT77* 5)/M77</f>
        <v>120</v>
      </c>
      <c r="I77" s="25" t="n">
        <f aca="false">G77-H77</f>
        <v>120</v>
      </c>
      <c r="J77" s="26" t="s">
        <v>321</v>
      </c>
      <c r="K77" s="30" t="n">
        <v>30000</v>
      </c>
      <c r="L77" s="30" t="n">
        <v>84000</v>
      </c>
      <c r="M77" s="28" t="n">
        <f aca="false">(L77/G77)*5</f>
        <v>1750</v>
      </c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 t="n">
        <v>7000</v>
      </c>
      <c r="AJ77" s="40"/>
      <c r="AK77" s="40"/>
      <c r="AL77" s="40"/>
      <c r="AM77" s="40" t="n">
        <v>7000</v>
      </c>
      <c r="AN77" s="40"/>
      <c r="AO77" s="40"/>
      <c r="AP77" s="40"/>
      <c r="AQ77" s="40"/>
      <c r="AR77" s="40" t="n">
        <v>7000</v>
      </c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 t="n">
        <v>7000</v>
      </c>
      <c r="BF77" s="40"/>
      <c r="BG77" s="40"/>
      <c r="BH77" s="40"/>
      <c r="BI77" s="40" t="n">
        <v>7000</v>
      </c>
      <c r="BJ77" s="40"/>
      <c r="BK77" s="40"/>
      <c r="BL77" s="40"/>
      <c r="BM77" s="40"/>
      <c r="BN77" s="40" t="n">
        <v>7000</v>
      </c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D77" s="40"/>
      <c r="CE77" s="40"/>
      <c r="CF77" s="40"/>
      <c r="CG77" s="40"/>
      <c r="CH77" s="40"/>
      <c r="CI77" s="40"/>
      <c r="CJ77" s="40"/>
      <c r="CK77" s="40"/>
      <c r="CL77" s="40"/>
      <c r="CM77" s="40"/>
      <c r="CN77" s="40"/>
      <c r="CO77" s="40"/>
      <c r="CP77" s="40"/>
      <c r="CQ77" s="40"/>
      <c r="CR77" s="40"/>
      <c r="CS77" s="40"/>
      <c r="CT77" s="40"/>
      <c r="CU77" s="40"/>
      <c r="CV77" s="40"/>
      <c r="CW77" s="40"/>
      <c r="CX77" s="40"/>
      <c r="CY77" s="40"/>
      <c r="CZ77" s="40"/>
      <c r="DA77" s="40"/>
      <c r="DB77" s="40"/>
      <c r="DC77" s="40"/>
      <c r="DD77" s="40"/>
      <c r="DE77" s="40"/>
      <c r="DF77" s="40"/>
      <c r="DG77" s="40"/>
      <c r="DH77" s="40"/>
      <c r="DI77" s="40"/>
      <c r="DJ77" s="40"/>
      <c r="DK77" s="40"/>
      <c r="DL77" s="40"/>
      <c r="DM77" s="40"/>
      <c r="DN77" s="40"/>
      <c r="DO77" s="40"/>
      <c r="DP77" s="40"/>
      <c r="DQ77" s="40"/>
      <c r="DR77" s="40"/>
      <c r="DS77" s="40"/>
      <c r="DT77" s="40"/>
      <c r="DU77" s="40"/>
      <c r="DV77" s="40"/>
      <c r="DW77" s="40"/>
      <c r="DX77" s="40"/>
      <c r="DY77" s="40"/>
      <c r="DZ77" s="40"/>
      <c r="EA77" s="40"/>
      <c r="EB77" s="40"/>
      <c r="EC77" s="40"/>
      <c r="ED77" s="40"/>
      <c r="EE77" s="40"/>
      <c r="EF77" s="40"/>
      <c r="EG77" s="40"/>
      <c r="EH77" s="40"/>
      <c r="EI77" s="40"/>
      <c r="EJ77" s="40"/>
      <c r="EK77" s="40"/>
      <c r="EL77" s="40"/>
      <c r="EM77" s="40"/>
      <c r="EN77" s="40"/>
      <c r="EO77" s="40"/>
      <c r="EP77" s="40"/>
      <c r="EQ77" s="29"/>
      <c r="ER77" s="29"/>
      <c r="ES77" s="29"/>
      <c r="ET77" s="29"/>
      <c r="EU77" s="29"/>
      <c r="EV77" s="29"/>
      <c r="EW77" s="29"/>
      <c r="EX77" s="29"/>
      <c r="EY77" s="29"/>
      <c r="EZ77" s="29"/>
      <c r="FA77" s="29"/>
      <c r="FB77" s="29"/>
      <c r="FC77" s="29"/>
      <c r="FD77" s="29"/>
      <c r="FE77" s="29"/>
      <c r="FF77" s="29" t="s">
        <v>184</v>
      </c>
      <c r="FG77" s="29"/>
      <c r="FH77" s="29"/>
      <c r="FI77" s="29"/>
      <c r="FJ77" s="29"/>
      <c r="FK77" s="29"/>
      <c r="FL77" s="29"/>
      <c r="FM77" s="29"/>
      <c r="FN77" s="29"/>
      <c r="FO77" s="29"/>
      <c r="FP77" s="29"/>
      <c r="FQ77" s="29"/>
      <c r="FR77" s="29"/>
      <c r="FS77" s="29"/>
      <c r="FT77" s="29" t="n">
        <f aca="false">SUM(N77:FS77)</f>
        <v>42000</v>
      </c>
      <c r="FU77" s="27" t="n">
        <f aca="false">SUM(L77-FT77)</f>
        <v>42000</v>
      </c>
      <c r="FV77" s="31" t="n">
        <f aca="false">SUM( H77/5)</f>
        <v>24</v>
      </c>
      <c r="FW77" s="31" t="n">
        <f aca="false">SUM( I77/5)</f>
        <v>24</v>
      </c>
      <c r="FX77" s="32" t="n">
        <f aca="false">SUM(FV77/4)</f>
        <v>6</v>
      </c>
      <c r="FY77" s="32" t="n">
        <f aca="false">SUM(FW77/4)</f>
        <v>6</v>
      </c>
    </row>
    <row r="78" customFormat="false" ht="43.5" hidden="false" customHeight="true" outlineLevel="0" collapsed="false">
      <c r="A78" s="24" t="n">
        <v>1991</v>
      </c>
      <c r="B78" s="21" t="s">
        <v>318</v>
      </c>
      <c r="C78" s="21" t="s">
        <v>319</v>
      </c>
      <c r="D78" s="22"/>
      <c r="E78" s="23" t="n">
        <v>44979</v>
      </c>
      <c r="F78" s="23" t="n">
        <f aca="false">WORKDAY(E78,G78)</f>
        <v>45315</v>
      </c>
      <c r="G78" s="24" t="n">
        <v>240</v>
      </c>
      <c r="H78" s="25" t="n">
        <f aca="false">(FT78* 5)/M78</f>
        <v>120</v>
      </c>
      <c r="I78" s="25" t="n">
        <f aca="false">G78-H78</f>
        <v>120</v>
      </c>
      <c r="J78" s="26" t="s">
        <v>322</v>
      </c>
      <c r="K78" s="30" t="n">
        <v>10000</v>
      </c>
      <c r="L78" s="30" t="n">
        <v>28200</v>
      </c>
      <c r="M78" s="28" t="n">
        <f aca="false">(L78/G78)*5</f>
        <v>587.5</v>
      </c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 t="n">
        <v>2350</v>
      </c>
      <c r="AJ78" s="40"/>
      <c r="AK78" s="40"/>
      <c r="AL78" s="40"/>
      <c r="AM78" s="40" t="n">
        <v>2350</v>
      </c>
      <c r="AN78" s="40"/>
      <c r="AO78" s="40"/>
      <c r="AP78" s="40"/>
      <c r="AQ78" s="40"/>
      <c r="AR78" s="40" t="n">
        <v>2350</v>
      </c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 t="n">
        <v>2350</v>
      </c>
      <c r="BF78" s="40"/>
      <c r="BG78" s="40"/>
      <c r="BH78" s="40"/>
      <c r="BI78" s="40" t="n">
        <v>2350</v>
      </c>
      <c r="BJ78" s="40"/>
      <c r="BK78" s="40"/>
      <c r="BL78" s="40"/>
      <c r="BM78" s="40"/>
      <c r="BN78" s="40" t="n">
        <v>2350</v>
      </c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  <c r="CD78" s="40"/>
      <c r="CE78" s="40"/>
      <c r="CF78" s="40"/>
      <c r="CG78" s="40"/>
      <c r="CH78" s="40"/>
      <c r="CI78" s="40"/>
      <c r="CJ78" s="40"/>
      <c r="CK78" s="40"/>
      <c r="CL78" s="40"/>
      <c r="CM78" s="40"/>
      <c r="CN78" s="40"/>
      <c r="CO78" s="40"/>
      <c r="CP78" s="40"/>
      <c r="CQ78" s="40"/>
      <c r="CR78" s="40"/>
      <c r="CS78" s="40"/>
      <c r="CT78" s="40"/>
      <c r="CU78" s="40"/>
      <c r="CV78" s="40"/>
      <c r="CW78" s="40"/>
      <c r="CX78" s="40"/>
      <c r="CY78" s="40"/>
      <c r="CZ78" s="40"/>
      <c r="DA78" s="40"/>
      <c r="DB78" s="40"/>
      <c r="DC78" s="40"/>
      <c r="DD78" s="40"/>
      <c r="DE78" s="40"/>
      <c r="DF78" s="40"/>
      <c r="DG78" s="40"/>
      <c r="DH78" s="40"/>
      <c r="DI78" s="40"/>
      <c r="DJ78" s="40"/>
      <c r="DK78" s="40"/>
      <c r="DL78" s="40"/>
      <c r="DM78" s="40"/>
      <c r="DN78" s="40"/>
      <c r="DO78" s="40"/>
      <c r="DP78" s="40"/>
      <c r="DQ78" s="40"/>
      <c r="DR78" s="40"/>
      <c r="DS78" s="40"/>
      <c r="DT78" s="40"/>
      <c r="DU78" s="40"/>
      <c r="DV78" s="40"/>
      <c r="DW78" s="40"/>
      <c r="DX78" s="40"/>
      <c r="DY78" s="40"/>
      <c r="DZ78" s="40"/>
      <c r="EA78" s="40"/>
      <c r="EB78" s="40"/>
      <c r="EC78" s="40"/>
      <c r="ED78" s="40"/>
      <c r="EE78" s="40"/>
      <c r="EF78" s="40"/>
      <c r="EG78" s="40"/>
      <c r="EH78" s="40"/>
      <c r="EI78" s="40"/>
      <c r="EJ78" s="40"/>
      <c r="EK78" s="40"/>
      <c r="EL78" s="40"/>
      <c r="EM78" s="40"/>
      <c r="EN78" s="40"/>
      <c r="EO78" s="40"/>
      <c r="EP78" s="40"/>
      <c r="EQ78" s="29"/>
      <c r="ER78" s="29"/>
      <c r="ES78" s="29"/>
      <c r="ET78" s="29"/>
      <c r="EU78" s="29"/>
      <c r="EV78" s="29"/>
      <c r="EW78" s="29"/>
      <c r="EX78" s="29"/>
      <c r="EY78" s="29"/>
      <c r="EZ78" s="29"/>
      <c r="FA78" s="29"/>
      <c r="FB78" s="29"/>
      <c r="FC78" s="29"/>
      <c r="FD78" s="29"/>
      <c r="FE78" s="29"/>
      <c r="FF78" s="29"/>
      <c r="FG78" s="29"/>
      <c r="FH78" s="29"/>
      <c r="FI78" s="29"/>
      <c r="FJ78" s="29"/>
      <c r="FK78" s="29"/>
      <c r="FL78" s="29"/>
      <c r="FM78" s="29"/>
      <c r="FN78" s="29"/>
      <c r="FO78" s="29"/>
      <c r="FP78" s="29"/>
      <c r="FQ78" s="29"/>
      <c r="FR78" s="29"/>
      <c r="FS78" s="29"/>
      <c r="FT78" s="29" t="n">
        <f aca="false">SUM(N78:FS78)</f>
        <v>14100</v>
      </c>
      <c r="FU78" s="27" t="n">
        <f aca="false">SUM(L78-FT78)</f>
        <v>14100</v>
      </c>
      <c r="FV78" s="31" t="n">
        <f aca="false">SUM( H78/5)</f>
        <v>24</v>
      </c>
      <c r="FW78" s="31" t="n">
        <f aca="false">SUM( I78/5)</f>
        <v>24</v>
      </c>
      <c r="FX78" s="32" t="n">
        <f aca="false">SUM(FV78/4)</f>
        <v>6</v>
      </c>
      <c r="FY78" s="32" t="n">
        <f aca="false">SUM(FW78/4)</f>
        <v>6</v>
      </c>
    </row>
    <row r="79" customFormat="false" ht="43.5" hidden="false" customHeight="true" outlineLevel="0" collapsed="false">
      <c r="A79" s="24" t="n">
        <v>2062</v>
      </c>
      <c r="B79" s="21" t="s">
        <v>318</v>
      </c>
      <c r="C79" s="21" t="s">
        <v>319</v>
      </c>
      <c r="D79" s="22"/>
      <c r="E79" s="23" t="n">
        <v>45031</v>
      </c>
      <c r="F79" s="23" t="n">
        <f aca="false">WORKDAY(E79,G79)</f>
        <v>45198</v>
      </c>
      <c r="G79" s="24" t="n">
        <v>120</v>
      </c>
      <c r="H79" s="25" t="n">
        <f aca="false">(FT79* 5)/M79</f>
        <v>100</v>
      </c>
      <c r="I79" s="25" t="n">
        <f aca="false">G79-H79</f>
        <v>20</v>
      </c>
      <c r="J79" s="26" t="s">
        <v>323</v>
      </c>
      <c r="K79" s="30" t="n">
        <v>20000</v>
      </c>
      <c r="L79" s="30" t="n">
        <v>52800</v>
      </c>
      <c r="M79" s="28" t="n">
        <f aca="false">(L79/G79)*5</f>
        <v>2200</v>
      </c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 t="n">
        <v>8800</v>
      </c>
      <c r="AN79" s="40"/>
      <c r="AO79" s="40"/>
      <c r="AP79" s="40"/>
      <c r="AQ79" s="40"/>
      <c r="AR79" s="40" t="n">
        <v>8800</v>
      </c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 t="n">
        <v>8800</v>
      </c>
      <c r="BF79" s="40"/>
      <c r="BG79" s="40"/>
      <c r="BH79" s="40"/>
      <c r="BI79" s="40" t="n">
        <v>8800</v>
      </c>
      <c r="BJ79" s="40"/>
      <c r="BK79" s="40"/>
      <c r="BL79" s="40"/>
      <c r="BM79" s="40"/>
      <c r="BN79" s="40" t="n">
        <v>8800</v>
      </c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  <c r="CD79" s="40"/>
      <c r="CE79" s="40"/>
      <c r="CF79" s="40"/>
      <c r="CG79" s="40"/>
      <c r="CH79" s="40"/>
      <c r="CI79" s="40"/>
      <c r="CJ79" s="40"/>
      <c r="CK79" s="40"/>
      <c r="CL79" s="40"/>
      <c r="CM79" s="40"/>
      <c r="CN79" s="40"/>
      <c r="CO79" s="40"/>
      <c r="CP79" s="40"/>
      <c r="CQ79" s="40"/>
      <c r="CR79" s="40"/>
      <c r="CS79" s="40"/>
      <c r="CT79" s="40"/>
      <c r="CU79" s="40"/>
      <c r="CV79" s="40"/>
      <c r="CW79" s="40"/>
      <c r="CX79" s="40"/>
      <c r="CY79" s="40"/>
      <c r="CZ79" s="40"/>
      <c r="DA79" s="40"/>
      <c r="DB79" s="40"/>
      <c r="DC79" s="40"/>
      <c r="DD79" s="40"/>
      <c r="DE79" s="40"/>
      <c r="DF79" s="40"/>
      <c r="DG79" s="40"/>
      <c r="DH79" s="40"/>
      <c r="DI79" s="40"/>
      <c r="DJ79" s="40"/>
      <c r="DK79" s="40"/>
      <c r="DL79" s="40"/>
      <c r="DM79" s="40"/>
      <c r="DN79" s="40"/>
      <c r="DO79" s="40"/>
      <c r="DP79" s="40"/>
      <c r="DQ79" s="40"/>
      <c r="DR79" s="40"/>
      <c r="DS79" s="40"/>
      <c r="DT79" s="40"/>
      <c r="DU79" s="40"/>
      <c r="DV79" s="40"/>
      <c r="DW79" s="40"/>
      <c r="DX79" s="40"/>
      <c r="DY79" s="40"/>
      <c r="DZ79" s="40"/>
      <c r="EA79" s="40"/>
      <c r="EB79" s="40"/>
      <c r="EC79" s="40"/>
      <c r="ED79" s="40"/>
      <c r="EE79" s="40"/>
      <c r="EF79" s="40"/>
      <c r="EG79" s="40"/>
      <c r="EH79" s="40"/>
      <c r="EI79" s="40"/>
      <c r="EJ79" s="40"/>
      <c r="EK79" s="40"/>
      <c r="EL79" s="40"/>
      <c r="EM79" s="40"/>
      <c r="EN79" s="40"/>
      <c r="EO79" s="40"/>
      <c r="EP79" s="40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29"/>
      <c r="FS79" s="29"/>
      <c r="FT79" s="29" t="n">
        <f aca="false">SUM(N79:FS79)</f>
        <v>44000</v>
      </c>
      <c r="FU79" s="27" t="n">
        <f aca="false">SUM(L79-FT79)</f>
        <v>8800</v>
      </c>
      <c r="FV79" s="31" t="n">
        <f aca="false">SUM( H79/5)</f>
        <v>20</v>
      </c>
      <c r="FW79" s="31" t="n">
        <f aca="false">SUM( I79/5)</f>
        <v>4</v>
      </c>
      <c r="FX79" s="32" t="n">
        <f aca="false">SUM(FV79/4)</f>
        <v>5</v>
      </c>
      <c r="FY79" s="32" t="n">
        <f aca="false">SUM(FW79/4)</f>
        <v>1</v>
      </c>
    </row>
    <row r="80" customFormat="false" ht="43.5" hidden="false" customHeight="true" outlineLevel="0" collapsed="false">
      <c r="A80" s="24" t="n">
        <v>3022</v>
      </c>
      <c r="B80" s="21" t="s">
        <v>324</v>
      </c>
      <c r="C80" s="21" t="s">
        <v>325</v>
      </c>
      <c r="D80" s="22"/>
      <c r="E80" s="23" t="n">
        <v>45681</v>
      </c>
      <c r="F80" s="23" t="n">
        <f aca="false">WORKDAY(E80,G80)</f>
        <v>45849</v>
      </c>
      <c r="G80" s="24" t="n">
        <v>120</v>
      </c>
      <c r="H80" s="25" t="n">
        <f aca="false">(FT80* 5)/M80</f>
        <v>20</v>
      </c>
      <c r="I80" s="25" t="n">
        <f aca="false">G80-H80</f>
        <v>100</v>
      </c>
      <c r="J80" s="26" t="s">
        <v>326</v>
      </c>
      <c r="K80" s="30" t="n">
        <v>150000</v>
      </c>
      <c r="L80" s="30" t="n">
        <v>396000</v>
      </c>
      <c r="M80" s="28" t="n">
        <f aca="false">(L80/G80)*5</f>
        <v>16500</v>
      </c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0"/>
      <c r="CM80" s="40"/>
      <c r="CN80" s="40"/>
      <c r="CO80" s="40"/>
      <c r="CP80" s="40"/>
      <c r="CQ80" s="40"/>
      <c r="CR80" s="40"/>
      <c r="CS80" s="40"/>
      <c r="CT80" s="40"/>
      <c r="CU80" s="40"/>
      <c r="CV80" s="40"/>
      <c r="CW80" s="40"/>
      <c r="CX80" s="40"/>
      <c r="CY80" s="40"/>
      <c r="CZ80" s="40"/>
      <c r="DA80" s="40"/>
      <c r="DB80" s="40"/>
      <c r="DC80" s="40"/>
      <c r="DD80" s="40"/>
      <c r="DE80" s="40"/>
      <c r="DF80" s="40"/>
      <c r="DG80" s="40"/>
      <c r="DH80" s="40"/>
      <c r="DI80" s="40"/>
      <c r="DJ80" s="40"/>
      <c r="DK80" s="40"/>
      <c r="DL80" s="40"/>
      <c r="DM80" s="40"/>
      <c r="DN80" s="40"/>
      <c r="DO80" s="40"/>
      <c r="DP80" s="40"/>
      <c r="DQ80" s="40"/>
      <c r="DR80" s="40"/>
      <c r="DS80" s="40"/>
      <c r="DT80" s="40"/>
      <c r="DU80" s="40"/>
      <c r="DV80" s="40"/>
      <c r="DW80" s="40"/>
      <c r="DX80" s="40"/>
      <c r="DY80" s="40"/>
      <c r="DZ80" s="40"/>
      <c r="EA80" s="40"/>
      <c r="EB80" s="40"/>
      <c r="EC80" s="40"/>
      <c r="ED80" s="40" t="n">
        <v>66000</v>
      </c>
      <c r="EE80" s="40"/>
      <c r="EF80" s="40"/>
      <c r="EG80" s="40"/>
      <c r="EH80" s="40"/>
      <c r="EI80" s="40"/>
      <c r="EJ80" s="40"/>
      <c r="EK80" s="40"/>
      <c r="EL80" s="40"/>
      <c r="EM80" s="40"/>
      <c r="EN80" s="40"/>
      <c r="EO80" s="40"/>
      <c r="EP80" s="40"/>
      <c r="EQ80" s="29"/>
      <c r="ER80" s="29"/>
      <c r="ES80" s="29"/>
      <c r="ET80" s="29"/>
      <c r="EU80" s="29"/>
      <c r="EV80" s="29"/>
      <c r="EW80" s="29"/>
      <c r="EX80" s="29"/>
      <c r="EY80" s="29"/>
      <c r="EZ80" s="29"/>
      <c r="FA80" s="29"/>
      <c r="FB80" s="29"/>
      <c r="FC80" s="29"/>
      <c r="FD80" s="29"/>
      <c r="FE80" s="29"/>
      <c r="FF80" s="29"/>
      <c r="FG80" s="29"/>
      <c r="FH80" s="29"/>
      <c r="FI80" s="29"/>
      <c r="FJ80" s="29"/>
      <c r="FK80" s="29"/>
      <c r="FL80" s="29"/>
      <c r="FM80" s="29"/>
      <c r="FN80" s="29"/>
      <c r="FO80" s="29"/>
      <c r="FP80" s="29"/>
      <c r="FQ80" s="29"/>
      <c r="FR80" s="29"/>
      <c r="FS80" s="29"/>
      <c r="FT80" s="29" t="n">
        <f aca="false">SUM(N80:FS80)</f>
        <v>66000</v>
      </c>
      <c r="FU80" s="27" t="n">
        <f aca="false">SUM(L80-FT80)</f>
        <v>330000</v>
      </c>
      <c r="FV80" s="31" t="n">
        <f aca="false">SUM( H80/5)</f>
        <v>4</v>
      </c>
      <c r="FW80" s="31" t="n">
        <f aca="false">SUM( I80/5)</f>
        <v>20</v>
      </c>
      <c r="FX80" s="32" t="n">
        <f aca="false">SUM(FV80/4)</f>
        <v>1</v>
      </c>
      <c r="FY80" s="32" t="n">
        <f aca="false">SUM(FW80/4)</f>
        <v>5</v>
      </c>
    </row>
    <row r="81" customFormat="false" ht="43.5" hidden="false" customHeight="true" outlineLevel="0" collapsed="false">
      <c r="A81" s="24" t="n">
        <v>3090</v>
      </c>
      <c r="B81" s="21" t="s">
        <v>324</v>
      </c>
      <c r="C81" s="21" t="s">
        <v>325</v>
      </c>
      <c r="D81" s="22"/>
      <c r="E81" s="23" t="n">
        <v>45719</v>
      </c>
      <c r="F81" s="23" t="n">
        <f aca="false">WORKDAY(E81,G81)</f>
        <v>45943</v>
      </c>
      <c r="G81" s="24" t="n">
        <v>160</v>
      </c>
      <c r="H81" s="25" t="n">
        <f aca="false">(FT81* 5)/M81</f>
        <v>96</v>
      </c>
      <c r="I81" s="25" t="n">
        <f aca="false">G81-H81</f>
        <v>64</v>
      </c>
      <c r="J81" s="26" t="s">
        <v>327</v>
      </c>
      <c r="K81" s="30" t="n">
        <v>200000</v>
      </c>
      <c r="L81" s="30" t="n">
        <v>600000</v>
      </c>
      <c r="M81" s="47" t="n">
        <f aca="false">(L81/G81)*5</f>
        <v>18750</v>
      </c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40"/>
      <c r="CG81" s="40"/>
      <c r="CH81" s="40"/>
      <c r="CI81" s="40"/>
      <c r="CJ81" s="40"/>
      <c r="CK81" s="40"/>
      <c r="CL81" s="40"/>
      <c r="CM81" s="40"/>
      <c r="CN81" s="40"/>
      <c r="CO81" s="40"/>
      <c r="CP81" s="40"/>
      <c r="CQ81" s="40"/>
      <c r="CR81" s="40"/>
      <c r="CS81" s="40"/>
      <c r="CT81" s="40"/>
      <c r="CU81" s="40"/>
      <c r="CV81" s="40"/>
      <c r="CW81" s="40"/>
      <c r="CX81" s="40"/>
      <c r="CY81" s="40"/>
      <c r="CZ81" s="40"/>
      <c r="DA81" s="40"/>
      <c r="DB81" s="40"/>
      <c r="DC81" s="40"/>
      <c r="DD81" s="40"/>
      <c r="DE81" s="40"/>
      <c r="DF81" s="40"/>
      <c r="DG81" s="40"/>
      <c r="DH81" s="40"/>
      <c r="DI81" s="40"/>
      <c r="DJ81" s="40"/>
      <c r="DK81" s="40"/>
      <c r="DL81" s="40"/>
      <c r="DM81" s="40"/>
      <c r="DN81" s="40"/>
      <c r="DO81" s="40"/>
      <c r="DP81" s="40"/>
      <c r="DQ81" s="40"/>
      <c r="DR81" s="40"/>
      <c r="DS81" s="40"/>
      <c r="DT81" s="40"/>
      <c r="DU81" s="40"/>
      <c r="DV81" s="40"/>
      <c r="DW81" s="40"/>
      <c r="DX81" s="40"/>
      <c r="DY81" s="40"/>
      <c r="DZ81" s="40"/>
      <c r="EA81" s="40"/>
      <c r="EB81" s="40"/>
      <c r="EC81" s="40"/>
      <c r="ED81" s="40"/>
      <c r="EE81" s="40"/>
      <c r="EF81" s="40" t="s">
        <v>184</v>
      </c>
      <c r="EG81" s="40"/>
      <c r="EH81" s="40"/>
      <c r="EI81" s="40"/>
      <c r="EJ81" s="40"/>
      <c r="EK81" s="40"/>
      <c r="EL81" s="40"/>
      <c r="EM81" s="40" t="n">
        <v>75000</v>
      </c>
      <c r="EN81" s="40"/>
      <c r="EO81" s="40"/>
      <c r="EP81" s="40"/>
      <c r="EQ81" s="29"/>
      <c r="ER81" s="29" t="n">
        <v>75000</v>
      </c>
      <c r="ES81" s="29"/>
      <c r="ET81" s="29"/>
      <c r="EU81" s="29"/>
      <c r="EV81" s="29" t="n">
        <v>40000</v>
      </c>
      <c r="EW81" s="29"/>
      <c r="EX81" s="29" t="n">
        <v>35000</v>
      </c>
      <c r="EY81" s="29"/>
      <c r="EZ81" s="29"/>
      <c r="FA81" s="29" t="n">
        <v>30000</v>
      </c>
      <c r="FB81" s="29"/>
      <c r="FC81" s="29"/>
      <c r="FD81" s="29" t="n">
        <v>15000</v>
      </c>
      <c r="FE81" s="29"/>
      <c r="FF81" s="29" t="n">
        <v>15000</v>
      </c>
      <c r="FG81" s="29"/>
      <c r="FH81" s="29" t="n">
        <v>15000</v>
      </c>
      <c r="FI81" s="29"/>
      <c r="FJ81" s="29"/>
      <c r="FK81" s="29" t="n">
        <v>20000</v>
      </c>
      <c r="FL81" s="29"/>
      <c r="FM81" s="29"/>
      <c r="FN81" s="29" t="n">
        <v>20000</v>
      </c>
      <c r="FO81" s="29"/>
      <c r="FP81" s="29" t="n">
        <v>20000</v>
      </c>
      <c r="FQ81" s="29"/>
      <c r="FR81" s="29"/>
      <c r="FS81" s="29"/>
      <c r="FT81" s="29" t="n">
        <f aca="false">SUM(N81:FS81)</f>
        <v>360000</v>
      </c>
      <c r="FU81" s="27" t="n">
        <f aca="false">SUM(L81-FT81)</f>
        <v>240000</v>
      </c>
      <c r="FV81" s="31" t="n">
        <f aca="false">SUM( H81/5)</f>
        <v>19.2</v>
      </c>
      <c r="FW81" s="31" t="n">
        <f aca="false">SUM( I81/5)</f>
        <v>12.8</v>
      </c>
      <c r="FX81" s="32" t="n">
        <f aca="false">SUM(FV81/4)</f>
        <v>4.8</v>
      </c>
      <c r="FY81" s="32" t="n">
        <f aca="false">SUM(FW81/4)</f>
        <v>3.2</v>
      </c>
    </row>
    <row r="82" customFormat="false" ht="43.5" hidden="false" customHeight="true" outlineLevel="0" collapsed="false">
      <c r="A82" s="24" t="n">
        <v>3128</v>
      </c>
      <c r="B82" s="21" t="s">
        <v>324</v>
      </c>
      <c r="C82" s="21" t="s">
        <v>325</v>
      </c>
      <c r="D82" s="22"/>
      <c r="E82" s="23" t="n">
        <v>45744</v>
      </c>
      <c r="F82" s="23" t="n">
        <f aca="false">WORKDAY(E82,G82)</f>
        <v>45968</v>
      </c>
      <c r="G82" s="24" t="n">
        <v>160</v>
      </c>
      <c r="H82" s="25" t="n">
        <f aca="false">(FT82* 5)/M82</f>
        <v>68</v>
      </c>
      <c r="I82" s="25" t="n">
        <f aca="false">G82-H82</f>
        <v>92</v>
      </c>
      <c r="J82" s="26" t="s">
        <v>328</v>
      </c>
      <c r="K82" s="27" t="n">
        <v>200000</v>
      </c>
      <c r="L82" s="27" t="n">
        <v>600000</v>
      </c>
      <c r="M82" s="28" t="n">
        <f aca="false">(L82/G82)*5</f>
        <v>18750</v>
      </c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40"/>
      <c r="CG82" s="40"/>
      <c r="CH82" s="40"/>
      <c r="CI82" s="40"/>
      <c r="CJ82" s="40"/>
      <c r="CK82" s="40"/>
      <c r="CL82" s="40"/>
      <c r="CM82" s="40"/>
      <c r="CN82" s="40"/>
      <c r="CO82" s="40"/>
      <c r="CP82" s="40"/>
      <c r="CQ82" s="40"/>
      <c r="CR82" s="40"/>
      <c r="CS82" s="40"/>
      <c r="CT82" s="40"/>
      <c r="CU82" s="40"/>
      <c r="CV82" s="40"/>
      <c r="CW82" s="40"/>
      <c r="CX82" s="40"/>
      <c r="CY82" s="40"/>
      <c r="CZ82" s="40"/>
      <c r="DA82" s="40"/>
      <c r="DB82" s="40"/>
      <c r="DC82" s="40"/>
      <c r="DD82" s="40"/>
      <c r="DE82" s="40"/>
      <c r="DF82" s="40"/>
      <c r="DG82" s="40"/>
      <c r="DH82" s="40"/>
      <c r="DI82" s="40"/>
      <c r="DJ82" s="40"/>
      <c r="DK82" s="40"/>
      <c r="DL82" s="40"/>
      <c r="DM82" s="40"/>
      <c r="DN82" s="40"/>
      <c r="DO82" s="40"/>
      <c r="DP82" s="40"/>
      <c r="DQ82" s="40"/>
      <c r="DR82" s="40"/>
      <c r="DS82" s="40"/>
      <c r="DT82" s="40"/>
      <c r="DU82" s="40"/>
      <c r="DV82" s="40"/>
      <c r="DW82" s="40"/>
      <c r="DX82" s="40"/>
      <c r="DY82" s="40"/>
      <c r="DZ82" s="40"/>
      <c r="EA82" s="40"/>
      <c r="EB82" s="40"/>
      <c r="EC82" s="40"/>
      <c r="ED82" s="40"/>
      <c r="EE82" s="40"/>
      <c r="EF82" s="40"/>
      <c r="EG82" s="40"/>
      <c r="EH82" s="40"/>
      <c r="EI82" s="40"/>
      <c r="EJ82" s="40"/>
      <c r="EK82" s="40"/>
      <c r="EL82" s="40"/>
      <c r="EM82" s="40"/>
      <c r="EN82" s="40"/>
      <c r="EO82" s="40"/>
      <c r="EP82" s="40"/>
      <c r="EQ82" s="29"/>
      <c r="ER82" s="29" t="n">
        <v>75000</v>
      </c>
      <c r="ES82" s="29"/>
      <c r="ET82" s="29"/>
      <c r="EU82" s="29"/>
      <c r="EV82" s="29"/>
      <c r="EW82" s="29"/>
      <c r="EX82" s="29" t="n">
        <v>5000</v>
      </c>
      <c r="EY82" s="29" t="n">
        <v>40000</v>
      </c>
      <c r="EZ82" s="29"/>
      <c r="FA82" s="29"/>
      <c r="FB82" s="29" t="n">
        <v>30000</v>
      </c>
      <c r="FC82" s="29"/>
      <c r="FD82" s="29" t="n">
        <v>15000</v>
      </c>
      <c r="FE82" s="29"/>
      <c r="FF82" s="29" t="n">
        <v>15000</v>
      </c>
      <c r="FG82" s="29"/>
      <c r="FH82" s="29" t="n">
        <v>15000</v>
      </c>
      <c r="FI82" s="29"/>
      <c r="FJ82" s="29"/>
      <c r="FK82" s="29" t="n">
        <v>20000</v>
      </c>
      <c r="FL82" s="29"/>
      <c r="FM82" s="29"/>
      <c r="FN82" s="29" t="n">
        <v>20000</v>
      </c>
      <c r="FO82" s="29"/>
      <c r="FP82" s="29" t="n">
        <v>20000</v>
      </c>
      <c r="FQ82" s="29"/>
      <c r="FR82" s="29"/>
      <c r="FS82" s="29"/>
      <c r="FT82" s="29" t="n">
        <f aca="false">SUM(N82:FS82)</f>
        <v>255000</v>
      </c>
      <c r="FU82" s="27" t="n">
        <f aca="false">SUM(L82-FT82)</f>
        <v>345000</v>
      </c>
      <c r="FV82" s="31" t="n">
        <f aca="false">SUM( H82/5)</f>
        <v>13.6</v>
      </c>
      <c r="FW82" s="31" t="n">
        <f aca="false">SUM( I82/5)</f>
        <v>18.4</v>
      </c>
      <c r="FX82" s="32" t="n">
        <f aca="false">SUM(FV82/4)</f>
        <v>3.4</v>
      </c>
      <c r="FY82" s="32" t="n">
        <f aca="false">SUM(FW82/4)</f>
        <v>4.6</v>
      </c>
    </row>
    <row r="83" customFormat="false" ht="43.5" hidden="false" customHeight="true" outlineLevel="0" collapsed="false">
      <c r="A83" s="24" t="n">
        <v>3184</v>
      </c>
      <c r="B83" s="21" t="s">
        <v>329</v>
      </c>
      <c r="C83" s="21" t="s">
        <v>325</v>
      </c>
      <c r="D83" s="22"/>
      <c r="E83" s="23" t="n">
        <v>45785</v>
      </c>
      <c r="F83" s="23" t="n">
        <f aca="false">WORKDAY(E83,G83)</f>
        <v>45887</v>
      </c>
      <c r="G83" s="24" t="n">
        <v>72</v>
      </c>
      <c r="H83" s="25" t="n">
        <f aca="false">(FT83* 5)/M83</f>
        <v>53.432664756447</v>
      </c>
      <c r="I83" s="25" t="n">
        <f aca="false">G83-H83</f>
        <v>18.567335243553</v>
      </c>
      <c r="J83" s="34" t="s">
        <v>188</v>
      </c>
      <c r="K83" s="30" t="n">
        <v>150000</v>
      </c>
      <c r="L83" s="30" t="n">
        <v>349000</v>
      </c>
      <c r="M83" s="28" t="n">
        <f aca="false">(L83/G83)*5</f>
        <v>24236.1111111111</v>
      </c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0"/>
      <c r="CM83" s="40"/>
      <c r="CN83" s="40"/>
      <c r="CO83" s="40"/>
      <c r="CP83" s="40"/>
      <c r="CQ83" s="40"/>
      <c r="CR83" s="40"/>
      <c r="CS83" s="40"/>
      <c r="CT83" s="40"/>
      <c r="CU83" s="40"/>
      <c r="CV83" s="40"/>
      <c r="CW83" s="40"/>
      <c r="CX83" s="40"/>
      <c r="CY83" s="40"/>
      <c r="CZ83" s="40"/>
      <c r="DA83" s="40"/>
      <c r="DB83" s="40"/>
      <c r="DC83" s="40"/>
      <c r="DD83" s="40"/>
      <c r="DE83" s="40"/>
      <c r="DF83" s="40"/>
      <c r="DG83" s="40"/>
      <c r="DH83" s="40"/>
      <c r="DI83" s="40"/>
      <c r="DJ83" s="40"/>
      <c r="DK83" s="40"/>
      <c r="DL83" s="40"/>
      <c r="DM83" s="40"/>
      <c r="DN83" s="40"/>
      <c r="DO83" s="40"/>
      <c r="DP83" s="40"/>
      <c r="DQ83" s="40"/>
      <c r="DR83" s="40"/>
      <c r="DS83" s="40"/>
      <c r="DT83" s="40"/>
      <c r="DU83" s="40"/>
      <c r="DV83" s="40"/>
      <c r="DW83" s="40"/>
      <c r="DX83" s="40"/>
      <c r="DY83" s="40"/>
      <c r="DZ83" s="40"/>
      <c r="EA83" s="40"/>
      <c r="EB83" s="40"/>
      <c r="EC83" s="40"/>
      <c r="ED83" s="40"/>
      <c r="EE83" s="40"/>
      <c r="EF83" s="40"/>
      <c r="EG83" s="40"/>
      <c r="EH83" s="40"/>
      <c r="EI83" s="40"/>
      <c r="EJ83" s="40"/>
      <c r="EK83" s="40" t="s">
        <v>184</v>
      </c>
      <c r="EL83" s="40"/>
      <c r="EM83" s="40" t="s">
        <v>184</v>
      </c>
      <c r="EN83" s="40" t="s">
        <v>184</v>
      </c>
      <c r="EO83" s="40"/>
      <c r="EP83" s="40" t="n">
        <v>22500</v>
      </c>
      <c r="EQ83" s="29" t="n">
        <v>22500</v>
      </c>
      <c r="ER83" s="29" t="n">
        <v>22500</v>
      </c>
      <c r="ES83" s="29"/>
      <c r="ET83" s="29"/>
      <c r="EU83" s="29" t="n">
        <v>22500</v>
      </c>
      <c r="EV83" s="29"/>
      <c r="EW83" s="29" t="n">
        <v>22500</v>
      </c>
      <c r="EX83" s="29" t="n">
        <v>22500</v>
      </c>
      <c r="EY83" s="29"/>
      <c r="EZ83" s="29"/>
      <c r="FA83" s="29"/>
      <c r="FB83" s="29" t="n">
        <v>22500</v>
      </c>
      <c r="FC83" s="29" t="n">
        <v>22500</v>
      </c>
      <c r="FD83" s="29"/>
      <c r="FE83" s="29"/>
      <c r="FF83" s="29" t="n">
        <v>22500</v>
      </c>
      <c r="FG83" s="29" t="n">
        <v>22500</v>
      </c>
      <c r="FH83" s="29"/>
      <c r="FI83" s="29"/>
      <c r="FJ83" s="29"/>
      <c r="FK83" s="29" t="n">
        <v>14000</v>
      </c>
      <c r="FL83" s="29"/>
      <c r="FM83" s="29"/>
      <c r="FN83" s="29"/>
      <c r="FO83" s="29"/>
      <c r="FP83" s="29" t="n">
        <v>20000</v>
      </c>
      <c r="FQ83" s="29"/>
      <c r="FR83" s="29"/>
      <c r="FS83" s="29"/>
      <c r="FT83" s="29" t="n">
        <f aca="false">SUM(N83:FS83)</f>
        <v>259000</v>
      </c>
      <c r="FU83" s="27" t="n">
        <f aca="false">SUM(L83-FT83)</f>
        <v>90000</v>
      </c>
      <c r="FV83" s="31" t="n">
        <f aca="false">SUM( H83/5)</f>
        <v>10.6865329512894</v>
      </c>
      <c r="FW83" s="31" t="n">
        <f aca="false">SUM( I83/5)</f>
        <v>3.7134670487106</v>
      </c>
      <c r="FX83" s="32" t="n">
        <f aca="false">SUM(FV83/4)</f>
        <v>2.67163323782235</v>
      </c>
      <c r="FY83" s="32" t="n">
        <f aca="false">SUM(FW83/4)</f>
        <v>0.928366762177651</v>
      </c>
    </row>
    <row r="84" customFormat="false" ht="43.5" hidden="false" customHeight="true" outlineLevel="0" collapsed="false">
      <c r="A84" s="24" t="n">
        <v>3155</v>
      </c>
      <c r="B84" s="21" t="s">
        <v>330</v>
      </c>
      <c r="C84" s="21"/>
      <c r="D84" s="22"/>
      <c r="E84" s="23" t="n">
        <v>45764</v>
      </c>
      <c r="F84" s="23" t="n">
        <f aca="false">WORKDAY(E84,G84)</f>
        <v>45876</v>
      </c>
      <c r="G84" s="24" t="n">
        <v>80</v>
      </c>
      <c r="H84" s="25" t="n">
        <f aca="false">(FT84* 5)/M84</f>
        <v>60</v>
      </c>
      <c r="I84" s="25" t="n">
        <f aca="false">G84-H84</f>
        <v>20</v>
      </c>
      <c r="J84" s="26" t="s">
        <v>331</v>
      </c>
      <c r="K84" s="27" t="n">
        <v>100000</v>
      </c>
      <c r="L84" s="27" t="n">
        <v>216000</v>
      </c>
      <c r="M84" s="28" t="n">
        <f aca="false">(L84/G84)*5</f>
        <v>13500</v>
      </c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/>
      <c r="BL84" s="40"/>
      <c r="BM84" s="40"/>
      <c r="BN84" s="40"/>
      <c r="BO84" s="40"/>
      <c r="BP84" s="40"/>
      <c r="BQ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  <c r="CD84" s="40"/>
      <c r="CE84" s="40"/>
      <c r="CF84" s="40"/>
      <c r="CG84" s="40"/>
      <c r="CH84" s="40"/>
      <c r="CI84" s="40"/>
      <c r="CJ84" s="40"/>
      <c r="CK84" s="40"/>
      <c r="CL84" s="40"/>
      <c r="CM84" s="40"/>
      <c r="CN84" s="40"/>
      <c r="CO84" s="40"/>
      <c r="CP84" s="40"/>
      <c r="CQ84" s="40"/>
      <c r="CR84" s="40"/>
      <c r="CS84" s="40"/>
      <c r="CT84" s="40"/>
      <c r="CU84" s="40"/>
      <c r="CV84" s="40"/>
      <c r="CW84" s="40"/>
      <c r="CX84" s="40"/>
      <c r="CY84" s="40"/>
      <c r="CZ84" s="40"/>
      <c r="DA84" s="40"/>
      <c r="DB84" s="40"/>
      <c r="DC84" s="40"/>
      <c r="DD84" s="40"/>
      <c r="DE84" s="40"/>
      <c r="DF84" s="40"/>
      <c r="DG84" s="40"/>
      <c r="DH84" s="40"/>
      <c r="DI84" s="40"/>
      <c r="DJ84" s="40"/>
      <c r="DK84" s="40"/>
      <c r="DL84" s="40"/>
      <c r="DM84" s="40"/>
      <c r="DN84" s="40"/>
      <c r="DO84" s="40"/>
      <c r="DP84" s="40"/>
      <c r="DQ84" s="40"/>
      <c r="DR84" s="40"/>
      <c r="DS84" s="40"/>
      <c r="DT84" s="40"/>
      <c r="DU84" s="40"/>
      <c r="DV84" s="40"/>
      <c r="DW84" s="40"/>
      <c r="DX84" s="40"/>
      <c r="DY84" s="40"/>
      <c r="DZ84" s="40"/>
      <c r="EA84" s="40"/>
      <c r="EB84" s="40"/>
      <c r="EC84" s="40"/>
      <c r="ED84" s="40"/>
      <c r="EE84" s="40"/>
      <c r="EF84" s="40"/>
      <c r="EG84" s="40"/>
      <c r="EH84" s="40"/>
      <c r="EI84" s="40"/>
      <c r="EJ84" s="40"/>
      <c r="EK84" s="40" t="s">
        <v>184</v>
      </c>
      <c r="EL84" s="40"/>
      <c r="EM84" s="40"/>
      <c r="EN84" s="40"/>
      <c r="EO84" s="40"/>
      <c r="EP84" s="40" t="s">
        <v>184</v>
      </c>
      <c r="EQ84" s="29"/>
      <c r="ER84" s="29"/>
      <c r="ES84" s="29"/>
      <c r="ET84" s="29"/>
      <c r="EU84" s="29"/>
      <c r="EV84" s="29"/>
      <c r="EW84" s="29" t="n">
        <v>54000</v>
      </c>
      <c r="EX84" s="29"/>
      <c r="EY84" s="29"/>
      <c r="EZ84" s="29"/>
      <c r="FA84" s="29"/>
      <c r="FB84" s="29"/>
      <c r="FC84" s="29"/>
      <c r="FD84" s="29"/>
      <c r="FE84" s="29"/>
      <c r="FF84" s="29"/>
      <c r="FG84" s="29"/>
      <c r="FH84" s="29"/>
      <c r="FI84" s="29"/>
      <c r="FJ84" s="29"/>
      <c r="FK84" s="29"/>
      <c r="FL84" s="29" t="n">
        <v>54000</v>
      </c>
      <c r="FM84" s="29"/>
      <c r="FN84" s="29"/>
      <c r="FO84" s="29"/>
      <c r="FP84" s="29" t="n">
        <v>54000</v>
      </c>
      <c r="FQ84" s="29"/>
      <c r="FR84" s="29"/>
      <c r="FS84" s="29"/>
      <c r="FT84" s="29" t="n">
        <f aca="false">SUM(N84:FS84)</f>
        <v>162000</v>
      </c>
      <c r="FU84" s="27" t="n">
        <f aca="false">SUM(L84-FT84)</f>
        <v>54000</v>
      </c>
      <c r="FV84" s="31" t="n">
        <f aca="false">SUM( H84/5)</f>
        <v>12</v>
      </c>
      <c r="FW84" s="31" t="n">
        <f aca="false">SUM( I84/5)</f>
        <v>4</v>
      </c>
      <c r="FX84" s="32" t="n">
        <f aca="false">SUM(FV84/4)</f>
        <v>3</v>
      </c>
      <c r="FY84" s="32" t="n">
        <f aca="false">SUM(FW84/4)</f>
        <v>1</v>
      </c>
    </row>
    <row r="85" customFormat="false" ht="43.5" hidden="false" customHeight="true" outlineLevel="0" collapsed="false">
      <c r="A85" s="24" t="n">
        <v>3412</v>
      </c>
      <c r="B85" s="21" t="s">
        <v>332</v>
      </c>
      <c r="C85" s="21" t="s">
        <v>252</v>
      </c>
      <c r="D85" s="22"/>
      <c r="E85" s="23" t="n">
        <v>45922</v>
      </c>
      <c r="F85" s="23" t="n">
        <f aca="false">WORKDAY(E85,G85)</f>
        <v>46022</v>
      </c>
      <c r="G85" s="24" t="n">
        <v>72</v>
      </c>
      <c r="H85" s="25" t="n">
        <f aca="false">(FT85* 5)/M85</f>
        <v>40</v>
      </c>
      <c r="I85" s="25" t="n">
        <f aca="false">G85-H85</f>
        <v>32</v>
      </c>
      <c r="J85" s="34" t="s">
        <v>190</v>
      </c>
      <c r="K85" s="30" t="n">
        <v>200000</v>
      </c>
      <c r="L85" s="30" t="n">
        <v>432000</v>
      </c>
      <c r="M85" s="28" t="n">
        <f aca="false">(L85/G85)*5</f>
        <v>30000</v>
      </c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  <c r="CW85" s="40"/>
      <c r="CX85" s="40"/>
      <c r="CY85" s="40"/>
      <c r="CZ85" s="40"/>
      <c r="DA85" s="40"/>
      <c r="DB85" s="40"/>
      <c r="DC85" s="40"/>
      <c r="DD85" s="40"/>
      <c r="DE85" s="40"/>
      <c r="DF85" s="40"/>
      <c r="DG85" s="40"/>
      <c r="DH85" s="40"/>
      <c r="DI85" s="40"/>
      <c r="DJ85" s="40"/>
      <c r="DK85" s="40"/>
      <c r="DL85" s="40"/>
      <c r="DM85" s="40"/>
      <c r="DN85" s="40"/>
      <c r="DO85" s="40"/>
      <c r="DP85" s="40"/>
      <c r="DQ85" s="40"/>
      <c r="DR85" s="40"/>
      <c r="DS85" s="40"/>
      <c r="DT85" s="40"/>
      <c r="DU85" s="40"/>
      <c r="DV85" s="40"/>
      <c r="DW85" s="40"/>
      <c r="DX85" s="40"/>
      <c r="DY85" s="40"/>
      <c r="DZ85" s="40"/>
      <c r="EA85" s="40"/>
      <c r="EB85" s="40"/>
      <c r="EC85" s="40"/>
      <c r="ED85" s="40"/>
      <c r="EE85" s="40"/>
      <c r="EF85" s="40"/>
      <c r="EG85" s="40"/>
      <c r="EH85" s="40"/>
      <c r="EI85" s="40"/>
      <c r="EJ85" s="40"/>
      <c r="EK85" s="40" t="s">
        <v>184</v>
      </c>
      <c r="EL85" s="40"/>
      <c r="EM85" s="40" t="s">
        <v>184</v>
      </c>
      <c r="EN85" s="40" t="s">
        <v>184</v>
      </c>
      <c r="EO85" s="40"/>
      <c r="EP85" s="40"/>
      <c r="EQ85" s="29"/>
      <c r="ER85" s="29"/>
      <c r="ES85" s="29" t="s">
        <v>184</v>
      </c>
      <c r="ET85" s="29"/>
      <c r="EU85" s="29"/>
      <c r="EV85" s="29" t="s">
        <v>184</v>
      </c>
      <c r="EW85" s="29"/>
      <c r="EX85" s="29"/>
      <c r="EY85" s="29"/>
      <c r="EZ85" s="29"/>
      <c r="FA85" s="29"/>
      <c r="FB85" s="29"/>
      <c r="FC85" s="29" t="s">
        <v>184</v>
      </c>
      <c r="FD85" s="29"/>
      <c r="FE85" s="29"/>
      <c r="FF85" s="29"/>
      <c r="FG85" s="29"/>
      <c r="FH85" s="29"/>
      <c r="FI85" s="29" t="n">
        <v>30000</v>
      </c>
      <c r="FJ85" s="29" t="n">
        <v>30000</v>
      </c>
      <c r="FK85" s="29" t="n">
        <v>30000</v>
      </c>
      <c r="FL85" s="29" t="n">
        <v>30000</v>
      </c>
      <c r="FM85" s="29"/>
      <c r="FN85" s="29" t="s">
        <v>184</v>
      </c>
      <c r="FO85" s="29" t="n">
        <v>30000</v>
      </c>
      <c r="FP85" s="29" t="n">
        <v>30000</v>
      </c>
      <c r="FQ85" s="29" t="n">
        <v>30000</v>
      </c>
      <c r="FR85" s="29" t="n">
        <v>30000</v>
      </c>
      <c r="FS85" s="29"/>
      <c r="FT85" s="29" t="n">
        <f aca="false">SUM(N85:FS85)</f>
        <v>240000</v>
      </c>
      <c r="FU85" s="27" t="n">
        <f aca="false">SUM(L85-FT85)</f>
        <v>192000</v>
      </c>
      <c r="FV85" s="31" t="n">
        <f aca="false">SUM( H85/5)</f>
        <v>8</v>
      </c>
      <c r="FW85" s="31" t="n">
        <f aca="false">SUM( I85/5)</f>
        <v>6.4</v>
      </c>
      <c r="FX85" s="32" t="n">
        <f aca="false">SUM(FV85/4)</f>
        <v>2</v>
      </c>
      <c r="FY85" s="32" t="n">
        <f aca="false">SUM(FW85/4)</f>
        <v>1.6</v>
      </c>
    </row>
    <row r="86" customFormat="false" ht="43.5" hidden="false" customHeight="true" outlineLevel="0" collapsed="false">
      <c r="A86" s="24" t="n">
        <v>3450</v>
      </c>
      <c r="B86" s="21" t="s">
        <v>332</v>
      </c>
      <c r="C86" s="21" t="s">
        <v>252</v>
      </c>
      <c r="D86" s="22"/>
      <c r="E86" s="23" t="n">
        <v>45948</v>
      </c>
      <c r="F86" s="23" t="n">
        <f aca="false">WORKDAY(E86,G86)</f>
        <v>46101</v>
      </c>
      <c r="G86" s="24" t="n">
        <v>110</v>
      </c>
      <c r="H86" s="25" t="n">
        <f aca="false">(FT86* 5)/M86</f>
        <v>30</v>
      </c>
      <c r="I86" s="25" t="n">
        <f aca="false">G86-H86</f>
        <v>80</v>
      </c>
      <c r="J86" s="46" t="s">
        <v>254</v>
      </c>
      <c r="K86" s="27" t="n">
        <v>100000</v>
      </c>
      <c r="L86" s="27" t="n">
        <v>264000</v>
      </c>
      <c r="M86" s="28" t="n">
        <f aca="false">(L86/G86)*5</f>
        <v>12000</v>
      </c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/>
      <c r="BL86" s="40"/>
      <c r="BM86" s="40"/>
      <c r="BN86" s="40"/>
      <c r="BO86" s="40"/>
      <c r="BP86" s="40"/>
      <c r="BQ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  <c r="CD86" s="40"/>
      <c r="CE86" s="40"/>
      <c r="CF86" s="40"/>
      <c r="CG86" s="40"/>
      <c r="CH86" s="40"/>
      <c r="CI86" s="40"/>
      <c r="CJ86" s="40"/>
      <c r="CK86" s="40"/>
      <c r="CL86" s="40"/>
      <c r="CM86" s="40"/>
      <c r="CN86" s="40"/>
      <c r="CO86" s="40"/>
      <c r="CP86" s="40"/>
      <c r="CQ86" s="40"/>
      <c r="CR86" s="40"/>
      <c r="CS86" s="40"/>
      <c r="CT86" s="40"/>
      <c r="CU86" s="40"/>
      <c r="CV86" s="40"/>
      <c r="CW86" s="40"/>
      <c r="CX86" s="40"/>
      <c r="CY86" s="40"/>
      <c r="CZ86" s="40"/>
      <c r="DA86" s="40"/>
      <c r="DB86" s="40"/>
      <c r="DC86" s="40"/>
      <c r="DD86" s="40"/>
      <c r="DE86" s="40"/>
      <c r="DF86" s="40"/>
      <c r="DG86" s="40"/>
      <c r="DH86" s="40"/>
      <c r="DI86" s="40"/>
      <c r="DJ86" s="40"/>
      <c r="DK86" s="40"/>
      <c r="DL86" s="40"/>
      <c r="DM86" s="40"/>
      <c r="DN86" s="40"/>
      <c r="DO86" s="40"/>
      <c r="DP86" s="40"/>
      <c r="DQ86" s="40"/>
      <c r="DR86" s="40"/>
      <c r="DS86" s="40"/>
      <c r="DT86" s="40"/>
      <c r="DU86" s="40"/>
      <c r="DV86" s="40"/>
      <c r="DW86" s="40"/>
      <c r="DX86" s="40"/>
      <c r="DY86" s="40"/>
      <c r="DZ86" s="40"/>
      <c r="EA86" s="40"/>
      <c r="EB86" s="40"/>
      <c r="EC86" s="40"/>
      <c r="ED86" s="40"/>
      <c r="EE86" s="40"/>
      <c r="EF86" s="40"/>
      <c r="EG86" s="40"/>
      <c r="EH86" s="40"/>
      <c r="EI86" s="40"/>
      <c r="EJ86" s="40"/>
      <c r="EK86" s="40" t="s">
        <v>184</v>
      </c>
      <c r="EL86" s="40"/>
      <c r="EM86" s="40" t="s">
        <v>184</v>
      </c>
      <c r="EN86" s="40" t="s">
        <v>184</v>
      </c>
      <c r="EO86" s="40"/>
      <c r="EP86" s="40"/>
      <c r="EQ86" s="29"/>
      <c r="ER86" s="29"/>
      <c r="ES86" s="29" t="s">
        <v>184</v>
      </c>
      <c r="ET86" s="29"/>
      <c r="EU86" s="29"/>
      <c r="EV86" s="29" t="s">
        <v>184</v>
      </c>
      <c r="EW86" s="29"/>
      <c r="EX86" s="29"/>
      <c r="EY86" s="29"/>
      <c r="EZ86" s="29"/>
      <c r="FA86" s="29"/>
      <c r="FB86" s="29"/>
      <c r="FC86" s="29" t="s">
        <v>184</v>
      </c>
      <c r="FD86" s="29"/>
      <c r="FE86" s="29"/>
      <c r="FF86" s="29"/>
      <c r="FG86" s="29"/>
      <c r="FH86" s="29"/>
      <c r="FI86" s="29"/>
      <c r="FJ86" s="29"/>
      <c r="FK86" s="29"/>
      <c r="FL86" s="29"/>
      <c r="FM86" s="29"/>
      <c r="FN86" s="29" t="n">
        <v>24000</v>
      </c>
      <c r="FO86" s="29"/>
      <c r="FP86" s="29" t="n">
        <v>24000</v>
      </c>
      <c r="FQ86" s="29"/>
      <c r="FR86" s="29" t="n">
        <v>24000</v>
      </c>
      <c r="FS86" s="29"/>
      <c r="FT86" s="29" t="n">
        <f aca="false">SUM(N86:FS86)</f>
        <v>72000</v>
      </c>
      <c r="FU86" s="27" t="n">
        <f aca="false">SUM(L86-FT86)</f>
        <v>192000</v>
      </c>
      <c r="FV86" s="31" t="n">
        <f aca="false">SUM( H86/5)</f>
        <v>6</v>
      </c>
      <c r="FW86" s="31" t="n">
        <f aca="false">SUM( I86/5)</f>
        <v>16</v>
      </c>
      <c r="FX86" s="32" t="n">
        <f aca="false">SUM(FV86/4)</f>
        <v>1.5</v>
      </c>
      <c r="FY86" s="32" t="n">
        <f aca="false">SUM(FW86/4)</f>
        <v>4</v>
      </c>
    </row>
    <row r="87" customFormat="false" ht="43.5" hidden="false" customHeight="true" outlineLevel="0" collapsed="false">
      <c r="A87" s="24" t="n">
        <v>3488</v>
      </c>
      <c r="B87" s="21" t="s">
        <v>332</v>
      </c>
      <c r="C87" s="21" t="s">
        <v>252</v>
      </c>
      <c r="D87" s="22"/>
      <c r="E87" s="23" t="n">
        <v>45973</v>
      </c>
      <c r="F87" s="23" t="n">
        <f aca="false">WORKDAY(E87,G87)</f>
        <v>46073</v>
      </c>
      <c r="G87" s="24" t="n">
        <v>72</v>
      </c>
      <c r="H87" s="25" t="n">
        <f aca="false">(FT87* 5)/M87</f>
        <v>10</v>
      </c>
      <c r="I87" s="25" t="n">
        <f aca="false">G87-H87</f>
        <v>62</v>
      </c>
      <c r="J87" s="34" t="s">
        <v>333</v>
      </c>
      <c r="K87" s="27" t="n">
        <v>50000</v>
      </c>
      <c r="L87" s="27" t="n">
        <v>108000</v>
      </c>
      <c r="M87" s="28" t="n">
        <f aca="false">(L87/G87)*5</f>
        <v>7500</v>
      </c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  <c r="CW87" s="40"/>
      <c r="CX87" s="40"/>
      <c r="CY87" s="40"/>
      <c r="CZ87" s="40"/>
      <c r="DA87" s="40"/>
      <c r="DB87" s="40"/>
      <c r="DC87" s="40"/>
      <c r="DD87" s="40"/>
      <c r="DE87" s="40"/>
      <c r="DF87" s="40"/>
      <c r="DG87" s="40"/>
      <c r="DH87" s="40"/>
      <c r="DI87" s="40"/>
      <c r="DJ87" s="40"/>
      <c r="DK87" s="40"/>
      <c r="DL87" s="40"/>
      <c r="DM87" s="40"/>
      <c r="DN87" s="40"/>
      <c r="DO87" s="40"/>
      <c r="DP87" s="40"/>
      <c r="DQ87" s="40"/>
      <c r="DR87" s="40"/>
      <c r="DS87" s="40"/>
      <c r="DT87" s="40"/>
      <c r="DU87" s="40"/>
      <c r="DV87" s="40"/>
      <c r="DW87" s="40"/>
      <c r="DX87" s="40"/>
      <c r="DY87" s="40"/>
      <c r="DZ87" s="40"/>
      <c r="EA87" s="40"/>
      <c r="EB87" s="40"/>
      <c r="EC87" s="40"/>
      <c r="ED87" s="40"/>
      <c r="EE87" s="40"/>
      <c r="EF87" s="40"/>
      <c r="EG87" s="40"/>
      <c r="EH87" s="40"/>
      <c r="EI87" s="40"/>
      <c r="EJ87" s="40"/>
      <c r="EK87" s="40" t="s">
        <v>184</v>
      </c>
      <c r="EL87" s="40"/>
      <c r="EM87" s="40" t="s">
        <v>184</v>
      </c>
      <c r="EN87" s="40" t="s">
        <v>184</v>
      </c>
      <c r="EO87" s="40"/>
      <c r="EP87" s="40"/>
      <c r="EQ87" s="29"/>
      <c r="ER87" s="29"/>
      <c r="ES87" s="29" t="s">
        <v>184</v>
      </c>
      <c r="ET87" s="29"/>
      <c r="EU87" s="29"/>
      <c r="EV87" s="29" t="s">
        <v>184</v>
      </c>
      <c r="EW87" s="29"/>
      <c r="EX87" s="29"/>
      <c r="EY87" s="29"/>
      <c r="EZ87" s="29"/>
      <c r="FA87" s="29"/>
      <c r="FB87" s="29"/>
      <c r="FC87" s="29" t="s">
        <v>184</v>
      </c>
      <c r="FD87" s="29"/>
      <c r="FE87" s="29"/>
      <c r="FF87" s="29"/>
      <c r="FG87" s="29"/>
      <c r="FH87" s="29"/>
      <c r="FI87" s="29"/>
      <c r="FJ87" s="29"/>
      <c r="FK87" s="29"/>
      <c r="FL87" s="29" t="s">
        <v>184</v>
      </c>
      <c r="FM87" s="29"/>
      <c r="FN87" s="29"/>
      <c r="FO87" s="29"/>
      <c r="FP87" s="29"/>
      <c r="FQ87" s="29" t="n">
        <v>7500</v>
      </c>
      <c r="FR87" s="29" t="n">
        <v>7500</v>
      </c>
      <c r="FS87" s="29"/>
      <c r="FT87" s="29" t="n">
        <f aca="false">SUM(N87:FS87)</f>
        <v>15000</v>
      </c>
      <c r="FU87" s="27" t="n">
        <f aca="false">SUM(L87-FT87)</f>
        <v>93000</v>
      </c>
      <c r="FV87" s="31" t="n">
        <f aca="false">SUM( H87/5)</f>
        <v>2</v>
      </c>
      <c r="FW87" s="31" t="n">
        <f aca="false">SUM( I87/5)</f>
        <v>12.4</v>
      </c>
      <c r="FX87" s="32" t="n">
        <f aca="false">SUM(FV87/4)</f>
        <v>0.5</v>
      </c>
      <c r="FY87" s="32" t="n">
        <f aca="false">SUM(FW87/4)</f>
        <v>3.1</v>
      </c>
    </row>
    <row r="88" customFormat="false" ht="43.5" hidden="false" customHeight="true" outlineLevel="0" collapsed="false">
      <c r="A88" s="24" t="n">
        <v>3144</v>
      </c>
      <c r="B88" s="21" t="s">
        <v>334</v>
      </c>
      <c r="C88" s="21" t="s">
        <v>335</v>
      </c>
      <c r="D88" s="22"/>
      <c r="E88" s="23" t="n">
        <v>45755</v>
      </c>
      <c r="F88" s="23" t="n">
        <f aca="false">WORKDAY(E88,G88)</f>
        <v>45923</v>
      </c>
      <c r="G88" s="24" t="n">
        <v>120</v>
      </c>
      <c r="H88" s="25" t="n">
        <f aca="false">(FT88* 5)/M88</f>
        <v>100</v>
      </c>
      <c r="I88" s="25" t="n">
        <f aca="false">G88-H88</f>
        <v>20</v>
      </c>
      <c r="J88" s="26" t="s">
        <v>336</v>
      </c>
      <c r="K88" s="27" t="n">
        <v>50000</v>
      </c>
      <c r="L88" s="27" t="n">
        <v>132000</v>
      </c>
      <c r="M88" s="28" t="n">
        <f aca="false">(L88/G88)*5</f>
        <v>5500</v>
      </c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/>
      <c r="BL88" s="40"/>
      <c r="BM88" s="40"/>
      <c r="BN88" s="40"/>
      <c r="BO88" s="40"/>
      <c r="BP88" s="40"/>
      <c r="BQ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  <c r="CD88" s="40"/>
      <c r="CE88" s="40"/>
      <c r="CF88" s="40"/>
      <c r="CG88" s="40"/>
      <c r="CH88" s="40"/>
      <c r="CI88" s="40"/>
      <c r="CJ88" s="40"/>
      <c r="CK88" s="40"/>
      <c r="CL88" s="40"/>
      <c r="CM88" s="40"/>
      <c r="CN88" s="40"/>
      <c r="CO88" s="40"/>
      <c r="CP88" s="40"/>
      <c r="CQ88" s="40"/>
      <c r="CR88" s="40"/>
      <c r="CS88" s="40"/>
      <c r="CT88" s="40"/>
      <c r="CU88" s="40"/>
      <c r="CV88" s="40"/>
      <c r="CW88" s="40"/>
      <c r="CX88" s="40"/>
      <c r="CY88" s="40"/>
      <c r="CZ88" s="40"/>
      <c r="DA88" s="40"/>
      <c r="DB88" s="40"/>
      <c r="DC88" s="40"/>
      <c r="DD88" s="40"/>
      <c r="DE88" s="40"/>
      <c r="DF88" s="40"/>
      <c r="DG88" s="40"/>
      <c r="DH88" s="40"/>
      <c r="DI88" s="40"/>
      <c r="DJ88" s="40"/>
      <c r="DK88" s="40"/>
      <c r="DL88" s="40"/>
      <c r="DM88" s="40"/>
      <c r="DN88" s="40"/>
      <c r="DO88" s="40"/>
      <c r="DP88" s="40"/>
      <c r="DQ88" s="40"/>
      <c r="DR88" s="40"/>
      <c r="DS88" s="40"/>
      <c r="DT88" s="40"/>
      <c r="DU88" s="40"/>
      <c r="DV88" s="40"/>
      <c r="DW88" s="40"/>
      <c r="DX88" s="40"/>
      <c r="DY88" s="40"/>
      <c r="DZ88" s="40"/>
      <c r="EA88" s="40"/>
      <c r="EB88" s="40"/>
      <c r="EC88" s="40"/>
      <c r="ED88" s="40"/>
      <c r="EE88" s="40"/>
      <c r="EF88" s="40"/>
      <c r="EG88" s="40"/>
      <c r="EH88" s="40"/>
      <c r="EI88" s="40"/>
      <c r="EJ88" s="40"/>
      <c r="EK88" s="40"/>
      <c r="EL88" s="40"/>
      <c r="EM88" s="40"/>
      <c r="EN88" s="40" t="n">
        <v>22000</v>
      </c>
      <c r="EO88" s="40"/>
      <c r="EP88" s="40"/>
      <c r="EQ88" s="29"/>
      <c r="ER88" s="29"/>
      <c r="ES88" s="29"/>
      <c r="ET88" s="29"/>
      <c r="EU88" s="29"/>
      <c r="EV88" s="29" t="n">
        <v>22000</v>
      </c>
      <c r="EW88" s="29"/>
      <c r="EX88" s="29" t="s">
        <v>184</v>
      </c>
      <c r="EY88" s="29"/>
      <c r="EZ88" s="29"/>
      <c r="FA88" s="29" t="n">
        <v>22000</v>
      </c>
      <c r="FB88" s="29"/>
      <c r="FC88" s="29"/>
      <c r="FD88" s="29"/>
      <c r="FE88" s="29" t="n">
        <v>22000</v>
      </c>
      <c r="FF88" s="29"/>
      <c r="FG88" s="29"/>
      <c r="FH88" s="29"/>
      <c r="FI88" s="29"/>
      <c r="FJ88" s="29"/>
      <c r="FK88" s="29"/>
      <c r="FL88" s="29"/>
      <c r="FM88" s="29"/>
      <c r="FN88" s="29" t="n">
        <v>22000</v>
      </c>
      <c r="FO88" s="29"/>
      <c r="FP88" s="29"/>
      <c r="FQ88" s="29"/>
      <c r="FR88" s="29"/>
      <c r="FS88" s="29"/>
      <c r="FT88" s="29" t="n">
        <f aca="false">SUM(N88:FS88)</f>
        <v>110000</v>
      </c>
      <c r="FU88" s="27" t="n">
        <f aca="false">SUM(L88-FT88)</f>
        <v>22000</v>
      </c>
      <c r="FV88" s="31" t="n">
        <f aca="false">SUM( H88/5)</f>
        <v>20</v>
      </c>
      <c r="FW88" s="31" t="n">
        <f aca="false">SUM( I88/5)</f>
        <v>4</v>
      </c>
      <c r="FX88" s="32" t="n">
        <f aca="false">SUM(FV88/4)</f>
        <v>5</v>
      </c>
      <c r="FY88" s="32" t="n">
        <f aca="false">SUM(FW88/4)</f>
        <v>1</v>
      </c>
    </row>
    <row r="89" customFormat="false" ht="43.5" hidden="false" customHeight="true" outlineLevel="0" collapsed="false">
      <c r="A89" s="24" t="n">
        <v>3180</v>
      </c>
      <c r="B89" s="21" t="s">
        <v>334</v>
      </c>
      <c r="C89" s="21" t="s">
        <v>335</v>
      </c>
      <c r="D89" s="22"/>
      <c r="E89" s="23" t="n">
        <v>45782</v>
      </c>
      <c r="F89" s="23" t="n">
        <f aca="false">WORKDAY(E89,G89)</f>
        <v>45950</v>
      </c>
      <c r="G89" s="24" t="n">
        <v>120</v>
      </c>
      <c r="H89" s="25" t="n">
        <f aca="false">(FT89* 5)/M89</f>
        <v>73.1363636363636</v>
      </c>
      <c r="I89" s="25" t="n">
        <f aca="false">G89-H89</f>
        <v>46.8636363636364</v>
      </c>
      <c r="J89" s="26" t="s">
        <v>337</v>
      </c>
      <c r="K89" s="33" t="n">
        <v>200000</v>
      </c>
      <c r="L89" s="27" t="n">
        <v>528000</v>
      </c>
      <c r="M89" s="28" t="n">
        <f aca="false">(L89/G89)*5</f>
        <v>22000</v>
      </c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40"/>
      <c r="DB89" s="40"/>
      <c r="DC89" s="40"/>
      <c r="DD89" s="40"/>
      <c r="DE89" s="40"/>
      <c r="DF89" s="40"/>
      <c r="DG89" s="40"/>
      <c r="DH89" s="40"/>
      <c r="DI89" s="40"/>
      <c r="DJ89" s="40"/>
      <c r="DK89" s="40"/>
      <c r="DL89" s="40"/>
      <c r="DM89" s="40"/>
      <c r="DN89" s="40"/>
      <c r="DO89" s="40"/>
      <c r="DP89" s="40"/>
      <c r="DQ89" s="40"/>
      <c r="DR89" s="40"/>
      <c r="DS89" s="40"/>
      <c r="DT89" s="40"/>
      <c r="DU89" s="40"/>
      <c r="DV89" s="40"/>
      <c r="DW89" s="40"/>
      <c r="DX89" s="40"/>
      <c r="DY89" s="40"/>
      <c r="DZ89" s="40"/>
      <c r="EA89" s="40"/>
      <c r="EB89" s="40"/>
      <c r="EC89" s="40"/>
      <c r="ED89" s="40"/>
      <c r="EE89" s="40"/>
      <c r="EF89" s="40"/>
      <c r="EG89" s="40"/>
      <c r="EH89" s="40"/>
      <c r="EI89" s="40"/>
      <c r="EJ89" s="40"/>
      <c r="EK89" s="40"/>
      <c r="EL89" s="40"/>
      <c r="EM89" s="40"/>
      <c r="EN89" s="40"/>
      <c r="EO89" s="40"/>
      <c r="EP89" s="40"/>
      <c r="EQ89" s="29"/>
      <c r="ER89" s="29" t="n">
        <v>50000</v>
      </c>
      <c r="ES89" s="29"/>
      <c r="ET89" s="29"/>
      <c r="EU89" s="29"/>
      <c r="EV89" s="29" t="n">
        <v>7800</v>
      </c>
      <c r="EW89" s="29"/>
      <c r="EX89" s="29" t="s">
        <v>184</v>
      </c>
      <c r="EY89" s="29"/>
      <c r="EZ89" s="29"/>
      <c r="FA89" s="29" t="n">
        <v>88000</v>
      </c>
      <c r="FB89" s="29"/>
      <c r="FC89" s="29"/>
      <c r="FD89" s="29"/>
      <c r="FE89" s="29" t="n">
        <v>88000</v>
      </c>
      <c r="FF89" s="29"/>
      <c r="FG89" s="29"/>
      <c r="FH89" s="29"/>
      <c r="FI89" s="29"/>
      <c r="FJ89" s="29"/>
      <c r="FK89" s="29"/>
      <c r="FL89" s="29"/>
      <c r="FM89" s="29"/>
      <c r="FN89" s="29" t="n">
        <v>88000</v>
      </c>
      <c r="FO89" s="29"/>
      <c r="FP89" s="29"/>
      <c r="FQ89" s="29"/>
      <c r="FR89" s="29"/>
      <c r="FS89" s="29"/>
      <c r="FT89" s="29" t="n">
        <f aca="false">SUM(N89:FS89)</f>
        <v>321800</v>
      </c>
      <c r="FU89" s="27" t="n">
        <f aca="false">SUM(L89-FT89)</f>
        <v>206200</v>
      </c>
      <c r="FV89" s="31" t="n">
        <f aca="false">SUM( H89/5)</f>
        <v>14.6272727272727</v>
      </c>
      <c r="FW89" s="31" t="n">
        <f aca="false">SUM( I89/5)</f>
        <v>9.37272727272727</v>
      </c>
      <c r="FX89" s="32" t="n">
        <f aca="false">SUM(FV89/4)</f>
        <v>3.65681818181818</v>
      </c>
      <c r="FY89" s="32" t="n">
        <f aca="false">SUM(FW89/4)</f>
        <v>2.34318181818182</v>
      </c>
    </row>
    <row r="90" customFormat="false" ht="43.5" hidden="false" customHeight="true" outlineLevel="0" collapsed="false">
      <c r="A90" s="24" t="n">
        <v>3331</v>
      </c>
      <c r="B90" s="21" t="s">
        <v>334</v>
      </c>
      <c r="C90" s="21" t="s">
        <v>335</v>
      </c>
      <c r="D90" s="22"/>
      <c r="E90" s="23" t="n">
        <v>45873</v>
      </c>
      <c r="F90" s="23" t="n">
        <f aca="false">WORKDAY(E90,G90)</f>
        <v>45985</v>
      </c>
      <c r="G90" s="24" t="n">
        <v>80</v>
      </c>
      <c r="H90" s="25" t="n">
        <f aca="false">(FT90* 5)/M90</f>
        <v>40</v>
      </c>
      <c r="I90" s="25" t="n">
        <f aca="false">G90-H90</f>
        <v>40</v>
      </c>
      <c r="J90" s="26" t="s">
        <v>338</v>
      </c>
      <c r="K90" s="58" t="n">
        <v>50000</v>
      </c>
      <c r="L90" s="30" t="n">
        <v>108000</v>
      </c>
      <c r="M90" s="28" t="n">
        <f aca="false">(L90/G90)*5</f>
        <v>6750</v>
      </c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/>
      <c r="BL90" s="40"/>
      <c r="BM90" s="40"/>
      <c r="BN90" s="40"/>
      <c r="BO90" s="40"/>
      <c r="BP90" s="40"/>
      <c r="BQ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  <c r="CD90" s="40"/>
      <c r="CE90" s="40"/>
      <c r="CF90" s="40"/>
      <c r="CG90" s="40"/>
      <c r="CH90" s="40"/>
      <c r="CI90" s="40"/>
      <c r="CJ90" s="40"/>
      <c r="CK90" s="40"/>
      <c r="CL90" s="40"/>
      <c r="CM90" s="40"/>
      <c r="CN90" s="40"/>
      <c r="CO90" s="40"/>
      <c r="CP90" s="40"/>
      <c r="CQ90" s="40"/>
      <c r="CR90" s="40"/>
      <c r="CS90" s="40"/>
      <c r="CT90" s="40"/>
      <c r="CU90" s="40"/>
      <c r="CV90" s="40"/>
      <c r="CW90" s="40"/>
      <c r="CX90" s="40"/>
      <c r="CY90" s="40"/>
      <c r="CZ90" s="40"/>
      <c r="DA90" s="40"/>
      <c r="DB90" s="40"/>
      <c r="DC90" s="40"/>
      <c r="DD90" s="40"/>
      <c r="DE90" s="40"/>
      <c r="DF90" s="40"/>
      <c r="DG90" s="40"/>
      <c r="DH90" s="40"/>
      <c r="DI90" s="40"/>
      <c r="DJ90" s="40"/>
      <c r="DK90" s="40"/>
      <c r="DL90" s="40"/>
      <c r="DM90" s="40"/>
      <c r="DN90" s="40"/>
      <c r="DO90" s="40"/>
      <c r="DP90" s="40"/>
      <c r="DQ90" s="40"/>
      <c r="DR90" s="40"/>
      <c r="DS90" s="40"/>
      <c r="DT90" s="40"/>
      <c r="DU90" s="40"/>
      <c r="DV90" s="40"/>
      <c r="DW90" s="40"/>
      <c r="DX90" s="40"/>
      <c r="DY90" s="40"/>
      <c r="DZ90" s="40"/>
      <c r="EA90" s="40"/>
      <c r="EB90" s="40"/>
      <c r="EC90" s="40"/>
      <c r="ED90" s="40"/>
      <c r="EE90" s="40"/>
      <c r="EF90" s="40"/>
      <c r="EG90" s="40"/>
      <c r="EH90" s="40"/>
      <c r="EI90" s="40"/>
      <c r="EJ90" s="40"/>
      <c r="EK90" s="40" t="s">
        <v>184</v>
      </c>
      <c r="EL90" s="40"/>
      <c r="EM90" s="40" t="s">
        <v>184</v>
      </c>
      <c r="EN90" s="40" t="s">
        <v>184</v>
      </c>
      <c r="EO90" s="40"/>
      <c r="EP90" s="40"/>
      <c r="EQ90" s="29"/>
      <c r="ER90" s="29"/>
      <c r="ES90" s="29" t="s">
        <v>184</v>
      </c>
      <c r="ET90" s="29"/>
      <c r="EU90" s="29"/>
      <c r="EV90" s="29" t="s">
        <v>184</v>
      </c>
      <c r="EW90" s="29"/>
      <c r="EX90" s="29"/>
      <c r="EY90" s="29"/>
      <c r="EZ90" s="29"/>
      <c r="FA90" s="29"/>
      <c r="FB90" s="29"/>
      <c r="FC90" s="29"/>
      <c r="FD90" s="29"/>
      <c r="FE90" s="29" t="n">
        <v>27000</v>
      </c>
      <c r="FF90" s="29"/>
      <c r="FG90" s="29"/>
      <c r="FH90" s="29"/>
      <c r="FI90" s="29"/>
      <c r="FJ90" s="29"/>
      <c r="FK90" s="29"/>
      <c r="FL90" s="29"/>
      <c r="FM90" s="29"/>
      <c r="FN90" s="29" t="n">
        <v>27000</v>
      </c>
      <c r="FO90" s="29"/>
      <c r="FP90" s="29"/>
      <c r="FQ90" s="29"/>
      <c r="FR90" s="29"/>
      <c r="FS90" s="29"/>
      <c r="FT90" s="29" t="n">
        <f aca="false">SUM(N90:FS90)</f>
        <v>54000</v>
      </c>
      <c r="FU90" s="27" t="n">
        <f aca="false">SUM(L90-FT90)</f>
        <v>54000</v>
      </c>
      <c r="FV90" s="31" t="n">
        <f aca="false">SUM( H90/5)</f>
        <v>8</v>
      </c>
      <c r="FW90" s="31" t="n">
        <f aca="false">SUM( I90/5)</f>
        <v>8</v>
      </c>
      <c r="FX90" s="32" t="n">
        <f aca="false">SUM(FV90/4)</f>
        <v>2</v>
      </c>
      <c r="FY90" s="32" t="n">
        <f aca="false">SUM(FW90/4)</f>
        <v>2</v>
      </c>
    </row>
    <row r="91" customFormat="false" ht="43.5" hidden="false" customHeight="true" outlineLevel="0" collapsed="false">
      <c r="A91" s="24" t="n">
        <v>3360</v>
      </c>
      <c r="B91" s="21" t="s">
        <v>334</v>
      </c>
      <c r="C91" s="21" t="s">
        <v>335</v>
      </c>
      <c r="D91" s="22"/>
      <c r="E91" s="23" t="n">
        <v>45891</v>
      </c>
      <c r="F91" s="23" t="n">
        <f aca="false">WORKDAY(E91,G91)</f>
        <v>46003</v>
      </c>
      <c r="G91" s="24" t="n">
        <v>80</v>
      </c>
      <c r="H91" s="25" t="n">
        <f aca="false">(FT91* 5)/M91</f>
        <v>8.46560846560847</v>
      </c>
      <c r="I91" s="25" t="n">
        <f aca="false">G91-H91</f>
        <v>71.5343915343915</v>
      </c>
      <c r="J91" s="26" t="s">
        <v>339</v>
      </c>
      <c r="K91" s="27" t="n">
        <v>70000</v>
      </c>
      <c r="L91" s="27" t="n">
        <v>151200</v>
      </c>
      <c r="M91" s="28" t="n">
        <f aca="false">(L91/G91)*5</f>
        <v>9450</v>
      </c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 t="s">
        <v>184</v>
      </c>
      <c r="EL91" s="40"/>
      <c r="EM91" s="40" t="s">
        <v>184</v>
      </c>
      <c r="EN91" s="40" t="s">
        <v>184</v>
      </c>
      <c r="EO91" s="40"/>
      <c r="EP91" s="40"/>
      <c r="EQ91" s="29"/>
      <c r="ER91" s="29"/>
      <c r="ES91" s="29" t="s">
        <v>184</v>
      </c>
      <c r="ET91" s="29"/>
      <c r="EU91" s="29"/>
      <c r="EV91" s="29" t="s">
        <v>184</v>
      </c>
      <c r="EW91" s="29"/>
      <c r="EX91" s="29"/>
      <c r="EY91" s="29"/>
      <c r="EZ91" s="29"/>
      <c r="FA91" s="29"/>
      <c r="FB91" s="29"/>
      <c r="FC91" s="29" t="s">
        <v>184</v>
      </c>
      <c r="FD91" s="29"/>
      <c r="FE91" s="29" t="n">
        <v>3000</v>
      </c>
      <c r="FF91" s="29"/>
      <c r="FG91" s="29"/>
      <c r="FH91" s="29"/>
      <c r="FI91" s="29"/>
      <c r="FJ91" s="29"/>
      <c r="FK91" s="29"/>
      <c r="FL91" s="29"/>
      <c r="FM91" s="29"/>
      <c r="FN91" s="29" t="n">
        <v>13000</v>
      </c>
      <c r="FO91" s="29"/>
      <c r="FP91" s="29"/>
      <c r="FQ91" s="29"/>
      <c r="FR91" s="29"/>
      <c r="FS91" s="29"/>
      <c r="FT91" s="29" t="n">
        <f aca="false">SUM(N91:FS91)</f>
        <v>16000</v>
      </c>
      <c r="FU91" s="27" t="n">
        <f aca="false">SUM(L91-FT91)</f>
        <v>135200</v>
      </c>
      <c r="FV91" s="31" t="n">
        <f aca="false">SUM( H91/5)</f>
        <v>1.69312169312169</v>
      </c>
      <c r="FW91" s="31" t="n">
        <f aca="false">SUM( I91/5)</f>
        <v>14.3068783068783</v>
      </c>
      <c r="FX91" s="32" t="n">
        <f aca="false">SUM(FV91/4)</f>
        <v>0.423280423280423</v>
      </c>
      <c r="FY91" s="32" t="n">
        <f aca="false">SUM(FW91/4)</f>
        <v>3.57671957671958</v>
      </c>
    </row>
    <row r="92" customFormat="false" ht="43.5" hidden="false" customHeight="true" outlineLevel="0" collapsed="false">
      <c r="A92" s="24" t="n">
        <v>3381</v>
      </c>
      <c r="B92" s="21" t="s">
        <v>334</v>
      </c>
      <c r="C92" s="21" t="s">
        <v>335</v>
      </c>
      <c r="D92" s="22"/>
      <c r="E92" s="23" t="n">
        <v>45908</v>
      </c>
      <c r="F92" s="23" t="n">
        <f aca="false">WORKDAY(E92,G92)</f>
        <v>46020</v>
      </c>
      <c r="G92" s="24" t="n">
        <v>80</v>
      </c>
      <c r="H92" s="25" t="n">
        <f aca="false">(FT92* 5)/M92</f>
        <v>0</v>
      </c>
      <c r="I92" s="25" t="n">
        <f aca="false">G92-H92</f>
        <v>80</v>
      </c>
      <c r="J92" s="26" t="s">
        <v>340</v>
      </c>
      <c r="K92" s="27" t="n">
        <v>30000</v>
      </c>
      <c r="L92" s="27" t="n">
        <v>64800</v>
      </c>
      <c r="M92" s="28" t="n">
        <f aca="false">(L92/G92)*5</f>
        <v>4050</v>
      </c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/>
      <c r="BL92" s="40"/>
      <c r="BM92" s="40"/>
      <c r="BN92" s="40"/>
      <c r="BO92" s="40"/>
      <c r="BP92" s="40"/>
      <c r="BQ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  <c r="CD92" s="40"/>
      <c r="CE92" s="40"/>
      <c r="CF92" s="40"/>
      <c r="CG92" s="40"/>
      <c r="CH92" s="40"/>
      <c r="CI92" s="40"/>
      <c r="CJ92" s="40"/>
      <c r="CK92" s="40"/>
      <c r="CL92" s="40"/>
      <c r="CM92" s="40"/>
      <c r="CN92" s="40"/>
      <c r="CO92" s="40"/>
      <c r="CP92" s="40"/>
      <c r="CQ92" s="40"/>
      <c r="CR92" s="40"/>
      <c r="CS92" s="40"/>
      <c r="CT92" s="40"/>
      <c r="CU92" s="40"/>
      <c r="CV92" s="40"/>
      <c r="CW92" s="40"/>
      <c r="CX92" s="40"/>
      <c r="CY92" s="40"/>
      <c r="CZ92" s="40"/>
      <c r="DA92" s="40"/>
      <c r="DB92" s="40"/>
      <c r="DC92" s="40"/>
      <c r="DD92" s="40"/>
      <c r="DE92" s="40"/>
      <c r="DF92" s="40"/>
      <c r="DG92" s="40"/>
      <c r="DH92" s="40"/>
      <c r="DI92" s="40"/>
      <c r="DJ92" s="40"/>
      <c r="DK92" s="40"/>
      <c r="DL92" s="40"/>
      <c r="DM92" s="40"/>
      <c r="DN92" s="40"/>
      <c r="DO92" s="40"/>
      <c r="DP92" s="40"/>
      <c r="DQ92" s="40"/>
      <c r="DR92" s="40"/>
      <c r="DS92" s="40"/>
      <c r="DT92" s="40"/>
      <c r="DU92" s="40"/>
      <c r="DV92" s="40"/>
      <c r="DW92" s="40"/>
      <c r="DX92" s="40"/>
      <c r="DY92" s="40"/>
      <c r="DZ92" s="40"/>
      <c r="EA92" s="40"/>
      <c r="EB92" s="40"/>
      <c r="EC92" s="40"/>
      <c r="ED92" s="40"/>
      <c r="EE92" s="40"/>
      <c r="EF92" s="40"/>
      <c r="EG92" s="40"/>
      <c r="EH92" s="40"/>
      <c r="EI92" s="40"/>
      <c r="EJ92" s="40"/>
      <c r="EK92" s="40" t="s">
        <v>184</v>
      </c>
      <c r="EL92" s="40"/>
      <c r="EM92" s="40" t="s">
        <v>184</v>
      </c>
      <c r="EN92" s="40" t="s">
        <v>184</v>
      </c>
      <c r="EO92" s="40"/>
      <c r="EP92" s="40"/>
      <c r="EQ92" s="29"/>
      <c r="ER92" s="29"/>
      <c r="ES92" s="29" t="s">
        <v>184</v>
      </c>
      <c r="ET92" s="29"/>
      <c r="EU92" s="29"/>
      <c r="EV92" s="29" t="s">
        <v>184</v>
      </c>
      <c r="EW92" s="29"/>
      <c r="EX92" s="29"/>
      <c r="EY92" s="29"/>
      <c r="EZ92" s="29"/>
      <c r="FA92" s="29"/>
      <c r="FB92" s="29"/>
      <c r="FC92" s="29" t="s">
        <v>184</v>
      </c>
      <c r="FD92" s="29"/>
      <c r="FE92" s="29"/>
      <c r="FF92" s="29"/>
      <c r="FG92" s="29"/>
      <c r="FH92" s="29"/>
      <c r="FI92" s="29"/>
      <c r="FJ92" s="29"/>
      <c r="FK92" s="29"/>
      <c r="FL92" s="29"/>
      <c r="FM92" s="29"/>
      <c r="FN92" s="29"/>
      <c r="FO92" s="29"/>
      <c r="FP92" s="29"/>
      <c r="FQ92" s="29"/>
      <c r="FR92" s="29"/>
      <c r="FS92" s="29"/>
      <c r="FT92" s="29" t="n">
        <f aca="false">SUM(N92:FS92)</f>
        <v>0</v>
      </c>
      <c r="FU92" s="27" t="n">
        <f aca="false">SUM(L92-FT92)</f>
        <v>64800</v>
      </c>
      <c r="FV92" s="31" t="n">
        <f aca="false">SUM( H92/5)</f>
        <v>0</v>
      </c>
      <c r="FW92" s="31" t="n">
        <f aca="false">SUM( I92/5)</f>
        <v>16</v>
      </c>
      <c r="FX92" s="32" t="n">
        <f aca="false">SUM(FV92/4)</f>
        <v>0</v>
      </c>
      <c r="FY92" s="32" t="n">
        <f aca="false">SUM(FW92/4)</f>
        <v>4</v>
      </c>
    </row>
    <row r="93" customFormat="false" ht="43.5" hidden="false" customHeight="true" outlineLevel="0" collapsed="false">
      <c r="A93" s="24" t="n">
        <v>3403</v>
      </c>
      <c r="B93" s="21" t="s">
        <v>341</v>
      </c>
      <c r="C93" s="21" t="s">
        <v>335</v>
      </c>
      <c r="D93" s="22"/>
      <c r="E93" s="23" t="n">
        <v>45918</v>
      </c>
      <c r="F93" s="23" t="n">
        <f aca="false">WORKDAY(E93,G93)</f>
        <v>46030</v>
      </c>
      <c r="G93" s="24" t="n">
        <v>80</v>
      </c>
      <c r="H93" s="25" t="n">
        <f aca="false">(FT93* 5)/M93</f>
        <v>40</v>
      </c>
      <c r="I93" s="25" t="n">
        <f aca="false">G93-H93</f>
        <v>40</v>
      </c>
      <c r="J93" s="26" t="s">
        <v>338</v>
      </c>
      <c r="K93" s="27" t="n">
        <v>50000</v>
      </c>
      <c r="L93" s="27" t="n">
        <v>108000</v>
      </c>
      <c r="M93" s="45" t="n">
        <f aca="false">(L93/G93)*5</f>
        <v>6750</v>
      </c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/>
      <c r="BL93" s="40"/>
      <c r="BM93" s="40"/>
      <c r="BN93" s="40"/>
      <c r="BO93" s="40"/>
      <c r="BP93" s="40"/>
      <c r="BQ93" s="40"/>
      <c r="BR93" s="40"/>
      <c r="BS93" s="40"/>
      <c r="BT93" s="40"/>
      <c r="BU93" s="40"/>
      <c r="BV93" s="40"/>
      <c r="BW93" s="40"/>
      <c r="BX93" s="40"/>
      <c r="BY93" s="40"/>
      <c r="BZ93" s="40"/>
      <c r="CA93" s="40"/>
      <c r="CB93" s="40"/>
      <c r="CC93" s="40"/>
      <c r="CD93" s="40"/>
      <c r="CE93" s="40"/>
      <c r="CF93" s="40"/>
      <c r="CG93" s="40"/>
      <c r="CH93" s="40"/>
      <c r="CI93" s="40"/>
      <c r="CJ93" s="40"/>
      <c r="CK93" s="40"/>
      <c r="CL93" s="40"/>
      <c r="CM93" s="40"/>
      <c r="CN93" s="40"/>
      <c r="CO93" s="40"/>
      <c r="CP93" s="40"/>
      <c r="CQ93" s="40"/>
      <c r="CR93" s="40"/>
      <c r="CS93" s="40"/>
      <c r="CT93" s="40"/>
      <c r="CU93" s="40"/>
      <c r="CV93" s="40"/>
      <c r="CW93" s="40"/>
      <c r="CX93" s="40"/>
      <c r="CY93" s="40"/>
      <c r="CZ93" s="40"/>
      <c r="DA93" s="40"/>
      <c r="DB93" s="40"/>
      <c r="DC93" s="40"/>
      <c r="DD93" s="40"/>
      <c r="DE93" s="40"/>
      <c r="DF93" s="40"/>
      <c r="DG93" s="40"/>
      <c r="DH93" s="40"/>
      <c r="DI93" s="40"/>
      <c r="DJ93" s="40"/>
      <c r="DK93" s="40"/>
      <c r="DL93" s="40"/>
      <c r="DM93" s="40"/>
      <c r="DN93" s="40"/>
      <c r="DO93" s="40"/>
      <c r="DP93" s="40"/>
      <c r="DQ93" s="40"/>
      <c r="DR93" s="40"/>
      <c r="DS93" s="40"/>
      <c r="DT93" s="40"/>
      <c r="DU93" s="40"/>
      <c r="DV93" s="40"/>
      <c r="DW93" s="40"/>
      <c r="DX93" s="40"/>
      <c r="DY93" s="40"/>
      <c r="DZ93" s="40"/>
      <c r="EA93" s="40"/>
      <c r="EB93" s="40"/>
      <c r="EC93" s="40"/>
      <c r="ED93" s="40"/>
      <c r="EE93" s="40"/>
      <c r="EF93" s="40"/>
      <c r="EG93" s="40"/>
      <c r="EH93" s="40"/>
      <c r="EI93" s="40"/>
      <c r="EJ93" s="40"/>
      <c r="EK93" s="40" t="s">
        <v>184</v>
      </c>
      <c r="EL93" s="40"/>
      <c r="EM93" s="40" t="s">
        <v>184</v>
      </c>
      <c r="EN93" s="40" t="s">
        <v>184</v>
      </c>
      <c r="EO93" s="40"/>
      <c r="EP93" s="40"/>
      <c r="EQ93" s="29"/>
      <c r="ER93" s="29"/>
      <c r="ES93" s="29" t="s">
        <v>184</v>
      </c>
      <c r="ET93" s="29"/>
      <c r="EU93" s="29"/>
      <c r="EV93" s="29" t="s">
        <v>184</v>
      </c>
      <c r="EW93" s="29"/>
      <c r="EX93" s="29"/>
      <c r="EY93" s="29"/>
      <c r="EZ93" s="29"/>
      <c r="FA93" s="29"/>
      <c r="FB93" s="29"/>
      <c r="FC93" s="29" t="s">
        <v>184</v>
      </c>
      <c r="FD93" s="29"/>
      <c r="FE93" s="29"/>
      <c r="FF93" s="29"/>
      <c r="FG93" s="29"/>
      <c r="FH93" s="29"/>
      <c r="FI93" s="29"/>
      <c r="FJ93" s="29"/>
      <c r="FK93" s="29"/>
      <c r="FL93" s="29"/>
      <c r="FM93" s="29" t="n">
        <v>27000</v>
      </c>
      <c r="FN93" s="29"/>
      <c r="FO93" s="29"/>
      <c r="FP93" s="29"/>
      <c r="FQ93" s="29"/>
      <c r="FR93" s="29" t="n">
        <v>27000</v>
      </c>
      <c r="FS93" s="29"/>
      <c r="FT93" s="29" t="n">
        <f aca="false">SUM(N93:FS93)</f>
        <v>54000</v>
      </c>
      <c r="FU93" s="27" t="n">
        <f aca="false">SUM(L93-FT93)</f>
        <v>54000</v>
      </c>
      <c r="FV93" s="31" t="n">
        <f aca="false">SUM( H93/5)</f>
        <v>8</v>
      </c>
      <c r="FW93" s="31" t="n">
        <f aca="false">SUM( I93/5)</f>
        <v>8</v>
      </c>
      <c r="FX93" s="32" t="n">
        <f aca="false">SUM(FV93/4)</f>
        <v>2</v>
      </c>
      <c r="FY93" s="32" t="n">
        <f aca="false">SUM(FW93/4)</f>
        <v>2</v>
      </c>
    </row>
    <row r="94" customFormat="false" ht="43.5" hidden="false" customHeight="true" outlineLevel="0" collapsed="false">
      <c r="A94" s="24" t="n">
        <v>3250</v>
      </c>
      <c r="B94" s="21" t="s">
        <v>342</v>
      </c>
      <c r="C94" s="21" t="s">
        <v>343</v>
      </c>
      <c r="D94" s="22"/>
      <c r="E94" s="23" t="n">
        <v>45827</v>
      </c>
      <c r="F94" s="23" t="n">
        <f aca="false">WORKDAY(E94,G94)</f>
        <v>45995</v>
      </c>
      <c r="G94" s="24" t="n">
        <v>120</v>
      </c>
      <c r="H94" s="25" t="n">
        <f aca="false">(FT94* 5)/M94</f>
        <v>100.045454545455</v>
      </c>
      <c r="I94" s="25" t="n">
        <f aca="false">G94-H94</f>
        <v>19.9545454545455</v>
      </c>
      <c r="J94" s="26" t="s">
        <v>344</v>
      </c>
      <c r="K94" s="27" t="n">
        <v>200000</v>
      </c>
      <c r="L94" s="27" t="n">
        <v>528000</v>
      </c>
      <c r="M94" s="45" t="n">
        <f aca="false">(L94/G94)*5</f>
        <v>22000</v>
      </c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/>
      <c r="BL94" s="40"/>
      <c r="BM94" s="40"/>
      <c r="BN94" s="40"/>
      <c r="BO94" s="40"/>
      <c r="BP94" s="40"/>
      <c r="BQ94" s="40"/>
      <c r="BR94" s="40"/>
      <c r="BS94" s="40"/>
      <c r="BT94" s="40"/>
      <c r="BU94" s="40"/>
      <c r="BV94" s="40"/>
      <c r="BW94" s="40"/>
      <c r="BX94" s="40"/>
      <c r="BY94" s="40"/>
      <c r="BZ94" s="40"/>
      <c r="CA94" s="40"/>
      <c r="CB94" s="40"/>
      <c r="CC94" s="40"/>
      <c r="CD94" s="40"/>
      <c r="CE94" s="40"/>
      <c r="CF94" s="40"/>
      <c r="CG94" s="40"/>
      <c r="CH94" s="40"/>
      <c r="CI94" s="40"/>
      <c r="CJ94" s="40"/>
      <c r="CK94" s="40"/>
      <c r="CL94" s="40"/>
      <c r="CM94" s="40"/>
      <c r="CN94" s="40"/>
      <c r="CO94" s="40"/>
      <c r="CP94" s="40"/>
      <c r="CQ94" s="40"/>
      <c r="CR94" s="40"/>
      <c r="CS94" s="40"/>
      <c r="CT94" s="40"/>
      <c r="CU94" s="40"/>
      <c r="CV94" s="40"/>
      <c r="CW94" s="40"/>
      <c r="CX94" s="40"/>
      <c r="CY94" s="40"/>
      <c r="CZ94" s="40"/>
      <c r="DA94" s="40"/>
      <c r="DB94" s="40"/>
      <c r="DC94" s="40"/>
      <c r="DD94" s="40"/>
      <c r="DE94" s="40"/>
      <c r="DF94" s="40"/>
      <c r="DG94" s="40"/>
      <c r="DH94" s="40"/>
      <c r="DI94" s="40"/>
      <c r="DJ94" s="40"/>
      <c r="DK94" s="40"/>
      <c r="DL94" s="40"/>
      <c r="DM94" s="40"/>
      <c r="DN94" s="40"/>
      <c r="DO94" s="40"/>
      <c r="DP94" s="40"/>
      <c r="DQ94" s="40"/>
      <c r="DR94" s="40"/>
      <c r="DS94" s="40"/>
      <c r="DT94" s="40"/>
      <c r="DU94" s="40"/>
      <c r="DV94" s="40"/>
      <c r="DW94" s="40"/>
      <c r="DX94" s="40"/>
      <c r="DY94" s="40"/>
      <c r="DZ94" s="40"/>
      <c r="EA94" s="40"/>
      <c r="EB94" s="40"/>
      <c r="EC94" s="40"/>
      <c r="ED94" s="40"/>
      <c r="EE94" s="40"/>
      <c r="EF94" s="40"/>
      <c r="EG94" s="40"/>
      <c r="EH94" s="40"/>
      <c r="EI94" s="40"/>
      <c r="EJ94" s="40"/>
      <c r="EK94" s="40" t="s">
        <v>184</v>
      </c>
      <c r="EL94" s="40"/>
      <c r="EM94" s="40" t="s">
        <v>184</v>
      </c>
      <c r="EN94" s="40" t="s">
        <v>184</v>
      </c>
      <c r="EO94" s="40"/>
      <c r="EP94" s="40"/>
      <c r="EQ94" s="29"/>
      <c r="ER94" s="29"/>
      <c r="ES94" s="29" t="s">
        <v>184</v>
      </c>
      <c r="ET94" s="29"/>
      <c r="EU94" s="29"/>
      <c r="EV94" s="29"/>
      <c r="EW94" s="29"/>
      <c r="EX94" s="29" t="n">
        <v>88000</v>
      </c>
      <c r="EY94" s="29"/>
      <c r="EZ94" s="29"/>
      <c r="FA94" s="29"/>
      <c r="FB94" s="29" t="n">
        <v>88200</v>
      </c>
      <c r="FC94" s="29"/>
      <c r="FD94" s="29"/>
      <c r="FE94" s="29"/>
      <c r="FF94" s="29" t="n">
        <v>88000</v>
      </c>
      <c r="FG94" s="29"/>
      <c r="FH94" s="29"/>
      <c r="FI94" s="29"/>
      <c r="FJ94" s="29"/>
      <c r="FK94" s="29" t="n">
        <v>88000</v>
      </c>
      <c r="FL94" s="29"/>
      <c r="FM94" s="29"/>
      <c r="FN94" s="29"/>
      <c r="FO94" s="29" t="n">
        <v>88000</v>
      </c>
      <c r="FP94" s="29"/>
      <c r="FQ94" s="29"/>
      <c r="FR94" s="29"/>
      <c r="FS94" s="29"/>
      <c r="FT94" s="29" t="n">
        <f aca="false">SUM(N94:FS94)</f>
        <v>440200</v>
      </c>
      <c r="FU94" s="27" t="n">
        <f aca="false">SUM(L94-FT94)</f>
        <v>87800</v>
      </c>
      <c r="FV94" s="31" t="n">
        <f aca="false">SUM( H94/5)</f>
        <v>20.0090909090909</v>
      </c>
      <c r="FW94" s="31" t="n">
        <f aca="false">SUM( I94/5)</f>
        <v>3.99090909090909</v>
      </c>
      <c r="FX94" s="32" t="n">
        <f aca="false">SUM(FV94/4)</f>
        <v>5.00227272727273</v>
      </c>
      <c r="FY94" s="32" t="n">
        <f aca="false">SUM(FW94/4)</f>
        <v>0.997727272727273</v>
      </c>
    </row>
    <row r="95" customFormat="false" ht="43.5" hidden="false" customHeight="true" outlineLevel="0" collapsed="false">
      <c r="A95" s="24" t="n">
        <v>3355</v>
      </c>
      <c r="B95" s="21" t="s">
        <v>342</v>
      </c>
      <c r="C95" s="21" t="s">
        <v>343</v>
      </c>
      <c r="D95" s="22"/>
      <c r="E95" s="23" t="n">
        <v>45887</v>
      </c>
      <c r="F95" s="23" t="n">
        <f aca="false">WORKDAY(E95,G95)</f>
        <v>46111</v>
      </c>
      <c r="G95" s="24" t="n">
        <v>160</v>
      </c>
      <c r="H95" s="25" t="n">
        <f aca="false">(FT95* 5)/M95</f>
        <v>60</v>
      </c>
      <c r="I95" s="25" t="n">
        <f aca="false">G95-H95</f>
        <v>100</v>
      </c>
      <c r="J95" s="26" t="s">
        <v>345</v>
      </c>
      <c r="K95" s="27" t="n">
        <v>250000</v>
      </c>
      <c r="L95" s="27" t="n">
        <v>720000</v>
      </c>
      <c r="M95" s="28" t="n">
        <f aca="false">(L95/G95)*5</f>
        <v>22500</v>
      </c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/>
      <c r="BL95" s="40"/>
      <c r="BM95" s="40"/>
      <c r="BN95" s="40"/>
      <c r="BO95" s="40"/>
      <c r="BP95" s="40"/>
      <c r="BQ95" s="40"/>
      <c r="BR95" s="40"/>
      <c r="BS95" s="40"/>
      <c r="BT95" s="40"/>
      <c r="BU95" s="40"/>
      <c r="BV95" s="40"/>
      <c r="BW95" s="40"/>
      <c r="BX95" s="40"/>
      <c r="BY95" s="40"/>
      <c r="BZ95" s="40"/>
      <c r="CA95" s="40"/>
      <c r="CB95" s="40"/>
      <c r="CC95" s="40"/>
      <c r="CD95" s="40"/>
      <c r="CE95" s="40"/>
      <c r="CF95" s="40"/>
      <c r="CG95" s="40"/>
      <c r="CH95" s="40"/>
      <c r="CI95" s="40"/>
      <c r="CJ95" s="40"/>
      <c r="CK95" s="40"/>
      <c r="CL95" s="40"/>
      <c r="CM95" s="40"/>
      <c r="CN95" s="40"/>
      <c r="CO95" s="40"/>
      <c r="CP95" s="40"/>
      <c r="CQ95" s="40"/>
      <c r="CR95" s="40"/>
      <c r="CS95" s="40"/>
      <c r="CT95" s="40"/>
      <c r="CU95" s="40"/>
      <c r="CV95" s="40"/>
      <c r="CW95" s="40"/>
      <c r="CX95" s="40"/>
      <c r="CY95" s="40"/>
      <c r="CZ95" s="40"/>
      <c r="DA95" s="40"/>
      <c r="DB95" s="40"/>
      <c r="DC95" s="40"/>
      <c r="DD95" s="40"/>
      <c r="DE95" s="40"/>
      <c r="DF95" s="40"/>
      <c r="DG95" s="40"/>
      <c r="DH95" s="40"/>
      <c r="DI95" s="40"/>
      <c r="DJ95" s="40"/>
      <c r="DK95" s="40"/>
      <c r="DL95" s="40"/>
      <c r="DM95" s="40"/>
      <c r="DN95" s="40"/>
      <c r="DO95" s="40"/>
      <c r="DP95" s="40"/>
      <c r="DQ95" s="40"/>
      <c r="DR95" s="40"/>
      <c r="DS95" s="40"/>
      <c r="DT95" s="40"/>
      <c r="DU95" s="40"/>
      <c r="DV95" s="40"/>
      <c r="DW95" s="40"/>
      <c r="DX95" s="40"/>
      <c r="DY95" s="40"/>
      <c r="DZ95" s="40"/>
      <c r="EA95" s="40"/>
      <c r="EB95" s="40"/>
      <c r="EC95" s="40"/>
      <c r="ED95" s="40"/>
      <c r="EE95" s="40"/>
      <c r="EF95" s="40"/>
      <c r="EG95" s="40"/>
      <c r="EH95" s="40"/>
      <c r="EI95" s="40"/>
      <c r="EJ95" s="40"/>
      <c r="EK95" s="40" t="s">
        <v>184</v>
      </c>
      <c r="EL95" s="40"/>
      <c r="EM95" s="40" t="s">
        <v>184</v>
      </c>
      <c r="EN95" s="40" t="s">
        <v>184</v>
      </c>
      <c r="EO95" s="40"/>
      <c r="EP95" s="40"/>
      <c r="EQ95" s="29"/>
      <c r="ER95" s="29"/>
      <c r="ES95" s="29" t="s">
        <v>184</v>
      </c>
      <c r="ET95" s="29"/>
      <c r="EU95" s="29"/>
      <c r="EV95" s="29" t="s">
        <v>184</v>
      </c>
      <c r="EW95" s="29"/>
      <c r="EX95" s="29"/>
      <c r="EY95" s="29"/>
      <c r="EZ95" s="29"/>
      <c r="FA95" s="29"/>
      <c r="FB95" s="29"/>
      <c r="FC95" s="29" t="s">
        <v>184</v>
      </c>
      <c r="FD95" s="29"/>
      <c r="FE95" s="29"/>
      <c r="FF95" s="29" t="n">
        <v>90000</v>
      </c>
      <c r="FG95" s="29"/>
      <c r="FH95" s="29"/>
      <c r="FI95" s="29"/>
      <c r="FJ95" s="29"/>
      <c r="FK95" s="29" t="n">
        <v>90000</v>
      </c>
      <c r="FL95" s="29"/>
      <c r="FM95" s="29"/>
      <c r="FN95" s="29"/>
      <c r="FO95" s="29" t="n">
        <v>90000</v>
      </c>
      <c r="FP95" s="29"/>
      <c r="FQ95" s="29"/>
      <c r="FR95" s="29"/>
      <c r="FS95" s="29"/>
      <c r="FT95" s="29" t="n">
        <f aca="false">SUM(N95:FS95)</f>
        <v>270000</v>
      </c>
      <c r="FU95" s="27" t="n">
        <f aca="false">SUM(L95-FT95)</f>
        <v>450000</v>
      </c>
      <c r="FV95" s="31" t="n">
        <f aca="false">SUM( H95/5)</f>
        <v>12</v>
      </c>
      <c r="FW95" s="31" t="n">
        <f aca="false">SUM( I95/5)</f>
        <v>20</v>
      </c>
      <c r="FX95" s="32" t="n">
        <f aca="false">SUM(FV95/4)</f>
        <v>3</v>
      </c>
      <c r="FY95" s="32" t="n">
        <f aca="false">SUM(FW95/4)</f>
        <v>5</v>
      </c>
    </row>
    <row r="96" customFormat="false" ht="43.5" hidden="false" customHeight="true" outlineLevel="0" collapsed="false">
      <c r="A96" s="24" t="n">
        <v>3443</v>
      </c>
      <c r="B96" s="21" t="s">
        <v>342</v>
      </c>
      <c r="C96" s="21" t="s">
        <v>343</v>
      </c>
      <c r="D96" s="22"/>
      <c r="E96" s="23" t="n">
        <v>45944</v>
      </c>
      <c r="F96" s="23" t="n">
        <f aca="false">WORKDAY(E96,G96)</f>
        <v>46168</v>
      </c>
      <c r="G96" s="24" t="n">
        <v>160</v>
      </c>
      <c r="H96" s="25" t="n">
        <f aca="false">(FT96* 5)/M96</f>
        <v>20</v>
      </c>
      <c r="I96" s="25" t="n">
        <f aca="false">G96-H96</f>
        <v>140</v>
      </c>
      <c r="J96" s="26" t="s">
        <v>346</v>
      </c>
      <c r="K96" s="30" t="n">
        <v>400000</v>
      </c>
      <c r="L96" s="30" t="n">
        <v>1056000</v>
      </c>
      <c r="M96" s="28" t="n">
        <f aca="false">(L96/G96)*5</f>
        <v>33000</v>
      </c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/>
      <c r="BL96" s="40"/>
      <c r="BM96" s="40"/>
      <c r="BN96" s="40"/>
      <c r="BO96" s="40"/>
      <c r="BP96" s="40"/>
      <c r="BQ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  <c r="CD96" s="40"/>
      <c r="CE96" s="40"/>
      <c r="CF96" s="40"/>
      <c r="CG96" s="40"/>
      <c r="CH96" s="40"/>
      <c r="CI96" s="40"/>
      <c r="CJ96" s="40"/>
      <c r="CK96" s="40"/>
      <c r="CL96" s="40"/>
      <c r="CM96" s="40"/>
      <c r="CN96" s="40"/>
      <c r="CO96" s="40"/>
      <c r="CP96" s="40"/>
      <c r="CQ96" s="40"/>
      <c r="CR96" s="40"/>
      <c r="CS96" s="40"/>
      <c r="CT96" s="40"/>
      <c r="CU96" s="40"/>
      <c r="CV96" s="40"/>
      <c r="CW96" s="40"/>
      <c r="CX96" s="40"/>
      <c r="CY96" s="40"/>
      <c r="CZ96" s="40"/>
      <c r="DA96" s="40"/>
      <c r="DB96" s="40"/>
      <c r="DC96" s="40"/>
      <c r="DD96" s="40"/>
      <c r="DE96" s="40"/>
      <c r="DF96" s="40"/>
      <c r="DG96" s="40"/>
      <c r="DH96" s="40"/>
      <c r="DI96" s="40"/>
      <c r="DJ96" s="40"/>
      <c r="DK96" s="40"/>
      <c r="DL96" s="40"/>
      <c r="DM96" s="40"/>
      <c r="DN96" s="40"/>
      <c r="DO96" s="40"/>
      <c r="DP96" s="40"/>
      <c r="DQ96" s="40"/>
      <c r="DR96" s="40"/>
      <c r="DS96" s="40"/>
      <c r="DT96" s="40"/>
      <c r="DU96" s="40"/>
      <c r="DV96" s="40"/>
      <c r="DW96" s="40"/>
      <c r="DX96" s="40"/>
      <c r="DY96" s="40"/>
      <c r="DZ96" s="40"/>
      <c r="EA96" s="40"/>
      <c r="EB96" s="40"/>
      <c r="EC96" s="40"/>
      <c r="ED96" s="40"/>
      <c r="EE96" s="40"/>
      <c r="EF96" s="40"/>
      <c r="EG96" s="40"/>
      <c r="EH96" s="40"/>
      <c r="EI96" s="40"/>
      <c r="EJ96" s="40"/>
      <c r="EK96" s="40" t="s">
        <v>184</v>
      </c>
      <c r="EL96" s="40"/>
      <c r="EM96" s="40" t="s">
        <v>184</v>
      </c>
      <c r="EN96" s="40" t="s">
        <v>184</v>
      </c>
      <c r="EO96" s="40"/>
      <c r="EP96" s="40"/>
      <c r="EQ96" s="29"/>
      <c r="ER96" s="29"/>
      <c r="ES96" s="29" t="s">
        <v>184</v>
      </c>
      <c r="ET96" s="29"/>
      <c r="EU96" s="29"/>
      <c r="EV96" s="29" t="s">
        <v>184</v>
      </c>
      <c r="EW96" s="29"/>
      <c r="EX96" s="29"/>
      <c r="EY96" s="29"/>
      <c r="EZ96" s="29"/>
      <c r="FA96" s="29"/>
      <c r="FB96" s="29"/>
      <c r="FC96" s="29" t="s">
        <v>184</v>
      </c>
      <c r="FD96" s="29"/>
      <c r="FE96" s="29"/>
      <c r="FF96" s="29"/>
      <c r="FG96" s="29"/>
      <c r="FH96" s="29"/>
      <c r="FI96" s="29"/>
      <c r="FJ96" s="29"/>
      <c r="FK96" s="29"/>
      <c r="FL96" s="29"/>
      <c r="FM96" s="29"/>
      <c r="FN96" s="29"/>
      <c r="FO96" s="29" t="n">
        <v>132000</v>
      </c>
      <c r="FP96" s="29"/>
      <c r="FQ96" s="29"/>
      <c r="FR96" s="29"/>
      <c r="FS96" s="29"/>
      <c r="FT96" s="29" t="n">
        <f aca="false">SUM(N96:FS96)</f>
        <v>132000</v>
      </c>
      <c r="FU96" s="27" t="n">
        <f aca="false">SUM(L96-FT96)</f>
        <v>924000</v>
      </c>
      <c r="FV96" s="31" t="n">
        <f aca="false">SUM( H96/5)</f>
        <v>4</v>
      </c>
      <c r="FW96" s="31" t="n">
        <f aca="false">SUM( I96/5)</f>
        <v>28</v>
      </c>
      <c r="FX96" s="32" t="n">
        <f aca="false">SUM(FV96/4)</f>
        <v>1</v>
      </c>
      <c r="FY96" s="32" t="n">
        <f aca="false">SUM(FW96/4)</f>
        <v>7</v>
      </c>
    </row>
    <row r="97" customFormat="false" ht="43.5" hidden="false" customHeight="true" outlineLevel="0" collapsed="false">
      <c r="A97" s="24" t="n">
        <v>3440</v>
      </c>
      <c r="B97" s="21" t="s">
        <v>347</v>
      </c>
      <c r="C97" s="21" t="s">
        <v>348</v>
      </c>
      <c r="D97" s="22" t="s">
        <v>349</v>
      </c>
      <c r="E97" s="23" t="n">
        <v>45943</v>
      </c>
      <c r="F97" s="23" t="n">
        <f aca="false">WORKDAY(E97,G97)</f>
        <v>46043</v>
      </c>
      <c r="G97" s="24" t="n">
        <v>72</v>
      </c>
      <c r="H97" s="25" t="n">
        <f aca="false">(FT97* 5)/M97</f>
        <v>30</v>
      </c>
      <c r="I97" s="25" t="n">
        <f aca="false">G97-H97</f>
        <v>42</v>
      </c>
      <c r="J97" s="34" t="s">
        <v>190</v>
      </c>
      <c r="K97" s="30" t="n">
        <v>200000</v>
      </c>
      <c r="L97" s="30" t="n">
        <v>432000</v>
      </c>
      <c r="M97" s="28" t="n">
        <f aca="false">(L97/G97)*5</f>
        <v>30000</v>
      </c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/>
      <c r="BL97" s="40"/>
      <c r="BM97" s="40"/>
      <c r="BN97" s="40"/>
      <c r="BO97" s="40"/>
      <c r="BP97" s="40"/>
      <c r="BQ97" s="40"/>
      <c r="BR97" s="40"/>
      <c r="BS97" s="40"/>
      <c r="BT97" s="40"/>
      <c r="BU97" s="40"/>
      <c r="BV97" s="40"/>
      <c r="BW97" s="40"/>
      <c r="BX97" s="40"/>
      <c r="BY97" s="40"/>
      <c r="BZ97" s="40"/>
      <c r="CA97" s="40"/>
      <c r="CB97" s="40"/>
      <c r="CC97" s="40"/>
      <c r="CD97" s="40"/>
      <c r="CE97" s="40"/>
      <c r="CF97" s="40"/>
      <c r="CG97" s="40"/>
      <c r="CH97" s="40"/>
      <c r="CI97" s="40"/>
      <c r="CJ97" s="40"/>
      <c r="CK97" s="40"/>
      <c r="CL97" s="40"/>
      <c r="CM97" s="40"/>
      <c r="CN97" s="40"/>
      <c r="CO97" s="40"/>
      <c r="CP97" s="40"/>
      <c r="CQ97" s="40"/>
      <c r="CR97" s="40"/>
      <c r="CS97" s="40"/>
      <c r="CT97" s="40"/>
      <c r="CU97" s="40"/>
      <c r="CV97" s="40"/>
      <c r="CW97" s="40"/>
      <c r="CX97" s="40"/>
      <c r="CY97" s="40"/>
      <c r="CZ97" s="40"/>
      <c r="DA97" s="40"/>
      <c r="DB97" s="40"/>
      <c r="DC97" s="40"/>
      <c r="DD97" s="40"/>
      <c r="DE97" s="40"/>
      <c r="DF97" s="40"/>
      <c r="DG97" s="40"/>
      <c r="DH97" s="40"/>
      <c r="DI97" s="40"/>
      <c r="DJ97" s="40"/>
      <c r="DK97" s="40"/>
      <c r="DL97" s="40"/>
      <c r="DM97" s="40"/>
      <c r="DN97" s="40"/>
      <c r="DO97" s="40"/>
      <c r="DP97" s="40"/>
      <c r="DQ97" s="40"/>
      <c r="DR97" s="40"/>
      <c r="DS97" s="40"/>
      <c r="DT97" s="40"/>
      <c r="DU97" s="40"/>
      <c r="DV97" s="40"/>
      <c r="DW97" s="40"/>
      <c r="DX97" s="40"/>
      <c r="DY97" s="40"/>
      <c r="DZ97" s="40"/>
      <c r="EA97" s="40"/>
      <c r="EB97" s="40"/>
      <c r="EC97" s="40"/>
      <c r="ED97" s="40"/>
      <c r="EE97" s="40"/>
      <c r="EF97" s="40"/>
      <c r="EG97" s="40"/>
      <c r="EH97" s="40"/>
      <c r="EI97" s="40"/>
      <c r="EJ97" s="40"/>
      <c r="EK97" s="40" t="s">
        <v>184</v>
      </c>
      <c r="EL97" s="40"/>
      <c r="EM97" s="40" t="s">
        <v>184</v>
      </c>
      <c r="EN97" s="40" t="s">
        <v>184</v>
      </c>
      <c r="EO97" s="40"/>
      <c r="EP97" s="40"/>
      <c r="EQ97" s="29"/>
      <c r="ER97" s="29"/>
      <c r="ES97" s="29" t="s">
        <v>184</v>
      </c>
      <c r="ET97" s="29"/>
      <c r="EU97" s="29"/>
      <c r="EV97" s="29" t="s">
        <v>184</v>
      </c>
      <c r="EW97" s="29"/>
      <c r="EX97" s="29"/>
      <c r="EY97" s="29"/>
      <c r="EZ97" s="29"/>
      <c r="FA97" s="29"/>
      <c r="FB97" s="29"/>
      <c r="FC97" s="29" t="s">
        <v>184</v>
      </c>
      <c r="FD97" s="29"/>
      <c r="FE97" s="29"/>
      <c r="FF97" s="29"/>
      <c r="FG97" s="29"/>
      <c r="FH97" s="29"/>
      <c r="FI97" s="29"/>
      <c r="FJ97" s="29"/>
      <c r="FK97" s="29"/>
      <c r="FL97" s="29"/>
      <c r="FM97" s="29" t="n">
        <v>30000</v>
      </c>
      <c r="FN97" s="29" t="n">
        <v>30000</v>
      </c>
      <c r="FO97" s="29" t="n">
        <v>30000</v>
      </c>
      <c r="FP97" s="29" t="n">
        <v>30000</v>
      </c>
      <c r="FQ97" s="29" t="n">
        <v>30000</v>
      </c>
      <c r="FR97" s="29" t="n">
        <v>30000</v>
      </c>
      <c r="FS97" s="29"/>
      <c r="FT97" s="29" t="n">
        <f aca="false">SUM(N97:FS97)</f>
        <v>180000</v>
      </c>
      <c r="FU97" s="27" t="n">
        <f aca="false">SUM(L97-FT97)</f>
        <v>252000</v>
      </c>
      <c r="FV97" s="31" t="n">
        <f aca="false">SUM( H97/5)</f>
        <v>6</v>
      </c>
      <c r="FW97" s="31" t="n">
        <f aca="false">SUM( I97/5)</f>
        <v>8.4</v>
      </c>
      <c r="FX97" s="32" t="n">
        <f aca="false">SUM(FV97/4)</f>
        <v>1.5</v>
      </c>
      <c r="FY97" s="32" t="n">
        <f aca="false">SUM(FW97/4)</f>
        <v>2.1</v>
      </c>
    </row>
    <row r="98" customFormat="false" ht="43.5" hidden="false" customHeight="true" outlineLevel="0" collapsed="false">
      <c r="A98" s="24" t="n">
        <v>3425</v>
      </c>
      <c r="B98" s="21" t="s">
        <v>350</v>
      </c>
      <c r="C98" s="21" t="s">
        <v>351</v>
      </c>
      <c r="D98" s="22"/>
      <c r="E98" s="23" t="n">
        <v>45934</v>
      </c>
      <c r="F98" s="23" t="n">
        <f aca="false">WORKDAY(E98,G98)</f>
        <v>46031</v>
      </c>
      <c r="G98" s="24" t="n">
        <v>70</v>
      </c>
      <c r="H98" s="25" t="n">
        <f aca="false">(FT98* 5)/M98</f>
        <v>30.0064808813999</v>
      </c>
      <c r="I98" s="25" t="n">
        <f aca="false">G98-H98</f>
        <v>39.9935191186001</v>
      </c>
      <c r="J98" s="34" t="s">
        <v>352</v>
      </c>
      <c r="K98" s="30" t="n">
        <v>250000</v>
      </c>
      <c r="L98" s="30" t="n">
        <v>540050</v>
      </c>
      <c r="M98" s="28" t="n">
        <f aca="false">(L98/G98)*5</f>
        <v>38575</v>
      </c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/>
      <c r="BL98" s="40"/>
      <c r="BM98" s="40"/>
      <c r="BN98" s="40"/>
      <c r="BO98" s="40"/>
      <c r="BP98" s="40"/>
      <c r="BQ98" s="40"/>
      <c r="BR98" s="40"/>
      <c r="BS98" s="40"/>
      <c r="BT98" s="40"/>
      <c r="BU98" s="40"/>
      <c r="BV98" s="40"/>
      <c r="BW98" s="40"/>
      <c r="BX98" s="40"/>
      <c r="BY98" s="40"/>
      <c r="BZ98" s="40"/>
      <c r="CA98" s="40"/>
      <c r="CB98" s="40"/>
      <c r="CC98" s="40"/>
      <c r="CD98" s="40"/>
      <c r="CE98" s="40"/>
      <c r="CF98" s="40"/>
      <c r="CG98" s="40"/>
      <c r="CH98" s="40"/>
      <c r="CI98" s="40"/>
      <c r="CJ98" s="40"/>
      <c r="CK98" s="40"/>
      <c r="CL98" s="40"/>
      <c r="CM98" s="40"/>
      <c r="CN98" s="40"/>
      <c r="CO98" s="40"/>
      <c r="CP98" s="40"/>
      <c r="CQ98" s="40"/>
      <c r="CR98" s="40"/>
      <c r="CS98" s="40"/>
      <c r="CT98" s="40"/>
      <c r="CU98" s="40"/>
      <c r="CV98" s="40"/>
      <c r="CW98" s="40"/>
      <c r="CX98" s="40"/>
      <c r="CY98" s="40"/>
      <c r="CZ98" s="40"/>
      <c r="DA98" s="40"/>
      <c r="DB98" s="40"/>
      <c r="DC98" s="40"/>
      <c r="DD98" s="40"/>
      <c r="DE98" s="40"/>
      <c r="DF98" s="40"/>
      <c r="DG98" s="40"/>
      <c r="DH98" s="40"/>
      <c r="DI98" s="40"/>
      <c r="DJ98" s="40"/>
      <c r="DK98" s="40"/>
      <c r="DL98" s="40"/>
      <c r="DM98" s="40"/>
      <c r="DN98" s="40"/>
      <c r="DO98" s="40"/>
      <c r="DP98" s="40"/>
      <c r="DQ98" s="40"/>
      <c r="DR98" s="40"/>
      <c r="DS98" s="40"/>
      <c r="DT98" s="40"/>
      <c r="DU98" s="40"/>
      <c r="DV98" s="40"/>
      <c r="DW98" s="40"/>
      <c r="DX98" s="40"/>
      <c r="DY98" s="40"/>
      <c r="DZ98" s="40"/>
      <c r="EA98" s="40"/>
      <c r="EB98" s="40"/>
      <c r="EC98" s="40"/>
      <c r="ED98" s="40"/>
      <c r="EE98" s="40"/>
      <c r="EF98" s="40"/>
      <c r="EG98" s="40"/>
      <c r="EH98" s="40"/>
      <c r="EI98" s="40"/>
      <c r="EJ98" s="40"/>
      <c r="EK98" s="40" t="s">
        <v>184</v>
      </c>
      <c r="EL98" s="40"/>
      <c r="EM98" s="40" t="s">
        <v>184</v>
      </c>
      <c r="EN98" s="40" t="s">
        <v>184</v>
      </c>
      <c r="EO98" s="40"/>
      <c r="EP98" s="40"/>
      <c r="EQ98" s="29"/>
      <c r="ER98" s="29"/>
      <c r="ES98" s="29" t="s">
        <v>184</v>
      </c>
      <c r="ET98" s="29"/>
      <c r="EU98" s="29"/>
      <c r="EV98" s="29" t="s">
        <v>184</v>
      </c>
      <c r="EW98" s="29"/>
      <c r="EX98" s="29"/>
      <c r="EY98" s="29"/>
      <c r="EZ98" s="29"/>
      <c r="FA98" s="29"/>
      <c r="FB98" s="29"/>
      <c r="FC98" s="29" t="s">
        <v>184</v>
      </c>
      <c r="FD98" s="29"/>
      <c r="FE98" s="29"/>
      <c r="FF98" s="29"/>
      <c r="FG98" s="29"/>
      <c r="FH98" s="29"/>
      <c r="FI98" s="29"/>
      <c r="FJ98" s="29"/>
      <c r="FK98" s="29"/>
      <c r="FL98" s="29"/>
      <c r="FM98" s="29" t="n">
        <v>77200</v>
      </c>
      <c r="FN98" s="29"/>
      <c r="FO98" s="29" t="n">
        <v>77150</v>
      </c>
      <c r="FP98" s="29"/>
      <c r="FQ98" s="29"/>
      <c r="FR98" s="29" t="n">
        <v>77150</v>
      </c>
      <c r="FS98" s="29"/>
      <c r="FT98" s="29" t="n">
        <f aca="false">SUM(N98:FS98)</f>
        <v>231500</v>
      </c>
      <c r="FU98" s="27" t="n">
        <f aca="false">SUM(L98-FT98)</f>
        <v>308550</v>
      </c>
      <c r="FV98" s="31" t="n">
        <f aca="false">SUM( H98/5)</f>
        <v>6.00129617627997</v>
      </c>
      <c r="FW98" s="31" t="n">
        <f aca="false">SUM( I98/5)</f>
        <v>7.99870382372003</v>
      </c>
      <c r="FX98" s="32" t="n">
        <f aca="false">SUM(FV98/4)</f>
        <v>1.50032404406999</v>
      </c>
      <c r="FY98" s="32" t="n">
        <f aca="false">SUM(FW98/4)</f>
        <v>1.99967595593001</v>
      </c>
    </row>
    <row r="99" customFormat="false" ht="43.5" hidden="false" customHeight="true" outlineLevel="0" collapsed="false">
      <c r="A99" s="24" t="n">
        <v>3373</v>
      </c>
      <c r="B99" s="34" t="s">
        <v>353</v>
      </c>
      <c r="C99" s="34" t="s">
        <v>354</v>
      </c>
      <c r="D99" s="34" t="n">
        <v>37095915</v>
      </c>
      <c r="E99" s="42" t="n">
        <v>45898</v>
      </c>
      <c r="F99" s="42" t="n">
        <v>45716</v>
      </c>
      <c r="G99" s="43" t="n">
        <v>80</v>
      </c>
      <c r="H99" s="25" t="n">
        <f aca="false">(FT99* 5)/M99</f>
        <v>40</v>
      </c>
      <c r="I99" s="25" t="n">
        <f aca="false">G99-H99</f>
        <v>40</v>
      </c>
      <c r="J99" s="26" t="s">
        <v>355</v>
      </c>
      <c r="K99" s="44" t="n">
        <v>100000</v>
      </c>
      <c r="L99" s="44" t="n">
        <v>216000</v>
      </c>
      <c r="M99" s="28" t="n">
        <f aca="false">(L99/G99)*5</f>
        <v>13500</v>
      </c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/>
      <c r="BL99" s="40"/>
      <c r="BM99" s="40"/>
      <c r="BN99" s="40"/>
      <c r="BO99" s="40"/>
      <c r="BP99" s="40"/>
      <c r="BQ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  <c r="CD99" s="40"/>
      <c r="CE99" s="40"/>
      <c r="CF99" s="40"/>
      <c r="CG99" s="40"/>
      <c r="CH99" s="40"/>
      <c r="CI99" s="40"/>
      <c r="CJ99" s="40"/>
      <c r="CK99" s="40"/>
      <c r="CL99" s="40"/>
      <c r="CM99" s="40"/>
      <c r="CN99" s="40"/>
      <c r="CO99" s="40"/>
      <c r="CP99" s="40"/>
      <c r="CQ99" s="40"/>
      <c r="CR99" s="40"/>
      <c r="CS99" s="40"/>
      <c r="CT99" s="40"/>
      <c r="CU99" s="40"/>
      <c r="CV99" s="40"/>
      <c r="CW99" s="40"/>
      <c r="CX99" s="40"/>
      <c r="CY99" s="40"/>
      <c r="CZ99" s="40"/>
      <c r="DA99" s="40"/>
      <c r="DB99" s="40"/>
      <c r="DC99" s="40"/>
      <c r="DD99" s="40"/>
      <c r="DE99" s="40"/>
      <c r="DF99" s="40"/>
      <c r="DG99" s="40"/>
      <c r="DH99" s="40"/>
      <c r="DI99" s="40"/>
      <c r="DJ99" s="40"/>
      <c r="DK99" s="40"/>
      <c r="DL99" s="40"/>
      <c r="DM99" s="40"/>
      <c r="DN99" s="40"/>
      <c r="DO99" s="40"/>
      <c r="DP99" s="40"/>
      <c r="DQ99" s="40"/>
      <c r="DR99" s="40"/>
      <c r="DS99" s="40"/>
      <c r="DT99" s="40"/>
      <c r="DU99" s="40"/>
      <c r="DV99" s="40"/>
      <c r="DW99" s="40"/>
      <c r="DX99" s="40"/>
      <c r="DY99" s="40"/>
      <c r="DZ99" s="40"/>
      <c r="EA99" s="40"/>
      <c r="EB99" s="40"/>
      <c r="EC99" s="40"/>
      <c r="ED99" s="40"/>
      <c r="EE99" s="40"/>
      <c r="EF99" s="40"/>
      <c r="EG99" s="40"/>
      <c r="EH99" s="40"/>
      <c r="EI99" s="40"/>
      <c r="EJ99" s="40"/>
      <c r="EK99" s="40" t="s">
        <v>184</v>
      </c>
      <c r="EL99" s="40"/>
      <c r="EM99" s="40" t="s">
        <v>184</v>
      </c>
      <c r="EN99" s="40" t="s">
        <v>184</v>
      </c>
      <c r="EO99" s="40"/>
      <c r="EP99" s="40"/>
      <c r="EQ99" s="29"/>
      <c r="ER99" s="29"/>
      <c r="ES99" s="29" t="s">
        <v>184</v>
      </c>
      <c r="ET99" s="29"/>
      <c r="EU99" s="29"/>
      <c r="EV99" s="29" t="s">
        <v>184</v>
      </c>
      <c r="EW99" s="29"/>
      <c r="EX99" s="29"/>
      <c r="EY99" s="29"/>
      <c r="EZ99" s="29"/>
      <c r="FA99" s="29"/>
      <c r="FB99" s="29"/>
      <c r="FC99" s="29" t="s">
        <v>184</v>
      </c>
      <c r="FD99" s="29"/>
      <c r="FE99" s="29"/>
      <c r="FF99" s="29"/>
      <c r="FG99" s="29"/>
      <c r="FH99" s="29"/>
      <c r="FI99" s="29"/>
      <c r="FJ99" s="29"/>
      <c r="FK99" s="29"/>
      <c r="FL99" s="29" t="n">
        <v>54000</v>
      </c>
      <c r="FM99" s="29"/>
      <c r="FN99" s="29"/>
      <c r="FO99" s="29"/>
      <c r="FP99" s="29"/>
      <c r="FQ99" s="29" t="n">
        <v>54000</v>
      </c>
      <c r="FR99" s="29"/>
      <c r="FS99" s="29"/>
      <c r="FT99" s="29" t="n">
        <f aca="false">SUM(N99:FS99)</f>
        <v>108000</v>
      </c>
      <c r="FU99" s="27" t="n">
        <f aca="false">SUM(L99-FT99)</f>
        <v>108000</v>
      </c>
      <c r="FV99" s="31" t="n">
        <f aca="false">SUM( H99/5)</f>
        <v>8</v>
      </c>
      <c r="FW99" s="31" t="n">
        <f aca="false">SUM( I99/5)</f>
        <v>8</v>
      </c>
      <c r="FX99" s="32" t="n">
        <f aca="false">SUM(FV99/4)</f>
        <v>2</v>
      </c>
      <c r="FY99" s="32" t="n">
        <f aca="false">SUM(FW99/4)</f>
        <v>2</v>
      </c>
    </row>
    <row r="100" customFormat="false" ht="43.5" hidden="false" customHeight="true" outlineLevel="0" collapsed="false">
      <c r="A100" s="24" t="n">
        <v>3458</v>
      </c>
      <c r="B100" s="34" t="s">
        <v>353</v>
      </c>
      <c r="C100" s="34" t="s">
        <v>354</v>
      </c>
      <c r="D100" s="34" t="n">
        <v>37095915</v>
      </c>
      <c r="E100" s="42" t="n">
        <v>45953</v>
      </c>
      <c r="F100" s="23" t="n">
        <f aca="false">WORKDAY(E100,G100)</f>
        <v>46037</v>
      </c>
      <c r="G100" s="43" t="n">
        <v>60</v>
      </c>
      <c r="H100" s="25" t="n">
        <f aca="false">(FT100* 5)/M100</f>
        <v>20</v>
      </c>
      <c r="I100" s="25" t="n">
        <f aca="false">G100-H100</f>
        <v>40</v>
      </c>
      <c r="J100" s="26" t="s">
        <v>356</v>
      </c>
      <c r="K100" s="59" t="n">
        <v>200000</v>
      </c>
      <c r="L100" s="59" t="n">
        <v>384000</v>
      </c>
      <c r="M100" s="28" t="n">
        <f aca="false">(L100/G100)*5</f>
        <v>32000</v>
      </c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  <c r="BN100" s="40"/>
      <c r="BO100" s="40"/>
      <c r="BP100" s="40"/>
      <c r="BQ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  <c r="CD100" s="40"/>
      <c r="CE100" s="40"/>
      <c r="CF100" s="40"/>
      <c r="CG100" s="40"/>
      <c r="CH100" s="40"/>
      <c r="CI100" s="40"/>
      <c r="CJ100" s="40"/>
      <c r="CK100" s="40"/>
      <c r="CL100" s="40"/>
      <c r="CM100" s="40"/>
      <c r="CN100" s="40"/>
      <c r="CO100" s="40"/>
      <c r="CP100" s="40"/>
      <c r="CQ100" s="40"/>
      <c r="CR100" s="40"/>
      <c r="CS100" s="40"/>
      <c r="CT100" s="40"/>
      <c r="CU100" s="40"/>
      <c r="CV100" s="40"/>
      <c r="CW100" s="40"/>
      <c r="CX100" s="40"/>
      <c r="CY100" s="40"/>
      <c r="CZ100" s="40"/>
      <c r="DA100" s="40"/>
      <c r="DB100" s="40"/>
      <c r="DC100" s="40"/>
      <c r="DD100" s="40"/>
      <c r="DE100" s="40"/>
      <c r="DF100" s="40"/>
      <c r="DG100" s="40"/>
      <c r="DH100" s="40"/>
      <c r="DI100" s="40"/>
      <c r="DJ100" s="40"/>
      <c r="DK100" s="40"/>
      <c r="DL100" s="40"/>
      <c r="DM100" s="40"/>
      <c r="DN100" s="40"/>
      <c r="DO100" s="40"/>
      <c r="DP100" s="40"/>
      <c r="DQ100" s="40"/>
      <c r="DR100" s="40"/>
      <c r="DS100" s="40"/>
      <c r="DT100" s="40"/>
      <c r="DU100" s="40"/>
      <c r="DV100" s="40"/>
      <c r="DW100" s="40"/>
      <c r="DX100" s="40"/>
      <c r="DY100" s="40"/>
      <c r="DZ100" s="40"/>
      <c r="EA100" s="40"/>
      <c r="EB100" s="40"/>
      <c r="EC100" s="40"/>
      <c r="ED100" s="40"/>
      <c r="EE100" s="40"/>
      <c r="EF100" s="40"/>
      <c r="EG100" s="40"/>
      <c r="EH100" s="40"/>
      <c r="EI100" s="40"/>
      <c r="EJ100" s="40"/>
      <c r="EK100" s="40" t="s">
        <v>184</v>
      </c>
      <c r="EL100" s="40"/>
      <c r="EM100" s="40" t="s">
        <v>184</v>
      </c>
      <c r="EN100" s="40" t="s">
        <v>184</v>
      </c>
      <c r="EO100" s="40"/>
      <c r="EP100" s="40"/>
      <c r="EQ100" s="29"/>
      <c r="ER100" s="29"/>
      <c r="ES100" s="29" t="s">
        <v>184</v>
      </c>
      <c r="ET100" s="29"/>
      <c r="EU100" s="29"/>
      <c r="EV100" s="29" t="s">
        <v>184</v>
      </c>
      <c r="EW100" s="29"/>
      <c r="EX100" s="29"/>
      <c r="EY100" s="29"/>
      <c r="EZ100" s="29"/>
      <c r="FA100" s="29"/>
      <c r="FB100" s="29"/>
      <c r="FC100" s="29" t="s">
        <v>184</v>
      </c>
      <c r="FD100" s="29"/>
      <c r="FE100" s="29"/>
      <c r="FF100" s="29"/>
      <c r="FG100" s="29"/>
      <c r="FH100" s="29"/>
      <c r="FI100" s="29"/>
      <c r="FJ100" s="29"/>
      <c r="FK100" s="29"/>
      <c r="FL100" s="29" t="s">
        <v>184</v>
      </c>
      <c r="FM100" s="29"/>
      <c r="FN100" s="29"/>
      <c r="FO100" s="29"/>
      <c r="FP100" s="29"/>
      <c r="FQ100" s="29" t="n">
        <v>128000</v>
      </c>
      <c r="FR100" s="29"/>
      <c r="FS100" s="29"/>
      <c r="FT100" s="29" t="n">
        <f aca="false">SUM(N100:FS100)</f>
        <v>128000</v>
      </c>
      <c r="FU100" s="27" t="n">
        <f aca="false">SUM(L100-FT100)</f>
        <v>256000</v>
      </c>
      <c r="FV100" s="31" t="n">
        <f aca="false">SUM( H100/5)</f>
        <v>4</v>
      </c>
      <c r="FW100" s="31" t="n">
        <f aca="false">SUM( I100/5)</f>
        <v>8</v>
      </c>
      <c r="FX100" s="32" t="n">
        <f aca="false">SUM(FV100/4)</f>
        <v>1</v>
      </c>
      <c r="FY100" s="32" t="n">
        <f aca="false">SUM(FW100/4)</f>
        <v>2</v>
      </c>
    </row>
    <row r="101" customFormat="false" ht="43.5" hidden="false" customHeight="true" outlineLevel="0" collapsed="false">
      <c r="A101" s="24" t="n">
        <v>3344</v>
      </c>
      <c r="B101" s="21" t="s">
        <v>357</v>
      </c>
      <c r="C101" s="21" t="s">
        <v>358</v>
      </c>
      <c r="D101" s="22" t="n">
        <v>13589728</v>
      </c>
      <c r="E101" s="23" t="n">
        <v>45880</v>
      </c>
      <c r="F101" s="23" t="n">
        <f aca="false">WORKDAY(E101,G101)</f>
        <v>46160</v>
      </c>
      <c r="G101" s="24" t="n">
        <v>200</v>
      </c>
      <c r="H101" s="25" t="n">
        <f aca="false">(FT101* 5)/M101</f>
        <v>60.0080128205128</v>
      </c>
      <c r="I101" s="25" t="n">
        <f aca="false">G101-H101</f>
        <v>139.991987179487</v>
      </c>
      <c r="J101" s="26" t="s">
        <v>359</v>
      </c>
      <c r="K101" s="50" t="n">
        <v>800000</v>
      </c>
      <c r="L101" s="27" t="n">
        <v>2496000</v>
      </c>
      <c r="M101" s="28" t="n">
        <f aca="false">(L101/G101)*5</f>
        <v>62400</v>
      </c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/>
      <c r="BL101" s="40"/>
      <c r="BM101" s="40"/>
      <c r="BN101" s="40"/>
      <c r="BO101" s="40"/>
      <c r="BP101" s="40"/>
      <c r="BQ101" s="40"/>
      <c r="BR101" s="40"/>
      <c r="BS101" s="40"/>
      <c r="BT101" s="40"/>
      <c r="BU101" s="40"/>
      <c r="BV101" s="40"/>
      <c r="BW101" s="40"/>
      <c r="BX101" s="40"/>
      <c r="BY101" s="40"/>
      <c r="BZ101" s="40"/>
      <c r="CA101" s="40"/>
      <c r="CB101" s="40"/>
      <c r="CC101" s="40"/>
      <c r="CD101" s="40"/>
      <c r="CE101" s="40"/>
      <c r="CF101" s="4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40"/>
      <c r="DB101" s="40"/>
      <c r="DC101" s="40"/>
      <c r="DD101" s="40"/>
      <c r="DE101" s="40"/>
      <c r="DF101" s="40"/>
      <c r="DG101" s="40"/>
      <c r="DH101" s="40"/>
      <c r="DI101" s="40"/>
      <c r="DJ101" s="40"/>
      <c r="DK101" s="40"/>
      <c r="DL101" s="40"/>
      <c r="DM101" s="40"/>
      <c r="DN101" s="40"/>
      <c r="DO101" s="40"/>
      <c r="DP101" s="40"/>
      <c r="DQ101" s="40"/>
      <c r="DR101" s="40"/>
      <c r="DS101" s="40"/>
      <c r="DT101" s="40"/>
      <c r="DU101" s="40"/>
      <c r="DV101" s="40"/>
      <c r="DW101" s="40"/>
      <c r="DX101" s="40"/>
      <c r="DY101" s="40"/>
      <c r="DZ101" s="40"/>
      <c r="EA101" s="40"/>
      <c r="EB101" s="40"/>
      <c r="EC101" s="40"/>
      <c r="ED101" s="40"/>
      <c r="EE101" s="40"/>
      <c r="EF101" s="40"/>
      <c r="EG101" s="40"/>
      <c r="EH101" s="40"/>
      <c r="EI101" s="40"/>
      <c r="EJ101" s="40"/>
      <c r="EK101" s="40" t="s">
        <v>184</v>
      </c>
      <c r="EL101" s="40"/>
      <c r="EM101" s="40" t="s">
        <v>184</v>
      </c>
      <c r="EN101" s="40" t="s">
        <v>184</v>
      </c>
      <c r="EO101" s="40"/>
      <c r="EP101" s="40"/>
      <c r="EQ101" s="29"/>
      <c r="ER101" s="29"/>
      <c r="ES101" s="29" t="s">
        <v>184</v>
      </c>
      <c r="ET101" s="29"/>
      <c r="EU101" s="29"/>
      <c r="EV101" s="29" t="s">
        <v>184</v>
      </c>
      <c r="EW101" s="29"/>
      <c r="EX101" s="29"/>
      <c r="EY101" s="29"/>
      <c r="EZ101" s="29"/>
      <c r="FA101" s="29"/>
      <c r="FB101" s="29"/>
      <c r="FC101" s="29"/>
      <c r="FD101" s="29"/>
      <c r="FE101" s="29"/>
      <c r="FF101" s="29"/>
      <c r="FG101" s="29"/>
      <c r="FH101" s="29" t="n">
        <v>249700</v>
      </c>
      <c r="FI101" s="29"/>
      <c r="FJ101" s="29"/>
      <c r="FK101" s="29"/>
      <c r="FL101" s="29"/>
      <c r="FM101" s="29" t="n">
        <v>249600</v>
      </c>
      <c r="FN101" s="29"/>
      <c r="FO101" s="29"/>
      <c r="FP101" s="29"/>
      <c r="FQ101" s="29" t="n">
        <v>249600</v>
      </c>
      <c r="FR101" s="29"/>
      <c r="FS101" s="29"/>
      <c r="FT101" s="29" t="n">
        <f aca="false">SUM(N101:FS101)</f>
        <v>748900</v>
      </c>
      <c r="FU101" s="27" t="n">
        <f aca="false">SUM(L101-FT101)</f>
        <v>1747100</v>
      </c>
      <c r="FV101" s="31" t="n">
        <f aca="false">SUM( H101/5)</f>
        <v>12.0016025641026</v>
      </c>
      <c r="FW101" s="31" t="n">
        <f aca="false">SUM( I101/5)</f>
        <v>27.9983974358974</v>
      </c>
      <c r="FX101" s="32" t="n">
        <f aca="false">SUM(FV101/4)</f>
        <v>3.00040064102564</v>
      </c>
      <c r="FY101" s="32" t="n">
        <f aca="false">SUM(FW101/4)</f>
        <v>6.99959935897436</v>
      </c>
    </row>
    <row r="102" customFormat="false" ht="43.5" hidden="false" customHeight="true" outlineLevel="0" collapsed="false">
      <c r="A102" s="24" t="n">
        <v>3478</v>
      </c>
      <c r="B102" s="34" t="s">
        <v>360</v>
      </c>
      <c r="C102" s="34" t="s">
        <v>361</v>
      </c>
      <c r="D102" s="34"/>
      <c r="E102" s="23" t="n">
        <v>45963</v>
      </c>
      <c r="F102" s="23" t="n">
        <f aca="false">WORKDAY(E102,G102)</f>
        <v>46073</v>
      </c>
      <c r="G102" s="37" t="n">
        <v>80</v>
      </c>
      <c r="H102" s="25" t="n">
        <f aca="false">(FT102* 5)/M102</f>
        <v>0</v>
      </c>
      <c r="I102" s="25" t="n">
        <f aca="false">G102-H102</f>
        <v>80</v>
      </c>
      <c r="J102" s="35" t="s">
        <v>362</v>
      </c>
      <c r="K102" s="60" t="n">
        <v>200000</v>
      </c>
      <c r="L102" s="27" t="n">
        <v>432000</v>
      </c>
      <c r="M102" s="28" t="n">
        <f aca="false">(L102/G102)*5</f>
        <v>27000</v>
      </c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/>
      <c r="BL102" s="40"/>
      <c r="BM102" s="40"/>
      <c r="BN102" s="40"/>
      <c r="BO102" s="40"/>
      <c r="BP102" s="40"/>
      <c r="BQ102" s="40"/>
      <c r="BR102" s="40"/>
      <c r="BS102" s="40"/>
      <c r="BT102" s="40"/>
      <c r="BU102" s="40"/>
      <c r="BV102" s="40"/>
      <c r="BW102" s="40"/>
      <c r="BX102" s="40"/>
      <c r="BY102" s="40"/>
      <c r="BZ102" s="40"/>
      <c r="CA102" s="40"/>
      <c r="CB102" s="40"/>
      <c r="CC102" s="40"/>
      <c r="CD102" s="40"/>
      <c r="CE102" s="40"/>
      <c r="CF102" s="40"/>
      <c r="CG102" s="40"/>
      <c r="CH102" s="40"/>
      <c r="CI102" s="40"/>
      <c r="CJ102" s="40"/>
      <c r="CK102" s="40"/>
      <c r="CL102" s="40"/>
      <c r="CM102" s="40"/>
      <c r="CN102" s="40"/>
      <c r="CO102" s="40"/>
      <c r="CP102" s="40"/>
      <c r="CQ102" s="40"/>
      <c r="CR102" s="40"/>
      <c r="CS102" s="40"/>
      <c r="CT102" s="40"/>
      <c r="CU102" s="40"/>
      <c r="CV102" s="40"/>
      <c r="CW102" s="40"/>
      <c r="CX102" s="40"/>
      <c r="CY102" s="40"/>
      <c r="CZ102" s="40"/>
      <c r="DA102" s="40"/>
      <c r="DB102" s="40"/>
      <c r="DC102" s="40"/>
      <c r="DD102" s="40"/>
      <c r="DE102" s="40"/>
      <c r="DF102" s="40"/>
      <c r="DG102" s="40"/>
      <c r="DH102" s="40"/>
      <c r="DI102" s="40"/>
      <c r="DJ102" s="40"/>
      <c r="DK102" s="40"/>
      <c r="DL102" s="40"/>
      <c r="DM102" s="40"/>
      <c r="DN102" s="40"/>
      <c r="DO102" s="40"/>
      <c r="DP102" s="40"/>
      <c r="DQ102" s="40"/>
      <c r="DR102" s="40"/>
      <c r="DS102" s="40"/>
      <c r="DT102" s="40"/>
      <c r="DU102" s="40"/>
      <c r="DV102" s="40"/>
      <c r="DW102" s="40"/>
      <c r="DX102" s="40"/>
      <c r="DY102" s="40"/>
      <c r="DZ102" s="40"/>
      <c r="EA102" s="40"/>
      <c r="EB102" s="40"/>
      <c r="EC102" s="40"/>
      <c r="ED102" s="40"/>
      <c r="EE102" s="40"/>
      <c r="EF102" s="40"/>
      <c r="EG102" s="40"/>
      <c r="EH102" s="40"/>
      <c r="EI102" s="40"/>
      <c r="EJ102" s="40"/>
      <c r="EK102" s="40" t="s">
        <v>184</v>
      </c>
      <c r="EL102" s="40"/>
      <c r="EM102" s="40" t="s">
        <v>184</v>
      </c>
      <c r="EN102" s="40" t="s">
        <v>184</v>
      </c>
      <c r="EO102" s="40"/>
      <c r="EP102" s="40"/>
      <c r="EQ102" s="29"/>
      <c r="ER102" s="29"/>
      <c r="ES102" s="29" t="s">
        <v>184</v>
      </c>
      <c r="ET102" s="29"/>
      <c r="EU102" s="29"/>
      <c r="EV102" s="29" t="s">
        <v>184</v>
      </c>
      <c r="EW102" s="29"/>
      <c r="EX102" s="29"/>
      <c r="EY102" s="29"/>
      <c r="EZ102" s="29"/>
      <c r="FA102" s="29"/>
      <c r="FB102" s="29"/>
      <c r="FC102" s="29" t="s">
        <v>184</v>
      </c>
      <c r="FD102" s="29"/>
      <c r="FE102" s="29"/>
      <c r="FF102" s="29"/>
      <c r="FG102" s="29"/>
      <c r="FH102" s="29"/>
      <c r="FI102" s="29"/>
      <c r="FJ102" s="29"/>
      <c r="FK102" s="29"/>
      <c r="FL102" s="29" t="s">
        <v>184</v>
      </c>
      <c r="FM102" s="29"/>
      <c r="FN102" s="29"/>
      <c r="FO102" s="29"/>
      <c r="FP102" s="29"/>
      <c r="FQ102" s="29"/>
      <c r="FR102" s="29"/>
      <c r="FS102" s="29"/>
      <c r="FT102" s="29" t="n">
        <f aca="false">SUM(N102:FS102)</f>
        <v>0</v>
      </c>
      <c r="FU102" s="27" t="n">
        <f aca="false">SUM(L102-FT102)</f>
        <v>432000</v>
      </c>
      <c r="FV102" s="31" t="n">
        <f aca="false">SUM( H102/5)</f>
        <v>0</v>
      </c>
      <c r="FW102" s="31" t="n">
        <f aca="false">SUM( I102/5)</f>
        <v>16</v>
      </c>
      <c r="FX102" s="32" t="n">
        <f aca="false">SUM(FV102/4)</f>
        <v>0</v>
      </c>
      <c r="FY102" s="32" t="n">
        <f aca="false">SUM(FW102/4)</f>
        <v>4</v>
      </c>
    </row>
    <row r="103" customFormat="false" ht="43.5" hidden="false" customHeight="true" outlineLevel="0" collapsed="false">
      <c r="A103" s="61" t="n">
        <v>3508</v>
      </c>
      <c r="B103" s="22" t="s">
        <v>363</v>
      </c>
      <c r="C103" s="22"/>
      <c r="D103" s="22"/>
      <c r="E103" s="23" t="n">
        <v>45982</v>
      </c>
      <c r="F103" s="23" t="n">
        <f aca="false">WORKDAY(E103,G103)</f>
        <v>45989</v>
      </c>
      <c r="G103" s="24" t="n">
        <v>5</v>
      </c>
      <c r="H103" s="25" t="e">
        <f aca="false">(FT103* 5)/M103</f>
        <v>#DIV/0!</v>
      </c>
      <c r="I103" s="25" t="e">
        <f aca="false">G103-H103</f>
        <v>#DIV/0!</v>
      </c>
      <c r="J103" s="22" t="s">
        <v>199</v>
      </c>
      <c r="K103" s="50" t="n">
        <v>200000</v>
      </c>
      <c r="L103" s="27" t="n">
        <v>260000</v>
      </c>
      <c r="M103" s="28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0"/>
      <c r="BV103" s="40"/>
      <c r="BW103" s="40"/>
      <c r="BX103" s="40"/>
      <c r="BY103" s="40"/>
      <c r="BZ103" s="40"/>
      <c r="CA103" s="40"/>
      <c r="CB103" s="40"/>
      <c r="CC103" s="40"/>
      <c r="CD103" s="40"/>
      <c r="CE103" s="40"/>
      <c r="CF103" s="40"/>
      <c r="CG103" s="40"/>
      <c r="CH103" s="40"/>
      <c r="CI103" s="40"/>
      <c r="CJ103" s="40"/>
      <c r="CK103" s="40"/>
      <c r="CL103" s="40"/>
      <c r="CM103" s="40"/>
      <c r="CN103" s="40"/>
      <c r="CO103" s="40"/>
      <c r="CP103" s="40"/>
      <c r="CQ103" s="40"/>
      <c r="CR103" s="40"/>
      <c r="CS103" s="40"/>
      <c r="CT103" s="40"/>
      <c r="CU103" s="40"/>
      <c r="CV103" s="40"/>
      <c r="CW103" s="40"/>
      <c r="CX103" s="40"/>
      <c r="CY103" s="40"/>
      <c r="CZ103" s="40"/>
      <c r="DA103" s="40"/>
      <c r="DB103" s="40"/>
      <c r="DC103" s="40"/>
      <c r="DD103" s="40"/>
      <c r="DE103" s="40"/>
      <c r="DF103" s="40"/>
      <c r="DG103" s="40"/>
      <c r="DH103" s="40"/>
      <c r="DI103" s="40"/>
      <c r="DJ103" s="40"/>
      <c r="DK103" s="40"/>
      <c r="DL103" s="40"/>
      <c r="DM103" s="40"/>
      <c r="DN103" s="40"/>
      <c r="DO103" s="40"/>
      <c r="DP103" s="40"/>
      <c r="DQ103" s="40"/>
      <c r="DR103" s="40"/>
      <c r="DS103" s="40"/>
      <c r="DT103" s="40"/>
      <c r="DU103" s="40"/>
      <c r="DV103" s="40"/>
      <c r="DW103" s="40"/>
      <c r="DX103" s="40"/>
      <c r="DY103" s="40"/>
      <c r="DZ103" s="40"/>
      <c r="EA103" s="40"/>
      <c r="EB103" s="40"/>
      <c r="EC103" s="40"/>
      <c r="ED103" s="40"/>
      <c r="EE103" s="40"/>
      <c r="EF103" s="40"/>
      <c r="EG103" s="40"/>
      <c r="EH103" s="40"/>
      <c r="EI103" s="40"/>
      <c r="EJ103" s="40"/>
      <c r="EK103" s="40" t="s">
        <v>184</v>
      </c>
      <c r="EL103" s="40"/>
      <c r="EM103" s="40" t="s">
        <v>184</v>
      </c>
      <c r="EN103" s="40" t="s">
        <v>184</v>
      </c>
      <c r="EO103" s="40"/>
      <c r="EP103" s="40"/>
      <c r="EQ103" s="29"/>
      <c r="ER103" s="29"/>
      <c r="ES103" s="29" t="s">
        <v>184</v>
      </c>
      <c r="ET103" s="29"/>
      <c r="EU103" s="29"/>
      <c r="EV103" s="29" t="s">
        <v>184</v>
      </c>
      <c r="EW103" s="29"/>
      <c r="EX103" s="29"/>
      <c r="EY103" s="29"/>
      <c r="EZ103" s="29"/>
      <c r="FA103" s="29"/>
      <c r="FB103" s="29"/>
      <c r="FC103" s="29" t="s">
        <v>184</v>
      </c>
      <c r="FD103" s="29"/>
      <c r="FE103" s="29"/>
      <c r="FF103" s="29"/>
      <c r="FG103" s="29"/>
      <c r="FH103" s="29"/>
      <c r="FI103" s="29"/>
      <c r="FJ103" s="29"/>
      <c r="FK103" s="29"/>
      <c r="FL103" s="29" t="s">
        <v>184</v>
      </c>
      <c r="FM103" s="29"/>
      <c r="FN103" s="29"/>
      <c r="FO103" s="29"/>
      <c r="FP103" s="29"/>
      <c r="FQ103" s="29"/>
      <c r="FR103" s="29"/>
      <c r="FS103" s="29"/>
      <c r="FT103" s="29" t="n">
        <f aca="false">SUM(N103:FS103)</f>
        <v>0</v>
      </c>
      <c r="FU103" s="27" t="n">
        <f aca="false">SUM(L103-FT103)</f>
        <v>260000</v>
      </c>
      <c r="FV103" s="31" t="e">
        <f aca="false">SUM( H103/5)</f>
        <v>#DIV/0!</v>
      </c>
      <c r="FW103" s="31" t="e">
        <f aca="false">SUM( I103/5)</f>
        <v>#DIV/0!</v>
      </c>
      <c r="FX103" s="32" t="e">
        <f aca="false">SUM(FV103/4)</f>
        <v>#DIV/0!</v>
      </c>
      <c r="FY103" s="32" t="e">
        <f aca="false">SUM(FW103/4)</f>
        <v>#DIV/0!</v>
      </c>
    </row>
    <row r="104" customFormat="false" ht="43.5" hidden="false" customHeight="true" outlineLevel="0" collapsed="false">
      <c r="A104" s="24" t="n">
        <v>3200</v>
      </c>
      <c r="B104" s="21" t="s">
        <v>364</v>
      </c>
      <c r="C104" s="21" t="s">
        <v>365</v>
      </c>
      <c r="D104" s="22"/>
      <c r="E104" s="23" t="n">
        <v>45794</v>
      </c>
      <c r="F104" s="23" t="n">
        <f aca="false">WORKDAY(E104,G104)</f>
        <v>45961</v>
      </c>
      <c r="G104" s="24" t="n">
        <v>120</v>
      </c>
      <c r="H104" s="25" t="n">
        <f aca="false">(FT104* 5)/M104</f>
        <v>102.727272727273</v>
      </c>
      <c r="I104" s="25" t="n">
        <f aca="false">G104-H104</f>
        <v>17.2727272727273</v>
      </c>
      <c r="J104" s="62" t="s">
        <v>366</v>
      </c>
      <c r="K104" s="30" t="n">
        <v>120000</v>
      </c>
      <c r="L104" s="30" t="n">
        <v>316800</v>
      </c>
      <c r="M104" s="28" t="n">
        <f aca="false">(L104/G104)*5</f>
        <v>13200</v>
      </c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0"/>
      <c r="BV104" s="40"/>
      <c r="BW104" s="40"/>
      <c r="BX104" s="40"/>
      <c r="BY104" s="40"/>
      <c r="BZ104" s="40"/>
      <c r="CA104" s="40"/>
      <c r="CB104" s="40"/>
      <c r="CC104" s="40"/>
      <c r="CD104" s="40"/>
      <c r="CE104" s="40"/>
      <c r="CF104" s="40"/>
      <c r="CG104" s="40"/>
      <c r="CH104" s="40"/>
      <c r="CI104" s="40"/>
      <c r="CJ104" s="40"/>
      <c r="CK104" s="40"/>
      <c r="CL104" s="40"/>
      <c r="CM104" s="40"/>
      <c r="CN104" s="40"/>
      <c r="CO104" s="40"/>
      <c r="CP104" s="40"/>
      <c r="CQ104" s="40"/>
      <c r="CR104" s="40"/>
      <c r="CS104" s="40"/>
      <c r="CT104" s="40"/>
      <c r="CU104" s="40"/>
      <c r="CV104" s="40"/>
      <c r="CW104" s="40"/>
      <c r="CX104" s="40"/>
      <c r="CY104" s="40"/>
      <c r="CZ104" s="40"/>
      <c r="DA104" s="40"/>
      <c r="DB104" s="40"/>
      <c r="DC104" s="40"/>
      <c r="DD104" s="40"/>
      <c r="DE104" s="40"/>
      <c r="DF104" s="40"/>
      <c r="DG104" s="40"/>
      <c r="DH104" s="40"/>
      <c r="DI104" s="40"/>
      <c r="DJ104" s="40"/>
      <c r="DK104" s="40"/>
      <c r="DL104" s="40"/>
      <c r="DM104" s="40"/>
      <c r="DN104" s="40"/>
      <c r="DO104" s="40"/>
      <c r="DP104" s="40"/>
      <c r="DQ104" s="40"/>
      <c r="DR104" s="40"/>
      <c r="DS104" s="40"/>
      <c r="DT104" s="40"/>
      <c r="DU104" s="40"/>
      <c r="DV104" s="40"/>
      <c r="DW104" s="40"/>
      <c r="DX104" s="40"/>
      <c r="DY104" s="40"/>
      <c r="DZ104" s="40"/>
      <c r="EA104" s="40"/>
      <c r="EB104" s="40"/>
      <c r="EC104" s="40"/>
      <c r="ED104" s="40"/>
      <c r="EE104" s="40"/>
      <c r="EF104" s="40"/>
      <c r="EG104" s="40"/>
      <c r="EH104" s="40"/>
      <c r="EI104" s="40"/>
      <c r="EJ104" s="40"/>
      <c r="EK104" s="40" t="s">
        <v>184</v>
      </c>
      <c r="EL104" s="40"/>
      <c r="EM104" s="40" t="s">
        <v>184</v>
      </c>
      <c r="EN104" s="40" t="s">
        <v>184</v>
      </c>
      <c r="EO104" s="40"/>
      <c r="EP104" s="40"/>
      <c r="EQ104" s="29"/>
      <c r="ER104" s="29"/>
      <c r="ES104" s="29"/>
      <c r="ET104" s="29" t="n">
        <v>8000</v>
      </c>
      <c r="EU104" s="29"/>
      <c r="EV104" s="29"/>
      <c r="EW104" s="29"/>
      <c r="EX104" s="29" t="n">
        <v>52800</v>
      </c>
      <c r="EY104" s="29"/>
      <c r="EZ104" s="29"/>
      <c r="FA104" s="29"/>
      <c r="FB104" s="29" t="n">
        <v>52800</v>
      </c>
      <c r="FC104" s="29"/>
      <c r="FD104" s="29"/>
      <c r="FE104" s="29"/>
      <c r="FF104" s="29"/>
      <c r="FG104" s="29" t="n">
        <v>52800</v>
      </c>
      <c r="FH104" s="29"/>
      <c r="FI104" s="29"/>
      <c r="FJ104" s="29"/>
      <c r="FK104" s="29" t="n">
        <v>52800</v>
      </c>
      <c r="FL104" s="29"/>
      <c r="FM104" s="29"/>
      <c r="FN104" s="29"/>
      <c r="FO104" s="29"/>
      <c r="FP104" s="29" t="n">
        <v>52000</v>
      </c>
      <c r="FQ104" s="29"/>
      <c r="FR104" s="29"/>
      <c r="FS104" s="29"/>
      <c r="FT104" s="29" t="n">
        <f aca="false">SUM(N104:FS104)</f>
        <v>271200</v>
      </c>
      <c r="FU104" s="27" t="n">
        <f aca="false">SUM(L104-FT104)</f>
        <v>45600</v>
      </c>
      <c r="FV104" s="31" t="n">
        <f aca="false">SUM( H104/5)</f>
        <v>20.5454545454545</v>
      </c>
      <c r="FW104" s="31" t="n">
        <f aca="false">SUM( I104/5)</f>
        <v>3.45454545454545</v>
      </c>
      <c r="FX104" s="32" t="n">
        <f aca="false">SUM(FV104/4)</f>
        <v>5.13636363636364</v>
      </c>
      <c r="FY104" s="32" t="n">
        <f aca="false">SUM(FW104/4)</f>
        <v>0.863636363636363</v>
      </c>
    </row>
    <row r="105" customFormat="false" ht="43.5" hidden="false" customHeight="true" outlineLevel="0" collapsed="false">
      <c r="A105" s="24" t="n">
        <v>3253</v>
      </c>
      <c r="B105" s="21" t="s">
        <v>364</v>
      </c>
      <c r="C105" s="21" t="s">
        <v>365</v>
      </c>
      <c r="D105" s="22"/>
      <c r="E105" s="23" t="n">
        <v>45828</v>
      </c>
      <c r="F105" s="23" t="n">
        <f aca="false">WORKDAY(E105,G105)</f>
        <v>45996</v>
      </c>
      <c r="G105" s="24" t="n">
        <v>120</v>
      </c>
      <c r="H105" s="25" t="n">
        <f aca="false">(FT105* 5)/M105</f>
        <v>100</v>
      </c>
      <c r="I105" s="25" t="n">
        <f aca="false">G105-H105</f>
        <v>20</v>
      </c>
      <c r="J105" s="62" t="s">
        <v>367</v>
      </c>
      <c r="K105" s="50" t="n">
        <v>100000</v>
      </c>
      <c r="L105" s="27" t="n">
        <v>264000</v>
      </c>
      <c r="M105" s="28" t="n">
        <f aca="false">(L105/G105)*5</f>
        <v>11000</v>
      </c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/>
      <c r="BL105" s="40"/>
      <c r="BM105" s="40"/>
      <c r="BN105" s="40"/>
      <c r="BO105" s="40"/>
      <c r="BP105" s="40"/>
      <c r="BQ105" s="40"/>
      <c r="BR105" s="40"/>
      <c r="BS105" s="40"/>
      <c r="BT105" s="40"/>
      <c r="BU105" s="40"/>
      <c r="BV105" s="40"/>
      <c r="BW105" s="40"/>
      <c r="BX105" s="40"/>
      <c r="BY105" s="40"/>
      <c r="BZ105" s="40"/>
      <c r="CA105" s="40"/>
      <c r="CB105" s="40"/>
      <c r="CC105" s="40"/>
      <c r="CD105" s="40"/>
      <c r="CE105" s="40"/>
      <c r="CF105" s="40"/>
      <c r="CG105" s="40"/>
      <c r="CH105" s="40"/>
      <c r="CI105" s="40"/>
      <c r="CJ105" s="40"/>
      <c r="CK105" s="40"/>
      <c r="CL105" s="40"/>
      <c r="CM105" s="40"/>
      <c r="CN105" s="40"/>
      <c r="CO105" s="40"/>
      <c r="CP105" s="40"/>
      <c r="CQ105" s="40"/>
      <c r="CR105" s="40"/>
      <c r="CS105" s="40"/>
      <c r="CT105" s="40"/>
      <c r="CU105" s="40"/>
      <c r="CV105" s="40"/>
      <c r="CW105" s="40"/>
      <c r="CX105" s="40"/>
      <c r="CY105" s="40"/>
      <c r="CZ105" s="40"/>
      <c r="DA105" s="40"/>
      <c r="DB105" s="40"/>
      <c r="DC105" s="40"/>
      <c r="DD105" s="40"/>
      <c r="DE105" s="40"/>
      <c r="DF105" s="40"/>
      <c r="DG105" s="40"/>
      <c r="DH105" s="40"/>
      <c r="DI105" s="40"/>
      <c r="DJ105" s="40"/>
      <c r="DK105" s="40"/>
      <c r="DL105" s="40"/>
      <c r="DM105" s="40"/>
      <c r="DN105" s="40"/>
      <c r="DO105" s="40"/>
      <c r="DP105" s="40"/>
      <c r="DQ105" s="40"/>
      <c r="DR105" s="40"/>
      <c r="DS105" s="40"/>
      <c r="DT105" s="40"/>
      <c r="DU105" s="40"/>
      <c r="DV105" s="40"/>
      <c r="DW105" s="40"/>
      <c r="DX105" s="40"/>
      <c r="DY105" s="40"/>
      <c r="DZ105" s="40"/>
      <c r="EA105" s="40"/>
      <c r="EB105" s="40"/>
      <c r="EC105" s="40"/>
      <c r="ED105" s="40"/>
      <c r="EE105" s="40"/>
      <c r="EF105" s="40"/>
      <c r="EG105" s="40"/>
      <c r="EH105" s="40"/>
      <c r="EI105" s="40"/>
      <c r="EJ105" s="40"/>
      <c r="EK105" s="40" t="s">
        <v>184</v>
      </c>
      <c r="EL105" s="40"/>
      <c r="EM105" s="40" t="s">
        <v>184</v>
      </c>
      <c r="EN105" s="40" t="s">
        <v>184</v>
      </c>
      <c r="EO105" s="40"/>
      <c r="EP105" s="40"/>
      <c r="EQ105" s="29"/>
      <c r="ER105" s="29"/>
      <c r="ES105" s="29" t="s">
        <v>184</v>
      </c>
      <c r="ET105" s="29"/>
      <c r="EU105" s="29"/>
      <c r="EV105" s="29"/>
      <c r="EW105" s="29"/>
      <c r="EX105" s="29" t="n">
        <v>44000</v>
      </c>
      <c r="EY105" s="29"/>
      <c r="EZ105" s="29"/>
      <c r="FA105" s="29"/>
      <c r="FB105" s="29" t="n">
        <v>44000</v>
      </c>
      <c r="FC105" s="29"/>
      <c r="FD105" s="29"/>
      <c r="FE105" s="29"/>
      <c r="FF105" s="29"/>
      <c r="FG105" s="29" t="n">
        <v>44000</v>
      </c>
      <c r="FH105" s="29"/>
      <c r="FI105" s="29"/>
      <c r="FJ105" s="29"/>
      <c r="FK105" s="29" t="n">
        <v>44000</v>
      </c>
      <c r="FL105" s="29"/>
      <c r="FM105" s="29"/>
      <c r="FN105" s="29"/>
      <c r="FO105" s="29"/>
      <c r="FP105" s="29" t="n">
        <v>44000</v>
      </c>
      <c r="FQ105" s="29"/>
      <c r="FR105" s="29"/>
      <c r="FS105" s="29"/>
      <c r="FT105" s="29" t="n">
        <f aca="false">SUM(N105:FS105)</f>
        <v>220000</v>
      </c>
      <c r="FU105" s="27" t="n">
        <f aca="false">SUM(L105-FT105)</f>
        <v>44000</v>
      </c>
      <c r="FV105" s="31" t="n">
        <f aca="false">SUM( H105/5)</f>
        <v>20</v>
      </c>
      <c r="FW105" s="31" t="n">
        <f aca="false">SUM( I105/5)</f>
        <v>4</v>
      </c>
      <c r="FX105" s="32" t="n">
        <f aca="false">SUM(FV105/4)</f>
        <v>5</v>
      </c>
      <c r="FY105" s="32" t="n">
        <f aca="false">SUM(FW105/4)</f>
        <v>1</v>
      </c>
    </row>
    <row r="106" customFormat="false" ht="43.5" hidden="false" customHeight="true" outlineLevel="0" collapsed="false">
      <c r="A106" s="24" t="n">
        <v>3312</v>
      </c>
      <c r="B106" s="21" t="s">
        <v>364</v>
      </c>
      <c r="C106" s="21" t="s">
        <v>365</v>
      </c>
      <c r="D106" s="22"/>
      <c r="E106" s="23" t="n">
        <v>45862</v>
      </c>
      <c r="F106" s="23" t="n">
        <f aca="false">WORKDAY(E106,G106)</f>
        <v>46030</v>
      </c>
      <c r="G106" s="24" t="n">
        <v>120</v>
      </c>
      <c r="H106" s="25" t="n">
        <f aca="false">(FT106* 5)/M106</f>
        <v>80</v>
      </c>
      <c r="I106" s="25" t="n">
        <f aca="false">G106-H106</f>
        <v>40</v>
      </c>
      <c r="J106" s="62" t="s">
        <v>367</v>
      </c>
      <c r="K106" s="27" t="n">
        <v>100000</v>
      </c>
      <c r="L106" s="27" t="n">
        <v>264000</v>
      </c>
      <c r="M106" s="28" t="n">
        <f aca="false">(L106/G106)*5</f>
        <v>11000</v>
      </c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/>
      <c r="BL106" s="40"/>
      <c r="BM106" s="40"/>
      <c r="BN106" s="40"/>
      <c r="BO106" s="40"/>
      <c r="BP106" s="40"/>
      <c r="BQ106" s="40"/>
      <c r="BR106" s="40"/>
      <c r="BS106" s="40"/>
      <c r="BT106" s="40"/>
      <c r="BU106" s="40"/>
      <c r="BV106" s="40"/>
      <c r="BW106" s="40"/>
      <c r="BX106" s="40"/>
      <c r="BY106" s="40"/>
      <c r="BZ106" s="40"/>
      <c r="CA106" s="40"/>
      <c r="CB106" s="40"/>
      <c r="CC106" s="40"/>
      <c r="CD106" s="40"/>
      <c r="CE106" s="40"/>
      <c r="CF106" s="40"/>
      <c r="CG106" s="40"/>
      <c r="CH106" s="40"/>
      <c r="CI106" s="40"/>
      <c r="CJ106" s="40"/>
      <c r="CK106" s="40"/>
      <c r="CL106" s="40"/>
      <c r="CM106" s="40"/>
      <c r="CN106" s="40"/>
      <c r="CO106" s="40"/>
      <c r="CP106" s="40"/>
      <c r="CQ106" s="40"/>
      <c r="CR106" s="40"/>
      <c r="CS106" s="40"/>
      <c r="CT106" s="40"/>
      <c r="CU106" s="40"/>
      <c r="CV106" s="40"/>
      <c r="CW106" s="40"/>
      <c r="CX106" s="40"/>
      <c r="CY106" s="40"/>
      <c r="CZ106" s="40"/>
      <c r="DA106" s="40"/>
      <c r="DB106" s="40"/>
      <c r="DC106" s="40"/>
      <c r="DD106" s="40"/>
      <c r="DE106" s="40"/>
      <c r="DF106" s="40"/>
      <c r="DG106" s="40"/>
      <c r="DH106" s="40"/>
      <c r="DI106" s="40"/>
      <c r="DJ106" s="40"/>
      <c r="DK106" s="40"/>
      <c r="DL106" s="40"/>
      <c r="DM106" s="40"/>
      <c r="DN106" s="40"/>
      <c r="DO106" s="40"/>
      <c r="DP106" s="40"/>
      <c r="DQ106" s="40"/>
      <c r="DR106" s="40"/>
      <c r="DS106" s="40"/>
      <c r="DT106" s="40"/>
      <c r="DU106" s="40"/>
      <c r="DV106" s="40"/>
      <c r="DW106" s="40"/>
      <c r="DX106" s="40"/>
      <c r="DY106" s="40"/>
      <c r="DZ106" s="40"/>
      <c r="EA106" s="40"/>
      <c r="EB106" s="40"/>
      <c r="EC106" s="40"/>
      <c r="ED106" s="40"/>
      <c r="EE106" s="40"/>
      <c r="EF106" s="40"/>
      <c r="EG106" s="40"/>
      <c r="EH106" s="40"/>
      <c r="EI106" s="40"/>
      <c r="EJ106" s="40"/>
      <c r="EK106" s="40" t="s">
        <v>184</v>
      </c>
      <c r="EL106" s="40"/>
      <c r="EM106" s="40" t="s">
        <v>184</v>
      </c>
      <c r="EN106" s="40" t="s">
        <v>184</v>
      </c>
      <c r="EO106" s="40"/>
      <c r="EP106" s="40"/>
      <c r="EQ106" s="29"/>
      <c r="ER106" s="29"/>
      <c r="ES106" s="29" t="s">
        <v>184</v>
      </c>
      <c r="ET106" s="29"/>
      <c r="EU106" s="29"/>
      <c r="EV106" s="29" t="s">
        <v>184</v>
      </c>
      <c r="EW106" s="29"/>
      <c r="EX106" s="29"/>
      <c r="EY106" s="29"/>
      <c r="EZ106" s="29"/>
      <c r="FA106" s="29"/>
      <c r="FB106" s="29" t="n">
        <v>44000</v>
      </c>
      <c r="FC106" s="29"/>
      <c r="FD106" s="29"/>
      <c r="FE106" s="29"/>
      <c r="FF106" s="29"/>
      <c r="FG106" s="29" t="n">
        <v>44000</v>
      </c>
      <c r="FH106" s="29"/>
      <c r="FI106" s="29"/>
      <c r="FJ106" s="29"/>
      <c r="FK106" s="29" t="n">
        <v>44000</v>
      </c>
      <c r="FL106" s="29"/>
      <c r="FM106" s="29"/>
      <c r="FN106" s="29"/>
      <c r="FO106" s="29"/>
      <c r="FP106" s="29" t="n">
        <v>44000</v>
      </c>
      <c r="FQ106" s="29"/>
      <c r="FR106" s="29"/>
      <c r="FS106" s="29"/>
      <c r="FT106" s="29" t="n">
        <f aca="false">SUM(N106:FS106)</f>
        <v>176000</v>
      </c>
      <c r="FU106" s="27" t="n">
        <f aca="false">SUM(L106-FT106)</f>
        <v>88000</v>
      </c>
      <c r="FV106" s="31" t="n">
        <f aca="false">SUM( H106/5)</f>
        <v>16</v>
      </c>
      <c r="FW106" s="31" t="n">
        <f aca="false">SUM( I106/5)</f>
        <v>8</v>
      </c>
      <c r="FX106" s="32" t="n">
        <f aca="false">SUM(FV106/4)</f>
        <v>4</v>
      </c>
      <c r="FY106" s="32" t="n">
        <f aca="false">SUM(FW106/4)</f>
        <v>2</v>
      </c>
    </row>
    <row r="107" customFormat="false" ht="43.5" hidden="false" customHeight="true" outlineLevel="0" collapsed="false">
      <c r="A107" s="24" t="n">
        <v>3348</v>
      </c>
      <c r="B107" s="21" t="s">
        <v>364</v>
      </c>
      <c r="C107" s="21" t="s">
        <v>365</v>
      </c>
      <c r="D107" s="22"/>
      <c r="E107" s="23" t="n">
        <v>45884</v>
      </c>
      <c r="F107" s="23" t="n">
        <f aca="false">WORKDAY(E107,G107)</f>
        <v>46108</v>
      </c>
      <c r="G107" s="24" t="n">
        <v>160</v>
      </c>
      <c r="H107" s="25" t="n">
        <f aca="false">(FT107* 5)/M107</f>
        <v>60</v>
      </c>
      <c r="I107" s="25" t="n">
        <f aca="false">G107-H107</f>
        <v>100</v>
      </c>
      <c r="J107" s="62" t="s">
        <v>368</v>
      </c>
      <c r="K107" s="50" t="n">
        <v>150000</v>
      </c>
      <c r="L107" s="27" t="n">
        <v>352000</v>
      </c>
      <c r="M107" s="28" t="n">
        <f aca="false">(L107/G107)*5</f>
        <v>11000</v>
      </c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/>
      <c r="BL107" s="40"/>
      <c r="BM107" s="40"/>
      <c r="BN107" s="40"/>
      <c r="BO107" s="40"/>
      <c r="BP107" s="40"/>
      <c r="BQ107" s="40"/>
      <c r="BR107" s="40"/>
      <c r="BS107" s="40"/>
      <c r="BT107" s="40"/>
      <c r="BU107" s="40"/>
      <c r="BV107" s="40"/>
      <c r="BW107" s="40"/>
      <c r="BX107" s="40"/>
      <c r="BY107" s="40"/>
      <c r="BZ107" s="40"/>
      <c r="CA107" s="40"/>
      <c r="CB107" s="40"/>
      <c r="CC107" s="40"/>
      <c r="CD107" s="40"/>
      <c r="CE107" s="40"/>
      <c r="CF107" s="40"/>
      <c r="CG107" s="40"/>
      <c r="CH107" s="40"/>
      <c r="CI107" s="40"/>
      <c r="CJ107" s="40"/>
      <c r="CK107" s="40"/>
      <c r="CL107" s="40"/>
      <c r="CM107" s="40"/>
      <c r="CN107" s="40"/>
      <c r="CO107" s="40"/>
      <c r="CP107" s="40"/>
      <c r="CQ107" s="40"/>
      <c r="CR107" s="40"/>
      <c r="CS107" s="40"/>
      <c r="CT107" s="40"/>
      <c r="CU107" s="40"/>
      <c r="CV107" s="40"/>
      <c r="CW107" s="40"/>
      <c r="CX107" s="40"/>
      <c r="CY107" s="40"/>
      <c r="CZ107" s="40"/>
      <c r="DA107" s="40"/>
      <c r="DB107" s="40"/>
      <c r="DC107" s="40"/>
      <c r="DD107" s="40"/>
      <c r="DE107" s="40"/>
      <c r="DF107" s="40"/>
      <c r="DG107" s="40"/>
      <c r="DH107" s="40"/>
      <c r="DI107" s="40"/>
      <c r="DJ107" s="40"/>
      <c r="DK107" s="40"/>
      <c r="DL107" s="40"/>
      <c r="DM107" s="40"/>
      <c r="DN107" s="40"/>
      <c r="DO107" s="40"/>
      <c r="DP107" s="40"/>
      <c r="DQ107" s="40"/>
      <c r="DR107" s="40"/>
      <c r="DS107" s="40"/>
      <c r="DT107" s="40"/>
      <c r="DU107" s="40"/>
      <c r="DV107" s="40"/>
      <c r="DW107" s="40"/>
      <c r="DX107" s="40"/>
      <c r="DY107" s="40"/>
      <c r="DZ107" s="40"/>
      <c r="EA107" s="40"/>
      <c r="EB107" s="40"/>
      <c r="EC107" s="40"/>
      <c r="ED107" s="40"/>
      <c r="EE107" s="40"/>
      <c r="EF107" s="40"/>
      <c r="EG107" s="40"/>
      <c r="EH107" s="40"/>
      <c r="EI107" s="40"/>
      <c r="EJ107" s="40"/>
      <c r="EK107" s="40" t="s">
        <v>184</v>
      </c>
      <c r="EL107" s="40"/>
      <c r="EM107" s="40" t="s">
        <v>184</v>
      </c>
      <c r="EN107" s="40" t="s">
        <v>184</v>
      </c>
      <c r="EO107" s="40"/>
      <c r="EP107" s="40"/>
      <c r="EQ107" s="29"/>
      <c r="ER107" s="29"/>
      <c r="ES107" s="29" t="s">
        <v>184</v>
      </c>
      <c r="ET107" s="29"/>
      <c r="EU107" s="29"/>
      <c r="EV107" s="29" t="s">
        <v>184</v>
      </c>
      <c r="EW107" s="29"/>
      <c r="EX107" s="29"/>
      <c r="EY107" s="29"/>
      <c r="EZ107" s="29"/>
      <c r="FA107" s="29"/>
      <c r="FB107" s="29"/>
      <c r="FC107" s="29"/>
      <c r="FD107" s="29"/>
      <c r="FE107" s="29"/>
      <c r="FF107" s="29"/>
      <c r="FG107" s="29" t="n">
        <v>44000</v>
      </c>
      <c r="FH107" s="29"/>
      <c r="FI107" s="29"/>
      <c r="FJ107" s="29"/>
      <c r="FK107" s="29" t="n">
        <v>44000</v>
      </c>
      <c r="FL107" s="29"/>
      <c r="FM107" s="29"/>
      <c r="FN107" s="29"/>
      <c r="FO107" s="29"/>
      <c r="FP107" s="29" t="n">
        <v>44000</v>
      </c>
      <c r="FQ107" s="29"/>
      <c r="FR107" s="29"/>
      <c r="FS107" s="29"/>
      <c r="FT107" s="29" t="n">
        <f aca="false">SUM(N107:FS107)</f>
        <v>132000</v>
      </c>
      <c r="FU107" s="27" t="n">
        <f aca="false">SUM(L107-FT107)</f>
        <v>220000</v>
      </c>
      <c r="FV107" s="31" t="n">
        <f aca="false">SUM( H107/5)</f>
        <v>12</v>
      </c>
      <c r="FW107" s="31" t="n">
        <f aca="false">SUM( I107/5)</f>
        <v>20</v>
      </c>
      <c r="FX107" s="32" t="n">
        <f aca="false">SUM(FV107/4)</f>
        <v>3</v>
      </c>
      <c r="FY107" s="32" t="n">
        <f aca="false">SUM(FW107/4)</f>
        <v>5</v>
      </c>
    </row>
    <row r="108" customFormat="false" ht="43.5" hidden="false" customHeight="true" outlineLevel="0" collapsed="false">
      <c r="A108" s="24" t="n">
        <v>3407</v>
      </c>
      <c r="B108" s="21" t="s">
        <v>364</v>
      </c>
      <c r="C108" s="21" t="s">
        <v>365</v>
      </c>
      <c r="D108" s="22"/>
      <c r="E108" s="23" t="n">
        <v>45920</v>
      </c>
      <c r="F108" s="23" t="n">
        <f aca="false">WORKDAY(E108,G108)</f>
        <v>46143</v>
      </c>
      <c r="G108" s="24" t="n">
        <v>160</v>
      </c>
      <c r="H108" s="25" t="n">
        <f aca="false">(FT108* 5)/M108</f>
        <v>29.2592592592593</v>
      </c>
      <c r="I108" s="25" t="n">
        <f aca="false">G108-H108</f>
        <v>130.740740740741</v>
      </c>
      <c r="J108" s="62" t="s">
        <v>369</v>
      </c>
      <c r="K108" s="55" t="n">
        <v>300000</v>
      </c>
      <c r="L108" s="30" t="n">
        <v>864000</v>
      </c>
      <c r="M108" s="28" t="n">
        <f aca="false">(L108/G108)*5</f>
        <v>27000</v>
      </c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0"/>
      <c r="BO108" s="40"/>
      <c r="BP108" s="40"/>
      <c r="BQ108" s="40"/>
      <c r="BR108" s="40"/>
      <c r="BS108" s="40"/>
      <c r="BT108" s="40"/>
      <c r="BU108" s="40"/>
      <c r="BV108" s="40"/>
      <c r="BW108" s="40"/>
      <c r="BX108" s="40"/>
      <c r="BY108" s="40"/>
      <c r="BZ108" s="40"/>
      <c r="CA108" s="40"/>
      <c r="CB108" s="40"/>
      <c r="CC108" s="40"/>
      <c r="CD108" s="40"/>
      <c r="CE108" s="40"/>
      <c r="CF108" s="40"/>
      <c r="CG108" s="40"/>
      <c r="CH108" s="40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  <c r="CW108" s="40"/>
      <c r="CX108" s="40"/>
      <c r="CY108" s="40"/>
      <c r="CZ108" s="40"/>
      <c r="DA108" s="40"/>
      <c r="DB108" s="40"/>
      <c r="DC108" s="40"/>
      <c r="DD108" s="40"/>
      <c r="DE108" s="40"/>
      <c r="DF108" s="40"/>
      <c r="DG108" s="40"/>
      <c r="DH108" s="40"/>
      <c r="DI108" s="40"/>
      <c r="DJ108" s="40"/>
      <c r="DK108" s="40"/>
      <c r="DL108" s="40"/>
      <c r="DM108" s="40"/>
      <c r="DN108" s="40"/>
      <c r="DO108" s="40"/>
      <c r="DP108" s="40"/>
      <c r="DQ108" s="40"/>
      <c r="DR108" s="40"/>
      <c r="DS108" s="40"/>
      <c r="DT108" s="40"/>
      <c r="DU108" s="40"/>
      <c r="DV108" s="40"/>
      <c r="DW108" s="40"/>
      <c r="DX108" s="40"/>
      <c r="DY108" s="40"/>
      <c r="DZ108" s="40"/>
      <c r="EA108" s="40"/>
      <c r="EB108" s="40"/>
      <c r="EC108" s="40"/>
      <c r="ED108" s="40"/>
      <c r="EE108" s="40"/>
      <c r="EF108" s="40"/>
      <c r="EG108" s="40"/>
      <c r="EH108" s="40"/>
      <c r="EI108" s="40"/>
      <c r="EJ108" s="40"/>
      <c r="EK108" s="40" t="s">
        <v>184</v>
      </c>
      <c r="EL108" s="40"/>
      <c r="EM108" s="40" t="s">
        <v>184</v>
      </c>
      <c r="EN108" s="40" t="s">
        <v>184</v>
      </c>
      <c r="EO108" s="40"/>
      <c r="EP108" s="40"/>
      <c r="EQ108" s="29"/>
      <c r="ER108" s="29"/>
      <c r="ES108" s="29" t="s">
        <v>184</v>
      </c>
      <c r="ET108" s="29"/>
      <c r="EU108" s="29"/>
      <c r="EV108" s="29" t="s">
        <v>184</v>
      </c>
      <c r="EW108" s="29"/>
      <c r="EX108" s="29"/>
      <c r="EY108" s="29"/>
      <c r="EZ108" s="29"/>
      <c r="FA108" s="29"/>
      <c r="FB108" s="29"/>
      <c r="FC108" s="29" t="s">
        <v>184</v>
      </c>
      <c r="FD108" s="29"/>
      <c r="FE108" s="29"/>
      <c r="FF108" s="29"/>
      <c r="FG108" s="29"/>
      <c r="FH108" s="29"/>
      <c r="FI108" s="29"/>
      <c r="FJ108" s="29"/>
      <c r="FK108" s="29" t="n">
        <v>54000</v>
      </c>
      <c r="FL108" s="29"/>
      <c r="FM108" s="29" t="n">
        <v>20000</v>
      </c>
      <c r="FN108" s="29" t="n">
        <v>34000</v>
      </c>
      <c r="FO108" s="29"/>
      <c r="FP108" s="29" t="n">
        <v>50000</v>
      </c>
      <c r="FQ108" s="29"/>
      <c r="FR108" s="29"/>
      <c r="FS108" s="29"/>
      <c r="FT108" s="29" t="n">
        <f aca="false">SUM(N108:FS108)</f>
        <v>158000</v>
      </c>
      <c r="FU108" s="27" t="n">
        <f aca="false">SUM(L108-FT108)</f>
        <v>706000</v>
      </c>
      <c r="FV108" s="31" t="n">
        <f aca="false">SUM( H108/5)</f>
        <v>5.85185185185185</v>
      </c>
      <c r="FW108" s="31" t="n">
        <f aca="false">SUM( I108/5)</f>
        <v>26.1481481481481</v>
      </c>
      <c r="FX108" s="32" t="n">
        <f aca="false">SUM(FV108/4)</f>
        <v>1.46296296296296</v>
      </c>
      <c r="FY108" s="32" t="n">
        <f aca="false">SUM(FW108/4)</f>
        <v>6.53703703703704</v>
      </c>
    </row>
    <row r="109" customFormat="false" ht="43.5" hidden="false" customHeight="true" outlineLevel="0" collapsed="false">
      <c r="A109" s="24" t="n">
        <v>3469</v>
      </c>
      <c r="B109" s="21" t="s">
        <v>364</v>
      </c>
      <c r="C109" s="21" t="s">
        <v>365</v>
      </c>
      <c r="D109" s="22"/>
      <c r="E109" s="23" t="n">
        <v>45959</v>
      </c>
      <c r="F109" s="23" t="n">
        <f aca="false">WORKDAY(E109,G109)</f>
        <v>46071</v>
      </c>
      <c r="G109" s="24" t="n">
        <v>80</v>
      </c>
      <c r="H109" s="25" t="n">
        <f aca="false">(FT109* 5)/M109</f>
        <v>0</v>
      </c>
      <c r="I109" s="25" t="n">
        <f aca="false">G109-H109</f>
        <v>80</v>
      </c>
      <c r="J109" s="62" t="s">
        <v>370</v>
      </c>
      <c r="K109" s="50" t="n">
        <v>100000</v>
      </c>
      <c r="L109" s="27" t="n">
        <v>216000</v>
      </c>
      <c r="M109" s="28" t="n">
        <f aca="false">(L109/G109)*5</f>
        <v>13500</v>
      </c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/>
      <c r="BL109" s="40"/>
      <c r="BM109" s="40"/>
      <c r="BN109" s="40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C109" s="40"/>
      <c r="CD109" s="40"/>
      <c r="CE109" s="40"/>
      <c r="CF109" s="40"/>
      <c r="CG109" s="40"/>
      <c r="CH109" s="40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  <c r="CW109" s="40"/>
      <c r="CX109" s="40"/>
      <c r="CY109" s="40"/>
      <c r="CZ109" s="40"/>
      <c r="DA109" s="40"/>
      <c r="DB109" s="40"/>
      <c r="DC109" s="40"/>
      <c r="DD109" s="40"/>
      <c r="DE109" s="40"/>
      <c r="DF109" s="40"/>
      <c r="DG109" s="40"/>
      <c r="DH109" s="40"/>
      <c r="DI109" s="40"/>
      <c r="DJ109" s="40"/>
      <c r="DK109" s="40"/>
      <c r="DL109" s="40"/>
      <c r="DM109" s="40"/>
      <c r="DN109" s="40"/>
      <c r="DO109" s="40"/>
      <c r="DP109" s="40"/>
      <c r="DQ109" s="40"/>
      <c r="DR109" s="40"/>
      <c r="DS109" s="40"/>
      <c r="DT109" s="40"/>
      <c r="DU109" s="40"/>
      <c r="DV109" s="40"/>
      <c r="DW109" s="40"/>
      <c r="DX109" s="40"/>
      <c r="DY109" s="40"/>
      <c r="DZ109" s="40"/>
      <c r="EA109" s="40"/>
      <c r="EB109" s="40"/>
      <c r="EC109" s="40"/>
      <c r="ED109" s="40"/>
      <c r="EE109" s="40"/>
      <c r="EF109" s="40"/>
      <c r="EG109" s="40"/>
      <c r="EH109" s="40"/>
      <c r="EI109" s="40"/>
      <c r="EJ109" s="40"/>
      <c r="EK109" s="40" t="s">
        <v>184</v>
      </c>
      <c r="EL109" s="40"/>
      <c r="EM109" s="40" t="s">
        <v>184</v>
      </c>
      <c r="EN109" s="40" t="s">
        <v>184</v>
      </c>
      <c r="EO109" s="40"/>
      <c r="EP109" s="40"/>
      <c r="EQ109" s="29"/>
      <c r="ER109" s="29"/>
      <c r="ES109" s="29" t="s">
        <v>184</v>
      </c>
      <c r="ET109" s="29"/>
      <c r="EU109" s="29"/>
      <c r="EV109" s="29" t="s">
        <v>184</v>
      </c>
      <c r="EW109" s="29"/>
      <c r="EX109" s="29"/>
      <c r="EY109" s="29"/>
      <c r="EZ109" s="29"/>
      <c r="FA109" s="29"/>
      <c r="FB109" s="29"/>
      <c r="FC109" s="29" t="s">
        <v>184</v>
      </c>
      <c r="FD109" s="29"/>
      <c r="FE109" s="29"/>
      <c r="FF109" s="29"/>
      <c r="FG109" s="29"/>
      <c r="FH109" s="29"/>
      <c r="FI109" s="29"/>
      <c r="FJ109" s="29"/>
      <c r="FK109" s="29"/>
      <c r="FL109" s="29" t="s">
        <v>184</v>
      </c>
      <c r="FM109" s="29"/>
      <c r="FN109" s="29"/>
      <c r="FO109" s="29"/>
      <c r="FP109" s="29"/>
      <c r="FQ109" s="29"/>
      <c r="FR109" s="29"/>
      <c r="FS109" s="29"/>
      <c r="FT109" s="29" t="n">
        <f aca="false">SUM(N109:FS109)</f>
        <v>0</v>
      </c>
      <c r="FU109" s="27" t="n">
        <f aca="false">SUM(L109-FT109)</f>
        <v>216000</v>
      </c>
      <c r="FV109" s="31" t="n">
        <f aca="false">SUM( H109/5)</f>
        <v>0</v>
      </c>
      <c r="FW109" s="31" t="n">
        <f aca="false">SUM( I109/5)</f>
        <v>16</v>
      </c>
      <c r="FX109" s="32" t="n">
        <f aca="false">SUM(FV109/4)</f>
        <v>0</v>
      </c>
      <c r="FY109" s="32" t="n">
        <f aca="false">SUM(FW109/4)</f>
        <v>4</v>
      </c>
    </row>
    <row r="110" customFormat="false" ht="43.5" hidden="false" customHeight="true" outlineLevel="0" collapsed="false">
      <c r="A110" s="61" t="n">
        <v>3500</v>
      </c>
      <c r="B110" s="21" t="s">
        <v>364</v>
      </c>
      <c r="C110" s="21" t="s">
        <v>365</v>
      </c>
      <c r="D110" s="22"/>
      <c r="E110" s="23" t="n">
        <v>45978</v>
      </c>
      <c r="F110" s="23" t="n">
        <f aca="false">WORKDAY(E110,G110)</f>
        <v>46090</v>
      </c>
      <c r="G110" s="24" t="n">
        <v>80</v>
      </c>
      <c r="H110" s="25" t="n">
        <f aca="false">(FT110* 5)/M110</f>
        <v>0</v>
      </c>
      <c r="I110" s="25" t="n">
        <f aca="false">G110-H110</f>
        <v>80</v>
      </c>
      <c r="J110" s="26" t="s">
        <v>296</v>
      </c>
      <c r="K110" s="27" t="n">
        <v>20000</v>
      </c>
      <c r="L110" s="27" t="n">
        <v>43200</v>
      </c>
      <c r="M110" s="28" t="n">
        <f aca="false">(L110/G110)*5</f>
        <v>2700</v>
      </c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0"/>
      <c r="BO110" s="40"/>
      <c r="BP110" s="40"/>
      <c r="BQ110" s="40"/>
      <c r="BR110" s="40"/>
      <c r="BS110" s="40"/>
      <c r="BT110" s="40"/>
      <c r="BU110" s="40"/>
      <c r="BV110" s="40"/>
      <c r="BW110" s="40"/>
      <c r="BX110" s="40"/>
      <c r="BY110" s="40"/>
      <c r="BZ110" s="40"/>
      <c r="CA110" s="40"/>
      <c r="CB110" s="40"/>
      <c r="CC110" s="40"/>
      <c r="CD110" s="40"/>
      <c r="CE110" s="40"/>
      <c r="CF110" s="40"/>
      <c r="CG110" s="40"/>
      <c r="CH110" s="40"/>
      <c r="CI110" s="40"/>
      <c r="CJ110" s="40"/>
      <c r="CK110" s="40"/>
      <c r="CL110" s="40"/>
      <c r="CM110" s="40"/>
      <c r="CN110" s="40"/>
      <c r="CO110" s="40"/>
      <c r="CP110" s="40"/>
      <c r="CQ110" s="40"/>
      <c r="CR110" s="40"/>
      <c r="CS110" s="40"/>
      <c r="CT110" s="40"/>
      <c r="CU110" s="40"/>
      <c r="CV110" s="40"/>
      <c r="CW110" s="40"/>
      <c r="CX110" s="40"/>
      <c r="CY110" s="40"/>
      <c r="CZ110" s="40"/>
      <c r="DA110" s="40"/>
      <c r="DB110" s="40"/>
      <c r="DC110" s="40"/>
      <c r="DD110" s="40"/>
      <c r="DE110" s="40"/>
      <c r="DF110" s="40"/>
      <c r="DG110" s="40"/>
      <c r="DH110" s="40"/>
      <c r="DI110" s="40"/>
      <c r="DJ110" s="40"/>
      <c r="DK110" s="40"/>
      <c r="DL110" s="40"/>
      <c r="DM110" s="40"/>
      <c r="DN110" s="40"/>
      <c r="DO110" s="40"/>
      <c r="DP110" s="40"/>
      <c r="DQ110" s="40"/>
      <c r="DR110" s="40"/>
      <c r="DS110" s="40"/>
      <c r="DT110" s="40"/>
      <c r="DU110" s="40"/>
      <c r="DV110" s="40"/>
      <c r="DW110" s="40"/>
      <c r="DX110" s="40"/>
      <c r="DY110" s="40"/>
      <c r="DZ110" s="40"/>
      <c r="EA110" s="40"/>
      <c r="EB110" s="40"/>
      <c r="EC110" s="40"/>
      <c r="ED110" s="40"/>
      <c r="EE110" s="40"/>
      <c r="EF110" s="40"/>
      <c r="EG110" s="40"/>
      <c r="EH110" s="40"/>
      <c r="EI110" s="40"/>
      <c r="EJ110" s="40"/>
      <c r="EK110" s="40" t="s">
        <v>184</v>
      </c>
      <c r="EL110" s="40"/>
      <c r="EM110" s="40" t="s">
        <v>184</v>
      </c>
      <c r="EN110" s="40" t="s">
        <v>184</v>
      </c>
      <c r="EO110" s="40"/>
      <c r="EP110" s="40"/>
      <c r="EQ110" s="29"/>
      <c r="ER110" s="29"/>
      <c r="ES110" s="29" t="s">
        <v>184</v>
      </c>
      <c r="ET110" s="29"/>
      <c r="EU110" s="29"/>
      <c r="EV110" s="29" t="s">
        <v>184</v>
      </c>
      <c r="EW110" s="29"/>
      <c r="EX110" s="29"/>
      <c r="EY110" s="29"/>
      <c r="EZ110" s="29"/>
      <c r="FA110" s="29"/>
      <c r="FB110" s="29"/>
      <c r="FC110" s="29" t="s">
        <v>184</v>
      </c>
      <c r="FD110" s="29"/>
      <c r="FE110" s="29"/>
      <c r="FF110" s="29"/>
      <c r="FG110" s="29"/>
      <c r="FH110" s="29"/>
      <c r="FI110" s="29"/>
      <c r="FJ110" s="29"/>
      <c r="FK110" s="29"/>
      <c r="FL110" s="29" t="s">
        <v>184</v>
      </c>
      <c r="FM110" s="29"/>
      <c r="FN110" s="29"/>
      <c r="FO110" s="29"/>
      <c r="FP110" s="29"/>
      <c r="FQ110" s="29"/>
      <c r="FR110" s="29"/>
      <c r="FS110" s="29"/>
      <c r="FT110" s="29" t="n">
        <f aca="false">SUM(N110:FS110)</f>
        <v>0</v>
      </c>
      <c r="FU110" s="27" t="n">
        <f aca="false">SUM(L110-FT110)</f>
        <v>43200</v>
      </c>
      <c r="FV110" s="31" t="n">
        <f aca="false">SUM( H110/5)</f>
        <v>0</v>
      </c>
      <c r="FW110" s="31" t="n">
        <f aca="false">SUM( I110/5)</f>
        <v>16</v>
      </c>
      <c r="FX110" s="32" t="n">
        <f aca="false">SUM(FV110/4)</f>
        <v>0</v>
      </c>
      <c r="FY110" s="32" t="n">
        <f aca="false">SUM(FW110/4)</f>
        <v>4</v>
      </c>
    </row>
    <row r="111" customFormat="false" ht="43.5" hidden="false" customHeight="true" outlineLevel="0" collapsed="false">
      <c r="A111" s="24" t="n">
        <v>3357</v>
      </c>
      <c r="B111" s="21" t="s">
        <v>371</v>
      </c>
      <c r="C111" s="21" t="s">
        <v>372</v>
      </c>
      <c r="D111" s="22"/>
      <c r="E111" s="23" t="n">
        <v>45889</v>
      </c>
      <c r="F111" s="23" t="n">
        <v>45825</v>
      </c>
      <c r="G111" s="24" t="n">
        <v>72</v>
      </c>
      <c r="H111" s="25" t="n">
        <f aca="false">(FT111* 5)/M111</f>
        <v>55</v>
      </c>
      <c r="I111" s="25" t="n">
        <f aca="false">G111-H111</f>
        <v>17</v>
      </c>
      <c r="J111" s="34" t="s">
        <v>190</v>
      </c>
      <c r="K111" s="30" t="n">
        <v>200000</v>
      </c>
      <c r="L111" s="30" t="n">
        <v>432000</v>
      </c>
      <c r="M111" s="28" t="n">
        <f aca="false">(L111/G111)*5</f>
        <v>30000</v>
      </c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0"/>
      <c r="BV111" s="40"/>
      <c r="BW111" s="40"/>
      <c r="BX111" s="40"/>
      <c r="BY111" s="40"/>
      <c r="BZ111" s="40"/>
      <c r="CA111" s="40"/>
      <c r="CB111" s="40"/>
      <c r="CC111" s="40"/>
      <c r="CD111" s="40"/>
      <c r="CE111" s="40"/>
      <c r="CF111" s="40"/>
      <c r="CG111" s="40"/>
      <c r="CH111" s="40"/>
      <c r="CI111" s="40"/>
      <c r="CJ111" s="40"/>
      <c r="CK111" s="40"/>
      <c r="CL111" s="40"/>
      <c r="CM111" s="40"/>
      <c r="CN111" s="40"/>
      <c r="CO111" s="40"/>
      <c r="CP111" s="40"/>
      <c r="CQ111" s="40"/>
      <c r="CR111" s="40"/>
      <c r="CS111" s="40"/>
      <c r="CT111" s="40"/>
      <c r="CU111" s="40"/>
      <c r="CV111" s="40"/>
      <c r="CW111" s="40"/>
      <c r="CX111" s="40"/>
      <c r="CY111" s="40"/>
      <c r="CZ111" s="40"/>
      <c r="DA111" s="40"/>
      <c r="DB111" s="40"/>
      <c r="DC111" s="40"/>
      <c r="DD111" s="40"/>
      <c r="DE111" s="40"/>
      <c r="DF111" s="40"/>
      <c r="DG111" s="40"/>
      <c r="DH111" s="40"/>
      <c r="DI111" s="40"/>
      <c r="DJ111" s="40"/>
      <c r="DK111" s="40"/>
      <c r="DL111" s="40"/>
      <c r="DM111" s="40"/>
      <c r="DN111" s="40"/>
      <c r="DO111" s="40"/>
      <c r="DP111" s="40"/>
      <c r="DQ111" s="40"/>
      <c r="DR111" s="40"/>
      <c r="DS111" s="40"/>
      <c r="DT111" s="40"/>
      <c r="DU111" s="40"/>
      <c r="DV111" s="40"/>
      <c r="DW111" s="40"/>
      <c r="DX111" s="40"/>
      <c r="DY111" s="40"/>
      <c r="DZ111" s="40"/>
      <c r="EA111" s="40"/>
      <c r="EB111" s="40"/>
      <c r="EC111" s="40"/>
      <c r="ED111" s="40"/>
      <c r="EE111" s="40"/>
      <c r="EF111" s="40"/>
      <c r="EG111" s="40"/>
      <c r="EH111" s="40"/>
      <c r="EI111" s="40"/>
      <c r="EJ111" s="40"/>
      <c r="EK111" s="40" t="s">
        <v>184</v>
      </c>
      <c r="EL111" s="40"/>
      <c r="EM111" s="40" t="s">
        <v>184</v>
      </c>
      <c r="EN111" s="40" t="s">
        <v>184</v>
      </c>
      <c r="EO111" s="40"/>
      <c r="EP111" s="40"/>
      <c r="EQ111" s="29"/>
      <c r="ER111" s="29"/>
      <c r="ES111" s="29" t="s">
        <v>184</v>
      </c>
      <c r="ET111" s="29"/>
      <c r="EU111" s="29"/>
      <c r="EV111" s="29" t="s">
        <v>184</v>
      </c>
      <c r="EW111" s="29"/>
      <c r="EX111" s="29"/>
      <c r="EY111" s="29"/>
      <c r="EZ111" s="29"/>
      <c r="FA111" s="29"/>
      <c r="FB111" s="29"/>
      <c r="FC111" s="29" t="s">
        <v>184</v>
      </c>
      <c r="FD111" s="29"/>
      <c r="FE111" s="29" t="n">
        <v>30000</v>
      </c>
      <c r="FF111" s="29" t="n">
        <v>30000</v>
      </c>
      <c r="FG111" s="29" t="n">
        <v>30000</v>
      </c>
      <c r="FH111" s="29" t="n">
        <v>30000</v>
      </c>
      <c r="FI111" s="29" t="n">
        <v>30000</v>
      </c>
      <c r="FJ111" s="29" t="n">
        <v>30000</v>
      </c>
      <c r="FK111" s="29"/>
      <c r="FL111" s="29" t="n">
        <v>30000</v>
      </c>
      <c r="FM111" s="29" t="n">
        <v>30000</v>
      </c>
      <c r="FN111" s="29" t="n">
        <v>30000</v>
      </c>
      <c r="FO111" s="29"/>
      <c r="FP111" s="29" t="n">
        <v>30000</v>
      </c>
      <c r="FQ111" s="29" t="n">
        <v>30000</v>
      </c>
      <c r="FR111" s="29"/>
      <c r="FS111" s="29"/>
      <c r="FT111" s="29" t="n">
        <f aca="false">SUM(N111:FS111)</f>
        <v>330000</v>
      </c>
      <c r="FU111" s="27" t="n">
        <f aca="false">SUM(L111-FT111)</f>
        <v>102000</v>
      </c>
      <c r="FV111" s="31" t="n">
        <f aca="false">SUM( H111/5)</f>
        <v>11</v>
      </c>
      <c r="FW111" s="31" t="n">
        <f aca="false">SUM( I111/5)</f>
        <v>3.4</v>
      </c>
      <c r="FX111" s="32" t="n">
        <f aca="false">SUM(FV111/4)</f>
        <v>2.75</v>
      </c>
      <c r="FY111" s="32" t="n">
        <f aca="false">SUM(FW111/4)</f>
        <v>0.85</v>
      </c>
    </row>
    <row r="112" customFormat="false" ht="43.5" hidden="false" customHeight="true" outlineLevel="0" collapsed="false">
      <c r="A112" s="24" t="n">
        <v>3489</v>
      </c>
      <c r="B112" s="21" t="s">
        <v>373</v>
      </c>
      <c r="C112" s="21" t="s">
        <v>374</v>
      </c>
      <c r="D112" s="22"/>
      <c r="E112" s="23" t="n">
        <v>45974</v>
      </c>
      <c r="F112" s="23" t="n">
        <f aca="false">WORKDAY(E112,G112)</f>
        <v>46086</v>
      </c>
      <c r="G112" s="24" t="n">
        <v>80</v>
      </c>
      <c r="H112" s="25" t="n">
        <f aca="false">(FT112* 5)/M112</f>
        <v>0</v>
      </c>
      <c r="I112" s="25" t="n">
        <f aca="false">G112-H112</f>
        <v>80</v>
      </c>
      <c r="J112" s="34" t="s">
        <v>375</v>
      </c>
      <c r="K112" s="27" t="n">
        <v>300000</v>
      </c>
      <c r="L112" s="27" t="n">
        <v>648000</v>
      </c>
      <c r="M112" s="28" t="n">
        <f aca="false">(L112/G112)*5</f>
        <v>40500</v>
      </c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0"/>
      <c r="BV112" s="40"/>
      <c r="BW112" s="40"/>
      <c r="BX112" s="40"/>
      <c r="BY112" s="40"/>
      <c r="BZ112" s="40"/>
      <c r="CA112" s="40"/>
      <c r="CB112" s="40"/>
      <c r="CC112" s="40"/>
      <c r="CD112" s="40"/>
      <c r="CE112" s="40"/>
      <c r="CF112" s="40"/>
      <c r="CG112" s="40"/>
      <c r="CH112" s="40"/>
      <c r="CI112" s="40"/>
      <c r="CJ112" s="40"/>
      <c r="CK112" s="40"/>
      <c r="CL112" s="40"/>
      <c r="CM112" s="40"/>
      <c r="CN112" s="40"/>
      <c r="CO112" s="40"/>
      <c r="CP112" s="40"/>
      <c r="CQ112" s="40"/>
      <c r="CR112" s="40"/>
      <c r="CS112" s="40"/>
      <c r="CT112" s="40"/>
      <c r="CU112" s="40"/>
      <c r="CV112" s="40"/>
      <c r="CW112" s="40"/>
      <c r="CX112" s="40"/>
      <c r="CY112" s="40"/>
      <c r="CZ112" s="40"/>
      <c r="DA112" s="40"/>
      <c r="DB112" s="40"/>
      <c r="DC112" s="40"/>
      <c r="DD112" s="40"/>
      <c r="DE112" s="40"/>
      <c r="DF112" s="40"/>
      <c r="DG112" s="40"/>
      <c r="DH112" s="40"/>
      <c r="DI112" s="40"/>
      <c r="DJ112" s="40"/>
      <c r="DK112" s="40"/>
      <c r="DL112" s="40"/>
      <c r="DM112" s="40"/>
      <c r="DN112" s="40"/>
      <c r="DO112" s="40"/>
      <c r="DP112" s="40"/>
      <c r="DQ112" s="40"/>
      <c r="DR112" s="40"/>
      <c r="DS112" s="40"/>
      <c r="DT112" s="40"/>
      <c r="DU112" s="40"/>
      <c r="DV112" s="40"/>
      <c r="DW112" s="40"/>
      <c r="DX112" s="40"/>
      <c r="DY112" s="40"/>
      <c r="DZ112" s="40"/>
      <c r="EA112" s="40"/>
      <c r="EB112" s="40"/>
      <c r="EC112" s="40"/>
      <c r="ED112" s="40"/>
      <c r="EE112" s="40"/>
      <c r="EF112" s="40"/>
      <c r="EG112" s="40"/>
      <c r="EH112" s="40"/>
      <c r="EI112" s="40"/>
      <c r="EJ112" s="40"/>
      <c r="EK112" s="40" t="s">
        <v>184</v>
      </c>
      <c r="EL112" s="40"/>
      <c r="EM112" s="40" t="s">
        <v>184</v>
      </c>
      <c r="EN112" s="40" t="s">
        <v>184</v>
      </c>
      <c r="EO112" s="40"/>
      <c r="EP112" s="40"/>
      <c r="EQ112" s="29"/>
      <c r="ER112" s="29"/>
      <c r="ES112" s="29" t="s">
        <v>184</v>
      </c>
      <c r="ET112" s="29"/>
      <c r="EU112" s="29"/>
      <c r="EV112" s="29" t="s">
        <v>184</v>
      </c>
      <c r="EW112" s="29"/>
      <c r="EX112" s="29"/>
      <c r="EY112" s="29"/>
      <c r="EZ112" s="29"/>
      <c r="FA112" s="29"/>
      <c r="FB112" s="29"/>
      <c r="FC112" s="29" t="s">
        <v>184</v>
      </c>
      <c r="FD112" s="29"/>
      <c r="FE112" s="29"/>
      <c r="FF112" s="29"/>
      <c r="FG112" s="29"/>
      <c r="FH112" s="29"/>
      <c r="FI112" s="29"/>
      <c r="FJ112" s="29"/>
      <c r="FK112" s="29"/>
      <c r="FL112" s="29" t="s">
        <v>184</v>
      </c>
      <c r="FM112" s="29"/>
      <c r="FN112" s="29"/>
      <c r="FO112" s="29"/>
      <c r="FP112" s="29"/>
      <c r="FQ112" s="29"/>
      <c r="FR112" s="29"/>
      <c r="FS112" s="29"/>
      <c r="FT112" s="29" t="n">
        <f aca="false">SUM(N112:FS112)</f>
        <v>0</v>
      </c>
      <c r="FU112" s="27" t="n">
        <f aca="false">SUM(L112-FT112)</f>
        <v>648000</v>
      </c>
      <c r="FV112" s="31" t="n">
        <f aca="false">SUM( H112/5)</f>
        <v>0</v>
      </c>
      <c r="FW112" s="31" t="n">
        <f aca="false">SUM( I112/5)</f>
        <v>16</v>
      </c>
      <c r="FX112" s="32" t="n">
        <f aca="false">SUM(FV112/4)</f>
        <v>0</v>
      </c>
      <c r="FY112" s="32" t="n">
        <f aca="false">SUM(FW112/4)</f>
        <v>4</v>
      </c>
    </row>
    <row r="113" customFormat="false" ht="43.5" hidden="false" customHeight="true" outlineLevel="0" collapsed="false">
      <c r="A113" s="24" t="n">
        <v>3287</v>
      </c>
      <c r="B113" s="21" t="s">
        <v>376</v>
      </c>
      <c r="C113" s="21" t="s">
        <v>377</v>
      </c>
      <c r="D113" s="22"/>
      <c r="E113" s="23" t="n">
        <v>45852</v>
      </c>
      <c r="F113" s="23" t="n">
        <f aca="false">WORKDAY(E113,G113)</f>
        <v>46132</v>
      </c>
      <c r="G113" s="24" t="n">
        <v>200</v>
      </c>
      <c r="H113" s="25" t="n">
        <f aca="false">(FT113* 5)/M113</f>
        <v>100</v>
      </c>
      <c r="I113" s="25" t="n">
        <f aca="false">G113-H113</f>
        <v>100</v>
      </c>
      <c r="J113" s="26" t="s">
        <v>378</v>
      </c>
      <c r="K113" s="63" t="n">
        <v>500000</v>
      </c>
      <c r="L113" s="30" t="n">
        <v>1700000</v>
      </c>
      <c r="M113" s="45" t="n">
        <f aca="false">(L113/G113)*5</f>
        <v>42500</v>
      </c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/>
      <c r="BL113" s="40"/>
      <c r="BM113" s="40"/>
      <c r="BN113" s="40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C113" s="40"/>
      <c r="CD113" s="40"/>
      <c r="CE113" s="40"/>
      <c r="CF113" s="40"/>
      <c r="CG113" s="40"/>
      <c r="CH113" s="40"/>
      <c r="CI113" s="40"/>
      <c r="CJ113" s="40"/>
      <c r="CK113" s="40"/>
      <c r="CL113" s="40"/>
      <c r="CM113" s="40"/>
      <c r="CN113" s="40"/>
      <c r="CO113" s="40"/>
      <c r="CP113" s="40"/>
      <c r="CQ113" s="40"/>
      <c r="CR113" s="40"/>
      <c r="CS113" s="40"/>
      <c r="CT113" s="40"/>
      <c r="CU113" s="40"/>
      <c r="CV113" s="40"/>
      <c r="CW113" s="40"/>
      <c r="CX113" s="40"/>
      <c r="CY113" s="40"/>
      <c r="CZ113" s="40"/>
      <c r="DA113" s="40"/>
      <c r="DB113" s="40"/>
      <c r="DC113" s="40"/>
      <c r="DD113" s="40"/>
      <c r="DE113" s="40"/>
      <c r="DF113" s="40"/>
      <c r="DG113" s="40"/>
      <c r="DH113" s="40"/>
      <c r="DI113" s="40"/>
      <c r="DJ113" s="40"/>
      <c r="DK113" s="40"/>
      <c r="DL113" s="40"/>
      <c r="DM113" s="40"/>
      <c r="DN113" s="40"/>
      <c r="DO113" s="40"/>
      <c r="DP113" s="40"/>
      <c r="DQ113" s="40"/>
      <c r="DR113" s="40"/>
      <c r="DS113" s="40"/>
      <c r="DT113" s="40"/>
      <c r="DU113" s="40"/>
      <c r="DV113" s="40"/>
      <c r="DW113" s="40"/>
      <c r="DX113" s="40"/>
      <c r="DY113" s="40"/>
      <c r="DZ113" s="40"/>
      <c r="EA113" s="40"/>
      <c r="EB113" s="40"/>
      <c r="EC113" s="40"/>
      <c r="ED113" s="40"/>
      <c r="EE113" s="40"/>
      <c r="EF113" s="40"/>
      <c r="EG113" s="40"/>
      <c r="EH113" s="40"/>
      <c r="EI113" s="40"/>
      <c r="EJ113" s="40"/>
      <c r="EK113" s="40" t="s">
        <v>184</v>
      </c>
      <c r="EL113" s="40"/>
      <c r="EM113" s="40" t="s">
        <v>184</v>
      </c>
      <c r="EN113" s="40" t="s">
        <v>184</v>
      </c>
      <c r="EO113" s="40"/>
      <c r="EP113" s="40"/>
      <c r="EQ113" s="29"/>
      <c r="ER113" s="29"/>
      <c r="ES113" s="29" t="s">
        <v>184</v>
      </c>
      <c r="ET113" s="29"/>
      <c r="EU113" s="29"/>
      <c r="EV113" s="29" t="s">
        <v>184</v>
      </c>
      <c r="EW113" s="29"/>
      <c r="EX113" s="29"/>
      <c r="EY113" s="29"/>
      <c r="EZ113" s="29"/>
      <c r="FA113" s="29"/>
      <c r="FB113" s="29" t="n">
        <v>170000</v>
      </c>
      <c r="FC113" s="29"/>
      <c r="FD113" s="29"/>
      <c r="FE113" s="29"/>
      <c r="FF113" s="29" t="n">
        <v>170000</v>
      </c>
      <c r="FG113" s="29"/>
      <c r="FH113" s="29"/>
      <c r="FI113" s="29"/>
      <c r="FJ113" s="29"/>
      <c r="FK113" s="29" t="n">
        <v>170000</v>
      </c>
      <c r="FL113" s="29"/>
      <c r="FM113" s="29"/>
      <c r="FN113" s="29"/>
      <c r="FO113" s="29"/>
      <c r="FP113" s="29" t="n">
        <v>170000</v>
      </c>
      <c r="FQ113" s="29" t="n">
        <v>170000</v>
      </c>
      <c r="FR113" s="29"/>
      <c r="FS113" s="29"/>
      <c r="FT113" s="29" t="n">
        <f aca="false">SUM(N113:FS113)</f>
        <v>850000</v>
      </c>
      <c r="FU113" s="27" t="n">
        <f aca="false">SUM(L113-FT113)</f>
        <v>850000</v>
      </c>
      <c r="FV113" s="31" t="n">
        <f aca="false">SUM( H113/5)</f>
        <v>20</v>
      </c>
      <c r="FW113" s="31" t="n">
        <f aca="false">SUM( I113/5)</f>
        <v>20</v>
      </c>
      <c r="FX113" s="32" t="n">
        <f aca="false">SUM(FV113/4)</f>
        <v>5</v>
      </c>
      <c r="FY113" s="32" t="n">
        <f aca="false">SUM(FW113/4)</f>
        <v>5</v>
      </c>
    </row>
    <row r="114" customFormat="false" ht="43.5" hidden="false" customHeight="true" outlineLevel="0" collapsed="false">
      <c r="A114" s="24" t="n">
        <v>3283</v>
      </c>
      <c r="B114" s="21" t="s">
        <v>379</v>
      </c>
      <c r="C114" s="21" t="s">
        <v>380</v>
      </c>
      <c r="D114" s="22"/>
      <c r="E114" s="23" t="n">
        <v>45849</v>
      </c>
      <c r="F114" s="23" t="n">
        <f aca="false">WORKDAY(E114,G114)</f>
        <v>46003</v>
      </c>
      <c r="G114" s="24" t="n">
        <v>110</v>
      </c>
      <c r="H114" s="25" t="n">
        <f aca="false">(FT114* 5)/M114</f>
        <v>35</v>
      </c>
      <c r="I114" s="25" t="n">
        <f aca="false">G114-H114</f>
        <v>75</v>
      </c>
      <c r="J114" s="34" t="s">
        <v>381</v>
      </c>
      <c r="K114" s="27" t="n">
        <v>300000</v>
      </c>
      <c r="L114" s="27" t="n">
        <v>792000</v>
      </c>
      <c r="M114" s="45" t="n">
        <f aca="false">(L114/G114)*5</f>
        <v>36000</v>
      </c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/>
      <c r="BL114" s="40"/>
      <c r="BM114" s="40"/>
      <c r="BN114" s="40"/>
      <c r="BO114" s="40"/>
      <c r="BP114" s="40"/>
      <c r="BQ114" s="40"/>
      <c r="BR114" s="40"/>
      <c r="BS114" s="40"/>
      <c r="BT114" s="40"/>
      <c r="BU114" s="40"/>
      <c r="BV114" s="40"/>
      <c r="BW114" s="40"/>
      <c r="BX114" s="40"/>
      <c r="BY114" s="40"/>
      <c r="BZ114" s="40"/>
      <c r="CA114" s="40"/>
      <c r="CB114" s="40"/>
      <c r="CC114" s="40"/>
      <c r="CD114" s="40"/>
      <c r="CE114" s="40"/>
      <c r="CF114" s="40"/>
      <c r="CG114" s="40"/>
      <c r="CH114" s="40"/>
      <c r="CI114" s="40"/>
      <c r="CJ114" s="40"/>
      <c r="CK114" s="40"/>
      <c r="CL114" s="40"/>
      <c r="CM114" s="40"/>
      <c r="CN114" s="40"/>
      <c r="CO114" s="40"/>
      <c r="CP114" s="40"/>
      <c r="CQ114" s="40"/>
      <c r="CR114" s="40"/>
      <c r="CS114" s="40"/>
      <c r="CT114" s="40"/>
      <c r="CU114" s="40"/>
      <c r="CV114" s="40"/>
      <c r="CW114" s="40"/>
      <c r="CX114" s="40"/>
      <c r="CY114" s="40"/>
      <c r="CZ114" s="40"/>
      <c r="DA114" s="40"/>
      <c r="DB114" s="40"/>
      <c r="DC114" s="40"/>
      <c r="DD114" s="40"/>
      <c r="DE114" s="40"/>
      <c r="DF114" s="40"/>
      <c r="DG114" s="40"/>
      <c r="DH114" s="40"/>
      <c r="DI114" s="40"/>
      <c r="DJ114" s="40"/>
      <c r="DK114" s="40"/>
      <c r="DL114" s="40"/>
      <c r="DM114" s="40"/>
      <c r="DN114" s="40"/>
      <c r="DO114" s="40"/>
      <c r="DP114" s="40"/>
      <c r="DQ114" s="40"/>
      <c r="DR114" s="40"/>
      <c r="DS114" s="40"/>
      <c r="DT114" s="40"/>
      <c r="DU114" s="40"/>
      <c r="DV114" s="40"/>
      <c r="DW114" s="40"/>
      <c r="DX114" s="40"/>
      <c r="DY114" s="40"/>
      <c r="DZ114" s="40"/>
      <c r="EA114" s="40"/>
      <c r="EB114" s="40"/>
      <c r="EC114" s="40"/>
      <c r="ED114" s="40"/>
      <c r="EE114" s="40"/>
      <c r="EF114" s="40"/>
      <c r="EG114" s="40"/>
      <c r="EH114" s="40"/>
      <c r="EI114" s="40"/>
      <c r="EJ114" s="40"/>
      <c r="EK114" s="40" t="s">
        <v>184</v>
      </c>
      <c r="EL114" s="40"/>
      <c r="EM114" s="40" t="s">
        <v>184</v>
      </c>
      <c r="EN114" s="40" t="s">
        <v>184</v>
      </c>
      <c r="EO114" s="40"/>
      <c r="EP114" s="40"/>
      <c r="EQ114" s="29"/>
      <c r="ER114" s="29"/>
      <c r="ES114" s="29" t="s">
        <v>184</v>
      </c>
      <c r="ET114" s="29"/>
      <c r="EU114" s="29"/>
      <c r="EV114" s="29" t="s">
        <v>184</v>
      </c>
      <c r="EW114" s="29"/>
      <c r="EX114" s="29"/>
      <c r="EY114" s="29" t="n">
        <v>36000</v>
      </c>
      <c r="EZ114" s="29" t="n">
        <v>36000</v>
      </c>
      <c r="FA114" s="29"/>
      <c r="FB114" s="29" t="n">
        <v>36000</v>
      </c>
      <c r="FC114" s="29"/>
      <c r="FD114" s="29"/>
      <c r="FE114" s="29"/>
      <c r="FF114" s="29" t="n">
        <v>36000</v>
      </c>
      <c r="FG114" s="29"/>
      <c r="FH114" s="29"/>
      <c r="FI114" s="29"/>
      <c r="FJ114" s="29"/>
      <c r="FK114" s="29" t="n">
        <v>36000</v>
      </c>
      <c r="FL114" s="29"/>
      <c r="FM114" s="29" t="n">
        <v>36000</v>
      </c>
      <c r="FN114" s="29"/>
      <c r="FO114" s="29" t="n">
        <v>36000</v>
      </c>
      <c r="FP114" s="29"/>
      <c r="FQ114" s="29"/>
      <c r="FR114" s="29"/>
      <c r="FS114" s="29"/>
      <c r="FT114" s="29" t="n">
        <f aca="false">SUM(N114:FS114)</f>
        <v>252000</v>
      </c>
      <c r="FU114" s="27" t="n">
        <f aca="false">SUM(L114-FT114)</f>
        <v>540000</v>
      </c>
      <c r="FV114" s="31" t="n">
        <f aca="false">SUM( H114/5)</f>
        <v>7</v>
      </c>
      <c r="FW114" s="31" t="n">
        <f aca="false">SUM( I114/5)</f>
        <v>15</v>
      </c>
      <c r="FX114" s="32" t="n">
        <f aca="false">SUM(FV114/4)</f>
        <v>1.75</v>
      </c>
      <c r="FY114" s="32" t="n">
        <f aca="false">SUM(FW114/4)</f>
        <v>3.75</v>
      </c>
    </row>
    <row r="115" customFormat="false" ht="43.5" hidden="false" customHeight="true" outlineLevel="0" collapsed="false">
      <c r="A115" s="24" t="n">
        <v>3409</v>
      </c>
      <c r="B115" s="21" t="s">
        <v>382</v>
      </c>
      <c r="C115" s="21" t="s">
        <v>383</v>
      </c>
      <c r="D115" s="22"/>
      <c r="E115" s="23" t="n">
        <v>45920</v>
      </c>
      <c r="F115" s="23" t="n">
        <f aca="false">WORKDAY(E115,G115)</f>
        <v>46021</v>
      </c>
      <c r="G115" s="24" t="n">
        <v>72</v>
      </c>
      <c r="H115" s="25" t="n">
        <f aca="false">(FT115* 5)/M115</f>
        <v>30</v>
      </c>
      <c r="I115" s="25" t="n">
        <f aca="false">G115-H115</f>
        <v>42</v>
      </c>
      <c r="J115" s="34" t="s">
        <v>188</v>
      </c>
      <c r="K115" s="50" t="n">
        <v>20000</v>
      </c>
      <c r="L115" s="27" t="n">
        <v>43200</v>
      </c>
      <c r="M115" s="28" t="n">
        <f aca="false">(L115/G115)*5</f>
        <v>3000</v>
      </c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/>
      <c r="BL115" s="40"/>
      <c r="BM115" s="40"/>
      <c r="BN115" s="40"/>
      <c r="BO115" s="40"/>
      <c r="BP115" s="40"/>
      <c r="BQ115" s="40"/>
      <c r="BR115" s="40"/>
      <c r="BS115" s="40"/>
      <c r="BT115" s="40"/>
      <c r="BU115" s="40"/>
      <c r="BV115" s="40"/>
      <c r="BW115" s="40"/>
      <c r="BX115" s="40"/>
      <c r="BY115" s="40"/>
      <c r="BZ115" s="40"/>
      <c r="CA115" s="40"/>
      <c r="CB115" s="40"/>
      <c r="CC115" s="40"/>
      <c r="CD115" s="40"/>
      <c r="CE115" s="40"/>
      <c r="CF115" s="40"/>
      <c r="CG115" s="40"/>
      <c r="CH115" s="40"/>
      <c r="CI115" s="40"/>
      <c r="CJ115" s="40"/>
      <c r="CK115" s="40"/>
      <c r="CL115" s="40"/>
      <c r="CM115" s="40"/>
      <c r="CN115" s="40"/>
      <c r="CO115" s="40"/>
      <c r="CP115" s="40"/>
      <c r="CQ115" s="40"/>
      <c r="CR115" s="40"/>
      <c r="CS115" s="40"/>
      <c r="CT115" s="40"/>
      <c r="CU115" s="40"/>
      <c r="CV115" s="40"/>
      <c r="CW115" s="40"/>
      <c r="CX115" s="40"/>
      <c r="CY115" s="40"/>
      <c r="CZ115" s="40"/>
      <c r="DA115" s="40"/>
      <c r="DB115" s="40"/>
      <c r="DC115" s="40"/>
      <c r="DD115" s="40"/>
      <c r="DE115" s="40"/>
      <c r="DF115" s="40"/>
      <c r="DG115" s="40"/>
      <c r="DH115" s="40"/>
      <c r="DI115" s="40"/>
      <c r="DJ115" s="40"/>
      <c r="DK115" s="40"/>
      <c r="DL115" s="40"/>
      <c r="DM115" s="40"/>
      <c r="DN115" s="40"/>
      <c r="DO115" s="40"/>
      <c r="DP115" s="40"/>
      <c r="DQ115" s="40"/>
      <c r="DR115" s="40"/>
      <c r="DS115" s="40"/>
      <c r="DT115" s="40"/>
      <c r="DU115" s="40"/>
      <c r="DV115" s="40"/>
      <c r="DW115" s="40"/>
      <c r="DX115" s="40"/>
      <c r="DY115" s="40"/>
      <c r="DZ115" s="40"/>
      <c r="EA115" s="40"/>
      <c r="EB115" s="40"/>
      <c r="EC115" s="40"/>
      <c r="ED115" s="40"/>
      <c r="EE115" s="40"/>
      <c r="EF115" s="40"/>
      <c r="EG115" s="40"/>
      <c r="EH115" s="40"/>
      <c r="EI115" s="40"/>
      <c r="EJ115" s="40"/>
      <c r="EK115" s="40" t="s">
        <v>184</v>
      </c>
      <c r="EL115" s="40"/>
      <c r="EM115" s="40" t="s">
        <v>184</v>
      </c>
      <c r="EN115" s="40" t="s">
        <v>184</v>
      </c>
      <c r="EO115" s="40"/>
      <c r="EP115" s="40"/>
      <c r="EQ115" s="29"/>
      <c r="ER115" s="29"/>
      <c r="ES115" s="29" t="s">
        <v>184</v>
      </c>
      <c r="ET115" s="29"/>
      <c r="EU115" s="29"/>
      <c r="EV115" s="29" t="s">
        <v>184</v>
      </c>
      <c r="EW115" s="29"/>
      <c r="EX115" s="29"/>
      <c r="EY115" s="29"/>
      <c r="EZ115" s="29"/>
      <c r="FA115" s="29"/>
      <c r="FB115" s="29"/>
      <c r="FC115" s="29" t="s">
        <v>184</v>
      </c>
      <c r="FD115" s="29"/>
      <c r="FE115" s="29"/>
      <c r="FF115" s="29"/>
      <c r="FG115" s="29"/>
      <c r="FH115" s="29"/>
      <c r="FI115" s="29"/>
      <c r="FJ115" s="29"/>
      <c r="FK115" s="29" t="n">
        <v>6000</v>
      </c>
      <c r="FL115" s="29" t="n">
        <v>3000</v>
      </c>
      <c r="FM115" s="29"/>
      <c r="FN115" s="29"/>
      <c r="FO115" s="29" t="n">
        <v>3000</v>
      </c>
      <c r="FP115" s="29"/>
      <c r="FQ115" s="29" t="n">
        <v>3000</v>
      </c>
      <c r="FR115" s="29" t="n">
        <v>3000</v>
      </c>
      <c r="FS115" s="29"/>
      <c r="FT115" s="29" t="n">
        <f aca="false">SUM(N115:FS115)</f>
        <v>18000</v>
      </c>
      <c r="FU115" s="27" t="n">
        <f aca="false">SUM(L115-FT115)</f>
        <v>25200</v>
      </c>
      <c r="FV115" s="31" t="n">
        <f aca="false">SUM( H115/5)</f>
        <v>6</v>
      </c>
      <c r="FW115" s="31" t="n">
        <f aca="false">SUM( I115/5)</f>
        <v>8.4</v>
      </c>
      <c r="FX115" s="32" t="n">
        <f aca="false">SUM(FV115/4)</f>
        <v>1.5</v>
      </c>
      <c r="FY115" s="32" t="n">
        <f aca="false">SUM(FW115/4)</f>
        <v>2.1</v>
      </c>
    </row>
    <row r="116" customFormat="false" ht="43.5" hidden="false" customHeight="true" outlineLevel="0" collapsed="false">
      <c r="A116" s="24" t="n">
        <v>3467</v>
      </c>
      <c r="B116" s="21" t="s">
        <v>382</v>
      </c>
      <c r="C116" s="21" t="s">
        <v>383</v>
      </c>
      <c r="D116" s="22"/>
      <c r="E116" s="23" t="n">
        <v>45959</v>
      </c>
      <c r="F116" s="23" t="n">
        <f aca="false">WORKDAY(E116,G116)</f>
        <v>46059</v>
      </c>
      <c r="G116" s="24" t="n">
        <v>72</v>
      </c>
      <c r="H116" s="25" t="n">
        <f aca="false">(FT116* 5)/M116</f>
        <v>15</v>
      </c>
      <c r="I116" s="25" t="n">
        <f aca="false">G116-H116</f>
        <v>57</v>
      </c>
      <c r="J116" s="34" t="s">
        <v>188</v>
      </c>
      <c r="K116" s="55" t="n">
        <v>20000</v>
      </c>
      <c r="L116" s="30" t="n">
        <v>43200</v>
      </c>
      <c r="M116" s="28" t="n">
        <f aca="false">(L116/G116)*5</f>
        <v>3000</v>
      </c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/>
      <c r="BL116" s="40"/>
      <c r="BM116" s="40"/>
      <c r="BN116" s="40"/>
      <c r="BO116" s="40"/>
      <c r="BP116" s="40"/>
      <c r="BQ116" s="40"/>
      <c r="BR116" s="40"/>
      <c r="BS116" s="40"/>
      <c r="BT116" s="40"/>
      <c r="BU116" s="40"/>
      <c r="BV116" s="40"/>
      <c r="BW116" s="40"/>
      <c r="BX116" s="40"/>
      <c r="BY116" s="40"/>
      <c r="BZ116" s="40"/>
      <c r="CA116" s="40"/>
      <c r="CB116" s="40"/>
      <c r="CC116" s="40"/>
      <c r="CD116" s="40"/>
      <c r="CE116" s="40"/>
      <c r="CF116" s="40"/>
      <c r="CG116" s="40"/>
      <c r="CH116" s="40"/>
      <c r="CI116" s="40"/>
      <c r="CJ116" s="40"/>
      <c r="CK116" s="40"/>
      <c r="CL116" s="40"/>
      <c r="CM116" s="40"/>
      <c r="CN116" s="40"/>
      <c r="CO116" s="40"/>
      <c r="CP116" s="40"/>
      <c r="CQ116" s="40"/>
      <c r="CR116" s="40"/>
      <c r="CS116" s="40"/>
      <c r="CT116" s="40"/>
      <c r="CU116" s="40"/>
      <c r="CV116" s="40"/>
      <c r="CW116" s="40"/>
      <c r="CX116" s="40"/>
      <c r="CY116" s="40"/>
      <c r="CZ116" s="40"/>
      <c r="DA116" s="40"/>
      <c r="DB116" s="40"/>
      <c r="DC116" s="40"/>
      <c r="DD116" s="40"/>
      <c r="DE116" s="40"/>
      <c r="DF116" s="40"/>
      <c r="DG116" s="40"/>
      <c r="DH116" s="40"/>
      <c r="DI116" s="40"/>
      <c r="DJ116" s="40"/>
      <c r="DK116" s="40"/>
      <c r="DL116" s="40"/>
      <c r="DM116" s="40"/>
      <c r="DN116" s="40"/>
      <c r="DO116" s="40"/>
      <c r="DP116" s="40"/>
      <c r="DQ116" s="40"/>
      <c r="DR116" s="40"/>
      <c r="DS116" s="40"/>
      <c r="DT116" s="40"/>
      <c r="DU116" s="40"/>
      <c r="DV116" s="40"/>
      <c r="DW116" s="40"/>
      <c r="DX116" s="40"/>
      <c r="DY116" s="40"/>
      <c r="DZ116" s="40"/>
      <c r="EA116" s="40"/>
      <c r="EB116" s="40"/>
      <c r="EC116" s="40"/>
      <c r="ED116" s="40"/>
      <c r="EE116" s="40"/>
      <c r="EF116" s="40"/>
      <c r="EG116" s="40"/>
      <c r="EH116" s="40"/>
      <c r="EI116" s="40"/>
      <c r="EJ116" s="40"/>
      <c r="EK116" s="40" t="s">
        <v>184</v>
      </c>
      <c r="EL116" s="40"/>
      <c r="EM116" s="40" t="s">
        <v>184</v>
      </c>
      <c r="EN116" s="40" t="s">
        <v>184</v>
      </c>
      <c r="EO116" s="40"/>
      <c r="EP116" s="40"/>
      <c r="EQ116" s="29"/>
      <c r="ER116" s="29"/>
      <c r="ES116" s="29" t="s">
        <v>184</v>
      </c>
      <c r="ET116" s="29"/>
      <c r="EU116" s="29"/>
      <c r="EV116" s="29" t="s">
        <v>184</v>
      </c>
      <c r="EW116" s="29"/>
      <c r="EX116" s="29"/>
      <c r="EY116" s="29"/>
      <c r="EZ116" s="29"/>
      <c r="FA116" s="29"/>
      <c r="FB116" s="29"/>
      <c r="FC116" s="29" t="s">
        <v>184</v>
      </c>
      <c r="FD116" s="29"/>
      <c r="FE116" s="29"/>
      <c r="FF116" s="29"/>
      <c r="FG116" s="29"/>
      <c r="FH116" s="29"/>
      <c r="FI116" s="29"/>
      <c r="FJ116" s="29"/>
      <c r="FK116" s="29"/>
      <c r="FL116" s="29" t="s">
        <v>184</v>
      </c>
      <c r="FM116" s="29"/>
      <c r="FN116" s="29"/>
      <c r="FO116" s="29" t="n">
        <v>3000</v>
      </c>
      <c r="FP116" s="29"/>
      <c r="FQ116" s="29" t="n">
        <v>3000</v>
      </c>
      <c r="FR116" s="29" t="n">
        <v>3000</v>
      </c>
      <c r="FS116" s="29"/>
      <c r="FT116" s="29" t="n">
        <f aca="false">SUM(N116:FS116)</f>
        <v>9000</v>
      </c>
      <c r="FU116" s="27" t="n">
        <f aca="false">SUM(L116-FT116)</f>
        <v>34200</v>
      </c>
      <c r="FV116" s="31" t="n">
        <f aca="false">SUM( H116/5)</f>
        <v>3</v>
      </c>
      <c r="FW116" s="31" t="n">
        <f aca="false">SUM( I116/5)</f>
        <v>11.4</v>
      </c>
      <c r="FX116" s="32" t="n">
        <f aca="false">SUM(FV116/4)</f>
        <v>0.75</v>
      </c>
      <c r="FY116" s="32" t="n">
        <f aca="false">SUM(FW116/4)</f>
        <v>2.85</v>
      </c>
    </row>
    <row r="117" customFormat="false" ht="43.5" hidden="false" customHeight="true" outlineLevel="0" collapsed="false">
      <c r="A117" s="24" t="n">
        <v>3307</v>
      </c>
      <c r="B117" s="21" t="s">
        <v>384</v>
      </c>
      <c r="C117" s="21" t="s">
        <v>383</v>
      </c>
      <c r="D117" s="22"/>
      <c r="E117" s="23" t="n">
        <v>45860</v>
      </c>
      <c r="F117" s="23" t="n">
        <f aca="false">WORKDAY(E117,G117)</f>
        <v>45960</v>
      </c>
      <c r="G117" s="24" t="n">
        <v>72</v>
      </c>
      <c r="H117" s="25" t="n">
        <f aca="false">(FT117* 5)/M117</f>
        <v>65</v>
      </c>
      <c r="I117" s="25" t="n">
        <f aca="false">G117-H117</f>
        <v>7</v>
      </c>
      <c r="J117" s="34" t="s">
        <v>333</v>
      </c>
      <c r="K117" s="27" t="n">
        <v>50000</v>
      </c>
      <c r="L117" s="27" t="n">
        <v>108000</v>
      </c>
      <c r="M117" s="28" t="n">
        <f aca="false">(L117/G117)*5</f>
        <v>7500</v>
      </c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/>
      <c r="BL117" s="40"/>
      <c r="BM117" s="40"/>
      <c r="BN117" s="40"/>
      <c r="BO117" s="40"/>
      <c r="BP117" s="40"/>
      <c r="BQ117" s="40"/>
      <c r="BR117" s="40"/>
      <c r="BS117" s="40"/>
      <c r="BT117" s="40"/>
      <c r="BU117" s="40"/>
      <c r="BV117" s="40"/>
      <c r="BW117" s="40"/>
      <c r="BX117" s="40"/>
      <c r="BY117" s="40"/>
      <c r="BZ117" s="40"/>
      <c r="CA117" s="40"/>
      <c r="CB117" s="40"/>
      <c r="CC117" s="40"/>
      <c r="CD117" s="40"/>
      <c r="CE117" s="40"/>
      <c r="CF117" s="40"/>
      <c r="CG117" s="40"/>
      <c r="CH117" s="40"/>
      <c r="CI117" s="40"/>
      <c r="CJ117" s="40"/>
      <c r="CK117" s="40"/>
      <c r="CL117" s="40"/>
      <c r="CM117" s="40"/>
      <c r="CN117" s="40"/>
      <c r="CO117" s="40"/>
      <c r="CP117" s="40"/>
      <c r="CQ117" s="40"/>
      <c r="CR117" s="40"/>
      <c r="CS117" s="40"/>
      <c r="CT117" s="40"/>
      <c r="CU117" s="40"/>
      <c r="CV117" s="40"/>
      <c r="CW117" s="40"/>
      <c r="CX117" s="40"/>
      <c r="CY117" s="40"/>
      <c r="CZ117" s="40"/>
      <c r="DA117" s="40"/>
      <c r="DB117" s="40"/>
      <c r="DC117" s="40"/>
      <c r="DD117" s="40"/>
      <c r="DE117" s="40"/>
      <c r="DF117" s="40"/>
      <c r="DG117" s="40"/>
      <c r="DH117" s="40"/>
      <c r="DI117" s="40"/>
      <c r="DJ117" s="40"/>
      <c r="DK117" s="40"/>
      <c r="DL117" s="40"/>
      <c r="DM117" s="40"/>
      <c r="DN117" s="40"/>
      <c r="DO117" s="40"/>
      <c r="DP117" s="40"/>
      <c r="DQ117" s="40"/>
      <c r="DR117" s="40"/>
      <c r="DS117" s="40"/>
      <c r="DT117" s="40"/>
      <c r="DU117" s="40"/>
      <c r="DV117" s="40"/>
      <c r="DW117" s="40"/>
      <c r="DX117" s="40"/>
      <c r="DY117" s="40"/>
      <c r="DZ117" s="40"/>
      <c r="EA117" s="40"/>
      <c r="EB117" s="40"/>
      <c r="EC117" s="40"/>
      <c r="ED117" s="40"/>
      <c r="EE117" s="40"/>
      <c r="EF117" s="40"/>
      <c r="EG117" s="40"/>
      <c r="EH117" s="40"/>
      <c r="EI117" s="40"/>
      <c r="EJ117" s="40"/>
      <c r="EK117" s="40" t="s">
        <v>184</v>
      </c>
      <c r="EL117" s="40"/>
      <c r="EM117" s="40" t="s">
        <v>184</v>
      </c>
      <c r="EN117" s="40" t="s">
        <v>184</v>
      </c>
      <c r="EO117" s="40"/>
      <c r="EP117" s="40"/>
      <c r="EQ117" s="29"/>
      <c r="ER117" s="29"/>
      <c r="ES117" s="29" t="s">
        <v>184</v>
      </c>
      <c r="ET117" s="29"/>
      <c r="EU117" s="29"/>
      <c r="EV117" s="29" t="s">
        <v>184</v>
      </c>
      <c r="EW117" s="29"/>
      <c r="EX117" s="29"/>
      <c r="EY117" s="29"/>
      <c r="EZ117" s="29"/>
      <c r="FA117" s="29" t="n">
        <v>7500</v>
      </c>
      <c r="FB117" s="29" t="n">
        <v>7500</v>
      </c>
      <c r="FC117" s="29"/>
      <c r="FD117" s="29" t="n">
        <v>7500</v>
      </c>
      <c r="FE117" s="29" t="n">
        <v>7500</v>
      </c>
      <c r="FF117" s="29" t="n">
        <v>7500</v>
      </c>
      <c r="FG117" s="29"/>
      <c r="FH117" s="29" t="n">
        <v>7500</v>
      </c>
      <c r="FI117" s="29"/>
      <c r="FJ117" s="29" t="n">
        <v>7500</v>
      </c>
      <c r="FK117" s="29" t="s">
        <v>184</v>
      </c>
      <c r="FL117" s="29" t="n">
        <v>15000</v>
      </c>
      <c r="FM117" s="29"/>
      <c r="FN117" s="29" t="n">
        <v>15000</v>
      </c>
      <c r="FO117" s="29"/>
      <c r="FP117" s="29" t="n">
        <v>7500</v>
      </c>
      <c r="FQ117" s="29" t="n">
        <v>7500</v>
      </c>
      <c r="FR117" s="29"/>
      <c r="FS117" s="29"/>
      <c r="FT117" s="29" t="n">
        <f aca="false">SUM(N117:FS117)</f>
        <v>97500</v>
      </c>
      <c r="FU117" s="27" t="n">
        <f aca="false">SUM(L117-FT117)</f>
        <v>10500</v>
      </c>
      <c r="FV117" s="31" t="n">
        <f aca="false">SUM( H117/5)</f>
        <v>13</v>
      </c>
      <c r="FW117" s="31" t="n">
        <f aca="false">SUM( I117/5)</f>
        <v>1.4</v>
      </c>
      <c r="FX117" s="32" t="n">
        <f aca="false">SUM(FV117/4)</f>
        <v>3.25</v>
      </c>
      <c r="FY117" s="32" t="n">
        <f aca="false">SUM(FW117/4)</f>
        <v>0.35</v>
      </c>
    </row>
    <row r="118" customFormat="false" ht="43.5" hidden="false" customHeight="true" outlineLevel="0" collapsed="false">
      <c r="A118" s="24" t="n">
        <v>3437</v>
      </c>
      <c r="B118" s="21" t="s">
        <v>385</v>
      </c>
      <c r="C118" s="21" t="s">
        <v>386</v>
      </c>
      <c r="D118" s="22"/>
      <c r="E118" s="23" t="n">
        <v>45940</v>
      </c>
      <c r="F118" s="23" t="n">
        <f aca="false">WORKDAY(E118,G118)</f>
        <v>46024</v>
      </c>
      <c r="G118" s="24" t="n">
        <v>60</v>
      </c>
      <c r="H118" s="25" t="n">
        <f aca="false">(FT118* 5)/M118</f>
        <v>8.59375</v>
      </c>
      <c r="I118" s="25" t="n">
        <f aca="false">G118-H118</f>
        <v>51.40625</v>
      </c>
      <c r="J118" s="26" t="s">
        <v>387</v>
      </c>
      <c r="K118" s="30" t="n">
        <v>400000</v>
      </c>
      <c r="L118" s="30" t="n">
        <v>768000</v>
      </c>
      <c r="M118" s="28" t="n">
        <f aca="false">(L118/G118)*5</f>
        <v>64000</v>
      </c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/>
      <c r="BL118" s="40"/>
      <c r="BM118" s="40"/>
      <c r="BN118" s="40"/>
      <c r="BO118" s="40"/>
      <c r="BP118" s="40"/>
      <c r="BQ118" s="40"/>
      <c r="BR118" s="40"/>
      <c r="BS118" s="40"/>
      <c r="BT118" s="40"/>
      <c r="BU118" s="40"/>
      <c r="BV118" s="40"/>
      <c r="BW118" s="40"/>
      <c r="BX118" s="40"/>
      <c r="BY118" s="40"/>
      <c r="BZ118" s="40"/>
      <c r="CA118" s="40"/>
      <c r="CB118" s="40"/>
      <c r="CC118" s="40"/>
      <c r="CD118" s="40"/>
      <c r="CE118" s="40"/>
      <c r="CF118" s="40"/>
      <c r="CG118" s="40"/>
      <c r="CH118" s="40"/>
      <c r="CI118" s="40"/>
      <c r="CJ118" s="40"/>
      <c r="CK118" s="40"/>
      <c r="CL118" s="40"/>
      <c r="CM118" s="40"/>
      <c r="CN118" s="40"/>
      <c r="CO118" s="40"/>
      <c r="CP118" s="40"/>
      <c r="CQ118" s="40"/>
      <c r="CR118" s="40"/>
      <c r="CS118" s="40"/>
      <c r="CT118" s="40"/>
      <c r="CU118" s="40"/>
      <c r="CV118" s="40"/>
      <c r="CW118" s="40"/>
      <c r="CX118" s="40"/>
      <c r="CY118" s="40"/>
      <c r="CZ118" s="40"/>
      <c r="DA118" s="40"/>
      <c r="DB118" s="40"/>
      <c r="DC118" s="40"/>
      <c r="DD118" s="40"/>
      <c r="DE118" s="40"/>
      <c r="DF118" s="40"/>
      <c r="DG118" s="40"/>
      <c r="DH118" s="40"/>
      <c r="DI118" s="40"/>
      <c r="DJ118" s="40"/>
      <c r="DK118" s="40"/>
      <c r="DL118" s="40"/>
      <c r="DM118" s="40"/>
      <c r="DN118" s="40"/>
      <c r="DO118" s="40"/>
      <c r="DP118" s="40"/>
      <c r="DQ118" s="40"/>
      <c r="DR118" s="40"/>
      <c r="DS118" s="40"/>
      <c r="DT118" s="40"/>
      <c r="DU118" s="40"/>
      <c r="DV118" s="40"/>
      <c r="DW118" s="40"/>
      <c r="DX118" s="40"/>
      <c r="DY118" s="40"/>
      <c r="DZ118" s="40"/>
      <c r="EA118" s="40"/>
      <c r="EB118" s="40"/>
      <c r="EC118" s="40"/>
      <c r="ED118" s="40"/>
      <c r="EE118" s="40"/>
      <c r="EF118" s="40"/>
      <c r="EG118" s="40"/>
      <c r="EH118" s="40"/>
      <c r="EI118" s="40"/>
      <c r="EJ118" s="40"/>
      <c r="EK118" s="40" t="s">
        <v>184</v>
      </c>
      <c r="EL118" s="40"/>
      <c r="EM118" s="40" t="s">
        <v>184</v>
      </c>
      <c r="EN118" s="40" t="s">
        <v>184</v>
      </c>
      <c r="EO118" s="40"/>
      <c r="EP118" s="40"/>
      <c r="EQ118" s="29"/>
      <c r="ER118" s="29"/>
      <c r="ES118" s="29" t="s">
        <v>184</v>
      </c>
      <c r="ET118" s="29"/>
      <c r="EU118" s="29"/>
      <c r="EV118" s="29" t="s">
        <v>184</v>
      </c>
      <c r="EW118" s="29"/>
      <c r="EX118" s="29"/>
      <c r="EY118" s="29"/>
      <c r="EZ118" s="29"/>
      <c r="FA118" s="29"/>
      <c r="FB118" s="29"/>
      <c r="FC118" s="29" t="s">
        <v>184</v>
      </c>
      <c r="FD118" s="29"/>
      <c r="FE118" s="29"/>
      <c r="FF118" s="29"/>
      <c r="FG118" s="29"/>
      <c r="FH118" s="29"/>
      <c r="FI118" s="29"/>
      <c r="FJ118" s="29"/>
      <c r="FK118" s="29"/>
      <c r="FL118" s="29"/>
      <c r="FM118" s="29"/>
      <c r="FN118" s="29"/>
      <c r="FO118" s="29"/>
      <c r="FP118" s="29"/>
      <c r="FQ118" s="29" t="n">
        <v>110000</v>
      </c>
      <c r="FR118" s="29"/>
      <c r="FS118" s="29"/>
      <c r="FT118" s="29" t="n">
        <f aca="false">SUM(N118:FS118)</f>
        <v>110000</v>
      </c>
      <c r="FU118" s="27" t="n">
        <f aca="false">SUM(L118-FT118)</f>
        <v>658000</v>
      </c>
      <c r="FV118" s="31" t="n">
        <f aca="false">SUM( H118/5)</f>
        <v>1.71875</v>
      </c>
      <c r="FW118" s="31" t="n">
        <f aca="false">SUM( I118/5)</f>
        <v>10.28125</v>
      </c>
      <c r="FX118" s="32" t="n">
        <f aca="false">SUM(FV118/4)</f>
        <v>0.4296875</v>
      </c>
      <c r="FY118" s="32" t="n">
        <f aca="false">SUM(FW118/4)</f>
        <v>2.5703125</v>
      </c>
    </row>
    <row r="119" customFormat="false" ht="43.5" hidden="false" customHeight="true" outlineLevel="0" collapsed="false">
      <c r="A119" s="24" t="n">
        <v>2935</v>
      </c>
      <c r="B119" s="21" t="s">
        <v>388</v>
      </c>
      <c r="C119" s="21" t="s">
        <v>389</v>
      </c>
      <c r="D119" s="22"/>
      <c r="E119" s="23" t="n">
        <v>45624</v>
      </c>
      <c r="F119" s="23" t="n">
        <f aca="false">WORKDAY(E119,G119)</f>
        <v>45848</v>
      </c>
      <c r="G119" s="24" t="n">
        <v>160</v>
      </c>
      <c r="H119" s="25" t="n">
        <f aca="false">(FT119* 5)/M119</f>
        <v>142.666666666667</v>
      </c>
      <c r="I119" s="25" t="n">
        <f aca="false">G119-H119</f>
        <v>17.3333333333333</v>
      </c>
      <c r="J119" s="26" t="s">
        <v>390</v>
      </c>
      <c r="K119" s="30" t="n">
        <v>300000</v>
      </c>
      <c r="L119" s="30" t="n">
        <v>900000</v>
      </c>
      <c r="M119" s="28" t="n">
        <f aca="false">(L119/G119)*5</f>
        <v>28125</v>
      </c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/>
      <c r="BL119" s="40"/>
      <c r="BM119" s="40"/>
      <c r="BN119" s="40"/>
      <c r="BO119" s="40"/>
      <c r="BP119" s="40"/>
      <c r="BQ119" s="40"/>
      <c r="BR119" s="40"/>
      <c r="BS119" s="40"/>
      <c r="BT119" s="40"/>
      <c r="BU119" s="40"/>
      <c r="BV119" s="40"/>
      <c r="BW119" s="40"/>
      <c r="BX119" s="40"/>
      <c r="BY119" s="40"/>
      <c r="BZ119" s="40"/>
      <c r="CA119" s="40"/>
      <c r="CB119" s="40"/>
      <c r="CC119" s="40"/>
      <c r="CD119" s="40"/>
      <c r="CE119" s="40"/>
      <c r="CF119" s="40"/>
      <c r="CG119" s="40"/>
      <c r="CH119" s="40"/>
      <c r="CI119" s="40"/>
      <c r="CJ119" s="40"/>
      <c r="CK119" s="40"/>
      <c r="CL119" s="40"/>
      <c r="CM119" s="40"/>
      <c r="CN119" s="40"/>
      <c r="CO119" s="40"/>
      <c r="CP119" s="40"/>
      <c r="CQ119" s="40"/>
      <c r="CR119" s="40"/>
      <c r="CS119" s="40"/>
      <c r="CT119" s="40"/>
      <c r="CU119" s="40"/>
      <c r="CV119" s="40"/>
      <c r="CW119" s="40"/>
      <c r="CX119" s="40"/>
      <c r="CY119" s="40"/>
      <c r="CZ119" s="40"/>
      <c r="DA119" s="40"/>
      <c r="DB119" s="40"/>
      <c r="DC119" s="40"/>
      <c r="DD119" s="40"/>
      <c r="DE119" s="40"/>
      <c r="DF119" s="40"/>
      <c r="DG119" s="40"/>
      <c r="DH119" s="40"/>
      <c r="DI119" s="40"/>
      <c r="DJ119" s="40"/>
      <c r="DK119" s="40"/>
      <c r="DL119" s="40"/>
      <c r="DM119" s="40"/>
      <c r="DN119" s="40"/>
      <c r="DO119" s="40"/>
      <c r="DP119" s="40"/>
      <c r="DQ119" s="40"/>
      <c r="DR119" s="40"/>
      <c r="DS119" s="40"/>
      <c r="DT119" s="40"/>
      <c r="DU119" s="40"/>
      <c r="DV119" s="40" t="n">
        <v>115000</v>
      </c>
      <c r="DW119" s="40"/>
      <c r="DX119" s="40"/>
      <c r="DY119" s="40"/>
      <c r="DZ119" s="40"/>
      <c r="EA119" s="40" t="n">
        <v>112500</v>
      </c>
      <c r="EB119" s="40"/>
      <c r="EC119" s="40"/>
      <c r="ED119" s="40" t="n">
        <v>112500</v>
      </c>
      <c r="EE119" s="40"/>
      <c r="EF119" s="40"/>
      <c r="EG119" s="40"/>
      <c r="EH119" s="40"/>
      <c r="EI119" s="40" t="n">
        <v>112500</v>
      </c>
      <c r="EJ119" s="40"/>
      <c r="EK119" s="40"/>
      <c r="EL119" s="40"/>
      <c r="EM119" s="40"/>
      <c r="EN119" s="40" t="n">
        <v>100000</v>
      </c>
      <c r="EO119" s="40"/>
      <c r="EP119" s="40"/>
      <c r="EQ119" s="29" t="n">
        <v>100000</v>
      </c>
      <c r="ER119" s="29"/>
      <c r="ES119" s="29"/>
      <c r="ET119" s="29"/>
      <c r="EU119" s="29"/>
      <c r="EV119" s="29"/>
      <c r="EW119" s="29"/>
      <c r="EX119" s="29"/>
      <c r="EY119" s="29"/>
      <c r="EZ119" s="29"/>
      <c r="FA119" s="29"/>
      <c r="FB119" s="29"/>
      <c r="FC119" s="29"/>
      <c r="FD119" s="29"/>
      <c r="FE119" s="29"/>
      <c r="FF119" s="29"/>
      <c r="FG119" s="29"/>
      <c r="FH119" s="29" t="n">
        <v>100000</v>
      </c>
      <c r="FI119" s="29"/>
      <c r="FJ119" s="29"/>
      <c r="FK119" s="29"/>
      <c r="FL119" s="29"/>
      <c r="FM119" s="29"/>
      <c r="FN119" s="29" t="n">
        <v>50000</v>
      </c>
      <c r="FO119" s="29" t="s">
        <v>184</v>
      </c>
      <c r="FP119" s="29"/>
      <c r="FQ119" s="29"/>
      <c r="FR119" s="29"/>
      <c r="FS119" s="29"/>
      <c r="FT119" s="29" t="n">
        <f aca="false">SUM(N119:FS119)</f>
        <v>802500</v>
      </c>
      <c r="FU119" s="27" t="n">
        <f aca="false">SUM(L119-FT119)</f>
        <v>97500</v>
      </c>
      <c r="FV119" s="31" t="n">
        <f aca="false">SUM( H119/5)</f>
        <v>28.5333333333333</v>
      </c>
      <c r="FW119" s="31" t="n">
        <f aca="false">SUM( I119/5)</f>
        <v>3.46666666666667</v>
      </c>
      <c r="FX119" s="32" t="n">
        <f aca="false">SUM(FV119/4)</f>
        <v>7.13333333333333</v>
      </c>
      <c r="FY119" s="32" t="n">
        <f aca="false">SUM(FW119/4)</f>
        <v>0.866666666666667</v>
      </c>
    </row>
    <row r="120" customFormat="false" ht="43.5" hidden="false" customHeight="true" outlineLevel="0" collapsed="false">
      <c r="A120" s="24" t="n">
        <v>3133</v>
      </c>
      <c r="B120" s="21" t="s">
        <v>388</v>
      </c>
      <c r="C120" s="21" t="s">
        <v>389</v>
      </c>
      <c r="D120" s="22"/>
      <c r="E120" s="23" t="n">
        <v>45747</v>
      </c>
      <c r="F120" s="23" t="n">
        <f aca="false">WORKDAY(E120,G120)</f>
        <v>45915</v>
      </c>
      <c r="G120" s="24" t="n">
        <v>120</v>
      </c>
      <c r="H120" s="25" t="n">
        <f aca="false">(FT120* 5)/M120</f>
        <v>16.0839160839161</v>
      </c>
      <c r="I120" s="25" t="n">
        <f aca="false">G120-H120</f>
        <v>103.916083916084</v>
      </c>
      <c r="J120" s="26" t="s">
        <v>391</v>
      </c>
      <c r="K120" s="30" t="n">
        <v>130000</v>
      </c>
      <c r="L120" s="30" t="n">
        <v>343200</v>
      </c>
      <c r="M120" s="28" t="n">
        <f aca="false">(L120/G120)*5</f>
        <v>14300</v>
      </c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/>
      <c r="BL120" s="40"/>
      <c r="BM120" s="40"/>
      <c r="BN120" s="40"/>
      <c r="BO120" s="40"/>
      <c r="BP120" s="40"/>
      <c r="BQ120" s="40"/>
      <c r="BR120" s="40"/>
      <c r="BS120" s="40"/>
      <c r="BT120" s="40"/>
      <c r="BU120" s="40"/>
      <c r="BV120" s="40"/>
      <c r="BW120" s="40"/>
      <c r="BX120" s="40"/>
      <c r="BY120" s="40"/>
      <c r="BZ120" s="40"/>
      <c r="CA120" s="40"/>
      <c r="CB120" s="40"/>
      <c r="CC120" s="40"/>
      <c r="CD120" s="40"/>
      <c r="CE120" s="40"/>
      <c r="CF120" s="40"/>
      <c r="CG120" s="40"/>
      <c r="CH120" s="40"/>
      <c r="CI120" s="40"/>
      <c r="CJ120" s="40"/>
      <c r="CK120" s="40"/>
      <c r="CL120" s="40"/>
      <c r="CM120" s="40"/>
      <c r="CN120" s="40"/>
      <c r="CO120" s="40"/>
      <c r="CP120" s="40"/>
      <c r="CQ120" s="40"/>
      <c r="CR120" s="40"/>
      <c r="CS120" s="40"/>
      <c r="CT120" s="40"/>
      <c r="CU120" s="40"/>
      <c r="CV120" s="40"/>
      <c r="CW120" s="40"/>
      <c r="CX120" s="40"/>
      <c r="CY120" s="40"/>
      <c r="CZ120" s="40"/>
      <c r="DA120" s="40"/>
      <c r="DB120" s="40"/>
      <c r="DC120" s="40"/>
      <c r="DD120" s="40"/>
      <c r="DE120" s="40"/>
      <c r="DF120" s="40"/>
      <c r="DG120" s="40"/>
      <c r="DH120" s="40"/>
      <c r="DI120" s="40"/>
      <c r="DJ120" s="40"/>
      <c r="DK120" s="40"/>
      <c r="DL120" s="40"/>
      <c r="DM120" s="40"/>
      <c r="DN120" s="40"/>
      <c r="DO120" s="40"/>
      <c r="DP120" s="40"/>
      <c r="DQ120" s="40"/>
      <c r="DR120" s="40"/>
      <c r="DS120" s="40"/>
      <c r="DT120" s="40"/>
      <c r="DU120" s="40"/>
      <c r="DV120" s="40"/>
      <c r="DW120" s="40"/>
      <c r="DX120" s="40"/>
      <c r="DY120" s="40"/>
      <c r="DZ120" s="40"/>
      <c r="EA120" s="40"/>
      <c r="EB120" s="40"/>
      <c r="EC120" s="40"/>
      <c r="ED120" s="40"/>
      <c r="EE120" s="40"/>
      <c r="EF120" s="40"/>
      <c r="EG120" s="40"/>
      <c r="EH120" s="40"/>
      <c r="EI120" s="40" t="s">
        <v>184</v>
      </c>
      <c r="EJ120" s="40"/>
      <c r="EK120" s="40"/>
      <c r="EL120" s="40"/>
      <c r="EM120" s="40"/>
      <c r="EN120" s="40"/>
      <c r="EO120" s="40"/>
      <c r="EP120" s="40"/>
      <c r="EQ120" s="29"/>
      <c r="ER120" s="29"/>
      <c r="ES120" s="29"/>
      <c r="ET120" s="29"/>
      <c r="EU120" s="29"/>
      <c r="EV120" s="29"/>
      <c r="EW120" s="29"/>
      <c r="EX120" s="29"/>
      <c r="EY120" s="29"/>
      <c r="EZ120" s="29"/>
      <c r="FA120" s="29"/>
      <c r="FB120" s="29"/>
      <c r="FC120" s="29"/>
      <c r="FD120" s="29"/>
      <c r="FE120" s="29"/>
      <c r="FF120" s="29"/>
      <c r="FG120" s="29"/>
      <c r="FH120" s="29" t="n">
        <v>46000</v>
      </c>
      <c r="FI120" s="29"/>
      <c r="FJ120" s="29"/>
      <c r="FK120" s="29"/>
      <c r="FL120" s="29"/>
      <c r="FM120" s="29"/>
      <c r="FN120" s="29"/>
      <c r="FO120" s="29"/>
      <c r="FP120" s="29"/>
      <c r="FQ120" s="29"/>
      <c r="FR120" s="29"/>
      <c r="FS120" s="29"/>
      <c r="FT120" s="29" t="n">
        <f aca="false">SUM(N120:FS120)</f>
        <v>46000</v>
      </c>
      <c r="FU120" s="27" t="n">
        <f aca="false">SUM(L120-FT120)</f>
        <v>297200</v>
      </c>
      <c r="FV120" s="31" t="n">
        <f aca="false">SUM( H120/5)</f>
        <v>3.21678321678322</v>
      </c>
      <c r="FW120" s="31" t="n">
        <f aca="false">SUM( I120/5)</f>
        <v>20.7832167832168</v>
      </c>
      <c r="FX120" s="32" t="n">
        <f aca="false">SUM(FV120/4)</f>
        <v>0.804195804195804</v>
      </c>
      <c r="FY120" s="32" t="n">
        <f aca="false">SUM(FW120/4)</f>
        <v>5.1958041958042</v>
      </c>
    </row>
    <row r="121" customFormat="false" ht="43.5" hidden="false" customHeight="true" outlineLevel="0" collapsed="false">
      <c r="A121" s="61" t="n">
        <v>3506</v>
      </c>
      <c r="B121" s="21" t="s">
        <v>388</v>
      </c>
      <c r="C121" s="21" t="s">
        <v>389</v>
      </c>
      <c r="D121" s="22"/>
      <c r="E121" s="23" t="n">
        <v>45981</v>
      </c>
      <c r="F121" s="23" t="n">
        <f aca="false">WORKDAY(E121,G121)</f>
        <v>46093</v>
      </c>
      <c r="G121" s="24" t="n">
        <v>80</v>
      </c>
      <c r="H121" s="25" t="n">
        <f aca="false">(FT121* 5)/M121</f>
        <v>0</v>
      </c>
      <c r="I121" s="25" t="n">
        <f aca="false">G121-H121</f>
        <v>80</v>
      </c>
      <c r="J121" s="26" t="s">
        <v>392</v>
      </c>
      <c r="K121" s="27" t="n">
        <v>50000</v>
      </c>
      <c r="L121" s="27" t="n">
        <v>108000</v>
      </c>
      <c r="M121" s="28" t="n">
        <f aca="false">(L121/G121)*5</f>
        <v>6750</v>
      </c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0"/>
      <c r="BV121" s="40"/>
      <c r="BW121" s="40"/>
      <c r="BX121" s="40"/>
      <c r="BY121" s="40"/>
      <c r="BZ121" s="40"/>
      <c r="CA121" s="40"/>
      <c r="CB121" s="40"/>
      <c r="CC121" s="40"/>
      <c r="CD121" s="40"/>
      <c r="CE121" s="40"/>
      <c r="CF121" s="40"/>
      <c r="CG121" s="40"/>
      <c r="CH121" s="40"/>
      <c r="CI121" s="40"/>
      <c r="CJ121" s="40"/>
      <c r="CK121" s="40"/>
      <c r="CL121" s="40"/>
      <c r="CM121" s="40"/>
      <c r="CN121" s="40"/>
      <c r="CO121" s="40"/>
      <c r="CP121" s="40"/>
      <c r="CQ121" s="40"/>
      <c r="CR121" s="40"/>
      <c r="CS121" s="40"/>
      <c r="CT121" s="40"/>
      <c r="CU121" s="40"/>
      <c r="CV121" s="40"/>
      <c r="CW121" s="40"/>
      <c r="CX121" s="40"/>
      <c r="CY121" s="40"/>
      <c r="CZ121" s="40"/>
      <c r="DA121" s="40"/>
      <c r="DB121" s="40"/>
      <c r="DC121" s="40"/>
      <c r="DD121" s="40"/>
      <c r="DE121" s="40"/>
      <c r="DF121" s="40"/>
      <c r="DG121" s="40"/>
      <c r="DH121" s="40"/>
      <c r="DI121" s="40"/>
      <c r="DJ121" s="40"/>
      <c r="DK121" s="40"/>
      <c r="DL121" s="40"/>
      <c r="DM121" s="40"/>
      <c r="DN121" s="40"/>
      <c r="DO121" s="40"/>
      <c r="DP121" s="40"/>
      <c r="DQ121" s="40"/>
      <c r="DR121" s="40"/>
      <c r="DS121" s="40"/>
      <c r="DT121" s="40"/>
      <c r="DU121" s="40"/>
      <c r="DV121" s="40"/>
      <c r="DW121" s="40"/>
      <c r="DX121" s="40"/>
      <c r="DY121" s="40"/>
      <c r="DZ121" s="40"/>
      <c r="EA121" s="40"/>
      <c r="EB121" s="40"/>
      <c r="EC121" s="40"/>
      <c r="ED121" s="40"/>
      <c r="EE121" s="40"/>
      <c r="EF121" s="40"/>
      <c r="EG121" s="40"/>
      <c r="EH121" s="40"/>
      <c r="EI121" s="40"/>
      <c r="EJ121" s="40"/>
      <c r="EK121" s="40" t="s">
        <v>184</v>
      </c>
      <c r="EL121" s="40"/>
      <c r="EM121" s="40" t="s">
        <v>184</v>
      </c>
      <c r="EN121" s="40" t="s">
        <v>184</v>
      </c>
      <c r="EO121" s="40"/>
      <c r="EP121" s="40"/>
      <c r="EQ121" s="29"/>
      <c r="ER121" s="29"/>
      <c r="ES121" s="29" t="s">
        <v>184</v>
      </c>
      <c r="ET121" s="29"/>
      <c r="EU121" s="29"/>
      <c r="EV121" s="29" t="s">
        <v>184</v>
      </c>
      <c r="EW121" s="29"/>
      <c r="EX121" s="29"/>
      <c r="EY121" s="29"/>
      <c r="EZ121" s="29"/>
      <c r="FA121" s="29"/>
      <c r="FB121" s="29"/>
      <c r="FC121" s="29" t="s">
        <v>184</v>
      </c>
      <c r="FD121" s="29"/>
      <c r="FE121" s="29"/>
      <c r="FF121" s="29"/>
      <c r="FG121" s="29"/>
      <c r="FH121" s="29"/>
      <c r="FI121" s="29"/>
      <c r="FJ121" s="29"/>
      <c r="FK121" s="29"/>
      <c r="FL121" s="29" t="s">
        <v>184</v>
      </c>
      <c r="FM121" s="29"/>
      <c r="FN121" s="29"/>
      <c r="FO121" s="29"/>
      <c r="FP121" s="29"/>
      <c r="FQ121" s="29"/>
      <c r="FR121" s="29"/>
      <c r="FS121" s="29"/>
      <c r="FT121" s="29" t="n">
        <f aca="false">SUM(N121:FS121)</f>
        <v>0</v>
      </c>
      <c r="FU121" s="27" t="n">
        <f aca="false">SUM(L121-FT121)</f>
        <v>108000</v>
      </c>
      <c r="FV121" s="31" t="n">
        <f aca="false">SUM( H121/5)</f>
        <v>0</v>
      </c>
      <c r="FW121" s="31" t="n">
        <f aca="false">SUM( I121/5)</f>
        <v>16</v>
      </c>
      <c r="FX121" s="32" t="n">
        <f aca="false">SUM(FV121/4)</f>
        <v>0</v>
      </c>
      <c r="FY121" s="32" t="n">
        <f aca="false">SUM(FW121/4)</f>
        <v>4</v>
      </c>
    </row>
    <row r="122" customFormat="false" ht="43.5" hidden="false" customHeight="true" outlineLevel="0" collapsed="false">
      <c r="A122" s="24" t="n">
        <v>2881</v>
      </c>
      <c r="B122" s="21" t="s">
        <v>393</v>
      </c>
      <c r="C122" s="21"/>
      <c r="D122" s="22"/>
      <c r="E122" s="23" t="n">
        <v>45588</v>
      </c>
      <c r="F122" s="23" t="n">
        <f aca="false">WORKDAY(E122,G122)</f>
        <v>45756</v>
      </c>
      <c r="G122" s="24" t="n">
        <v>120</v>
      </c>
      <c r="H122" s="25" t="n">
        <f aca="false">(FT122* 5)/M122</f>
        <v>59.5161290322581</v>
      </c>
      <c r="I122" s="25" t="n">
        <f aca="false">G122-H122</f>
        <v>60.4838709677419</v>
      </c>
      <c r="J122" s="26" t="s">
        <v>394</v>
      </c>
      <c r="K122" s="27" t="n">
        <v>120000</v>
      </c>
      <c r="L122" s="27" t="n">
        <v>396800</v>
      </c>
      <c r="M122" s="28" t="n">
        <f aca="false">(L122/G122)*5</f>
        <v>16533.3333333333</v>
      </c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C122" s="40"/>
      <c r="CD122" s="40"/>
      <c r="CE122" s="40"/>
      <c r="CF122" s="40"/>
      <c r="CG122" s="40"/>
      <c r="CH122" s="40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  <c r="CW122" s="40"/>
      <c r="CX122" s="40"/>
      <c r="CY122" s="40"/>
      <c r="CZ122" s="40"/>
      <c r="DA122" s="40"/>
      <c r="DB122" s="40"/>
      <c r="DC122" s="40"/>
      <c r="DD122" s="40"/>
      <c r="DE122" s="40"/>
      <c r="DF122" s="40"/>
      <c r="DG122" s="40"/>
      <c r="DH122" s="40"/>
      <c r="DI122" s="40"/>
      <c r="DJ122" s="40"/>
      <c r="DK122" s="40"/>
      <c r="DL122" s="40"/>
      <c r="DM122" s="40"/>
      <c r="DN122" s="40"/>
      <c r="DO122" s="40"/>
      <c r="DP122" s="40"/>
      <c r="DQ122" s="40"/>
      <c r="DR122" s="40"/>
      <c r="DS122" s="40"/>
      <c r="DT122" s="40"/>
      <c r="DU122" s="40" t="n">
        <v>52800</v>
      </c>
      <c r="DV122" s="40"/>
      <c r="DW122" s="40"/>
      <c r="DX122" s="40"/>
      <c r="DY122" s="40"/>
      <c r="DZ122" s="40" t="n">
        <v>500</v>
      </c>
      <c r="EA122" s="40"/>
      <c r="EB122" s="40"/>
      <c r="EC122" s="40"/>
      <c r="ED122" s="40"/>
      <c r="EE122" s="40" t="n">
        <v>20000</v>
      </c>
      <c r="EF122" s="40"/>
      <c r="EG122" s="40"/>
      <c r="EH122" s="40"/>
      <c r="EI122" s="40"/>
      <c r="EJ122" s="40"/>
      <c r="EK122" s="40"/>
      <c r="EL122" s="40"/>
      <c r="EM122" s="40"/>
      <c r="EN122" s="40"/>
      <c r="EO122" s="40"/>
      <c r="EP122" s="40"/>
      <c r="EQ122" s="29"/>
      <c r="ER122" s="29"/>
      <c r="ES122" s="29"/>
      <c r="ET122" s="29"/>
      <c r="EU122" s="29"/>
      <c r="EV122" s="29"/>
      <c r="EW122" s="29"/>
      <c r="EX122" s="29"/>
      <c r="EY122" s="29"/>
      <c r="EZ122" s="29"/>
      <c r="FA122" s="29"/>
      <c r="FB122" s="29"/>
      <c r="FC122" s="29"/>
      <c r="FD122" s="29"/>
      <c r="FE122" s="29"/>
      <c r="FF122" s="29"/>
      <c r="FG122" s="29"/>
      <c r="FH122" s="29" t="n">
        <v>123500</v>
      </c>
      <c r="FI122" s="29"/>
      <c r="FJ122" s="29"/>
      <c r="FK122" s="29"/>
      <c r="FL122" s="29"/>
      <c r="FM122" s="29"/>
      <c r="FN122" s="29"/>
      <c r="FO122" s="29"/>
      <c r="FP122" s="29"/>
      <c r="FQ122" s="29"/>
      <c r="FR122" s="29"/>
      <c r="FS122" s="29"/>
      <c r="FT122" s="29" t="n">
        <f aca="false">SUM(N122:FS122)</f>
        <v>196800</v>
      </c>
      <c r="FU122" s="27" t="n">
        <f aca="false">SUM(L122-FT122)</f>
        <v>200000</v>
      </c>
      <c r="FV122" s="31" t="n">
        <f aca="false">SUM( H122/5)</f>
        <v>11.9032258064516</v>
      </c>
      <c r="FW122" s="31" t="n">
        <f aca="false">SUM( I122/5)</f>
        <v>12.0967741935484</v>
      </c>
      <c r="FX122" s="32" t="n">
        <f aca="false">SUM(FV122/4)</f>
        <v>2.9758064516129</v>
      </c>
      <c r="FY122" s="32" t="n">
        <f aca="false">SUM(FW122/4)</f>
        <v>3.0241935483871</v>
      </c>
    </row>
    <row r="123" customFormat="false" ht="43.5" hidden="false" customHeight="true" outlineLevel="0" collapsed="false">
      <c r="A123" s="24" t="n">
        <v>3044</v>
      </c>
      <c r="B123" s="21" t="s">
        <v>395</v>
      </c>
      <c r="C123" s="21" t="s">
        <v>396</v>
      </c>
      <c r="D123" s="22"/>
      <c r="E123" s="23" t="n">
        <v>45695</v>
      </c>
      <c r="F123" s="23" t="n">
        <f aca="false">WORKDAY(E123,G123)</f>
        <v>45863</v>
      </c>
      <c r="G123" s="24" t="n">
        <v>120</v>
      </c>
      <c r="H123" s="25" t="n">
        <f aca="false">(FT123* 5)/M123</f>
        <v>80.1818181818182</v>
      </c>
      <c r="I123" s="25" t="n">
        <f aca="false">G123-H123</f>
        <v>39.8181818181818</v>
      </c>
      <c r="J123" s="46" t="s">
        <v>397</v>
      </c>
      <c r="K123" s="50" t="n">
        <v>250000</v>
      </c>
      <c r="L123" s="27" t="n">
        <v>660000</v>
      </c>
      <c r="M123" s="45" t="n">
        <f aca="false">(L123/G123)*5</f>
        <v>27500</v>
      </c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C123" s="40"/>
      <c r="CD123" s="40"/>
      <c r="CE123" s="40"/>
      <c r="CF123" s="40"/>
      <c r="CG123" s="40"/>
      <c r="CH123" s="40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  <c r="CW123" s="40"/>
      <c r="CX123" s="40"/>
      <c r="CY123" s="40"/>
      <c r="CZ123" s="40"/>
      <c r="DA123" s="40"/>
      <c r="DB123" s="40"/>
      <c r="DC123" s="40"/>
      <c r="DD123" s="40"/>
      <c r="DE123" s="40"/>
      <c r="DF123" s="40"/>
      <c r="DG123" s="40"/>
      <c r="DH123" s="40"/>
      <c r="DI123" s="40"/>
      <c r="DJ123" s="40"/>
      <c r="DK123" s="40"/>
      <c r="DL123" s="40"/>
      <c r="DM123" s="40"/>
      <c r="DN123" s="40"/>
      <c r="DO123" s="40"/>
      <c r="DP123" s="40"/>
      <c r="DQ123" s="40"/>
      <c r="DR123" s="40"/>
      <c r="DS123" s="40"/>
      <c r="DT123" s="40"/>
      <c r="DU123" s="40"/>
      <c r="DV123" s="40"/>
      <c r="DW123" s="40"/>
      <c r="DX123" s="40"/>
      <c r="DY123" s="40"/>
      <c r="DZ123" s="40"/>
      <c r="EA123" s="40"/>
      <c r="EB123" s="40"/>
      <c r="EC123" s="40"/>
      <c r="ED123" s="40"/>
      <c r="EE123" s="40" t="n">
        <v>55000</v>
      </c>
      <c r="EF123" s="40"/>
      <c r="EG123" s="40" t="n">
        <v>55000</v>
      </c>
      <c r="EH123" s="40" t="n">
        <v>55000</v>
      </c>
      <c r="EI123" s="40"/>
      <c r="EJ123" s="40"/>
      <c r="EK123" s="40" t="n">
        <v>55000</v>
      </c>
      <c r="EL123" s="40"/>
      <c r="EM123" s="40" t="n">
        <v>55000</v>
      </c>
      <c r="EN123" s="40"/>
      <c r="EO123" s="40"/>
      <c r="EP123" s="40"/>
      <c r="EQ123" s="29"/>
      <c r="ER123" s="29"/>
      <c r="ES123" s="29"/>
      <c r="ET123" s="29"/>
      <c r="EU123" s="29"/>
      <c r="EV123" s="29" t="n">
        <v>39000</v>
      </c>
      <c r="EW123" s="29"/>
      <c r="EX123" s="29"/>
      <c r="EY123" s="29"/>
      <c r="EZ123" s="29"/>
      <c r="FA123" s="29"/>
      <c r="FB123" s="29"/>
      <c r="FC123" s="29"/>
      <c r="FD123" s="29"/>
      <c r="FE123" s="29"/>
      <c r="FF123" s="29"/>
      <c r="FG123" s="29"/>
      <c r="FH123" s="29"/>
      <c r="FI123" s="29"/>
      <c r="FJ123" s="29"/>
      <c r="FK123" s="29"/>
      <c r="FL123" s="29"/>
      <c r="FM123" s="29" t="n">
        <v>72000</v>
      </c>
      <c r="FN123" s="29"/>
      <c r="FO123" s="29"/>
      <c r="FP123" s="29" t="n">
        <v>55000</v>
      </c>
      <c r="FQ123" s="29"/>
      <c r="FR123" s="29"/>
      <c r="FS123" s="29"/>
      <c r="FT123" s="29" t="n">
        <f aca="false">SUM(N123:FS123)</f>
        <v>441000</v>
      </c>
      <c r="FU123" s="27" t="n">
        <f aca="false">SUM(L123-FT123)</f>
        <v>219000</v>
      </c>
      <c r="FV123" s="31" t="n">
        <f aca="false">SUM( H123/5)</f>
        <v>16.0363636363636</v>
      </c>
      <c r="FW123" s="31" t="n">
        <f aca="false">SUM( I123/5)</f>
        <v>7.96363636363636</v>
      </c>
      <c r="FX123" s="32" t="n">
        <f aca="false">SUM(FV123/4)</f>
        <v>4.00909090909091</v>
      </c>
      <c r="FY123" s="32" t="n">
        <f aca="false">SUM(FW123/4)</f>
        <v>1.99090909090909</v>
      </c>
    </row>
    <row r="124" customFormat="false" ht="43.5" hidden="false" customHeight="true" outlineLevel="0" collapsed="false">
      <c r="A124" s="24" t="n">
        <v>3110</v>
      </c>
      <c r="B124" s="21" t="s">
        <v>395</v>
      </c>
      <c r="C124" s="21" t="s">
        <v>396</v>
      </c>
      <c r="D124" s="22"/>
      <c r="E124" s="23" t="n">
        <v>45733</v>
      </c>
      <c r="F124" s="23" t="n">
        <f aca="false">WORKDAY(E124,G124)</f>
        <v>46069</v>
      </c>
      <c r="G124" s="24" t="n">
        <v>240</v>
      </c>
      <c r="H124" s="25" t="n">
        <f aca="false">(FT124* 5)/M124</f>
        <v>90.3639921722113</v>
      </c>
      <c r="I124" s="25" t="n">
        <f aca="false">G124-H124</f>
        <v>149.636007827789</v>
      </c>
      <c r="J124" s="46" t="s">
        <v>398</v>
      </c>
      <c r="K124" s="50" t="n">
        <v>1500000</v>
      </c>
      <c r="L124" s="27" t="n">
        <v>5110000</v>
      </c>
      <c r="M124" s="28" t="n">
        <f aca="false">(L124/G124)*5</f>
        <v>106458.333333333</v>
      </c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0"/>
      <c r="BV124" s="40"/>
      <c r="BW124" s="40"/>
      <c r="BX124" s="40"/>
      <c r="BY124" s="40"/>
      <c r="BZ124" s="40"/>
      <c r="CA124" s="40"/>
      <c r="CB124" s="40"/>
      <c r="CC124" s="40"/>
      <c r="CD124" s="40"/>
      <c r="CE124" s="40"/>
      <c r="CF124" s="40"/>
      <c r="CG124" s="40"/>
      <c r="CH124" s="40"/>
      <c r="CI124" s="40"/>
      <c r="CJ124" s="40"/>
      <c r="CK124" s="40"/>
      <c r="CL124" s="40"/>
      <c r="CM124" s="40"/>
      <c r="CN124" s="40"/>
      <c r="CO124" s="40"/>
      <c r="CP124" s="40"/>
      <c r="CQ124" s="40"/>
      <c r="CR124" s="40"/>
      <c r="CS124" s="40"/>
      <c r="CT124" s="40"/>
      <c r="CU124" s="40"/>
      <c r="CV124" s="40"/>
      <c r="CW124" s="40"/>
      <c r="CX124" s="40"/>
      <c r="CY124" s="40"/>
      <c r="CZ124" s="40"/>
      <c r="DA124" s="40"/>
      <c r="DB124" s="40"/>
      <c r="DC124" s="40"/>
      <c r="DD124" s="40"/>
      <c r="DE124" s="40"/>
      <c r="DF124" s="40"/>
      <c r="DG124" s="40"/>
      <c r="DH124" s="40"/>
      <c r="DI124" s="40"/>
      <c r="DJ124" s="40"/>
      <c r="DK124" s="40"/>
      <c r="DL124" s="40"/>
      <c r="DM124" s="40"/>
      <c r="DN124" s="40"/>
      <c r="DO124" s="40"/>
      <c r="DP124" s="40"/>
      <c r="DQ124" s="40"/>
      <c r="DR124" s="40"/>
      <c r="DS124" s="40"/>
      <c r="DT124" s="40"/>
      <c r="DU124" s="40"/>
      <c r="DV124" s="40"/>
      <c r="DW124" s="40"/>
      <c r="DX124" s="40"/>
      <c r="DY124" s="40"/>
      <c r="DZ124" s="40"/>
      <c r="EA124" s="40"/>
      <c r="EB124" s="40"/>
      <c r="EC124" s="40"/>
      <c r="ED124" s="40"/>
      <c r="EE124" s="40"/>
      <c r="EF124" s="40"/>
      <c r="EG124" s="40"/>
      <c r="EH124" s="40"/>
      <c r="EI124" s="40"/>
      <c r="EJ124" s="40"/>
      <c r="EK124" s="40"/>
      <c r="EL124" s="40"/>
      <c r="EM124" s="40"/>
      <c r="EN124" s="40"/>
      <c r="EO124" s="40" t="n">
        <v>324000</v>
      </c>
      <c r="EP124" s="40" t="n">
        <v>105000</v>
      </c>
      <c r="EQ124" s="29"/>
      <c r="ER124" s="29"/>
      <c r="ES124" s="29" t="n">
        <v>425000</v>
      </c>
      <c r="ET124" s="29"/>
      <c r="EU124" s="29"/>
      <c r="EV124" s="29"/>
      <c r="EW124" s="29"/>
      <c r="EX124" s="29" t="n">
        <v>350000</v>
      </c>
      <c r="EY124" s="29"/>
      <c r="EZ124" s="29"/>
      <c r="FA124" s="29"/>
      <c r="FB124" s="29"/>
      <c r="FC124" s="29"/>
      <c r="FD124" s="29"/>
      <c r="FE124" s="29"/>
      <c r="FF124" s="29" t="n">
        <v>300000</v>
      </c>
      <c r="FG124" s="29" t="n">
        <v>125000</v>
      </c>
      <c r="FH124" s="29"/>
      <c r="FI124" s="29"/>
      <c r="FJ124" s="29"/>
      <c r="FK124" s="29" t="n">
        <v>200000</v>
      </c>
      <c r="FL124" s="29"/>
      <c r="FM124" s="29"/>
      <c r="FN124" s="29"/>
      <c r="FO124" s="29"/>
      <c r="FP124" s="29" t="n">
        <v>95000</v>
      </c>
      <c r="FQ124" s="29"/>
      <c r="FR124" s="29"/>
      <c r="FS124" s="29"/>
      <c r="FT124" s="29" t="n">
        <f aca="false">SUM(N124:FS124)</f>
        <v>1924000</v>
      </c>
      <c r="FU124" s="27" t="n">
        <f aca="false">SUM(L124-FT124)</f>
        <v>3186000</v>
      </c>
      <c r="FV124" s="31" t="n">
        <f aca="false">SUM( H124/5)</f>
        <v>18.0727984344423</v>
      </c>
      <c r="FW124" s="31" t="n">
        <f aca="false">SUM( I124/5)</f>
        <v>29.9272015655577</v>
      </c>
      <c r="FX124" s="32" t="n">
        <f aca="false">SUM(FV124/4)</f>
        <v>4.51819960861057</v>
      </c>
      <c r="FY124" s="32" t="n">
        <f aca="false">SUM(FW124/4)</f>
        <v>7.48180039138943</v>
      </c>
    </row>
    <row r="125" customFormat="false" ht="43.5" hidden="false" customHeight="true" outlineLevel="0" collapsed="false">
      <c r="A125" s="24" t="n">
        <v>3398</v>
      </c>
      <c r="B125" s="21" t="s">
        <v>399</v>
      </c>
      <c r="C125" s="21" t="s">
        <v>400</v>
      </c>
      <c r="D125" s="22" t="n">
        <v>27249921551</v>
      </c>
      <c r="E125" s="23" t="n">
        <v>45915</v>
      </c>
      <c r="F125" s="23" t="n">
        <f aca="false">WORKDAY(E125,G125)</f>
        <v>46013</v>
      </c>
      <c r="G125" s="24" t="n">
        <v>70</v>
      </c>
      <c r="H125" s="25" t="n">
        <f aca="false">(FT125* 5)/M125</f>
        <v>50</v>
      </c>
      <c r="I125" s="25" t="n">
        <f aca="false">G125-H125</f>
        <v>20</v>
      </c>
      <c r="J125" s="46" t="s">
        <v>401</v>
      </c>
      <c r="K125" s="55" t="n">
        <v>150000</v>
      </c>
      <c r="L125" s="30" t="n">
        <v>324100</v>
      </c>
      <c r="M125" s="45" t="n">
        <f aca="false">(L125/G125)*5</f>
        <v>23150</v>
      </c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  <c r="CF125" s="29"/>
      <c r="CG125" s="29"/>
      <c r="CH125" s="29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  <c r="CZ125" s="29"/>
      <c r="DA125" s="29"/>
      <c r="DB125" s="29"/>
      <c r="DC125" s="29"/>
      <c r="DD125" s="29"/>
      <c r="DE125" s="29"/>
      <c r="DF125" s="29"/>
      <c r="DG125" s="29"/>
      <c r="DH125" s="29"/>
      <c r="DI125" s="29"/>
      <c r="DJ125" s="29"/>
      <c r="DK125" s="29"/>
      <c r="DL125" s="29"/>
      <c r="DM125" s="29"/>
      <c r="DN125" s="29"/>
      <c r="DO125" s="29"/>
      <c r="DP125" s="29"/>
      <c r="DQ125" s="29"/>
      <c r="DR125" s="29"/>
      <c r="DS125" s="29"/>
      <c r="DT125" s="29"/>
      <c r="DU125" s="29"/>
      <c r="DV125" s="29"/>
      <c r="DW125" s="29"/>
      <c r="DX125" s="29"/>
      <c r="DY125" s="29"/>
      <c r="DZ125" s="29"/>
      <c r="EA125" s="29"/>
      <c r="EB125" s="29"/>
      <c r="EC125" s="29"/>
      <c r="ED125" s="29"/>
      <c r="EE125" s="29"/>
      <c r="EF125" s="29"/>
      <c r="EG125" s="29"/>
      <c r="EH125" s="29"/>
      <c r="EI125" s="29"/>
      <c r="EJ125" s="29"/>
      <c r="EK125" s="29" t="s">
        <v>184</v>
      </c>
      <c r="EL125" s="29"/>
      <c r="EM125" s="29" t="s">
        <v>184</v>
      </c>
      <c r="EN125" s="29" t="s">
        <v>184</v>
      </c>
      <c r="EO125" s="29"/>
      <c r="EP125" s="29"/>
      <c r="EQ125" s="29"/>
      <c r="ER125" s="29"/>
      <c r="ES125" s="29" t="s">
        <v>184</v>
      </c>
      <c r="ET125" s="29"/>
      <c r="EU125" s="29"/>
      <c r="EV125" s="29" t="s">
        <v>184</v>
      </c>
      <c r="EW125" s="29"/>
      <c r="EX125" s="29"/>
      <c r="EY125" s="29"/>
      <c r="EZ125" s="29"/>
      <c r="FA125" s="29"/>
      <c r="FB125" s="29"/>
      <c r="FC125" s="29" t="s">
        <v>184</v>
      </c>
      <c r="FD125" s="29"/>
      <c r="FE125" s="29"/>
      <c r="FF125" s="29"/>
      <c r="FG125" s="29"/>
      <c r="FH125" s="29"/>
      <c r="FI125" s="29" t="n">
        <v>46300</v>
      </c>
      <c r="FJ125" s="29"/>
      <c r="FK125" s="29" t="n">
        <v>46300</v>
      </c>
      <c r="FL125" s="29"/>
      <c r="FM125" s="29" t="n">
        <v>46300</v>
      </c>
      <c r="FN125" s="29"/>
      <c r="FO125" s="29"/>
      <c r="FP125" s="29" t="n">
        <v>46300</v>
      </c>
      <c r="FQ125" s="29"/>
      <c r="FR125" s="29" t="n">
        <v>46300</v>
      </c>
      <c r="FS125" s="29"/>
      <c r="FT125" s="29" t="n">
        <f aca="false">SUM(N125:FS125)</f>
        <v>231500</v>
      </c>
      <c r="FU125" s="27" t="n">
        <f aca="false">SUM(L125-FT125)</f>
        <v>92600</v>
      </c>
      <c r="FV125" s="31" t="n">
        <f aca="false">SUM( H125/5)</f>
        <v>10</v>
      </c>
      <c r="FW125" s="31" t="n">
        <f aca="false">SUM( I125/5)</f>
        <v>4</v>
      </c>
      <c r="FX125" s="32" t="n">
        <f aca="false">SUM(FV125/4)</f>
        <v>2.5</v>
      </c>
      <c r="FY125" s="32" t="n">
        <f aca="false">SUM(FW125/4)</f>
        <v>1</v>
      </c>
    </row>
    <row r="126" customFormat="false" ht="43.5" hidden="false" customHeight="true" outlineLevel="0" collapsed="false">
      <c r="A126" s="24" t="n">
        <v>3438</v>
      </c>
      <c r="B126" s="21" t="s">
        <v>399</v>
      </c>
      <c r="C126" s="21" t="s">
        <v>400</v>
      </c>
      <c r="D126" s="22" t="n">
        <v>27249921551</v>
      </c>
      <c r="E126" s="23" t="n">
        <v>45941</v>
      </c>
      <c r="F126" s="23" t="n">
        <f aca="false">WORKDAY(E126,G126)</f>
        <v>46108</v>
      </c>
      <c r="G126" s="24" t="n">
        <v>120</v>
      </c>
      <c r="H126" s="25" t="n">
        <f aca="false">(FT126* 5)/M126</f>
        <v>20</v>
      </c>
      <c r="I126" s="25" t="n">
        <f aca="false">G126-H126</f>
        <v>100</v>
      </c>
      <c r="J126" s="26" t="s">
        <v>402</v>
      </c>
      <c r="K126" s="27" t="n">
        <v>100000</v>
      </c>
      <c r="L126" s="27" t="n">
        <v>264000</v>
      </c>
      <c r="M126" s="28" t="n">
        <f aca="false">(L126/G126)*5</f>
        <v>11000</v>
      </c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  <c r="CZ126" s="29"/>
      <c r="DA126" s="29"/>
      <c r="DB126" s="29"/>
      <c r="DC126" s="29"/>
      <c r="DD126" s="29"/>
      <c r="DE126" s="29"/>
      <c r="DF126" s="29"/>
      <c r="DG126" s="29"/>
      <c r="DH126" s="29"/>
      <c r="DI126" s="29"/>
      <c r="DJ126" s="29"/>
      <c r="DK126" s="29"/>
      <c r="DL126" s="29"/>
      <c r="DM126" s="29"/>
      <c r="DN126" s="29"/>
      <c r="DO126" s="29"/>
      <c r="DP126" s="29"/>
      <c r="DQ126" s="29"/>
      <c r="DR126" s="29"/>
      <c r="DS126" s="29"/>
      <c r="DT126" s="29"/>
      <c r="DU126" s="29"/>
      <c r="DV126" s="29"/>
      <c r="DW126" s="29"/>
      <c r="DX126" s="29"/>
      <c r="DY126" s="29"/>
      <c r="DZ126" s="29"/>
      <c r="EA126" s="29"/>
      <c r="EB126" s="29"/>
      <c r="EC126" s="29"/>
      <c r="ED126" s="29"/>
      <c r="EE126" s="29"/>
      <c r="EF126" s="29"/>
      <c r="EG126" s="29"/>
      <c r="EH126" s="29"/>
      <c r="EI126" s="29"/>
      <c r="EJ126" s="29"/>
      <c r="EK126" s="29" t="s">
        <v>184</v>
      </c>
      <c r="EL126" s="29"/>
      <c r="EM126" s="29" t="s">
        <v>184</v>
      </c>
      <c r="EN126" s="29" t="s">
        <v>184</v>
      </c>
      <c r="EO126" s="29"/>
      <c r="EP126" s="29"/>
      <c r="EQ126" s="29"/>
      <c r="ER126" s="29"/>
      <c r="ES126" s="29" t="s">
        <v>184</v>
      </c>
      <c r="ET126" s="29"/>
      <c r="EU126" s="29"/>
      <c r="EV126" s="29" t="s">
        <v>184</v>
      </c>
      <c r="EW126" s="29"/>
      <c r="EX126" s="29"/>
      <c r="EY126" s="29"/>
      <c r="EZ126" s="29"/>
      <c r="FA126" s="29"/>
      <c r="FB126" s="29"/>
      <c r="FC126" s="29" t="s">
        <v>184</v>
      </c>
      <c r="FD126" s="29"/>
      <c r="FE126" s="29"/>
      <c r="FF126" s="29"/>
      <c r="FG126" s="29"/>
      <c r="FH126" s="29"/>
      <c r="FI126" s="29"/>
      <c r="FJ126" s="29"/>
      <c r="FK126" s="29"/>
      <c r="FL126" s="29"/>
      <c r="FM126" s="29"/>
      <c r="FN126" s="29"/>
      <c r="FO126" s="29"/>
      <c r="FP126" s="29" t="n">
        <v>44000</v>
      </c>
      <c r="FQ126" s="29"/>
      <c r="FR126" s="29"/>
      <c r="FS126" s="29"/>
      <c r="FT126" s="29" t="n">
        <f aca="false">SUM(N126:FS126)</f>
        <v>44000</v>
      </c>
      <c r="FU126" s="27" t="n">
        <f aca="false">SUM(L126-FT126)</f>
        <v>220000</v>
      </c>
      <c r="FV126" s="31" t="n">
        <f aca="false">SUM( H126/5)</f>
        <v>4</v>
      </c>
      <c r="FW126" s="31" t="n">
        <f aca="false">SUM( I126/5)</f>
        <v>20</v>
      </c>
      <c r="FX126" s="32" t="n">
        <f aca="false">SUM(FV126/4)</f>
        <v>1</v>
      </c>
      <c r="FY126" s="32" t="n">
        <f aca="false">SUM(FW126/4)</f>
        <v>5</v>
      </c>
    </row>
    <row r="127" customFormat="false" ht="43.5" hidden="false" customHeight="true" outlineLevel="0" collapsed="false">
      <c r="A127" s="24" t="n">
        <v>3484</v>
      </c>
      <c r="B127" s="21" t="s">
        <v>399</v>
      </c>
      <c r="C127" s="21" t="s">
        <v>400</v>
      </c>
      <c r="D127" s="22" t="n">
        <v>27249921551</v>
      </c>
      <c r="E127" s="23" t="n">
        <v>45971</v>
      </c>
      <c r="F127" s="23" t="n">
        <f aca="false">WORKDAY(E127,G127)</f>
        <v>46125</v>
      </c>
      <c r="G127" s="24" t="n">
        <v>110</v>
      </c>
      <c r="H127" s="25" t="n">
        <f aca="false">(FT127* 5)/M127</f>
        <v>10</v>
      </c>
      <c r="I127" s="25" t="n">
        <f aca="false">G127-H127</f>
        <v>100</v>
      </c>
      <c r="J127" s="46" t="s">
        <v>403</v>
      </c>
      <c r="K127" s="55" t="n">
        <v>200000</v>
      </c>
      <c r="L127" s="30" t="n">
        <v>528000</v>
      </c>
      <c r="M127" s="28" t="n">
        <f aca="false">(L127/G127)*5</f>
        <v>24000</v>
      </c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  <c r="CZ127" s="29"/>
      <c r="DA127" s="29"/>
      <c r="DB127" s="29"/>
      <c r="DC127" s="29"/>
      <c r="DD127" s="29"/>
      <c r="DE127" s="29"/>
      <c r="DF127" s="29"/>
      <c r="DG127" s="29"/>
      <c r="DH127" s="29"/>
      <c r="DI127" s="29"/>
      <c r="DJ127" s="29"/>
      <c r="DK127" s="29"/>
      <c r="DL127" s="29"/>
      <c r="DM127" s="29"/>
      <c r="DN127" s="29"/>
      <c r="DO127" s="29"/>
      <c r="DP127" s="29"/>
      <c r="DQ127" s="29"/>
      <c r="DR127" s="29"/>
      <c r="DS127" s="29"/>
      <c r="DT127" s="29"/>
      <c r="DU127" s="29"/>
      <c r="DV127" s="29"/>
      <c r="DW127" s="29"/>
      <c r="DX127" s="29"/>
      <c r="DY127" s="29"/>
      <c r="DZ127" s="29"/>
      <c r="EA127" s="29"/>
      <c r="EB127" s="29"/>
      <c r="EC127" s="29"/>
      <c r="ED127" s="29"/>
      <c r="EE127" s="29"/>
      <c r="EF127" s="29"/>
      <c r="EG127" s="29"/>
      <c r="EH127" s="29"/>
      <c r="EI127" s="29"/>
      <c r="EJ127" s="29"/>
      <c r="EK127" s="29" t="s">
        <v>184</v>
      </c>
      <c r="EL127" s="29"/>
      <c r="EM127" s="29" t="s">
        <v>184</v>
      </c>
      <c r="EN127" s="29" t="s">
        <v>184</v>
      </c>
      <c r="EO127" s="29"/>
      <c r="EP127" s="29"/>
      <c r="EQ127" s="29"/>
      <c r="ER127" s="29"/>
      <c r="ES127" s="29" t="s">
        <v>184</v>
      </c>
      <c r="ET127" s="29"/>
      <c r="EU127" s="29"/>
      <c r="EV127" s="29" t="s">
        <v>184</v>
      </c>
      <c r="EW127" s="29"/>
      <c r="EX127" s="29"/>
      <c r="EY127" s="29"/>
      <c r="EZ127" s="29"/>
      <c r="FA127" s="29"/>
      <c r="FB127" s="29"/>
      <c r="FC127" s="29" t="s">
        <v>184</v>
      </c>
      <c r="FD127" s="29"/>
      <c r="FE127" s="29"/>
      <c r="FF127" s="29"/>
      <c r="FG127" s="29"/>
      <c r="FH127" s="29"/>
      <c r="FI127" s="29"/>
      <c r="FJ127" s="29"/>
      <c r="FK127" s="29"/>
      <c r="FL127" s="29" t="s">
        <v>184</v>
      </c>
      <c r="FM127" s="29"/>
      <c r="FN127" s="29"/>
      <c r="FO127" s="29"/>
      <c r="FP127" s="29"/>
      <c r="FQ127" s="29"/>
      <c r="FR127" s="29" t="n">
        <v>48000</v>
      </c>
      <c r="FS127" s="29"/>
      <c r="FT127" s="29" t="n">
        <f aca="false">SUM(N127:FS127)</f>
        <v>48000</v>
      </c>
      <c r="FU127" s="27" t="n">
        <f aca="false">SUM(L127-FT127)</f>
        <v>480000</v>
      </c>
      <c r="FV127" s="31" t="n">
        <f aca="false">SUM( H127/5)</f>
        <v>2</v>
      </c>
      <c r="FW127" s="31" t="n">
        <f aca="false">SUM( I127/5)</f>
        <v>20</v>
      </c>
      <c r="FX127" s="32" t="n">
        <f aca="false">SUM(FV127/4)</f>
        <v>0.5</v>
      </c>
      <c r="FY127" s="32" t="n">
        <f aca="false">SUM(FW127/4)</f>
        <v>5</v>
      </c>
    </row>
    <row r="128" customFormat="false" ht="43.5" hidden="false" customHeight="true" outlineLevel="0" collapsed="false">
      <c r="A128" s="24" t="n">
        <v>2913</v>
      </c>
      <c r="B128" s="21" t="s">
        <v>404</v>
      </c>
      <c r="C128" s="21" t="s">
        <v>182</v>
      </c>
      <c r="D128" s="22"/>
      <c r="E128" s="23" t="n">
        <v>45610</v>
      </c>
      <c r="F128" s="23" t="n">
        <f aca="false">WORKDAY(E128,G128)</f>
        <v>45712</v>
      </c>
      <c r="G128" s="24" t="n">
        <v>72</v>
      </c>
      <c r="H128" s="25" t="n">
        <f aca="false">(FT128* 5)/M128</f>
        <v>35</v>
      </c>
      <c r="I128" s="25" t="n">
        <f aca="false">G128-H128</f>
        <v>37</v>
      </c>
      <c r="J128" s="34" t="s">
        <v>188</v>
      </c>
      <c r="K128" s="27" t="n">
        <v>100000</v>
      </c>
      <c r="L128" s="27" t="n">
        <v>216000</v>
      </c>
      <c r="M128" s="28" t="n">
        <f aca="false">(L128/G128)*5</f>
        <v>15000</v>
      </c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  <c r="CF128" s="29"/>
      <c r="CG128" s="29"/>
      <c r="CH128" s="29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  <c r="CZ128" s="29"/>
      <c r="DA128" s="29"/>
      <c r="DB128" s="29"/>
      <c r="DC128" s="29"/>
      <c r="DD128" s="29"/>
      <c r="DE128" s="29"/>
      <c r="DF128" s="29"/>
      <c r="DG128" s="29"/>
      <c r="DH128" s="29"/>
      <c r="DI128" s="29"/>
      <c r="DJ128" s="29"/>
      <c r="DK128" s="29"/>
      <c r="DL128" s="29"/>
      <c r="DM128" s="29"/>
      <c r="DN128" s="29"/>
      <c r="DO128" s="29"/>
      <c r="DP128" s="29"/>
      <c r="DQ128" s="29" t="n">
        <v>15000</v>
      </c>
      <c r="DR128" s="29" t="n">
        <v>15000</v>
      </c>
      <c r="DS128" s="29" t="n">
        <v>15000</v>
      </c>
      <c r="DT128" s="29"/>
      <c r="DU128" s="29"/>
      <c r="DV128" s="29" t="n">
        <v>15000</v>
      </c>
      <c r="DW128" s="29" t="n">
        <v>30000</v>
      </c>
      <c r="DX128" s="29"/>
      <c r="DY128" s="29"/>
      <c r="DZ128" s="29"/>
      <c r="EA128" s="29" t="n">
        <v>15000</v>
      </c>
      <c r="EB128" s="29"/>
      <c r="EC128" s="29"/>
      <c r="ED128" s="29"/>
      <c r="EE128" s="29"/>
      <c r="EF128" s="29"/>
      <c r="EG128" s="29"/>
      <c r="EH128" s="29"/>
      <c r="EI128" s="29"/>
      <c r="EJ128" s="29"/>
      <c r="EK128" s="29"/>
      <c r="EL128" s="29"/>
      <c r="EM128" s="29"/>
      <c r="EN128" s="29"/>
      <c r="EO128" s="29"/>
      <c r="EP128" s="29"/>
      <c r="EQ128" s="29"/>
      <c r="ER128" s="29"/>
      <c r="ES128" s="29"/>
      <c r="ET128" s="29"/>
      <c r="EU128" s="29"/>
      <c r="EV128" s="29"/>
      <c r="EW128" s="29"/>
      <c r="EX128" s="29"/>
      <c r="EY128" s="29"/>
      <c r="EZ128" s="29"/>
      <c r="FA128" s="29"/>
      <c r="FB128" s="29"/>
      <c r="FC128" s="29"/>
      <c r="FD128" s="29"/>
      <c r="FE128" s="29"/>
      <c r="FF128" s="29"/>
      <c r="FG128" s="29"/>
      <c r="FH128" s="29"/>
      <c r="FI128" s="29"/>
      <c r="FJ128" s="29"/>
      <c r="FK128" s="29"/>
      <c r="FL128" s="29"/>
      <c r="FM128" s="29"/>
      <c r="FN128" s="29"/>
      <c r="FO128" s="29" t="s">
        <v>184</v>
      </c>
      <c r="FP128" s="29"/>
      <c r="FQ128" s="29"/>
      <c r="FR128" s="29"/>
      <c r="FS128" s="29"/>
      <c r="FT128" s="29" t="n">
        <f aca="false">SUM(N128:FS128)</f>
        <v>105000</v>
      </c>
      <c r="FU128" s="27" t="n">
        <f aca="false">SUM(L128-FT128)</f>
        <v>111000</v>
      </c>
      <c r="FV128" s="31" t="n">
        <f aca="false">SUM( H128/5)</f>
        <v>7</v>
      </c>
      <c r="FW128" s="31" t="n">
        <f aca="false">SUM( I128/5)</f>
        <v>7.4</v>
      </c>
      <c r="FX128" s="32" t="n">
        <f aca="false">SUM(FV128/4)</f>
        <v>1.75</v>
      </c>
      <c r="FY128" s="32" t="n">
        <f aca="false">SUM(FW128/4)</f>
        <v>1.85</v>
      </c>
    </row>
    <row r="129" customFormat="false" ht="43.5" hidden="false" customHeight="true" outlineLevel="0" collapsed="false">
      <c r="A129" s="24" t="n">
        <v>2792</v>
      </c>
      <c r="B129" s="21" t="s">
        <v>405</v>
      </c>
      <c r="C129" s="21" t="s">
        <v>406</v>
      </c>
      <c r="D129" s="22"/>
      <c r="E129" s="23" t="n">
        <v>45541</v>
      </c>
      <c r="F129" s="23" t="n">
        <f aca="false">WORKDAY(E129,G129)</f>
        <v>45821</v>
      </c>
      <c r="G129" s="24" t="n">
        <v>200</v>
      </c>
      <c r="H129" s="25" t="n">
        <f aca="false">(FT129* 5)/M129</f>
        <v>150.096231884058</v>
      </c>
      <c r="I129" s="25" t="n">
        <f aca="false">G129-H129</f>
        <v>49.903768115942</v>
      </c>
      <c r="J129" s="46" t="s">
        <v>407</v>
      </c>
      <c r="K129" s="30" t="n">
        <v>200000</v>
      </c>
      <c r="L129" s="30" t="n">
        <v>690000</v>
      </c>
      <c r="M129" s="28" t="n">
        <f aca="false">(L129/G129)*5</f>
        <v>17250</v>
      </c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 t="n">
        <v>34500</v>
      </c>
      <c r="DI129" s="29"/>
      <c r="DJ129" s="29" t="n">
        <v>38500</v>
      </c>
      <c r="DK129" s="29"/>
      <c r="DL129" s="29"/>
      <c r="DM129" s="29" t="n">
        <v>30000</v>
      </c>
      <c r="DN129" s="29"/>
      <c r="DO129" s="29" t="n">
        <v>69000</v>
      </c>
      <c r="DP129" s="29"/>
      <c r="DQ129" s="29"/>
      <c r="DR129" s="29"/>
      <c r="DS129" s="29" t="n">
        <v>69000</v>
      </c>
      <c r="DT129" s="29"/>
      <c r="DU129" s="29"/>
      <c r="DV129" s="29"/>
      <c r="DW129" s="29"/>
      <c r="DX129" s="29" t="n">
        <v>34500</v>
      </c>
      <c r="DY129" s="29"/>
      <c r="DZ129" s="29" t="n">
        <v>34500</v>
      </c>
      <c r="EA129" s="29"/>
      <c r="EB129" s="29"/>
      <c r="EC129" s="29"/>
      <c r="ED129" s="29"/>
      <c r="EE129" s="29"/>
      <c r="EF129" s="29"/>
      <c r="EG129" s="29"/>
      <c r="EH129" s="29"/>
      <c r="EI129" s="29"/>
      <c r="EJ129" s="29"/>
      <c r="EK129" s="29"/>
      <c r="EL129" s="29" t="s">
        <v>184</v>
      </c>
      <c r="EM129" s="29"/>
      <c r="EN129" s="29"/>
      <c r="EO129" s="29"/>
      <c r="EP129" s="29"/>
      <c r="EQ129" s="29"/>
      <c r="ER129" s="29"/>
      <c r="ES129" s="29"/>
      <c r="ET129" s="29" t="n">
        <v>40000</v>
      </c>
      <c r="EU129" s="29"/>
      <c r="EV129" s="29"/>
      <c r="EW129" s="29"/>
      <c r="EX129" s="29" t="n">
        <v>34500</v>
      </c>
      <c r="EY129" s="29"/>
      <c r="EZ129" s="29"/>
      <c r="FA129" s="29"/>
      <c r="FB129" s="29" t="n">
        <v>33333</v>
      </c>
      <c r="FC129" s="29"/>
      <c r="FD129" s="29"/>
      <c r="FE129" s="29"/>
      <c r="FF129" s="29" t="n">
        <v>33333</v>
      </c>
      <c r="FG129" s="29"/>
      <c r="FH129" s="29"/>
      <c r="FI129" s="29"/>
      <c r="FJ129" s="29"/>
      <c r="FK129" s="29" t="n">
        <v>33333</v>
      </c>
      <c r="FL129" s="29"/>
      <c r="FM129" s="29"/>
      <c r="FN129" s="29"/>
      <c r="FO129" s="29" t="n">
        <v>33333</v>
      </c>
      <c r="FP129" s="29"/>
      <c r="FQ129" s="29"/>
      <c r="FR129" s="29"/>
      <c r="FS129" s="29"/>
      <c r="FT129" s="29" t="n">
        <f aca="false">SUM(N129:FS129)</f>
        <v>517832</v>
      </c>
      <c r="FU129" s="27" t="n">
        <f aca="false">SUM(L129-FT129)</f>
        <v>172168</v>
      </c>
      <c r="FV129" s="31" t="n">
        <f aca="false">SUM( H129/5)</f>
        <v>30.0192463768116</v>
      </c>
      <c r="FW129" s="31" t="n">
        <f aca="false">SUM( I129/5)</f>
        <v>9.98075362318841</v>
      </c>
      <c r="FX129" s="32" t="n">
        <f aca="false">SUM(FV129/4)</f>
        <v>7.5048115942029</v>
      </c>
      <c r="FY129" s="32" t="n">
        <f aca="false">SUM(FW129/4)</f>
        <v>2.4951884057971</v>
      </c>
    </row>
    <row r="130" customFormat="false" ht="43.5" hidden="false" customHeight="true" outlineLevel="0" collapsed="false">
      <c r="A130" s="24" t="n">
        <v>2906</v>
      </c>
      <c r="B130" s="21" t="s">
        <v>405</v>
      </c>
      <c r="C130" s="21" t="s">
        <v>406</v>
      </c>
      <c r="D130" s="22"/>
      <c r="E130" s="23" t="n">
        <v>45607</v>
      </c>
      <c r="F130" s="23" t="n">
        <f aca="false">WORKDAY(E130,G130)</f>
        <v>45817</v>
      </c>
      <c r="G130" s="24" t="n">
        <v>150</v>
      </c>
      <c r="H130" s="25" t="n">
        <f aca="false">(FT130* 5)/M130</f>
        <v>68.5668560606061</v>
      </c>
      <c r="I130" s="25" t="n">
        <f aca="false">G130-H130</f>
        <v>81.4331439393939</v>
      </c>
      <c r="J130" s="46" t="s">
        <v>408</v>
      </c>
      <c r="K130" s="27" t="n">
        <v>300000</v>
      </c>
      <c r="L130" s="27" t="n">
        <v>792000</v>
      </c>
      <c r="M130" s="45" t="n">
        <f aca="false">(L130/G130)*5</f>
        <v>26400</v>
      </c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  <c r="CZ130" s="29"/>
      <c r="DA130" s="29"/>
      <c r="DB130" s="29"/>
      <c r="DC130" s="29"/>
      <c r="DD130" s="29"/>
      <c r="DE130" s="29"/>
      <c r="DF130" s="29"/>
      <c r="DG130" s="29"/>
      <c r="DH130" s="29"/>
      <c r="DI130" s="29"/>
      <c r="DJ130" s="29"/>
      <c r="DK130" s="29"/>
      <c r="DL130" s="29"/>
      <c r="DM130" s="29"/>
      <c r="DN130" s="29"/>
      <c r="DO130" s="29"/>
      <c r="DP130" s="29"/>
      <c r="DQ130" s="29"/>
      <c r="DR130" s="29"/>
      <c r="DS130" s="29" t="n">
        <v>52800</v>
      </c>
      <c r="DT130" s="29"/>
      <c r="DU130" s="29"/>
      <c r="DV130" s="29" t="n">
        <v>52800</v>
      </c>
      <c r="DW130" s="29"/>
      <c r="DX130" s="29" t="n">
        <v>52800</v>
      </c>
      <c r="DY130" s="29"/>
      <c r="DZ130" s="29" t="n">
        <v>52800</v>
      </c>
      <c r="EA130" s="29"/>
      <c r="EB130" s="29"/>
      <c r="EC130" s="29"/>
      <c r="ED130" s="29"/>
      <c r="EE130" s="29"/>
      <c r="EF130" s="29"/>
      <c r="EG130" s="29"/>
      <c r="EH130" s="29"/>
      <c r="EI130" s="29"/>
      <c r="EJ130" s="29"/>
      <c r="EK130" s="29"/>
      <c r="EL130" s="29"/>
      <c r="EM130" s="29"/>
      <c r="EN130" s="29"/>
      <c r="EO130" s="29"/>
      <c r="EP130" s="29"/>
      <c r="EQ130" s="29"/>
      <c r="ER130" s="29"/>
      <c r="ES130" s="29"/>
      <c r="ET130" s="29"/>
      <c r="EU130" s="29"/>
      <c r="EV130" s="29"/>
      <c r="EW130" s="29"/>
      <c r="EX130" s="29" t="n">
        <v>17500</v>
      </c>
      <c r="EY130" s="29"/>
      <c r="EZ130" s="29"/>
      <c r="FA130" s="29"/>
      <c r="FB130" s="29" t="n">
        <v>33333</v>
      </c>
      <c r="FC130" s="29"/>
      <c r="FD130" s="29"/>
      <c r="FE130" s="29"/>
      <c r="FF130" s="29" t="n">
        <v>33333</v>
      </c>
      <c r="FG130" s="29"/>
      <c r="FH130" s="29"/>
      <c r="FI130" s="29"/>
      <c r="FJ130" s="29"/>
      <c r="FK130" s="29" t="n">
        <v>33333</v>
      </c>
      <c r="FL130" s="29"/>
      <c r="FM130" s="29"/>
      <c r="FN130" s="29"/>
      <c r="FO130" s="29" t="n">
        <v>33334</v>
      </c>
      <c r="FP130" s="29"/>
      <c r="FQ130" s="29"/>
      <c r="FR130" s="29"/>
      <c r="FS130" s="29"/>
      <c r="FT130" s="29" t="n">
        <f aca="false">SUM(N130:FS130)</f>
        <v>362033</v>
      </c>
      <c r="FU130" s="27" t="n">
        <f aca="false">SUM(L130-FT130)</f>
        <v>429967</v>
      </c>
      <c r="FV130" s="31" t="n">
        <f aca="false">SUM( H130/5)</f>
        <v>13.7133712121212</v>
      </c>
      <c r="FW130" s="31" t="n">
        <f aca="false">SUM( I130/5)</f>
        <v>16.2866287878788</v>
      </c>
      <c r="FX130" s="32" t="n">
        <f aca="false">SUM(FV130/4)</f>
        <v>3.4283428030303</v>
      </c>
      <c r="FY130" s="32" t="n">
        <f aca="false">SUM(FW130/4)</f>
        <v>4.0716571969697</v>
      </c>
    </row>
    <row r="131" customFormat="false" ht="43.5" hidden="false" customHeight="true" outlineLevel="0" collapsed="false">
      <c r="A131" s="24" t="n">
        <v>2949</v>
      </c>
      <c r="B131" s="21" t="s">
        <v>405</v>
      </c>
      <c r="C131" s="21" t="s">
        <v>406</v>
      </c>
      <c r="D131" s="22"/>
      <c r="E131" s="23" t="n">
        <v>45633</v>
      </c>
      <c r="F131" s="23" t="n">
        <f aca="false">WORKDAY(E131,G131)</f>
        <v>45786</v>
      </c>
      <c r="G131" s="24" t="n">
        <v>110</v>
      </c>
      <c r="H131" s="25" t="n">
        <f aca="false">(FT131* 5)/M131</f>
        <v>75.0695833333333</v>
      </c>
      <c r="I131" s="25" t="n">
        <f aca="false">G131-H131</f>
        <v>34.9304166666667</v>
      </c>
      <c r="J131" s="46" t="s">
        <v>307</v>
      </c>
      <c r="K131" s="30" t="n">
        <v>200000</v>
      </c>
      <c r="L131" s="30" t="n">
        <v>528000</v>
      </c>
      <c r="M131" s="28" t="n">
        <f aca="false">(L131/G131)*5</f>
        <v>24000</v>
      </c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  <c r="DI131" s="29"/>
      <c r="DJ131" s="29"/>
      <c r="DK131" s="29"/>
      <c r="DL131" s="29"/>
      <c r="DM131" s="29"/>
      <c r="DN131" s="29"/>
      <c r="DO131" s="29"/>
      <c r="DP131" s="29"/>
      <c r="DQ131" s="29"/>
      <c r="DR131" s="29"/>
      <c r="DS131" s="29"/>
      <c r="DT131" s="29"/>
      <c r="DU131" s="29" t="n">
        <v>48000</v>
      </c>
      <c r="DV131" s="29"/>
      <c r="DW131" s="29"/>
      <c r="DX131" s="29" t="n">
        <v>48000</v>
      </c>
      <c r="DY131" s="29"/>
      <c r="DZ131" s="29" t="n">
        <v>48000</v>
      </c>
      <c r="EA131" s="29"/>
      <c r="EB131" s="29"/>
      <c r="EC131" s="29"/>
      <c r="ED131" s="29"/>
      <c r="EE131" s="29"/>
      <c r="EF131" s="29"/>
      <c r="EG131" s="29"/>
      <c r="EH131" s="29"/>
      <c r="EI131" s="29"/>
      <c r="EJ131" s="29"/>
      <c r="EK131" s="29"/>
      <c r="EL131" s="29" t="n">
        <v>15000</v>
      </c>
      <c r="EM131" s="29"/>
      <c r="EN131" s="29"/>
      <c r="EO131" s="29" t="n">
        <v>20000</v>
      </c>
      <c r="EP131" s="29"/>
      <c r="EQ131" s="29"/>
      <c r="ER131" s="29"/>
      <c r="ES131" s="29"/>
      <c r="ET131" s="29"/>
      <c r="EU131" s="29"/>
      <c r="EV131" s="29"/>
      <c r="EW131" s="29"/>
      <c r="EX131" s="29" t="n">
        <v>48000</v>
      </c>
      <c r="EY131" s="29"/>
      <c r="EZ131" s="29"/>
      <c r="FA131" s="29"/>
      <c r="FB131" s="29" t="n">
        <v>33334</v>
      </c>
      <c r="FC131" s="29"/>
      <c r="FD131" s="29"/>
      <c r="FE131" s="29"/>
      <c r="FF131" s="29" t="n">
        <v>33333</v>
      </c>
      <c r="FG131" s="29"/>
      <c r="FH131" s="29"/>
      <c r="FI131" s="29"/>
      <c r="FJ131" s="29"/>
      <c r="FK131" s="29" t="n">
        <v>33334</v>
      </c>
      <c r="FL131" s="29"/>
      <c r="FM131" s="29"/>
      <c r="FN131" s="29"/>
      <c r="FO131" s="29" t="n">
        <v>33333</v>
      </c>
      <c r="FP131" s="29"/>
      <c r="FQ131" s="29"/>
      <c r="FR131" s="29"/>
      <c r="FS131" s="29"/>
      <c r="FT131" s="29" t="n">
        <f aca="false">SUM(N131:FS131)</f>
        <v>360334</v>
      </c>
      <c r="FU131" s="27" t="n">
        <f aca="false">SUM(L131-FT131)</f>
        <v>167666</v>
      </c>
      <c r="FV131" s="31" t="n">
        <f aca="false">SUM( H131/5)</f>
        <v>15.0139166666667</v>
      </c>
      <c r="FW131" s="31" t="n">
        <f aca="false">SUM( I131/5)</f>
        <v>6.98608333333334</v>
      </c>
      <c r="FX131" s="32" t="n">
        <f aca="false">SUM(FV131/4)</f>
        <v>3.75347916666667</v>
      </c>
      <c r="FY131" s="32" t="n">
        <f aca="false">SUM(FW131/4)</f>
        <v>1.74652083333333</v>
      </c>
    </row>
    <row r="132" customFormat="false" ht="43.5" hidden="false" customHeight="true" outlineLevel="0" collapsed="false">
      <c r="A132" s="24" t="n">
        <v>3305</v>
      </c>
      <c r="B132" s="22" t="s">
        <v>409</v>
      </c>
      <c r="C132" s="22" t="s">
        <v>410</v>
      </c>
      <c r="D132" s="22" t="n">
        <v>29201110</v>
      </c>
      <c r="E132" s="23" t="n">
        <v>45860</v>
      </c>
      <c r="F132" s="23" t="n">
        <v>45237</v>
      </c>
      <c r="G132" s="24" t="n">
        <v>120</v>
      </c>
      <c r="H132" s="25" t="n">
        <f aca="false">(FT132* 5)/M132</f>
        <v>80</v>
      </c>
      <c r="I132" s="25" t="n">
        <f aca="false">G132-H132</f>
        <v>40</v>
      </c>
      <c r="J132" s="22" t="s">
        <v>411</v>
      </c>
      <c r="K132" s="27" t="n">
        <v>100000</v>
      </c>
      <c r="L132" s="27" t="n">
        <v>264000</v>
      </c>
      <c r="M132" s="45" t="n">
        <f aca="false">(L132/G132)*5</f>
        <v>11000</v>
      </c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  <c r="CZ132" s="29"/>
      <c r="DA132" s="29"/>
      <c r="DB132" s="29"/>
      <c r="DC132" s="29"/>
      <c r="DD132" s="29"/>
      <c r="DE132" s="29"/>
      <c r="DF132" s="29"/>
      <c r="DG132" s="29"/>
      <c r="DH132" s="29"/>
      <c r="DI132" s="29"/>
      <c r="DJ132" s="29"/>
      <c r="DK132" s="29"/>
      <c r="DL132" s="29"/>
      <c r="DM132" s="29"/>
      <c r="DN132" s="29"/>
      <c r="DO132" s="29"/>
      <c r="DP132" s="29"/>
      <c r="DQ132" s="29"/>
      <c r="DR132" s="29"/>
      <c r="DS132" s="29"/>
      <c r="DT132" s="29"/>
      <c r="DU132" s="29"/>
      <c r="DV132" s="29"/>
      <c r="DW132" s="29"/>
      <c r="DX132" s="29"/>
      <c r="DY132" s="29"/>
      <c r="DZ132" s="29"/>
      <c r="EA132" s="29"/>
      <c r="EB132" s="29"/>
      <c r="EC132" s="29"/>
      <c r="ED132" s="29"/>
      <c r="EE132" s="29"/>
      <c r="EF132" s="29"/>
      <c r="EG132" s="29"/>
      <c r="EH132" s="29"/>
      <c r="EI132" s="29"/>
      <c r="EJ132" s="29"/>
      <c r="EK132" s="29" t="s">
        <v>184</v>
      </c>
      <c r="EL132" s="29"/>
      <c r="EM132" s="29" t="s">
        <v>184</v>
      </c>
      <c r="EN132" s="29" t="s">
        <v>184</v>
      </c>
      <c r="EO132" s="29"/>
      <c r="EP132" s="29"/>
      <c r="EQ132" s="29"/>
      <c r="ER132" s="29"/>
      <c r="ES132" s="29" t="s">
        <v>184</v>
      </c>
      <c r="ET132" s="29"/>
      <c r="EU132" s="29"/>
      <c r="EV132" s="29" t="s">
        <v>184</v>
      </c>
      <c r="EW132" s="29"/>
      <c r="EX132" s="29"/>
      <c r="EY132" s="29"/>
      <c r="EZ132" s="29"/>
      <c r="FA132" s="29"/>
      <c r="FB132" s="29" t="n">
        <v>44000</v>
      </c>
      <c r="FC132" s="29"/>
      <c r="FD132" s="29"/>
      <c r="FE132" s="29"/>
      <c r="FF132" s="29" t="n">
        <v>44000</v>
      </c>
      <c r="FG132" s="29"/>
      <c r="FH132" s="29"/>
      <c r="FI132" s="29"/>
      <c r="FJ132" s="29" t="n">
        <v>44000</v>
      </c>
      <c r="FK132" s="29"/>
      <c r="FL132" s="29"/>
      <c r="FM132" s="29"/>
      <c r="FN132" s="29"/>
      <c r="FO132" s="29" t="n">
        <v>44000</v>
      </c>
      <c r="FP132" s="29"/>
      <c r="FQ132" s="29"/>
      <c r="FR132" s="29"/>
      <c r="FS132" s="29"/>
      <c r="FT132" s="29" t="n">
        <f aca="false">SUM(N132:FS132)</f>
        <v>176000</v>
      </c>
      <c r="FU132" s="27" t="n">
        <f aca="false">SUM(L132-FT132)</f>
        <v>88000</v>
      </c>
      <c r="FV132" s="31" t="n">
        <f aca="false">SUM( H132/5)</f>
        <v>16</v>
      </c>
      <c r="FW132" s="31" t="n">
        <f aca="false">SUM( I132/5)</f>
        <v>8</v>
      </c>
      <c r="FX132" s="32" t="n">
        <f aca="false">SUM(FV132/4)</f>
        <v>4</v>
      </c>
      <c r="FY132" s="32" t="n">
        <f aca="false">SUM(FW132/4)</f>
        <v>2</v>
      </c>
    </row>
    <row r="133" customFormat="false" ht="43.5" hidden="false" customHeight="true" outlineLevel="0" collapsed="false">
      <c r="A133" s="24" t="n">
        <v>3297</v>
      </c>
      <c r="B133" s="21" t="s">
        <v>412</v>
      </c>
      <c r="C133" s="21" t="s">
        <v>413</v>
      </c>
      <c r="D133" s="22"/>
      <c r="E133" s="23" t="n">
        <v>45857</v>
      </c>
      <c r="F133" s="23" t="n">
        <f aca="false">WORKDAY(E133,G133)</f>
        <v>46024</v>
      </c>
      <c r="G133" s="24" t="n">
        <v>120</v>
      </c>
      <c r="H133" s="25" t="n">
        <f aca="false">(FT133* 5)/M133</f>
        <v>80</v>
      </c>
      <c r="I133" s="25" t="n">
        <f aca="false">G133-H133</f>
        <v>40</v>
      </c>
      <c r="J133" s="26" t="s">
        <v>402</v>
      </c>
      <c r="K133" s="27" t="n">
        <v>100000</v>
      </c>
      <c r="L133" s="27" t="n">
        <v>264000</v>
      </c>
      <c r="M133" s="28" t="n">
        <f aca="false">(L133/G133)*5</f>
        <v>11000</v>
      </c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  <c r="CZ133" s="29"/>
      <c r="DA133" s="29"/>
      <c r="DB133" s="29"/>
      <c r="DC133" s="29"/>
      <c r="DD133" s="29"/>
      <c r="DE133" s="29"/>
      <c r="DF133" s="29"/>
      <c r="DG133" s="29"/>
      <c r="DH133" s="29"/>
      <c r="DI133" s="29"/>
      <c r="DJ133" s="29"/>
      <c r="DK133" s="29"/>
      <c r="DL133" s="29"/>
      <c r="DM133" s="29"/>
      <c r="DN133" s="29"/>
      <c r="DO133" s="29"/>
      <c r="DP133" s="29"/>
      <c r="DQ133" s="29"/>
      <c r="DR133" s="29"/>
      <c r="DS133" s="29"/>
      <c r="DT133" s="29"/>
      <c r="DU133" s="29"/>
      <c r="DV133" s="29"/>
      <c r="DW133" s="29"/>
      <c r="DX133" s="29"/>
      <c r="DY133" s="29"/>
      <c r="DZ133" s="29"/>
      <c r="EA133" s="29"/>
      <c r="EB133" s="29"/>
      <c r="EC133" s="29"/>
      <c r="ED133" s="29"/>
      <c r="EE133" s="29"/>
      <c r="EF133" s="29"/>
      <c r="EG133" s="29"/>
      <c r="EH133" s="29"/>
      <c r="EI133" s="29"/>
      <c r="EJ133" s="29"/>
      <c r="EK133" s="29" t="s">
        <v>184</v>
      </c>
      <c r="EL133" s="29"/>
      <c r="EM133" s="29" t="s">
        <v>184</v>
      </c>
      <c r="EN133" s="29" t="s">
        <v>184</v>
      </c>
      <c r="EO133" s="29"/>
      <c r="EP133" s="29"/>
      <c r="EQ133" s="29"/>
      <c r="ER133" s="29"/>
      <c r="ES133" s="29" t="s">
        <v>184</v>
      </c>
      <c r="ET133" s="29"/>
      <c r="EU133" s="29"/>
      <c r="EV133" s="29" t="s">
        <v>184</v>
      </c>
      <c r="EW133" s="29"/>
      <c r="EX133" s="29"/>
      <c r="EY133" s="29"/>
      <c r="EZ133" s="29"/>
      <c r="FA133" s="29"/>
      <c r="FB133" s="29"/>
      <c r="FC133" s="29"/>
      <c r="FD133" s="29" t="n">
        <v>44000</v>
      </c>
      <c r="FE133" s="29"/>
      <c r="FF133" s="29"/>
      <c r="FG133" s="29"/>
      <c r="FH133" s="29" t="n">
        <v>44000</v>
      </c>
      <c r="FI133" s="29" t="s">
        <v>184</v>
      </c>
      <c r="FJ133" s="29"/>
      <c r="FK133" s="29"/>
      <c r="FL133" s="29" t="n">
        <v>44000</v>
      </c>
      <c r="FM133" s="29"/>
      <c r="FN133" s="29"/>
      <c r="FO133" s="29"/>
      <c r="FP133" s="29"/>
      <c r="FQ133" s="29"/>
      <c r="FR133" s="29" t="n">
        <v>44000</v>
      </c>
      <c r="FS133" s="29"/>
      <c r="FT133" s="29" t="n">
        <f aca="false">SUM(N133:FS133)</f>
        <v>176000</v>
      </c>
      <c r="FU133" s="27" t="n">
        <f aca="false">SUM(L133-FT133)</f>
        <v>88000</v>
      </c>
      <c r="FV133" s="31" t="n">
        <f aca="false">SUM( H133/5)</f>
        <v>16</v>
      </c>
      <c r="FW133" s="31" t="n">
        <f aca="false">SUM( I133/5)</f>
        <v>8</v>
      </c>
      <c r="FX133" s="32" t="n">
        <f aca="false">SUM(FV133/4)</f>
        <v>4</v>
      </c>
      <c r="FY133" s="32" t="n">
        <f aca="false">SUM(FW133/4)</f>
        <v>2</v>
      </c>
    </row>
    <row r="134" customFormat="false" ht="43.5" hidden="false" customHeight="true" outlineLevel="0" collapsed="false">
      <c r="A134" s="24" t="n">
        <v>3413</v>
      </c>
      <c r="B134" s="21" t="s">
        <v>412</v>
      </c>
      <c r="C134" s="21" t="s">
        <v>413</v>
      </c>
      <c r="D134" s="22"/>
      <c r="E134" s="23" t="n">
        <v>45923</v>
      </c>
      <c r="F134" s="23" t="n">
        <f aca="false">WORKDAY(E134,G134)</f>
        <v>46091</v>
      </c>
      <c r="G134" s="24" t="n">
        <v>120</v>
      </c>
      <c r="H134" s="25" t="n">
        <f aca="false">(FT134* 5)/M134</f>
        <v>22.7272727272727</v>
      </c>
      <c r="I134" s="25" t="n">
        <f aca="false">G134-H134</f>
        <v>97.2727272727273</v>
      </c>
      <c r="J134" s="26" t="s">
        <v>402</v>
      </c>
      <c r="K134" s="27" t="n">
        <v>100000</v>
      </c>
      <c r="L134" s="27" t="n">
        <v>264000</v>
      </c>
      <c r="M134" s="28" t="n">
        <f aca="false">(L134/G134)*5</f>
        <v>11000</v>
      </c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  <c r="CF134" s="29"/>
      <c r="CG134" s="29"/>
      <c r="CH134" s="29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  <c r="CZ134" s="29"/>
      <c r="DA134" s="29"/>
      <c r="DB134" s="29"/>
      <c r="DC134" s="29"/>
      <c r="DD134" s="29"/>
      <c r="DE134" s="29"/>
      <c r="DF134" s="29"/>
      <c r="DG134" s="29"/>
      <c r="DH134" s="29"/>
      <c r="DI134" s="29"/>
      <c r="DJ134" s="29"/>
      <c r="DK134" s="29"/>
      <c r="DL134" s="29"/>
      <c r="DM134" s="29"/>
      <c r="DN134" s="29"/>
      <c r="DO134" s="29"/>
      <c r="DP134" s="29"/>
      <c r="DQ134" s="29"/>
      <c r="DR134" s="29"/>
      <c r="DS134" s="29"/>
      <c r="DT134" s="29"/>
      <c r="DU134" s="29"/>
      <c r="DV134" s="29"/>
      <c r="DW134" s="29"/>
      <c r="DX134" s="29"/>
      <c r="DY134" s="29"/>
      <c r="DZ134" s="29"/>
      <c r="EA134" s="29"/>
      <c r="EB134" s="29"/>
      <c r="EC134" s="29"/>
      <c r="ED134" s="29"/>
      <c r="EE134" s="29"/>
      <c r="EF134" s="29"/>
      <c r="EG134" s="29"/>
      <c r="EH134" s="29"/>
      <c r="EI134" s="29"/>
      <c r="EJ134" s="29"/>
      <c r="EK134" s="29" t="s">
        <v>184</v>
      </c>
      <c r="EL134" s="29"/>
      <c r="EM134" s="29" t="s">
        <v>184</v>
      </c>
      <c r="EN134" s="29" t="s">
        <v>184</v>
      </c>
      <c r="EO134" s="29"/>
      <c r="EP134" s="29"/>
      <c r="EQ134" s="29"/>
      <c r="ER134" s="29"/>
      <c r="ES134" s="29" t="s">
        <v>184</v>
      </c>
      <c r="ET134" s="29"/>
      <c r="EU134" s="29"/>
      <c r="EV134" s="29" t="s">
        <v>184</v>
      </c>
      <c r="EW134" s="29"/>
      <c r="EX134" s="29"/>
      <c r="EY134" s="29"/>
      <c r="EZ134" s="29"/>
      <c r="FA134" s="29"/>
      <c r="FB134" s="29"/>
      <c r="FC134" s="29" t="s">
        <v>184</v>
      </c>
      <c r="FD134" s="29"/>
      <c r="FE134" s="29"/>
      <c r="FF134" s="29"/>
      <c r="FG134" s="29"/>
      <c r="FH134" s="29"/>
      <c r="FI134" s="29"/>
      <c r="FJ134" s="29"/>
      <c r="FK134" s="29"/>
      <c r="FL134" s="29"/>
      <c r="FM134" s="29" t="n">
        <v>15000</v>
      </c>
      <c r="FN134" s="29" t="n">
        <v>29000</v>
      </c>
      <c r="FO134" s="29"/>
      <c r="FP134" s="29"/>
      <c r="FQ134" s="29"/>
      <c r="FR134" s="29" t="n">
        <v>6000</v>
      </c>
      <c r="FS134" s="29"/>
      <c r="FT134" s="29" t="n">
        <f aca="false">SUM(N134:FS134)</f>
        <v>50000</v>
      </c>
      <c r="FU134" s="27" t="n">
        <f aca="false">SUM(L134-FT134)</f>
        <v>214000</v>
      </c>
      <c r="FV134" s="31" t="n">
        <f aca="false">SUM( H134/5)</f>
        <v>4.54545454545455</v>
      </c>
      <c r="FW134" s="31" t="n">
        <f aca="false">SUM( I134/5)</f>
        <v>19.4545454545455</v>
      </c>
      <c r="FX134" s="32" t="n">
        <f aca="false">SUM(FV134/4)</f>
        <v>1.13636363636364</v>
      </c>
      <c r="FY134" s="32" t="n">
        <f aca="false">SUM(FW134/4)</f>
        <v>4.86363636363636</v>
      </c>
    </row>
    <row r="135" customFormat="false" ht="43.5" hidden="false" customHeight="true" outlineLevel="0" collapsed="false">
      <c r="A135" s="24" t="n">
        <v>3291</v>
      </c>
      <c r="B135" s="21" t="s">
        <v>414</v>
      </c>
      <c r="C135" s="21" t="s">
        <v>415</v>
      </c>
      <c r="D135" s="22"/>
      <c r="E135" s="23" t="n">
        <v>45854</v>
      </c>
      <c r="F135" s="23" t="n">
        <f aca="false">WORKDAY(E135,G135)</f>
        <v>46078</v>
      </c>
      <c r="G135" s="24" t="n">
        <v>160</v>
      </c>
      <c r="H135" s="25" t="n">
        <f aca="false">(FT135* 5)/M135</f>
        <v>39.2</v>
      </c>
      <c r="I135" s="25" t="n">
        <f aca="false">G135-H135</f>
        <v>120.8</v>
      </c>
      <c r="J135" s="26" t="s">
        <v>416</v>
      </c>
      <c r="K135" s="30" t="n">
        <v>150000</v>
      </c>
      <c r="L135" s="30" t="n">
        <v>450000</v>
      </c>
      <c r="M135" s="28" t="n">
        <f aca="false">(L135/G135)*5</f>
        <v>14062.5</v>
      </c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  <c r="CF135" s="29"/>
      <c r="CG135" s="29"/>
      <c r="CH135" s="29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  <c r="CZ135" s="29"/>
      <c r="DA135" s="29"/>
      <c r="DB135" s="29"/>
      <c r="DC135" s="29"/>
      <c r="DD135" s="29"/>
      <c r="DE135" s="29"/>
      <c r="DF135" s="29"/>
      <c r="DG135" s="29"/>
      <c r="DH135" s="29"/>
      <c r="DI135" s="29"/>
      <c r="DJ135" s="29"/>
      <c r="DK135" s="29"/>
      <c r="DL135" s="29"/>
      <c r="DM135" s="29"/>
      <c r="DN135" s="29"/>
      <c r="DO135" s="29"/>
      <c r="DP135" s="29"/>
      <c r="DQ135" s="29"/>
      <c r="DR135" s="29"/>
      <c r="DS135" s="29"/>
      <c r="DT135" s="29"/>
      <c r="DU135" s="29"/>
      <c r="DV135" s="29"/>
      <c r="DW135" s="29"/>
      <c r="DX135" s="29"/>
      <c r="DY135" s="29"/>
      <c r="DZ135" s="29"/>
      <c r="EA135" s="29"/>
      <c r="EB135" s="29"/>
      <c r="EC135" s="29"/>
      <c r="ED135" s="29"/>
      <c r="EE135" s="29"/>
      <c r="EF135" s="29"/>
      <c r="EG135" s="29"/>
      <c r="EH135" s="29"/>
      <c r="EI135" s="29"/>
      <c r="EJ135" s="29"/>
      <c r="EK135" s="29" t="s">
        <v>184</v>
      </c>
      <c r="EL135" s="29"/>
      <c r="EM135" s="29" t="s">
        <v>184</v>
      </c>
      <c r="EN135" s="29" t="s">
        <v>184</v>
      </c>
      <c r="EO135" s="29"/>
      <c r="EP135" s="29"/>
      <c r="EQ135" s="29"/>
      <c r="ER135" s="29"/>
      <c r="ES135" s="29" t="s">
        <v>184</v>
      </c>
      <c r="ET135" s="29"/>
      <c r="EU135" s="29"/>
      <c r="EV135" s="29" t="s">
        <v>184</v>
      </c>
      <c r="EW135" s="29"/>
      <c r="EX135" s="29"/>
      <c r="EY135" s="29"/>
      <c r="EZ135" s="29"/>
      <c r="FA135" s="29"/>
      <c r="FB135" s="29"/>
      <c r="FC135" s="29"/>
      <c r="FD135" s="29"/>
      <c r="FE135" s="29"/>
      <c r="FF135" s="29" t="n">
        <v>56250</v>
      </c>
      <c r="FG135" s="29"/>
      <c r="FH135" s="29"/>
      <c r="FI135" s="29"/>
      <c r="FJ135" s="29"/>
      <c r="FK135" s="29"/>
      <c r="FL135" s="29"/>
      <c r="FM135" s="29" t="n">
        <v>54000</v>
      </c>
      <c r="FN135" s="29"/>
      <c r="FO135" s="29"/>
      <c r="FP135" s="29"/>
      <c r="FQ135" s="29"/>
      <c r="FR135" s="29"/>
      <c r="FS135" s="29"/>
      <c r="FT135" s="29" t="n">
        <f aca="false">SUM(N135:FS135)</f>
        <v>110250</v>
      </c>
      <c r="FU135" s="27" t="n">
        <f aca="false">SUM(L135-FT135)</f>
        <v>339750</v>
      </c>
      <c r="FV135" s="31" t="n">
        <f aca="false">SUM( H135/5)</f>
        <v>7.84</v>
      </c>
      <c r="FW135" s="31" t="n">
        <f aca="false">SUM( I135/5)</f>
        <v>24.16</v>
      </c>
      <c r="FX135" s="32" t="n">
        <f aca="false">SUM(FV135/4)</f>
        <v>1.96</v>
      </c>
      <c r="FY135" s="32" t="n">
        <f aca="false">SUM(FW135/4)</f>
        <v>6.04</v>
      </c>
    </row>
    <row r="136" customFormat="false" ht="43.5" hidden="false" customHeight="true" outlineLevel="0" collapsed="false">
      <c r="A136" s="24" t="n">
        <v>3294</v>
      </c>
      <c r="B136" s="21" t="s">
        <v>417</v>
      </c>
      <c r="C136" s="21" t="s">
        <v>415</v>
      </c>
      <c r="D136" s="22"/>
      <c r="E136" s="23" t="n">
        <v>45855</v>
      </c>
      <c r="F136" s="23" t="n">
        <f aca="false">WORKDAY(E136,G136)</f>
        <v>45957</v>
      </c>
      <c r="G136" s="24" t="n">
        <v>72</v>
      </c>
      <c r="H136" s="25" t="n">
        <f aca="false">(FT136* 5)/M136</f>
        <v>48</v>
      </c>
      <c r="I136" s="25" t="n">
        <f aca="false">G136-H136</f>
        <v>24</v>
      </c>
      <c r="J136" s="34" t="s">
        <v>418</v>
      </c>
      <c r="K136" s="27" t="n">
        <v>100000</v>
      </c>
      <c r="L136" s="27" t="n">
        <v>216000</v>
      </c>
      <c r="M136" s="45" t="n">
        <f aca="false">(L136/G136)*5</f>
        <v>15000</v>
      </c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  <c r="CF136" s="29"/>
      <c r="CG136" s="29"/>
      <c r="CH136" s="29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  <c r="CZ136" s="29"/>
      <c r="DA136" s="29"/>
      <c r="DB136" s="29"/>
      <c r="DC136" s="29"/>
      <c r="DD136" s="29"/>
      <c r="DE136" s="29"/>
      <c r="DF136" s="29"/>
      <c r="DG136" s="29"/>
      <c r="DH136" s="29"/>
      <c r="DI136" s="29"/>
      <c r="DJ136" s="29"/>
      <c r="DK136" s="29"/>
      <c r="DL136" s="29"/>
      <c r="DM136" s="29"/>
      <c r="DN136" s="29"/>
      <c r="DO136" s="29"/>
      <c r="DP136" s="29"/>
      <c r="DQ136" s="29"/>
      <c r="DR136" s="29"/>
      <c r="DS136" s="29"/>
      <c r="DT136" s="29"/>
      <c r="DU136" s="29"/>
      <c r="DV136" s="29"/>
      <c r="DW136" s="29"/>
      <c r="DX136" s="29"/>
      <c r="DY136" s="29"/>
      <c r="DZ136" s="29"/>
      <c r="EA136" s="29"/>
      <c r="EB136" s="29"/>
      <c r="EC136" s="29"/>
      <c r="ED136" s="29"/>
      <c r="EE136" s="29"/>
      <c r="EF136" s="29"/>
      <c r="EG136" s="29"/>
      <c r="EH136" s="29"/>
      <c r="EI136" s="29"/>
      <c r="EJ136" s="29"/>
      <c r="EK136" s="29" t="s">
        <v>184</v>
      </c>
      <c r="EL136" s="29"/>
      <c r="EM136" s="29" t="s">
        <v>184</v>
      </c>
      <c r="EN136" s="29" t="s">
        <v>184</v>
      </c>
      <c r="EO136" s="29"/>
      <c r="EP136" s="29"/>
      <c r="EQ136" s="29"/>
      <c r="ER136" s="29"/>
      <c r="ES136" s="29" t="s">
        <v>184</v>
      </c>
      <c r="ET136" s="29"/>
      <c r="EU136" s="29"/>
      <c r="EV136" s="29" t="s">
        <v>184</v>
      </c>
      <c r="EW136" s="29"/>
      <c r="EX136" s="29"/>
      <c r="EY136" s="29"/>
      <c r="EZ136" s="64" t="s">
        <v>417</v>
      </c>
      <c r="FA136" s="64" t="n">
        <v>12000</v>
      </c>
      <c r="FB136" s="64" t="n">
        <v>15000</v>
      </c>
      <c r="FC136" s="64"/>
      <c r="FD136" s="64"/>
      <c r="FE136" s="64"/>
      <c r="FF136" s="64" t="n">
        <v>15000</v>
      </c>
      <c r="FG136" s="64" t="n">
        <v>12000</v>
      </c>
      <c r="FH136" s="64"/>
      <c r="FI136" s="64"/>
      <c r="FJ136" s="64" t="n">
        <v>15000</v>
      </c>
      <c r="FK136" s="64"/>
      <c r="FL136" s="64" t="n">
        <v>15000</v>
      </c>
      <c r="FM136" s="64"/>
      <c r="FN136" s="64"/>
      <c r="FO136" s="64" t="n">
        <v>15000</v>
      </c>
      <c r="FP136" s="64" t="n">
        <v>15000</v>
      </c>
      <c r="FQ136" s="64" t="n">
        <v>15000</v>
      </c>
      <c r="FR136" s="64" t="n">
        <v>15000</v>
      </c>
      <c r="FS136" s="64"/>
      <c r="FT136" s="29" t="n">
        <f aca="false">SUM(N136:FS136)</f>
        <v>144000</v>
      </c>
      <c r="FU136" s="27" t="n">
        <f aca="false">SUM(L136-FT136)</f>
        <v>72000</v>
      </c>
      <c r="FV136" s="31" t="n">
        <f aca="false">SUM( H136/5)</f>
        <v>9.6</v>
      </c>
      <c r="FW136" s="31" t="n">
        <f aca="false">SUM( I136/5)</f>
        <v>4.8</v>
      </c>
      <c r="FX136" s="32" t="n">
        <f aca="false">SUM(FV136/4)</f>
        <v>2.4</v>
      </c>
      <c r="FY136" s="32" t="n">
        <f aca="false">SUM(FW136/4)</f>
        <v>1.2</v>
      </c>
    </row>
    <row r="137" customFormat="false" ht="43.5" hidden="false" customHeight="true" outlineLevel="0" collapsed="false">
      <c r="A137" s="24" t="n">
        <v>3494</v>
      </c>
      <c r="B137" s="21" t="s">
        <v>417</v>
      </c>
      <c r="C137" s="21" t="s">
        <v>415</v>
      </c>
      <c r="D137" s="22"/>
      <c r="E137" s="23" t="n">
        <v>45976</v>
      </c>
      <c r="F137" s="23" t="n">
        <f aca="false">WORKDAY(E137,G137)</f>
        <v>46052</v>
      </c>
      <c r="G137" s="24" t="n">
        <v>55</v>
      </c>
      <c r="H137" s="25" t="n">
        <f aca="false">(FT137* 5)/M137</f>
        <v>10</v>
      </c>
      <c r="I137" s="25" t="n">
        <f aca="false">G137-H137</f>
        <v>45</v>
      </c>
      <c r="J137" s="34" t="s">
        <v>419</v>
      </c>
      <c r="K137" s="50" t="n">
        <v>80000</v>
      </c>
      <c r="L137" s="27" t="n">
        <v>154000</v>
      </c>
      <c r="M137" s="28" t="n">
        <f aca="false">(L137/G137)*5</f>
        <v>14000</v>
      </c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  <c r="CF137" s="29"/>
      <c r="CG137" s="29"/>
      <c r="CH137" s="29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  <c r="CZ137" s="29"/>
      <c r="DA137" s="29"/>
      <c r="DB137" s="29"/>
      <c r="DC137" s="29"/>
      <c r="DD137" s="29"/>
      <c r="DE137" s="29"/>
      <c r="DF137" s="29"/>
      <c r="DG137" s="29"/>
      <c r="DH137" s="29"/>
      <c r="DI137" s="29"/>
      <c r="DJ137" s="29"/>
      <c r="DK137" s="29"/>
      <c r="DL137" s="29"/>
      <c r="DM137" s="29"/>
      <c r="DN137" s="29"/>
      <c r="DO137" s="29"/>
      <c r="DP137" s="29"/>
      <c r="DQ137" s="29"/>
      <c r="DR137" s="29"/>
      <c r="DS137" s="29"/>
      <c r="DT137" s="29"/>
      <c r="DU137" s="29"/>
      <c r="DV137" s="29"/>
      <c r="DW137" s="29"/>
      <c r="DX137" s="29"/>
      <c r="DY137" s="29"/>
      <c r="DZ137" s="29"/>
      <c r="EA137" s="29"/>
      <c r="EB137" s="29"/>
      <c r="EC137" s="29"/>
      <c r="ED137" s="29"/>
      <c r="EE137" s="29"/>
      <c r="EF137" s="29"/>
      <c r="EG137" s="29"/>
      <c r="EH137" s="29"/>
      <c r="EI137" s="29"/>
      <c r="EJ137" s="29"/>
      <c r="EK137" s="29" t="s">
        <v>184</v>
      </c>
      <c r="EL137" s="29"/>
      <c r="EM137" s="29" t="s">
        <v>184</v>
      </c>
      <c r="EN137" s="29" t="s">
        <v>184</v>
      </c>
      <c r="EO137" s="29"/>
      <c r="EP137" s="29"/>
      <c r="EQ137" s="29"/>
      <c r="ER137" s="29"/>
      <c r="ES137" s="29" t="s">
        <v>184</v>
      </c>
      <c r="ET137" s="29"/>
      <c r="EU137" s="29"/>
      <c r="EV137" s="29" t="s">
        <v>184</v>
      </c>
      <c r="EW137" s="29"/>
      <c r="EX137" s="29"/>
      <c r="EY137" s="29"/>
      <c r="EZ137" s="29"/>
      <c r="FA137" s="29"/>
      <c r="FB137" s="29"/>
      <c r="FC137" s="29" t="s">
        <v>184</v>
      </c>
      <c r="FD137" s="29"/>
      <c r="FE137" s="29"/>
      <c r="FF137" s="29"/>
      <c r="FG137" s="29"/>
      <c r="FH137" s="29"/>
      <c r="FI137" s="29"/>
      <c r="FJ137" s="29"/>
      <c r="FK137" s="29"/>
      <c r="FL137" s="29" t="s">
        <v>184</v>
      </c>
      <c r="FM137" s="29"/>
      <c r="FN137" s="29"/>
      <c r="FO137" s="29"/>
      <c r="FP137" s="29"/>
      <c r="FQ137" s="29" t="n">
        <v>14000</v>
      </c>
      <c r="FR137" s="29" t="n">
        <v>14000</v>
      </c>
      <c r="FS137" s="29"/>
      <c r="FT137" s="29" t="n">
        <f aca="false">SUM(N137:FS137)</f>
        <v>28000</v>
      </c>
      <c r="FU137" s="27" t="n">
        <f aca="false">SUM(L137-FT137)</f>
        <v>126000</v>
      </c>
      <c r="FV137" s="31" t="n">
        <f aca="false">SUM( H137/5)</f>
        <v>2</v>
      </c>
      <c r="FW137" s="31" t="n">
        <f aca="false">SUM( I137/5)</f>
        <v>9</v>
      </c>
      <c r="FX137" s="32" t="n">
        <f aca="false">SUM(FV137/4)</f>
        <v>0.5</v>
      </c>
      <c r="FY137" s="32" t="n">
        <f aca="false">SUM(FW137/4)</f>
        <v>2.25</v>
      </c>
    </row>
    <row r="138" customFormat="false" ht="43.5" hidden="false" customHeight="true" outlineLevel="0" collapsed="false">
      <c r="A138" s="24" t="n">
        <v>3276</v>
      </c>
      <c r="B138" s="21" t="s">
        <v>420</v>
      </c>
      <c r="C138" s="21" t="s">
        <v>210</v>
      </c>
      <c r="D138" s="22"/>
      <c r="E138" s="23" t="n">
        <v>45841</v>
      </c>
      <c r="F138" s="23" t="n">
        <f aca="false">WORKDAY(E138,G138)</f>
        <v>45995</v>
      </c>
      <c r="G138" s="24" t="n">
        <v>110</v>
      </c>
      <c r="H138" s="25" t="n">
        <f aca="false">(FT138* 5)/M138</f>
        <v>43.0555555555556</v>
      </c>
      <c r="I138" s="25" t="n">
        <f aca="false">G138-H138</f>
        <v>66.9444444444444</v>
      </c>
      <c r="J138" s="34" t="s">
        <v>421</v>
      </c>
      <c r="K138" s="27" t="n">
        <v>150000</v>
      </c>
      <c r="L138" s="27" t="n">
        <v>396000</v>
      </c>
      <c r="M138" s="28" t="n">
        <f aca="false">(L138/G138)*5</f>
        <v>18000</v>
      </c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  <c r="CF138" s="29"/>
      <c r="CG138" s="29"/>
      <c r="CH138" s="29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  <c r="CZ138" s="29"/>
      <c r="DA138" s="29"/>
      <c r="DB138" s="29"/>
      <c r="DC138" s="29"/>
      <c r="DD138" s="29"/>
      <c r="DE138" s="29"/>
      <c r="DF138" s="29"/>
      <c r="DG138" s="29"/>
      <c r="DH138" s="29"/>
      <c r="DI138" s="29"/>
      <c r="DJ138" s="29"/>
      <c r="DK138" s="29"/>
      <c r="DL138" s="29"/>
      <c r="DM138" s="29"/>
      <c r="DN138" s="29"/>
      <c r="DO138" s="29"/>
      <c r="DP138" s="29"/>
      <c r="DQ138" s="29"/>
      <c r="DR138" s="29"/>
      <c r="DS138" s="29"/>
      <c r="DT138" s="29"/>
      <c r="DU138" s="29"/>
      <c r="DV138" s="29"/>
      <c r="DW138" s="29"/>
      <c r="DX138" s="29"/>
      <c r="DY138" s="29"/>
      <c r="DZ138" s="29"/>
      <c r="EA138" s="29"/>
      <c r="EB138" s="29"/>
      <c r="EC138" s="29"/>
      <c r="ED138" s="29"/>
      <c r="EE138" s="29"/>
      <c r="EF138" s="29"/>
      <c r="EG138" s="29"/>
      <c r="EH138" s="29"/>
      <c r="EI138" s="29"/>
      <c r="EJ138" s="29"/>
      <c r="EK138" s="29" t="s">
        <v>184</v>
      </c>
      <c r="EL138" s="29"/>
      <c r="EM138" s="29" t="s">
        <v>184</v>
      </c>
      <c r="EN138" s="29" t="s">
        <v>184</v>
      </c>
      <c r="EO138" s="29"/>
      <c r="EP138" s="29"/>
      <c r="EQ138" s="29"/>
      <c r="ER138" s="29"/>
      <c r="ES138" s="29" t="s">
        <v>184</v>
      </c>
      <c r="ET138" s="29"/>
      <c r="EU138" s="29"/>
      <c r="EV138" s="29" t="s">
        <v>184</v>
      </c>
      <c r="EW138" s="29"/>
      <c r="EX138" s="29"/>
      <c r="EY138" s="29" t="n">
        <v>15000</v>
      </c>
      <c r="EZ138" s="29" t="n">
        <v>18000</v>
      </c>
      <c r="FA138" s="29"/>
      <c r="FB138" s="29" t="n">
        <v>20000</v>
      </c>
      <c r="FC138" s="29"/>
      <c r="FD138" s="29"/>
      <c r="FE138" s="29"/>
      <c r="FF138" s="29"/>
      <c r="FG138" s="29" t="n">
        <v>72000</v>
      </c>
      <c r="FH138" s="29"/>
      <c r="FI138" s="29"/>
      <c r="FJ138" s="29"/>
      <c r="FK138" s="29"/>
      <c r="FL138" s="29"/>
      <c r="FM138" s="29"/>
      <c r="FN138" s="29"/>
      <c r="FO138" s="29"/>
      <c r="FP138" s="29" t="n">
        <v>30000</v>
      </c>
      <c r="FQ138" s="29"/>
      <c r="FR138" s="29"/>
      <c r="FS138" s="29"/>
      <c r="FT138" s="29" t="n">
        <f aca="false">SUM(N138:FS138)</f>
        <v>155000</v>
      </c>
      <c r="FU138" s="27" t="n">
        <f aca="false">SUM(L138-FT138)</f>
        <v>241000</v>
      </c>
      <c r="FV138" s="31" t="n">
        <f aca="false">SUM( H138/5)</f>
        <v>8.61111111111111</v>
      </c>
      <c r="FW138" s="31" t="n">
        <f aca="false">SUM( I138/5)</f>
        <v>13.3888888888889</v>
      </c>
      <c r="FX138" s="32" t="n">
        <f aca="false">SUM(FV138/4)</f>
        <v>2.15277777777778</v>
      </c>
      <c r="FY138" s="32" t="n">
        <f aca="false">SUM(FW138/4)</f>
        <v>3.34722222222222</v>
      </c>
    </row>
    <row r="139" customFormat="false" ht="43.5" hidden="false" customHeight="true" outlineLevel="0" collapsed="false">
      <c r="A139" s="24" t="n">
        <v>3077</v>
      </c>
      <c r="B139" s="21" t="s">
        <v>422</v>
      </c>
      <c r="C139" s="21" t="s">
        <v>423</v>
      </c>
      <c r="D139" s="22" t="n">
        <v>39446403</v>
      </c>
      <c r="E139" s="23" t="n">
        <v>45717</v>
      </c>
      <c r="F139" s="23" t="n">
        <f aca="false">WORKDAY(E139,G139)</f>
        <v>45870</v>
      </c>
      <c r="G139" s="24" t="n">
        <v>110</v>
      </c>
      <c r="H139" s="25" t="n">
        <f aca="false">(FT139* 5)/M139</f>
        <v>98.125</v>
      </c>
      <c r="I139" s="25" t="n">
        <f aca="false">G139-H139</f>
        <v>11.875</v>
      </c>
      <c r="J139" s="26" t="s">
        <v>424</v>
      </c>
      <c r="K139" s="27" t="n">
        <v>200000</v>
      </c>
      <c r="L139" s="27" t="n">
        <v>528000</v>
      </c>
      <c r="M139" s="45" t="n">
        <f aca="false">(L139/G139)*5</f>
        <v>24000</v>
      </c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  <c r="CF139" s="29"/>
      <c r="CG139" s="29"/>
      <c r="CH139" s="29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  <c r="CZ139" s="29"/>
      <c r="DA139" s="29"/>
      <c r="DB139" s="29"/>
      <c r="DC139" s="29"/>
      <c r="DD139" s="29"/>
      <c r="DE139" s="29"/>
      <c r="DF139" s="29"/>
      <c r="DG139" s="29"/>
      <c r="DH139" s="29"/>
      <c r="DI139" s="29"/>
      <c r="DJ139" s="29"/>
      <c r="DK139" s="29"/>
      <c r="DL139" s="29"/>
      <c r="DM139" s="29"/>
      <c r="DN139" s="29"/>
      <c r="DO139" s="29"/>
      <c r="DP139" s="29"/>
      <c r="DQ139" s="29"/>
      <c r="DR139" s="29"/>
      <c r="DS139" s="29"/>
      <c r="DT139" s="29"/>
      <c r="DU139" s="29"/>
      <c r="DV139" s="29"/>
      <c r="DW139" s="29"/>
      <c r="DX139" s="29"/>
      <c r="DY139" s="29"/>
      <c r="DZ139" s="29"/>
      <c r="EA139" s="29"/>
      <c r="EB139" s="29"/>
      <c r="EC139" s="29"/>
      <c r="ED139" s="29"/>
      <c r="EE139" s="29"/>
      <c r="EF139" s="29" t="n">
        <v>48000</v>
      </c>
      <c r="EG139" s="29"/>
      <c r="EH139" s="29"/>
      <c r="EI139" s="29"/>
      <c r="EJ139" s="29"/>
      <c r="EK139" s="29"/>
      <c r="EL139" s="29" t="n">
        <v>48000</v>
      </c>
      <c r="EM139" s="29"/>
      <c r="EN139" s="29"/>
      <c r="EO139" s="29" t="n">
        <v>40000</v>
      </c>
      <c r="EP139" s="29" t="n">
        <v>20000</v>
      </c>
      <c r="EQ139" s="29"/>
      <c r="ER139" s="29"/>
      <c r="ES139" s="29"/>
      <c r="ET139" s="29" t="n">
        <v>60000</v>
      </c>
      <c r="EU139" s="29"/>
      <c r="EV139" s="29"/>
      <c r="EW139" s="29" t="n">
        <v>30000</v>
      </c>
      <c r="EX139" s="29"/>
      <c r="EY139" s="29"/>
      <c r="EZ139" s="29"/>
      <c r="FA139" s="29" t="n">
        <v>50000</v>
      </c>
      <c r="FB139" s="29" t="n">
        <v>40000</v>
      </c>
      <c r="FC139" s="29"/>
      <c r="FD139" s="29"/>
      <c r="FE139" s="29" t="n">
        <v>30000</v>
      </c>
      <c r="FF139" s="29"/>
      <c r="FG139" s="29" t="n">
        <v>30000</v>
      </c>
      <c r="FH139" s="29"/>
      <c r="FI139" s="29"/>
      <c r="FJ139" s="29"/>
      <c r="FK139" s="29" t="n">
        <v>20000</v>
      </c>
      <c r="FL139" s="29" t="n">
        <v>20000</v>
      </c>
      <c r="FM139" s="29"/>
      <c r="FN139" s="29"/>
      <c r="FO139" s="29" t="n">
        <v>20000</v>
      </c>
      <c r="FP139" s="29" t="n">
        <v>15000</v>
      </c>
      <c r="FQ139" s="29"/>
      <c r="FR139" s="29"/>
      <c r="FS139" s="29"/>
      <c r="FT139" s="29" t="n">
        <f aca="false">SUM(N139:FS139)</f>
        <v>471000</v>
      </c>
      <c r="FU139" s="27" t="n">
        <f aca="false">SUM(L139-FT139)</f>
        <v>57000</v>
      </c>
      <c r="FV139" s="31" t="n">
        <f aca="false">SUM( H139/5)</f>
        <v>19.625</v>
      </c>
      <c r="FW139" s="31" t="n">
        <f aca="false">SUM( I139/5)</f>
        <v>2.375</v>
      </c>
      <c r="FX139" s="32" t="n">
        <f aca="false">SUM(FV139/4)</f>
        <v>4.90625</v>
      </c>
      <c r="FY139" s="32" t="n">
        <f aca="false">SUM(FW139/4)</f>
        <v>0.59375</v>
      </c>
    </row>
    <row r="140" customFormat="false" ht="43.5" hidden="false" customHeight="true" outlineLevel="0" collapsed="false">
      <c r="A140" s="24" t="n">
        <v>3430</v>
      </c>
      <c r="B140" s="21" t="s">
        <v>425</v>
      </c>
      <c r="C140" s="21" t="s">
        <v>426</v>
      </c>
      <c r="D140" s="22"/>
      <c r="E140" s="23" t="n">
        <v>45938</v>
      </c>
      <c r="F140" s="23" t="n">
        <f aca="false">WORKDAY(E140,G140)</f>
        <v>45966</v>
      </c>
      <c r="G140" s="24" t="n">
        <v>20</v>
      </c>
      <c r="H140" s="25" t="e">
        <f aca="false">(FT140* 5)/M140</f>
        <v>#DIV/0!</v>
      </c>
      <c r="I140" s="25" t="e">
        <f aca="false">G140-H140</f>
        <v>#DIV/0!</v>
      </c>
      <c r="J140" s="26" t="s">
        <v>427</v>
      </c>
      <c r="K140" s="27" t="n">
        <v>60000</v>
      </c>
      <c r="L140" s="27" t="n">
        <v>90000</v>
      </c>
      <c r="M140" s="45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  <c r="CF140" s="29"/>
      <c r="CG140" s="29"/>
      <c r="CH140" s="29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  <c r="CZ140" s="29"/>
      <c r="DA140" s="29"/>
      <c r="DB140" s="29"/>
      <c r="DC140" s="29"/>
      <c r="DD140" s="29"/>
      <c r="DE140" s="29"/>
      <c r="DF140" s="29"/>
      <c r="DG140" s="29"/>
      <c r="DH140" s="29"/>
      <c r="DI140" s="29"/>
      <c r="DJ140" s="29"/>
      <c r="DK140" s="29"/>
      <c r="DL140" s="29"/>
      <c r="DM140" s="29"/>
      <c r="DN140" s="29"/>
      <c r="DO140" s="29"/>
      <c r="DP140" s="29"/>
      <c r="DQ140" s="29"/>
      <c r="DR140" s="29"/>
      <c r="DS140" s="29"/>
      <c r="DT140" s="29"/>
      <c r="DU140" s="29"/>
      <c r="DV140" s="29"/>
      <c r="DW140" s="29"/>
      <c r="DX140" s="29"/>
      <c r="DY140" s="29"/>
      <c r="DZ140" s="29"/>
      <c r="EA140" s="29"/>
      <c r="EB140" s="29"/>
      <c r="EC140" s="29"/>
      <c r="ED140" s="29"/>
      <c r="EE140" s="29"/>
      <c r="EF140" s="29"/>
      <c r="EG140" s="29"/>
      <c r="EH140" s="29"/>
      <c r="EI140" s="29"/>
      <c r="EJ140" s="29"/>
      <c r="EK140" s="29" t="s">
        <v>184</v>
      </c>
      <c r="EL140" s="29"/>
      <c r="EM140" s="29" t="s">
        <v>184</v>
      </c>
      <c r="EN140" s="29" t="s">
        <v>184</v>
      </c>
      <c r="EO140" s="29"/>
      <c r="EP140" s="29"/>
      <c r="EQ140" s="29"/>
      <c r="ER140" s="29"/>
      <c r="ES140" s="29" t="s">
        <v>184</v>
      </c>
      <c r="ET140" s="29"/>
      <c r="EU140" s="29"/>
      <c r="EV140" s="29" t="s">
        <v>184</v>
      </c>
      <c r="EW140" s="29"/>
      <c r="EX140" s="29"/>
      <c r="EY140" s="29"/>
      <c r="EZ140" s="29"/>
      <c r="FA140" s="29"/>
      <c r="FB140" s="29"/>
      <c r="FC140" s="29" t="s">
        <v>184</v>
      </c>
      <c r="FD140" s="29"/>
      <c r="FE140" s="29"/>
      <c r="FF140" s="29"/>
      <c r="FG140" s="29"/>
      <c r="FH140" s="29"/>
      <c r="FI140" s="29"/>
      <c r="FJ140" s="29"/>
      <c r="FK140" s="29"/>
      <c r="FL140" s="29"/>
      <c r="FM140" s="29" t="n">
        <v>30000</v>
      </c>
      <c r="FN140" s="29"/>
      <c r="FO140" s="29" t="n">
        <v>30000</v>
      </c>
      <c r="FP140" s="29"/>
      <c r="FQ140" s="29"/>
      <c r="FR140" s="29"/>
      <c r="FS140" s="29"/>
      <c r="FT140" s="29" t="n">
        <f aca="false">SUM(N140:FS140)</f>
        <v>60000</v>
      </c>
      <c r="FU140" s="27" t="n">
        <f aca="false">SUM(L140-FT140)</f>
        <v>30000</v>
      </c>
      <c r="FV140" s="31" t="e">
        <f aca="false">SUM( H140/5)</f>
        <v>#DIV/0!</v>
      </c>
      <c r="FW140" s="31" t="e">
        <f aca="false">SUM( I140/5)</f>
        <v>#DIV/0!</v>
      </c>
      <c r="FX140" s="32" t="e">
        <f aca="false">SUM(FV140/4)</f>
        <v>#DIV/0!</v>
      </c>
      <c r="FY140" s="32" t="e">
        <f aca="false">SUM(FW140/4)</f>
        <v>#DIV/0!</v>
      </c>
    </row>
    <row r="141" customFormat="false" ht="43.5" hidden="false" customHeight="true" outlineLevel="0" collapsed="false">
      <c r="A141" s="24" t="n">
        <v>3316</v>
      </c>
      <c r="B141" s="21" t="s">
        <v>428</v>
      </c>
      <c r="C141" s="21" t="s">
        <v>429</v>
      </c>
      <c r="D141" s="22" t="n">
        <v>27329256826</v>
      </c>
      <c r="E141" s="23" t="n">
        <v>45863</v>
      </c>
      <c r="F141" s="23" t="n">
        <f aca="false">WORKDAY(E141,G141)</f>
        <v>46031</v>
      </c>
      <c r="G141" s="24" t="n">
        <v>120</v>
      </c>
      <c r="H141" s="25" t="n">
        <f aca="false">(FT141* 5)/M141</f>
        <v>80</v>
      </c>
      <c r="I141" s="25" t="n">
        <f aca="false">G141-H141</f>
        <v>40</v>
      </c>
      <c r="J141" s="26" t="s">
        <v>430</v>
      </c>
      <c r="K141" s="27" t="n">
        <v>150000</v>
      </c>
      <c r="L141" s="27" t="n">
        <v>396000</v>
      </c>
      <c r="M141" s="28" t="n">
        <f aca="false">(L141/G141)*5</f>
        <v>16500</v>
      </c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  <c r="CF141" s="29"/>
      <c r="CG141" s="29"/>
      <c r="CH141" s="29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  <c r="CZ141" s="29"/>
      <c r="DA141" s="29"/>
      <c r="DB141" s="29"/>
      <c r="DC141" s="29"/>
      <c r="DD141" s="29"/>
      <c r="DE141" s="29"/>
      <c r="DF141" s="29"/>
      <c r="DG141" s="29"/>
      <c r="DH141" s="29"/>
      <c r="DI141" s="29"/>
      <c r="DJ141" s="29"/>
      <c r="DK141" s="29"/>
      <c r="DL141" s="29"/>
      <c r="DM141" s="29"/>
      <c r="DN141" s="29"/>
      <c r="DO141" s="29"/>
      <c r="DP141" s="29"/>
      <c r="DQ141" s="29"/>
      <c r="DR141" s="29"/>
      <c r="DS141" s="29"/>
      <c r="DT141" s="29"/>
      <c r="DU141" s="29"/>
      <c r="DV141" s="29"/>
      <c r="DW141" s="29"/>
      <c r="DX141" s="29"/>
      <c r="DY141" s="29"/>
      <c r="DZ141" s="29"/>
      <c r="EA141" s="29"/>
      <c r="EB141" s="29"/>
      <c r="EC141" s="29"/>
      <c r="ED141" s="29"/>
      <c r="EE141" s="29"/>
      <c r="EF141" s="29"/>
      <c r="EG141" s="29"/>
      <c r="EH141" s="29"/>
      <c r="EI141" s="29"/>
      <c r="EJ141" s="29"/>
      <c r="EK141" s="29" t="s">
        <v>184</v>
      </c>
      <c r="EL141" s="29"/>
      <c r="EM141" s="29" t="s">
        <v>184</v>
      </c>
      <c r="EN141" s="29" t="s">
        <v>184</v>
      </c>
      <c r="EO141" s="29"/>
      <c r="EP141" s="29"/>
      <c r="EQ141" s="29"/>
      <c r="ER141" s="29"/>
      <c r="ES141" s="29" t="s">
        <v>184</v>
      </c>
      <c r="ET141" s="29"/>
      <c r="EU141" s="29"/>
      <c r="EV141" s="29" t="s">
        <v>184</v>
      </c>
      <c r="EW141" s="29"/>
      <c r="EX141" s="29"/>
      <c r="EY141" s="29"/>
      <c r="EZ141" s="29"/>
      <c r="FA141" s="29"/>
      <c r="FB141" s="29"/>
      <c r="FC141" s="29"/>
      <c r="FD141" s="29" t="n">
        <v>65000</v>
      </c>
      <c r="FE141" s="29" t="n">
        <v>1000</v>
      </c>
      <c r="FF141" s="29"/>
      <c r="FG141" s="29"/>
      <c r="FH141" s="29"/>
      <c r="FI141" s="29" t="n">
        <v>67000</v>
      </c>
      <c r="FJ141" s="29"/>
      <c r="FK141" s="29"/>
      <c r="FL141" s="29"/>
      <c r="FM141" s="29" t="n">
        <v>65000</v>
      </c>
      <c r="FN141" s="29"/>
      <c r="FO141" s="29"/>
      <c r="FP141" s="29"/>
      <c r="FQ141" s="29"/>
      <c r="FR141" s="29" t="n">
        <v>66000</v>
      </c>
      <c r="FS141" s="29"/>
      <c r="FT141" s="29" t="n">
        <f aca="false">SUM(N141:FS141)</f>
        <v>264000</v>
      </c>
      <c r="FU141" s="27" t="n">
        <f aca="false">SUM(L141-FT141)</f>
        <v>132000</v>
      </c>
      <c r="FV141" s="31" t="n">
        <f aca="false">SUM( H141/5)</f>
        <v>16</v>
      </c>
      <c r="FW141" s="31" t="n">
        <f aca="false">SUM( I141/5)</f>
        <v>8</v>
      </c>
      <c r="FX141" s="32" t="n">
        <f aca="false">SUM(FV141/4)</f>
        <v>4</v>
      </c>
      <c r="FY141" s="32" t="n">
        <f aca="false">SUM(FW141/4)</f>
        <v>2</v>
      </c>
    </row>
    <row r="142" customFormat="false" ht="43.5" hidden="false" customHeight="true" outlineLevel="0" collapsed="false">
      <c r="A142" s="24" t="n">
        <v>3185</v>
      </c>
      <c r="B142" s="21" t="s">
        <v>431</v>
      </c>
      <c r="C142" s="21" t="s">
        <v>432</v>
      </c>
      <c r="D142" s="22"/>
      <c r="E142" s="23" t="n">
        <v>45785</v>
      </c>
      <c r="F142" s="23" t="n">
        <f aca="false">WORKDAY(E142,G142)</f>
        <v>45939</v>
      </c>
      <c r="G142" s="24" t="n">
        <v>110</v>
      </c>
      <c r="H142" s="25" t="n">
        <f aca="false">(FT142* 5)/M142</f>
        <v>84.7222222222222</v>
      </c>
      <c r="I142" s="25" t="n">
        <f aca="false">G142-H142</f>
        <v>25.2777777777778</v>
      </c>
      <c r="J142" s="46" t="s">
        <v>433</v>
      </c>
      <c r="K142" s="27" t="n">
        <v>150000</v>
      </c>
      <c r="L142" s="27" t="n">
        <v>396000</v>
      </c>
      <c r="M142" s="65" t="n">
        <f aca="false">(L142/G142)*5</f>
        <v>18000</v>
      </c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  <c r="CF142" s="29"/>
      <c r="CG142" s="29"/>
      <c r="CH142" s="29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  <c r="CZ142" s="29"/>
      <c r="DA142" s="29"/>
      <c r="DB142" s="29"/>
      <c r="DC142" s="29"/>
      <c r="DD142" s="29"/>
      <c r="DE142" s="29"/>
      <c r="DF142" s="29"/>
      <c r="DG142" s="29"/>
      <c r="DH142" s="29"/>
      <c r="DI142" s="29"/>
      <c r="DJ142" s="29"/>
      <c r="DK142" s="29"/>
      <c r="DL142" s="29"/>
      <c r="DM142" s="29"/>
      <c r="DN142" s="29"/>
      <c r="DO142" s="29"/>
      <c r="DP142" s="29"/>
      <c r="DQ142" s="29"/>
      <c r="DR142" s="29"/>
      <c r="DS142" s="29"/>
      <c r="DT142" s="29"/>
      <c r="DU142" s="29"/>
      <c r="DV142" s="29"/>
      <c r="DW142" s="29"/>
      <c r="DX142" s="29"/>
      <c r="DY142" s="29"/>
      <c r="DZ142" s="29"/>
      <c r="EA142" s="29"/>
      <c r="EB142" s="29"/>
      <c r="EC142" s="29"/>
      <c r="ED142" s="29"/>
      <c r="EE142" s="29"/>
      <c r="EF142" s="29"/>
      <c r="EG142" s="29"/>
      <c r="EH142" s="29"/>
      <c r="EI142" s="29"/>
      <c r="EJ142" s="29"/>
      <c r="EK142" s="29" t="s">
        <v>184</v>
      </c>
      <c r="EL142" s="29"/>
      <c r="EM142" s="29" t="s">
        <v>184</v>
      </c>
      <c r="EN142" s="29" t="s">
        <v>184</v>
      </c>
      <c r="EO142" s="29"/>
      <c r="EP142" s="29"/>
      <c r="EQ142" s="29" t="n">
        <v>40000</v>
      </c>
      <c r="ER142" s="29"/>
      <c r="ES142" s="29"/>
      <c r="ET142" s="29"/>
      <c r="EU142" s="29"/>
      <c r="EV142" s="29" t="n">
        <v>30000</v>
      </c>
      <c r="EW142" s="29"/>
      <c r="EX142" s="29"/>
      <c r="EY142" s="29" t="n">
        <v>36000</v>
      </c>
      <c r="EZ142" s="29"/>
      <c r="FA142" s="29"/>
      <c r="FB142" s="29"/>
      <c r="FC142" s="29"/>
      <c r="FD142" s="29"/>
      <c r="FE142" s="29"/>
      <c r="FF142" s="29" t="n">
        <v>40000</v>
      </c>
      <c r="FG142" s="29"/>
      <c r="FH142" s="29" t="n">
        <v>40000</v>
      </c>
      <c r="FI142" s="29"/>
      <c r="FJ142" s="29" t="n">
        <v>32000</v>
      </c>
      <c r="FK142" s="29"/>
      <c r="FL142" s="29" t="n">
        <v>32000</v>
      </c>
      <c r="FM142" s="29"/>
      <c r="FN142" s="29" t="n">
        <v>14000</v>
      </c>
      <c r="FO142" s="29"/>
      <c r="FP142" s="29" t="n">
        <v>30000</v>
      </c>
      <c r="FQ142" s="29"/>
      <c r="FR142" s="29" t="n">
        <v>11000</v>
      </c>
      <c r="FS142" s="29"/>
      <c r="FT142" s="29" t="n">
        <f aca="false">SUM(N142:FS142)</f>
        <v>305000</v>
      </c>
      <c r="FU142" s="27" t="n">
        <f aca="false">SUM(L142-FT142)</f>
        <v>91000</v>
      </c>
      <c r="FV142" s="31" t="n">
        <f aca="false">SUM( H142/5)</f>
        <v>16.9444444444444</v>
      </c>
      <c r="FW142" s="31" t="n">
        <f aca="false">SUM( I142/5)</f>
        <v>5.05555555555555</v>
      </c>
      <c r="FX142" s="32" t="n">
        <f aca="false">SUM(FV142/4)</f>
        <v>4.23611111111111</v>
      </c>
      <c r="FY142" s="32" t="n">
        <f aca="false">SUM(FW142/4)</f>
        <v>1.26388888888889</v>
      </c>
    </row>
    <row r="143" customFormat="false" ht="43.5" hidden="false" customHeight="true" outlineLevel="0" collapsed="false">
      <c r="A143" s="24" t="n">
        <v>3392</v>
      </c>
      <c r="B143" s="34" t="s">
        <v>434</v>
      </c>
      <c r="C143" s="34" t="s">
        <v>435</v>
      </c>
      <c r="D143" s="34" t="n">
        <v>27352124309</v>
      </c>
      <c r="E143" s="42" t="n">
        <v>45912</v>
      </c>
      <c r="F143" s="42" t="n">
        <v>45692</v>
      </c>
      <c r="G143" s="43" t="n">
        <v>120</v>
      </c>
      <c r="H143" s="25" t="n">
        <f aca="false">(FT143* 5)/M143</f>
        <v>40</v>
      </c>
      <c r="I143" s="25" t="n">
        <f aca="false">G143-H143</f>
        <v>80</v>
      </c>
      <c r="J143" s="66" t="s">
        <v>436</v>
      </c>
      <c r="K143" s="44" t="n">
        <v>300000</v>
      </c>
      <c r="L143" s="44" t="n">
        <v>792000</v>
      </c>
      <c r="M143" s="45" t="n">
        <f aca="false">(L143/G143)*5</f>
        <v>33000</v>
      </c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  <c r="CF143" s="29"/>
      <c r="CG143" s="29"/>
      <c r="CH143" s="29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  <c r="CZ143" s="29"/>
      <c r="DA143" s="29"/>
      <c r="DB143" s="29"/>
      <c r="DC143" s="29"/>
      <c r="DD143" s="29"/>
      <c r="DE143" s="29"/>
      <c r="DF143" s="29"/>
      <c r="DG143" s="29"/>
      <c r="DH143" s="29"/>
      <c r="DI143" s="29"/>
      <c r="DJ143" s="29"/>
      <c r="DK143" s="29"/>
      <c r="DL143" s="29"/>
      <c r="DM143" s="29"/>
      <c r="DN143" s="29"/>
      <c r="DO143" s="29"/>
      <c r="DP143" s="29"/>
      <c r="DQ143" s="29"/>
      <c r="DR143" s="29"/>
      <c r="DS143" s="29"/>
      <c r="DT143" s="29"/>
      <c r="DU143" s="29"/>
      <c r="DV143" s="29"/>
      <c r="DW143" s="29"/>
      <c r="DX143" s="29"/>
      <c r="DY143" s="29"/>
      <c r="DZ143" s="29"/>
      <c r="EA143" s="29"/>
      <c r="EB143" s="29"/>
      <c r="EC143" s="29"/>
      <c r="ED143" s="29"/>
      <c r="EE143" s="29"/>
      <c r="EF143" s="29"/>
      <c r="EG143" s="29"/>
      <c r="EH143" s="29"/>
      <c r="EI143" s="29"/>
      <c r="EJ143" s="29"/>
      <c r="EK143" s="29" t="s">
        <v>184</v>
      </c>
      <c r="EL143" s="29"/>
      <c r="EM143" s="29" t="s">
        <v>184</v>
      </c>
      <c r="EN143" s="29" t="s">
        <v>184</v>
      </c>
      <c r="EO143" s="29"/>
      <c r="EP143" s="29"/>
      <c r="EQ143" s="29"/>
      <c r="ER143" s="29"/>
      <c r="ES143" s="29" t="s">
        <v>184</v>
      </c>
      <c r="ET143" s="29"/>
      <c r="EU143" s="29"/>
      <c r="EV143" s="29" t="s">
        <v>184</v>
      </c>
      <c r="EW143" s="29"/>
      <c r="EX143" s="29"/>
      <c r="EY143" s="29"/>
      <c r="EZ143" s="29"/>
      <c r="FA143" s="29"/>
      <c r="FB143" s="29"/>
      <c r="FC143" s="29" t="s">
        <v>184</v>
      </c>
      <c r="FD143" s="29"/>
      <c r="FE143" s="29"/>
      <c r="FF143" s="29"/>
      <c r="FG143" s="29"/>
      <c r="FH143" s="29"/>
      <c r="FI143" s="29"/>
      <c r="FJ143" s="29" t="n">
        <v>132000</v>
      </c>
      <c r="FK143" s="29"/>
      <c r="FL143" s="29"/>
      <c r="FM143" s="29"/>
      <c r="FN143" s="29"/>
      <c r="FO143" s="29" t="n">
        <v>132000</v>
      </c>
      <c r="FP143" s="29"/>
      <c r="FQ143" s="29"/>
      <c r="FR143" s="29"/>
      <c r="FS143" s="29"/>
      <c r="FT143" s="29" t="n">
        <f aca="false">SUM(N143:FS143)</f>
        <v>264000</v>
      </c>
      <c r="FU143" s="27" t="n">
        <f aca="false">SUM(L143-FT143)</f>
        <v>528000</v>
      </c>
      <c r="FV143" s="31" t="n">
        <f aca="false">SUM( H143/5)</f>
        <v>8</v>
      </c>
      <c r="FW143" s="31" t="n">
        <f aca="false">SUM( I143/5)</f>
        <v>16</v>
      </c>
      <c r="FX143" s="32" t="n">
        <f aca="false">SUM(FV143/4)</f>
        <v>2</v>
      </c>
      <c r="FY143" s="32" t="n">
        <f aca="false">SUM(FW143/4)</f>
        <v>4</v>
      </c>
    </row>
    <row r="144" customFormat="false" ht="43.5" hidden="false" customHeight="true" outlineLevel="0" collapsed="false">
      <c r="A144" s="24" t="n">
        <v>3447</v>
      </c>
      <c r="B144" s="21" t="s">
        <v>437</v>
      </c>
      <c r="C144" s="21" t="s">
        <v>438</v>
      </c>
      <c r="D144" s="22"/>
      <c r="E144" s="23" t="n">
        <v>45946</v>
      </c>
      <c r="F144" s="23" t="n">
        <f aca="false">WORKDAY(E144,G144)</f>
        <v>46023</v>
      </c>
      <c r="G144" s="24" t="n">
        <v>55</v>
      </c>
      <c r="H144" s="25" t="n">
        <f aca="false">(FT144* 5)/M144</f>
        <v>30</v>
      </c>
      <c r="I144" s="25" t="n">
        <f aca="false">G144-H144</f>
        <v>25</v>
      </c>
      <c r="J144" s="34" t="s">
        <v>439</v>
      </c>
      <c r="K144" s="27" t="n">
        <v>450000</v>
      </c>
      <c r="L144" s="27" t="n">
        <v>863500</v>
      </c>
      <c r="M144" s="45" t="n">
        <f aca="false">(L144/G144)*5</f>
        <v>78500</v>
      </c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  <c r="CF144" s="29"/>
      <c r="CG144" s="29"/>
      <c r="CH144" s="29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  <c r="CZ144" s="29"/>
      <c r="DA144" s="29"/>
      <c r="DB144" s="29"/>
      <c r="DC144" s="29"/>
      <c r="DD144" s="29"/>
      <c r="DE144" s="29"/>
      <c r="DF144" s="29"/>
      <c r="DG144" s="29"/>
      <c r="DH144" s="29"/>
      <c r="DI144" s="29"/>
      <c r="DJ144" s="29"/>
      <c r="DK144" s="29"/>
      <c r="DL144" s="29"/>
      <c r="DM144" s="29"/>
      <c r="DN144" s="29"/>
      <c r="DO144" s="29"/>
      <c r="DP144" s="29"/>
      <c r="DQ144" s="29"/>
      <c r="DR144" s="29"/>
      <c r="DS144" s="29"/>
      <c r="DT144" s="29"/>
      <c r="DU144" s="29"/>
      <c r="DV144" s="29"/>
      <c r="DW144" s="29"/>
      <c r="DX144" s="29"/>
      <c r="DY144" s="29"/>
      <c r="DZ144" s="29"/>
      <c r="EA144" s="29"/>
      <c r="EB144" s="29"/>
      <c r="EC144" s="29"/>
      <c r="ED144" s="29"/>
      <c r="EE144" s="29"/>
      <c r="EF144" s="29"/>
      <c r="EG144" s="29"/>
      <c r="EH144" s="29"/>
      <c r="EI144" s="29"/>
      <c r="EJ144" s="29"/>
      <c r="EK144" s="29" t="s">
        <v>184</v>
      </c>
      <c r="EL144" s="29"/>
      <c r="EM144" s="29" t="s">
        <v>184</v>
      </c>
      <c r="EN144" s="29" t="s">
        <v>184</v>
      </c>
      <c r="EO144" s="29"/>
      <c r="EP144" s="29"/>
      <c r="EQ144" s="29"/>
      <c r="ER144" s="29"/>
      <c r="ES144" s="29" t="s">
        <v>184</v>
      </c>
      <c r="ET144" s="29"/>
      <c r="EU144" s="29"/>
      <c r="EV144" s="29" t="s">
        <v>184</v>
      </c>
      <c r="EW144" s="29"/>
      <c r="EX144" s="29"/>
      <c r="EY144" s="29"/>
      <c r="EZ144" s="29"/>
      <c r="FA144" s="29"/>
      <c r="FB144" s="29"/>
      <c r="FC144" s="29" t="s">
        <v>184</v>
      </c>
      <c r="FD144" s="29"/>
      <c r="FE144" s="29"/>
      <c r="FF144" s="29"/>
      <c r="FG144" s="29"/>
      <c r="FH144" s="29"/>
      <c r="FI144" s="29"/>
      <c r="FJ144" s="29"/>
      <c r="FK144" s="29"/>
      <c r="FL144" s="29"/>
      <c r="FM144" s="29" t="n">
        <v>78500</v>
      </c>
      <c r="FN144" s="29" t="n">
        <v>78500</v>
      </c>
      <c r="FO144" s="29" t="n">
        <v>78500</v>
      </c>
      <c r="FP144" s="29" t="n">
        <v>78500</v>
      </c>
      <c r="FQ144" s="29" t="n">
        <v>78500</v>
      </c>
      <c r="FR144" s="29" t="n">
        <v>78500</v>
      </c>
      <c r="FS144" s="29"/>
      <c r="FT144" s="29" t="n">
        <f aca="false">SUM(N144:FS144)</f>
        <v>471000</v>
      </c>
      <c r="FU144" s="27" t="n">
        <f aca="false">SUM(L144-FT144)</f>
        <v>392500</v>
      </c>
      <c r="FV144" s="31" t="n">
        <f aca="false">SUM( H144/5)</f>
        <v>6</v>
      </c>
      <c r="FW144" s="31" t="n">
        <f aca="false">SUM( I144/5)</f>
        <v>5</v>
      </c>
      <c r="FX144" s="32" t="n">
        <f aca="false">SUM(FV144/4)</f>
        <v>1.5</v>
      </c>
      <c r="FY144" s="32" t="n">
        <f aca="false">SUM(FW144/4)</f>
        <v>1.25</v>
      </c>
    </row>
    <row r="145" customFormat="false" ht="43.5" hidden="false" customHeight="true" outlineLevel="0" collapsed="false">
      <c r="A145" s="24" t="n">
        <v>3419</v>
      </c>
      <c r="B145" s="22" t="s">
        <v>440</v>
      </c>
      <c r="C145" s="22" t="s">
        <v>207</v>
      </c>
      <c r="D145" s="22"/>
      <c r="E145" s="23" t="n">
        <v>45927</v>
      </c>
      <c r="F145" s="23" t="n">
        <f aca="false">WORKDAY(E145,G145)</f>
        <v>46028</v>
      </c>
      <c r="G145" s="24" t="n">
        <v>72</v>
      </c>
      <c r="H145" s="25" t="n">
        <f aca="false">(FT145* 5)/M145</f>
        <v>45</v>
      </c>
      <c r="I145" s="25" t="n">
        <f aca="false">G145-H145</f>
        <v>27</v>
      </c>
      <c r="J145" s="22" t="s">
        <v>190</v>
      </c>
      <c r="K145" s="30" t="n">
        <v>200000</v>
      </c>
      <c r="L145" s="30" t="n">
        <v>432000</v>
      </c>
      <c r="M145" s="28" t="n">
        <f aca="false">(L145/G145)*5</f>
        <v>30000</v>
      </c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  <c r="CF145" s="29"/>
      <c r="CG145" s="29"/>
      <c r="CH145" s="29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  <c r="CZ145" s="29"/>
      <c r="DA145" s="29"/>
      <c r="DB145" s="29"/>
      <c r="DC145" s="29"/>
      <c r="DD145" s="29"/>
      <c r="DE145" s="29"/>
      <c r="DF145" s="29"/>
      <c r="DG145" s="29"/>
      <c r="DH145" s="29"/>
      <c r="DI145" s="29"/>
      <c r="DJ145" s="29"/>
      <c r="DK145" s="29"/>
      <c r="DL145" s="29"/>
      <c r="DM145" s="29"/>
      <c r="DN145" s="29"/>
      <c r="DO145" s="29"/>
      <c r="DP145" s="29"/>
      <c r="DQ145" s="29"/>
      <c r="DR145" s="29"/>
      <c r="DS145" s="29"/>
      <c r="DT145" s="29"/>
      <c r="DU145" s="29"/>
      <c r="DV145" s="29"/>
      <c r="DW145" s="29"/>
      <c r="DX145" s="29"/>
      <c r="DY145" s="29"/>
      <c r="DZ145" s="29"/>
      <c r="EA145" s="29"/>
      <c r="EB145" s="29"/>
      <c r="EC145" s="29"/>
      <c r="ED145" s="29"/>
      <c r="EE145" s="29"/>
      <c r="EF145" s="29"/>
      <c r="EG145" s="29"/>
      <c r="EH145" s="29"/>
      <c r="EI145" s="29"/>
      <c r="EJ145" s="29"/>
      <c r="EK145" s="29" t="s">
        <v>184</v>
      </c>
      <c r="EL145" s="29"/>
      <c r="EM145" s="29" t="s">
        <v>184</v>
      </c>
      <c r="EN145" s="29" t="s">
        <v>184</v>
      </c>
      <c r="EO145" s="29"/>
      <c r="EP145" s="29"/>
      <c r="EQ145" s="29"/>
      <c r="ER145" s="29"/>
      <c r="ES145" s="29" t="s">
        <v>184</v>
      </c>
      <c r="ET145" s="29"/>
      <c r="EU145" s="29"/>
      <c r="EV145" s="29" t="s">
        <v>184</v>
      </c>
      <c r="EW145" s="29"/>
      <c r="EX145" s="29"/>
      <c r="EY145" s="29"/>
      <c r="EZ145" s="29"/>
      <c r="FA145" s="29"/>
      <c r="FB145" s="29"/>
      <c r="FC145" s="29" t="s">
        <v>184</v>
      </c>
      <c r="FD145" s="29"/>
      <c r="FE145" s="29"/>
      <c r="FF145" s="29"/>
      <c r="FG145" s="29"/>
      <c r="FH145" s="29"/>
      <c r="FI145" s="29"/>
      <c r="FJ145" s="29" t="n">
        <v>20000</v>
      </c>
      <c r="FK145" s="29" t="n">
        <v>40000</v>
      </c>
      <c r="FL145" s="29" t="n">
        <v>30000</v>
      </c>
      <c r="FM145" s="29" t="n">
        <v>30000</v>
      </c>
      <c r="FN145" s="29" t="n">
        <v>30000</v>
      </c>
      <c r="FO145" s="29" t="n">
        <v>30000</v>
      </c>
      <c r="FP145" s="29" t="n">
        <v>30000</v>
      </c>
      <c r="FQ145" s="29" t="n">
        <v>30000</v>
      </c>
      <c r="FR145" s="29" t="n">
        <v>30000</v>
      </c>
      <c r="FS145" s="29"/>
      <c r="FT145" s="29" t="n">
        <f aca="false">SUM(N145:FS145)</f>
        <v>270000</v>
      </c>
      <c r="FU145" s="27" t="n">
        <f aca="false">SUM(L145-FT145)</f>
        <v>162000</v>
      </c>
      <c r="FV145" s="31" t="n">
        <f aca="false">SUM( H145/5)</f>
        <v>9</v>
      </c>
      <c r="FW145" s="31" t="n">
        <f aca="false">SUM( I145/5)</f>
        <v>5.4</v>
      </c>
      <c r="FX145" s="32" t="n">
        <f aca="false">SUM(FV145/4)</f>
        <v>2.25</v>
      </c>
      <c r="FY145" s="32" t="n">
        <f aca="false">SUM(FW145/4)</f>
        <v>1.35</v>
      </c>
    </row>
    <row r="146" customFormat="false" ht="43.5" hidden="false" customHeight="true" outlineLevel="0" collapsed="false">
      <c r="A146" s="24" t="n">
        <v>3386</v>
      </c>
      <c r="B146" s="21" t="s">
        <v>441</v>
      </c>
      <c r="C146" s="21" t="s">
        <v>442</v>
      </c>
      <c r="D146" s="22"/>
      <c r="E146" s="23" t="n">
        <v>45909</v>
      </c>
      <c r="F146" s="23" t="n">
        <f aca="false">WORKDAY(E146,G146)</f>
        <v>46021</v>
      </c>
      <c r="G146" s="24" t="n">
        <v>80</v>
      </c>
      <c r="H146" s="25" t="n">
        <f aca="false">(FT146* 5)/M146</f>
        <v>23.7037037037037</v>
      </c>
      <c r="I146" s="25" t="n">
        <f aca="false">G146-H146</f>
        <v>56.2962962962963</v>
      </c>
      <c r="J146" s="26" t="s">
        <v>355</v>
      </c>
      <c r="K146" s="27" t="n">
        <v>100000</v>
      </c>
      <c r="L146" s="27" t="n">
        <v>216000</v>
      </c>
      <c r="M146" s="45" t="n">
        <f aca="false">(L146/G146)*5</f>
        <v>13500</v>
      </c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  <c r="CF146" s="29"/>
      <c r="CG146" s="29"/>
      <c r="CH146" s="29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  <c r="CZ146" s="29"/>
      <c r="DA146" s="29"/>
      <c r="DB146" s="29"/>
      <c r="DC146" s="29"/>
      <c r="DD146" s="29"/>
      <c r="DE146" s="29"/>
      <c r="DF146" s="29"/>
      <c r="DG146" s="29"/>
      <c r="DH146" s="29"/>
      <c r="DI146" s="29"/>
      <c r="DJ146" s="29"/>
      <c r="DK146" s="29"/>
      <c r="DL146" s="29"/>
      <c r="DM146" s="29"/>
      <c r="DN146" s="29"/>
      <c r="DO146" s="29"/>
      <c r="DP146" s="29"/>
      <c r="DQ146" s="29"/>
      <c r="DR146" s="29"/>
      <c r="DS146" s="29"/>
      <c r="DT146" s="29"/>
      <c r="DU146" s="29"/>
      <c r="DV146" s="29"/>
      <c r="DW146" s="29"/>
      <c r="DX146" s="29"/>
      <c r="DY146" s="29"/>
      <c r="DZ146" s="29"/>
      <c r="EA146" s="29"/>
      <c r="EB146" s="29"/>
      <c r="EC146" s="29"/>
      <c r="ED146" s="29"/>
      <c r="EE146" s="29"/>
      <c r="EF146" s="29"/>
      <c r="EG146" s="29"/>
      <c r="EH146" s="29"/>
      <c r="EI146" s="29"/>
      <c r="EJ146" s="29"/>
      <c r="EK146" s="29" t="s">
        <v>184</v>
      </c>
      <c r="EL146" s="29"/>
      <c r="EM146" s="29" t="s">
        <v>184</v>
      </c>
      <c r="EN146" s="29" t="s">
        <v>184</v>
      </c>
      <c r="EO146" s="29"/>
      <c r="EP146" s="29"/>
      <c r="EQ146" s="29"/>
      <c r="ER146" s="29"/>
      <c r="ES146" s="29" t="s">
        <v>184</v>
      </c>
      <c r="ET146" s="29"/>
      <c r="EU146" s="29"/>
      <c r="EV146" s="29" t="s">
        <v>184</v>
      </c>
      <c r="EW146" s="29"/>
      <c r="EX146" s="29"/>
      <c r="EY146" s="29"/>
      <c r="EZ146" s="29"/>
      <c r="FA146" s="29"/>
      <c r="FB146" s="29"/>
      <c r="FC146" s="29" t="s">
        <v>184</v>
      </c>
      <c r="FD146" s="29"/>
      <c r="FE146" s="29"/>
      <c r="FF146" s="29"/>
      <c r="FG146" s="29"/>
      <c r="FH146" s="29"/>
      <c r="FI146" s="29"/>
      <c r="FJ146" s="29"/>
      <c r="FK146" s="29" t="n">
        <v>44000</v>
      </c>
      <c r="FL146" s="29"/>
      <c r="FM146" s="29"/>
      <c r="FN146" s="29"/>
      <c r="FO146" s="29" t="n">
        <v>20000</v>
      </c>
      <c r="FP146" s="29"/>
      <c r="FQ146" s="29"/>
      <c r="FR146" s="29"/>
      <c r="FS146" s="29"/>
      <c r="FT146" s="29" t="n">
        <f aca="false">SUM(N146:FS146)</f>
        <v>64000</v>
      </c>
      <c r="FU146" s="27" t="n">
        <f aca="false">SUM(L146-FT146)</f>
        <v>152000</v>
      </c>
      <c r="FV146" s="31" t="n">
        <f aca="false">SUM( H146/5)</f>
        <v>4.74074074074074</v>
      </c>
      <c r="FW146" s="31" t="n">
        <f aca="false">SUM( I146/5)</f>
        <v>11.2592592592593</v>
      </c>
      <c r="FX146" s="32" t="n">
        <f aca="false">SUM(FV146/4)</f>
        <v>1.18518518518519</v>
      </c>
      <c r="FY146" s="32" t="n">
        <f aca="false">SUM(FW146/4)</f>
        <v>2.81481481481482</v>
      </c>
    </row>
    <row r="147" customFormat="false" ht="43.5" hidden="false" customHeight="true" outlineLevel="0" collapsed="false">
      <c r="A147" s="24" t="n">
        <v>3471</v>
      </c>
      <c r="B147" s="21" t="s">
        <v>443</v>
      </c>
      <c r="C147" s="21"/>
      <c r="D147" s="22"/>
      <c r="E147" s="23" t="n">
        <v>45960</v>
      </c>
      <c r="F147" s="23" t="n">
        <f aca="false">WORKDAY(E147,G147)</f>
        <v>45974</v>
      </c>
      <c r="G147" s="24" t="n">
        <v>10</v>
      </c>
      <c r="H147" s="25" t="e">
        <f aca="false">(FT147* 5)/M147</f>
        <v>#DIV/0!</v>
      </c>
      <c r="I147" s="25" t="e">
        <f aca="false">G147-H147</f>
        <v>#DIV/0!</v>
      </c>
      <c r="J147" s="26" t="s">
        <v>444</v>
      </c>
      <c r="K147" s="30" t="n">
        <v>100000</v>
      </c>
      <c r="L147" s="30" t="n">
        <v>160000</v>
      </c>
      <c r="M147" s="28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  <c r="CF147" s="29"/>
      <c r="CG147" s="29"/>
      <c r="CH147" s="29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  <c r="CZ147" s="29"/>
      <c r="DA147" s="29"/>
      <c r="DB147" s="29"/>
      <c r="DC147" s="29"/>
      <c r="DD147" s="29"/>
      <c r="DE147" s="29"/>
      <c r="DF147" s="29"/>
      <c r="DG147" s="29"/>
      <c r="DH147" s="29"/>
      <c r="DI147" s="29"/>
      <c r="DJ147" s="29"/>
      <c r="DK147" s="29"/>
      <c r="DL147" s="29"/>
      <c r="DM147" s="29"/>
      <c r="DN147" s="29"/>
      <c r="DO147" s="29"/>
      <c r="DP147" s="29"/>
      <c r="DQ147" s="29"/>
      <c r="DR147" s="29"/>
      <c r="DS147" s="29"/>
      <c r="DT147" s="29"/>
      <c r="DU147" s="29"/>
      <c r="DV147" s="29"/>
      <c r="DW147" s="29"/>
      <c r="DX147" s="29"/>
      <c r="DY147" s="29"/>
      <c r="DZ147" s="29"/>
      <c r="EA147" s="29"/>
      <c r="EB147" s="29"/>
      <c r="EC147" s="29"/>
      <c r="ED147" s="29"/>
      <c r="EE147" s="29"/>
      <c r="EF147" s="29"/>
      <c r="EG147" s="29"/>
      <c r="EH147" s="29"/>
      <c r="EI147" s="29"/>
      <c r="EJ147" s="29"/>
      <c r="EK147" s="29" t="s">
        <v>184</v>
      </c>
      <c r="EL147" s="29"/>
      <c r="EM147" s="29" t="s">
        <v>184</v>
      </c>
      <c r="EN147" s="29" t="s">
        <v>184</v>
      </c>
      <c r="EO147" s="29"/>
      <c r="EP147" s="29"/>
      <c r="EQ147" s="29"/>
      <c r="ER147" s="29"/>
      <c r="ES147" s="29" t="s">
        <v>184</v>
      </c>
      <c r="ET147" s="29"/>
      <c r="EU147" s="29"/>
      <c r="EV147" s="29" t="s">
        <v>184</v>
      </c>
      <c r="EW147" s="29"/>
      <c r="EX147" s="29"/>
      <c r="EY147" s="29"/>
      <c r="EZ147" s="29"/>
      <c r="FA147" s="29"/>
      <c r="FB147" s="29"/>
      <c r="FC147" s="29" t="s">
        <v>184</v>
      </c>
      <c r="FD147" s="29"/>
      <c r="FE147" s="29"/>
      <c r="FF147" s="29"/>
      <c r="FG147" s="29"/>
      <c r="FH147" s="29"/>
      <c r="FI147" s="29"/>
      <c r="FJ147" s="29"/>
      <c r="FK147" s="29"/>
      <c r="FL147" s="29" t="s">
        <v>184</v>
      </c>
      <c r="FM147" s="29"/>
      <c r="FN147" s="29"/>
      <c r="FO147" s="29"/>
      <c r="FP147" s="29"/>
      <c r="FQ147" s="29"/>
      <c r="FR147" s="29"/>
      <c r="FS147" s="29"/>
      <c r="FT147" s="29" t="n">
        <f aca="false">SUM(N147:FS147)</f>
        <v>0</v>
      </c>
      <c r="FU147" s="27" t="n">
        <f aca="false">SUM(L147-FT147)</f>
        <v>160000</v>
      </c>
      <c r="FV147" s="31" t="e">
        <f aca="false">SUM( H147/5)</f>
        <v>#DIV/0!</v>
      </c>
      <c r="FW147" s="31" t="e">
        <f aca="false">SUM( I147/5)</f>
        <v>#DIV/0!</v>
      </c>
      <c r="FX147" s="32" t="e">
        <f aca="false">SUM(FV147/4)</f>
        <v>#DIV/0!</v>
      </c>
      <c r="FY147" s="32" t="e">
        <f aca="false">SUM(FW147/4)</f>
        <v>#DIV/0!</v>
      </c>
    </row>
    <row r="148" customFormat="false" ht="43.5" hidden="false" customHeight="true" outlineLevel="0" collapsed="false">
      <c r="A148" s="24" t="n">
        <v>3492</v>
      </c>
      <c r="B148" s="21" t="s">
        <v>443</v>
      </c>
      <c r="C148" s="21"/>
      <c r="D148" s="22"/>
      <c r="E148" s="23" t="n">
        <v>45974</v>
      </c>
      <c r="F148" s="23" t="n">
        <f aca="false">WORKDAY(E148,G148)</f>
        <v>45988</v>
      </c>
      <c r="G148" s="24" t="n">
        <v>10</v>
      </c>
      <c r="H148" s="25" t="e">
        <f aca="false">(FT148* 5)/M148</f>
        <v>#DIV/0!</v>
      </c>
      <c r="I148" s="25" t="e">
        <f aca="false">G148-H148</f>
        <v>#DIV/0!</v>
      </c>
      <c r="J148" s="26" t="s">
        <v>444</v>
      </c>
      <c r="K148" s="27" t="n">
        <v>30000</v>
      </c>
      <c r="L148" s="27" t="n">
        <v>48000</v>
      </c>
      <c r="M148" s="45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  <c r="CF148" s="29"/>
      <c r="CG148" s="29"/>
      <c r="CH148" s="29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  <c r="CZ148" s="29"/>
      <c r="DA148" s="29"/>
      <c r="DB148" s="29"/>
      <c r="DC148" s="29"/>
      <c r="DD148" s="29"/>
      <c r="DE148" s="29"/>
      <c r="DF148" s="29"/>
      <c r="DG148" s="29"/>
      <c r="DH148" s="29"/>
      <c r="DI148" s="29"/>
      <c r="DJ148" s="29"/>
      <c r="DK148" s="29"/>
      <c r="DL148" s="29"/>
      <c r="DM148" s="29"/>
      <c r="DN148" s="29"/>
      <c r="DO148" s="29"/>
      <c r="DP148" s="29"/>
      <c r="DQ148" s="29"/>
      <c r="DR148" s="29"/>
      <c r="DS148" s="29"/>
      <c r="DT148" s="29"/>
      <c r="DU148" s="29"/>
      <c r="DV148" s="29"/>
      <c r="DW148" s="29"/>
      <c r="DX148" s="29"/>
      <c r="DY148" s="29"/>
      <c r="DZ148" s="29"/>
      <c r="EA148" s="29"/>
      <c r="EB148" s="29"/>
      <c r="EC148" s="29"/>
      <c r="ED148" s="29"/>
      <c r="EE148" s="29"/>
      <c r="EF148" s="29"/>
      <c r="EG148" s="29"/>
      <c r="EH148" s="29"/>
      <c r="EI148" s="29"/>
      <c r="EJ148" s="29"/>
      <c r="EK148" s="29" t="s">
        <v>184</v>
      </c>
      <c r="EL148" s="29"/>
      <c r="EM148" s="29" t="s">
        <v>184</v>
      </c>
      <c r="EN148" s="29" t="s">
        <v>184</v>
      </c>
      <c r="EO148" s="29"/>
      <c r="EP148" s="29"/>
      <c r="EQ148" s="29"/>
      <c r="ER148" s="29"/>
      <c r="ES148" s="29" t="s">
        <v>184</v>
      </c>
      <c r="ET148" s="29"/>
      <c r="EU148" s="29"/>
      <c r="EV148" s="29" t="s">
        <v>184</v>
      </c>
      <c r="EW148" s="29"/>
      <c r="EX148" s="29"/>
      <c r="EY148" s="29"/>
      <c r="EZ148" s="29"/>
      <c r="FA148" s="29"/>
      <c r="FB148" s="29"/>
      <c r="FC148" s="29" t="s">
        <v>184</v>
      </c>
      <c r="FD148" s="29"/>
      <c r="FE148" s="29"/>
      <c r="FF148" s="29"/>
      <c r="FG148" s="29"/>
      <c r="FH148" s="29"/>
      <c r="FI148" s="29"/>
      <c r="FJ148" s="29"/>
      <c r="FK148" s="29"/>
      <c r="FL148" s="29" t="s">
        <v>184</v>
      </c>
      <c r="FM148" s="29"/>
      <c r="FN148" s="29"/>
      <c r="FO148" s="29"/>
      <c r="FP148" s="29"/>
      <c r="FQ148" s="29"/>
      <c r="FR148" s="29"/>
      <c r="FS148" s="29"/>
      <c r="FT148" s="29" t="n">
        <f aca="false">SUM(N148:FS148)</f>
        <v>0</v>
      </c>
      <c r="FU148" s="27" t="n">
        <f aca="false">SUM(L148-FT148)</f>
        <v>48000</v>
      </c>
      <c r="FV148" s="31" t="e">
        <f aca="false">SUM( H148/5)</f>
        <v>#DIV/0!</v>
      </c>
      <c r="FW148" s="31" t="e">
        <f aca="false">SUM( I148/5)</f>
        <v>#DIV/0!</v>
      </c>
      <c r="FX148" s="32" t="e">
        <f aca="false">SUM(FV148/4)</f>
        <v>#DIV/0!</v>
      </c>
      <c r="FY148" s="32" t="e">
        <f aca="false">SUM(FW148/4)</f>
        <v>#DIV/0!</v>
      </c>
    </row>
    <row r="149" customFormat="false" ht="43.5" hidden="false" customHeight="true" outlineLevel="0" collapsed="false">
      <c r="A149" s="24" t="n">
        <v>3501</v>
      </c>
      <c r="B149" s="21" t="s">
        <v>443</v>
      </c>
      <c r="C149" s="21"/>
      <c r="D149" s="22"/>
      <c r="E149" s="23" t="n">
        <v>45978</v>
      </c>
      <c r="F149" s="23" t="n">
        <f aca="false">WORKDAY(E149,G149)</f>
        <v>45992</v>
      </c>
      <c r="G149" s="24" t="n">
        <v>10</v>
      </c>
      <c r="H149" s="25" t="e">
        <f aca="false">(FT149* 5)/M149</f>
        <v>#DIV/0!</v>
      </c>
      <c r="I149" s="25" t="e">
        <f aca="false">G149-H149</f>
        <v>#DIV/0!</v>
      </c>
      <c r="J149" s="26" t="s">
        <v>444</v>
      </c>
      <c r="K149" s="27" t="n">
        <v>50000</v>
      </c>
      <c r="L149" s="27" t="n">
        <v>80000</v>
      </c>
      <c r="M149" s="28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  <c r="CF149" s="29"/>
      <c r="CG149" s="29"/>
      <c r="CH149" s="29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  <c r="CZ149" s="29"/>
      <c r="DA149" s="29"/>
      <c r="DB149" s="29"/>
      <c r="DC149" s="29"/>
      <c r="DD149" s="29"/>
      <c r="DE149" s="29"/>
      <c r="DF149" s="29"/>
      <c r="DG149" s="29"/>
      <c r="DH149" s="29"/>
      <c r="DI149" s="29"/>
      <c r="DJ149" s="29"/>
      <c r="DK149" s="29"/>
      <c r="DL149" s="29"/>
      <c r="DM149" s="29"/>
      <c r="DN149" s="29"/>
      <c r="DO149" s="29"/>
      <c r="DP149" s="29"/>
      <c r="DQ149" s="29"/>
      <c r="DR149" s="29"/>
      <c r="DS149" s="29"/>
      <c r="DT149" s="29"/>
      <c r="DU149" s="29"/>
      <c r="DV149" s="29"/>
      <c r="DW149" s="29"/>
      <c r="DX149" s="29"/>
      <c r="DY149" s="29"/>
      <c r="DZ149" s="29"/>
      <c r="EA149" s="29"/>
      <c r="EB149" s="29"/>
      <c r="EC149" s="29"/>
      <c r="ED149" s="29"/>
      <c r="EE149" s="29"/>
      <c r="EF149" s="29"/>
      <c r="EG149" s="29"/>
      <c r="EH149" s="29"/>
      <c r="EI149" s="29"/>
      <c r="EJ149" s="29"/>
      <c r="EK149" s="29" t="s">
        <v>184</v>
      </c>
      <c r="EL149" s="29"/>
      <c r="EM149" s="29" t="s">
        <v>184</v>
      </c>
      <c r="EN149" s="29" t="s">
        <v>184</v>
      </c>
      <c r="EO149" s="29"/>
      <c r="EP149" s="29"/>
      <c r="EQ149" s="29"/>
      <c r="ER149" s="29"/>
      <c r="ES149" s="29" t="s">
        <v>184</v>
      </c>
      <c r="ET149" s="29"/>
      <c r="EU149" s="29"/>
      <c r="EV149" s="29" t="s">
        <v>184</v>
      </c>
      <c r="EW149" s="29"/>
      <c r="EX149" s="29"/>
      <c r="EY149" s="29"/>
      <c r="EZ149" s="29"/>
      <c r="FA149" s="29"/>
      <c r="FB149" s="29"/>
      <c r="FC149" s="29" t="s">
        <v>184</v>
      </c>
      <c r="FD149" s="29"/>
      <c r="FE149" s="29"/>
      <c r="FF149" s="29"/>
      <c r="FG149" s="29"/>
      <c r="FH149" s="29"/>
      <c r="FI149" s="29"/>
      <c r="FJ149" s="29"/>
      <c r="FK149" s="29"/>
      <c r="FL149" s="29" t="s">
        <v>184</v>
      </c>
      <c r="FM149" s="29"/>
      <c r="FN149" s="29"/>
      <c r="FO149" s="29"/>
      <c r="FP149" s="29"/>
      <c r="FQ149" s="29"/>
      <c r="FR149" s="29"/>
      <c r="FS149" s="29"/>
      <c r="FT149" s="29" t="n">
        <f aca="false">SUM(N149:FS149)</f>
        <v>0</v>
      </c>
      <c r="FU149" s="27" t="n">
        <f aca="false">SUM(L149-FT149)</f>
        <v>80000</v>
      </c>
      <c r="FV149" s="31" t="e">
        <f aca="false">SUM( H149/5)</f>
        <v>#DIV/0!</v>
      </c>
      <c r="FW149" s="31" t="e">
        <f aca="false">SUM( I149/5)</f>
        <v>#DIV/0!</v>
      </c>
      <c r="FX149" s="32" t="e">
        <f aca="false">SUM(FV149/4)</f>
        <v>#DIV/0!</v>
      </c>
      <c r="FY149" s="32" t="e">
        <f aca="false">SUM(FW149/4)</f>
        <v>#DIV/0!</v>
      </c>
    </row>
    <row r="150" customFormat="false" ht="43.5" hidden="false" customHeight="true" outlineLevel="0" collapsed="false">
      <c r="A150" s="24" t="n">
        <v>3503</v>
      </c>
      <c r="B150" s="21" t="s">
        <v>443</v>
      </c>
      <c r="C150" s="21"/>
      <c r="D150" s="22"/>
      <c r="E150" s="23" t="n">
        <v>45979</v>
      </c>
      <c r="F150" s="23" t="n">
        <f aca="false">WORKDAY(E150,G150)</f>
        <v>45993</v>
      </c>
      <c r="G150" s="24" t="n">
        <v>10</v>
      </c>
      <c r="H150" s="25" t="e">
        <f aca="false">(FT150* 5)/M150</f>
        <v>#DIV/0!</v>
      </c>
      <c r="I150" s="25" t="e">
        <f aca="false">G150-H150</f>
        <v>#DIV/0!</v>
      </c>
      <c r="J150" s="26" t="s">
        <v>444</v>
      </c>
      <c r="K150" s="27" t="n">
        <v>50000</v>
      </c>
      <c r="L150" s="27" t="n">
        <v>80000</v>
      </c>
      <c r="M150" s="45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  <c r="CF150" s="29"/>
      <c r="CG150" s="29"/>
      <c r="CH150" s="29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  <c r="CZ150" s="29"/>
      <c r="DA150" s="29"/>
      <c r="DB150" s="29"/>
      <c r="DC150" s="29"/>
      <c r="DD150" s="29"/>
      <c r="DE150" s="29"/>
      <c r="DF150" s="29"/>
      <c r="DG150" s="29"/>
      <c r="DH150" s="29"/>
      <c r="DI150" s="29"/>
      <c r="DJ150" s="29"/>
      <c r="DK150" s="29"/>
      <c r="DL150" s="29"/>
      <c r="DM150" s="29"/>
      <c r="DN150" s="29"/>
      <c r="DO150" s="29"/>
      <c r="DP150" s="29"/>
      <c r="DQ150" s="29"/>
      <c r="DR150" s="29"/>
      <c r="DS150" s="29"/>
      <c r="DT150" s="29"/>
      <c r="DU150" s="29"/>
      <c r="DV150" s="29"/>
      <c r="DW150" s="29"/>
      <c r="DX150" s="29"/>
      <c r="DY150" s="29"/>
      <c r="DZ150" s="29"/>
      <c r="EA150" s="29"/>
      <c r="EB150" s="29"/>
      <c r="EC150" s="29"/>
      <c r="ED150" s="29"/>
      <c r="EE150" s="29"/>
      <c r="EF150" s="29"/>
      <c r="EG150" s="29"/>
      <c r="EH150" s="29"/>
      <c r="EI150" s="29"/>
      <c r="EJ150" s="29"/>
      <c r="EK150" s="29"/>
      <c r="EL150" s="29"/>
      <c r="EM150" s="29"/>
      <c r="EN150" s="29"/>
      <c r="EO150" s="29"/>
      <c r="EP150" s="29"/>
      <c r="EQ150" s="29"/>
      <c r="ER150" s="29"/>
      <c r="ES150" s="29"/>
      <c r="ET150" s="29"/>
      <c r="EU150" s="29"/>
      <c r="EV150" s="29"/>
      <c r="EW150" s="29"/>
      <c r="EX150" s="29"/>
      <c r="EY150" s="29"/>
      <c r="EZ150" s="29"/>
      <c r="FA150" s="29"/>
      <c r="FB150" s="29"/>
      <c r="FC150" s="29"/>
      <c r="FD150" s="29"/>
      <c r="FE150" s="29"/>
      <c r="FF150" s="29"/>
      <c r="FG150" s="29"/>
      <c r="FH150" s="29"/>
      <c r="FI150" s="29"/>
      <c r="FJ150" s="29"/>
      <c r="FK150" s="29"/>
      <c r="FL150" s="29"/>
      <c r="FM150" s="29"/>
      <c r="FN150" s="29"/>
      <c r="FO150" s="29"/>
      <c r="FP150" s="29"/>
      <c r="FQ150" s="29"/>
      <c r="FR150" s="29"/>
      <c r="FS150" s="29"/>
      <c r="FT150" s="29" t="n">
        <f aca="false">SUM(N150:FS150)</f>
        <v>0</v>
      </c>
      <c r="FU150" s="27" t="n">
        <f aca="false">SUM(L150-FT150)</f>
        <v>80000</v>
      </c>
      <c r="FV150" s="31" t="e">
        <f aca="false">SUM( H150/5)</f>
        <v>#DIV/0!</v>
      </c>
      <c r="FW150" s="31" t="e">
        <f aca="false">SUM( I150/5)</f>
        <v>#DIV/0!</v>
      </c>
      <c r="FX150" s="32" t="e">
        <f aca="false">SUM(FV150/4)</f>
        <v>#DIV/0!</v>
      </c>
      <c r="FY150" s="32" t="e">
        <f aca="false">SUM(FW150/4)</f>
        <v>#DIV/0!</v>
      </c>
    </row>
    <row r="151" customFormat="false" ht="43.5" hidden="false" customHeight="true" outlineLevel="0" collapsed="false">
      <c r="A151" s="24" t="n">
        <v>3483</v>
      </c>
      <c r="B151" s="21" t="s">
        <v>445</v>
      </c>
      <c r="C151" s="21"/>
      <c r="D151" s="22"/>
      <c r="E151" s="23" t="n">
        <v>45971</v>
      </c>
      <c r="F151" s="23" t="n">
        <v>45820</v>
      </c>
      <c r="G151" s="24" t="n">
        <v>20</v>
      </c>
      <c r="H151" s="25" t="e">
        <f aca="false">(FT151* 5)/M151</f>
        <v>#DIV/0!</v>
      </c>
      <c r="I151" s="25" t="e">
        <f aca="false">G151-H151</f>
        <v>#DIV/0!</v>
      </c>
      <c r="J151" s="26" t="s">
        <v>444</v>
      </c>
      <c r="K151" s="27" t="n">
        <v>100000</v>
      </c>
      <c r="L151" s="27" t="n">
        <v>150000</v>
      </c>
      <c r="M151" s="28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  <c r="CF151" s="29"/>
      <c r="CG151" s="29"/>
      <c r="CH151" s="29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  <c r="CZ151" s="29"/>
      <c r="DA151" s="29"/>
      <c r="DB151" s="29"/>
      <c r="DC151" s="29"/>
      <c r="DD151" s="29"/>
      <c r="DE151" s="29"/>
      <c r="DF151" s="29"/>
      <c r="DG151" s="29"/>
      <c r="DH151" s="29"/>
      <c r="DI151" s="29"/>
      <c r="DJ151" s="29"/>
      <c r="DK151" s="29"/>
      <c r="DL151" s="29"/>
      <c r="DM151" s="29"/>
      <c r="DN151" s="29"/>
      <c r="DO151" s="29"/>
      <c r="DP151" s="29"/>
      <c r="DQ151" s="29"/>
      <c r="DR151" s="29"/>
      <c r="DS151" s="29"/>
      <c r="DT151" s="29"/>
      <c r="DU151" s="29"/>
      <c r="DV151" s="29"/>
      <c r="DW151" s="29"/>
      <c r="DX151" s="29"/>
      <c r="DY151" s="29"/>
      <c r="DZ151" s="29"/>
      <c r="EA151" s="29"/>
      <c r="EB151" s="29"/>
      <c r="EC151" s="29"/>
      <c r="ED151" s="29"/>
      <c r="EE151" s="29"/>
      <c r="EF151" s="29"/>
      <c r="EG151" s="29"/>
      <c r="EH151" s="29"/>
      <c r="EI151" s="29"/>
      <c r="EJ151" s="29"/>
      <c r="EK151" s="29" t="s">
        <v>184</v>
      </c>
      <c r="EL151" s="29"/>
      <c r="EM151" s="29" t="s">
        <v>184</v>
      </c>
      <c r="EN151" s="29" t="s">
        <v>184</v>
      </c>
      <c r="EO151" s="29"/>
      <c r="EP151" s="29"/>
      <c r="EQ151" s="29"/>
      <c r="ER151" s="29"/>
      <c r="ES151" s="29" t="s">
        <v>184</v>
      </c>
      <c r="ET151" s="29"/>
      <c r="EU151" s="29"/>
      <c r="EV151" s="29" t="s">
        <v>184</v>
      </c>
      <c r="EW151" s="29"/>
      <c r="EX151" s="29"/>
      <c r="EY151" s="29"/>
      <c r="EZ151" s="29"/>
      <c r="FA151" s="29"/>
      <c r="FB151" s="29"/>
      <c r="FC151" s="29" t="s">
        <v>184</v>
      </c>
      <c r="FD151" s="29"/>
      <c r="FE151" s="29"/>
      <c r="FF151" s="29"/>
      <c r="FG151" s="29"/>
      <c r="FH151" s="29"/>
      <c r="FI151" s="29"/>
      <c r="FJ151" s="29"/>
      <c r="FK151" s="29"/>
      <c r="FL151" s="29" t="s">
        <v>184</v>
      </c>
      <c r="FM151" s="29"/>
      <c r="FN151" s="29"/>
      <c r="FO151" s="29"/>
      <c r="FP151" s="29"/>
      <c r="FQ151" s="29"/>
      <c r="FR151" s="29"/>
      <c r="FS151" s="29"/>
      <c r="FT151" s="29" t="n">
        <f aca="false">SUM(N151:FS151)</f>
        <v>0</v>
      </c>
      <c r="FU151" s="27" t="n">
        <f aca="false">SUM(L151-FT151)</f>
        <v>150000</v>
      </c>
      <c r="FV151" s="31" t="e">
        <f aca="false">SUM( H151/5)</f>
        <v>#DIV/0!</v>
      </c>
      <c r="FW151" s="31" t="e">
        <f aca="false">SUM( I151/5)</f>
        <v>#DIV/0!</v>
      </c>
      <c r="FX151" s="32" t="e">
        <f aca="false">SUM(FV151/4)</f>
        <v>#DIV/0!</v>
      </c>
      <c r="FY151" s="32" t="e">
        <f aca="false">SUM(FW151/4)</f>
        <v>#DIV/0!</v>
      </c>
    </row>
    <row r="152" customFormat="false" ht="43.5" hidden="false" customHeight="true" outlineLevel="0" collapsed="false">
      <c r="A152" s="24" t="n">
        <v>3485</v>
      </c>
      <c r="B152" s="21" t="s">
        <v>445</v>
      </c>
      <c r="C152" s="21"/>
      <c r="D152" s="22"/>
      <c r="E152" s="23" t="n">
        <v>45971</v>
      </c>
      <c r="F152" s="23" t="n">
        <v>45820</v>
      </c>
      <c r="G152" s="24" t="n">
        <v>20</v>
      </c>
      <c r="H152" s="25" t="e">
        <f aca="false">(FT152* 5)/M152</f>
        <v>#DIV/0!</v>
      </c>
      <c r="I152" s="25" t="e">
        <f aca="false">G152-H152</f>
        <v>#DIV/0!</v>
      </c>
      <c r="J152" s="26" t="s">
        <v>444</v>
      </c>
      <c r="K152" s="30" t="n">
        <v>100000</v>
      </c>
      <c r="L152" s="30" t="n">
        <v>150000</v>
      </c>
      <c r="M152" s="28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  <c r="CF152" s="29"/>
      <c r="CG152" s="29"/>
      <c r="CH152" s="29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  <c r="CZ152" s="29"/>
      <c r="DA152" s="29"/>
      <c r="DB152" s="29"/>
      <c r="DC152" s="29"/>
      <c r="DD152" s="29"/>
      <c r="DE152" s="29"/>
      <c r="DF152" s="29"/>
      <c r="DG152" s="29"/>
      <c r="DH152" s="29"/>
      <c r="DI152" s="29"/>
      <c r="DJ152" s="29"/>
      <c r="DK152" s="29"/>
      <c r="DL152" s="29"/>
      <c r="DM152" s="29"/>
      <c r="DN152" s="29"/>
      <c r="DO152" s="29"/>
      <c r="DP152" s="29"/>
      <c r="DQ152" s="29"/>
      <c r="DR152" s="29"/>
      <c r="DS152" s="29"/>
      <c r="DT152" s="29"/>
      <c r="DU152" s="29"/>
      <c r="DV152" s="29"/>
      <c r="DW152" s="29"/>
      <c r="DX152" s="29"/>
      <c r="DY152" s="29"/>
      <c r="DZ152" s="29"/>
      <c r="EA152" s="29"/>
      <c r="EB152" s="29"/>
      <c r="EC152" s="29"/>
      <c r="ED152" s="29"/>
      <c r="EE152" s="29"/>
      <c r="EF152" s="29"/>
      <c r="EG152" s="29"/>
      <c r="EH152" s="29"/>
      <c r="EI152" s="29"/>
      <c r="EJ152" s="29"/>
      <c r="EK152" s="29" t="s">
        <v>184</v>
      </c>
      <c r="EL152" s="29"/>
      <c r="EM152" s="29" t="s">
        <v>184</v>
      </c>
      <c r="EN152" s="29" t="s">
        <v>184</v>
      </c>
      <c r="EO152" s="29"/>
      <c r="EP152" s="29"/>
      <c r="EQ152" s="29"/>
      <c r="ER152" s="29"/>
      <c r="ES152" s="29" t="s">
        <v>184</v>
      </c>
      <c r="ET152" s="29"/>
      <c r="EU152" s="29"/>
      <c r="EV152" s="29" t="s">
        <v>184</v>
      </c>
      <c r="EW152" s="29"/>
      <c r="EX152" s="29"/>
      <c r="EY152" s="29"/>
      <c r="EZ152" s="29"/>
      <c r="FA152" s="29"/>
      <c r="FB152" s="29"/>
      <c r="FC152" s="29" t="s">
        <v>184</v>
      </c>
      <c r="FD152" s="29"/>
      <c r="FE152" s="29"/>
      <c r="FF152" s="29"/>
      <c r="FG152" s="29"/>
      <c r="FH152" s="29"/>
      <c r="FI152" s="29"/>
      <c r="FJ152" s="29"/>
      <c r="FK152" s="29"/>
      <c r="FL152" s="29" t="s">
        <v>184</v>
      </c>
      <c r="FM152" s="29"/>
      <c r="FN152" s="29"/>
      <c r="FO152" s="29"/>
      <c r="FP152" s="29"/>
      <c r="FQ152" s="29"/>
      <c r="FR152" s="29"/>
      <c r="FS152" s="29"/>
      <c r="FT152" s="29" t="n">
        <f aca="false">SUM(N152:FS152)</f>
        <v>0</v>
      </c>
      <c r="FU152" s="27" t="n">
        <f aca="false">SUM(L152-FT152)</f>
        <v>150000</v>
      </c>
      <c r="FV152" s="31" t="e">
        <f aca="false">SUM( H152/5)</f>
        <v>#DIV/0!</v>
      </c>
      <c r="FW152" s="31" t="e">
        <f aca="false">SUM( I152/5)</f>
        <v>#DIV/0!</v>
      </c>
      <c r="FX152" s="32" t="e">
        <f aca="false">SUM(FV152/4)</f>
        <v>#DIV/0!</v>
      </c>
      <c r="FY152" s="32" t="e">
        <f aca="false">SUM(FW152/4)</f>
        <v>#DIV/0!</v>
      </c>
    </row>
    <row r="153" customFormat="false" ht="43.5" hidden="false" customHeight="true" outlineLevel="0" collapsed="false">
      <c r="A153" s="24" t="n">
        <v>3496</v>
      </c>
      <c r="B153" s="21" t="s">
        <v>445</v>
      </c>
      <c r="C153" s="21"/>
      <c r="D153" s="22"/>
      <c r="E153" s="23" t="n">
        <v>45976</v>
      </c>
      <c r="F153" s="23" t="n">
        <v>45820</v>
      </c>
      <c r="G153" s="24" t="n">
        <v>20</v>
      </c>
      <c r="H153" s="25" t="e">
        <f aca="false">(FT153* 5)/M153</f>
        <v>#DIV/0!</v>
      </c>
      <c r="I153" s="25" t="e">
        <f aca="false">G153-H153</f>
        <v>#DIV/0!</v>
      </c>
      <c r="J153" s="26" t="s">
        <v>444</v>
      </c>
      <c r="K153" s="27" t="n">
        <v>50000</v>
      </c>
      <c r="L153" s="27" t="n">
        <v>80000</v>
      </c>
      <c r="M153" s="45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  <c r="CF153" s="29"/>
      <c r="CG153" s="29"/>
      <c r="CH153" s="29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  <c r="CZ153" s="29"/>
      <c r="DA153" s="29"/>
      <c r="DB153" s="29"/>
      <c r="DC153" s="29"/>
      <c r="DD153" s="29"/>
      <c r="DE153" s="29"/>
      <c r="DF153" s="29"/>
      <c r="DG153" s="29"/>
      <c r="DH153" s="29"/>
      <c r="DI153" s="29"/>
      <c r="DJ153" s="29"/>
      <c r="DK153" s="29"/>
      <c r="DL153" s="29"/>
      <c r="DM153" s="29"/>
      <c r="DN153" s="29"/>
      <c r="DO153" s="29"/>
      <c r="DP153" s="29"/>
      <c r="DQ153" s="29"/>
      <c r="DR153" s="29"/>
      <c r="DS153" s="29"/>
      <c r="DT153" s="29"/>
      <c r="DU153" s="29"/>
      <c r="DV153" s="29"/>
      <c r="DW153" s="29"/>
      <c r="DX153" s="29"/>
      <c r="DY153" s="29"/>
      <c r="DZ153" s="29"/>
      <c r="EA153" s="29"/>
      <c r="EB153" s="29"/>
      <c r="EC153" s="29"/>
      <c r="ED153" s="29"/>
      <c r="EE153" s="29"/>
      <c r="EF153" s="29"/>
      <c r="EG153" s="29"/>
      <c r="EH153" s="29"/>
      <c r="EI153" s="29"/>
      <c r="EJ153" s="29"/>
      <c r="EK153" s="29" t="s">
        <v>184</v>
      </c>
      <c r="EL153" s="29"/>
      <c r="EM153" s="29" t="s">
        <v>184</v>
      </c>
      <c r="EN153" s="29" t="s">
        <v>184</v>
      </c>
      <c r="EO153" s="29"/>
      <c r="EP153" s="29"/>
      <c r="EQ153" s="29"/>
      <c r="ER153" s="29"/>
      <c r="ES153" s="29" t="s">
        <v>184</v>
      </c>
      <c r="ET153" s="29"/>
      <c r="EU153" s="29"/>
      <c r="EV153" s="29" t="s">
        <v>184</v>
      </c>
      <c r="EW153" s="29"/>
      <c r="EX153" s="29"/>
      <c r="EY153" s="29"/>
      <c r="EZ153" s="29"/>
      <c r="FA153" s="29"/>
      <c r="FB153" s="29"/>
      <c r="FC153" s="29" t="s">
        <v>184</v>
      </c>
      <c r="FD153" s="29"/>
      <c r="FE153" s="29"/>
      <c r="FF153" s="29"/>
      <c r="FG153" s="29"/>
      <c r="FH153" s="29"/>
      <c r="FI153" s="29"/>
      <c r="FJ153" s="29"/>
      <c r="FK153" s="29"/>
      <c r="FL153" s="29" t="s">
        <v>184</v>
      </c>
      <c r="FM153" s="29"/>
      <c r="FN153" s="29"/>
      <c r="FO153" s="29"/>
      <c r="FP153" s="29"/>
      <c r="FQ153" s="29"/>
      <c r="FR153" s="29"/>
      <c r="FS153" s="29"/>
      <c r="FT153" s="29" t="n">
        <f aca="false">SUM(N153:FS153)</f>
        <v>0</v>
      </c>
      <c r="FU153" s="27" t="n">
        <f aca="false">SUM(L153-FT153)</f>
        <v>80000</v>
      </c>
      <c r="FV153" s="31" t="e">
        <f aca="false">SUM( H153/5)</f>
        <v>#DIV/0!</v>
      </c>
      <c r="FW153" s="31" t="e">
        <f aca="false">SUM( I153/5)</f>
        <v>#DIV/0!</v>
      </c>
      <c r="FX153" s="32" t="e">
        <f aca="false">SUM(FV153/4)</f>
        <v>#DIV/0!</v>
      </c>
      <c r="FY153" s="32" t="e">
        <f aca="false">SUM(FW153/4)</f>
        <v>#DIV/0!</v>
      </c>
    </row>
    <row r="154" customFormat="false" ht="43.5" hidden="false" customHeight="true" outlineLevel="0" collapsed="false">
      <c r="A154" s="24" t="n">
        <v>3228</v>
      </c>
      <c r="B154" s="21" t="s">
        <v>446</v>
      </c>
      <c r="C154" s="21" t="s">
        <v>447</v>
      </c>
      <c r="D154" s="22"/>
      <c r="E154" s="23" t="n">
        <v>45815</v>
      </c>
      <c r="F154" s="23" t="n">
        <f aca="false">WORKDAY(E154,G154)</f>
        <v>45968</v>
      </c>
      <c r="G154" s="67" t="n">
        <v>110</v>
      </c>
      <c r="H154" s="25" t="n">
        <f aca="false">(FT154* 5)/M154</f>
        <v>85.2083333333333</v>
      </c>
      <c r="I154" s="25" t="n">
        <f aca="false">G154-H154</f>
        <v>24.7916666666667</v>
      </c>
      <c r="J154" s="34" t="s">
        <v>421</v>
      </c>
      <c r="K154" s="27" t="n">
        <v>150000</v>
      </c>
      <c r="L154" s="27" t="n">
        <v>396000</v>
      </c>
      <c r="M154" s="47" t="n">
        <f aca="false">(L154/G154)*5</f>
        <v>18000</v>
      </c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  <c r="CF154" s="29"/>
      <c r="CG154" s="29"/>
      <c r="CH154" s="29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  <c r="CZ154" s="29"/>
      <c r="DA154" s="29"/>
      <c r="DB154" s="29"/>
      <c r="DC154" s="29"/>
      <c r="DD154" s="29"/>
      <c r="DE154" s="29"/>
      <c r="DF154" s="29"/>
      <c r="DG154" s="29"/>
      <c r="DH154" s="29"/>
      <c r="DI154" s="29"/>
      <c r="DJ154" s="29"/>
      <c r="DK154" s="29"/>
      <c r="DL154" s="29"/>
      <c r="DM154" s="29"/>
      <c r="DN154" s="29"/>
      <c r="DO154" s="29"/>
      <c r="DP154" s="29"/>
      <c r="DQ154" s="29"/>
      <c r="DR154" s="29"/>
      <c r="DS154" s="29"/>
      <c r="DT154" s="29"/>
      <c r="DU154" s="29"/>
      <c r="DV154" s="29"/>
      <c r="DW154" s="29"/>
      <c r="DX154" s="29"/>
      <c r="DY154" s="29"/>
      <c r="DZ154" s="29"/>
      <c r="EA154" s="29"/>
      <c r="EB154" s="29"/>
      <c r="EC154" s="29"/>
      <c r="ED154" s="29"/>
      <c r="EE154" s="29"/>
      <c r="EF154" s="29"/>
      <c r="EG154" s="29"/>
      <c r="EH154" s="29"/>
      <c r="EI154" s="29"/>
      <c r="EJ154" s="29"/>
      <c r="EK154" s="29" t="s">
        <v>184</v>
      </c>
      <c r="EL154" s="29"/>
      <c r="EM154" s="29" t="s">
        <v>184</v>
      </c>
      <c r="EN154" s="29" t="s">
        <v>184</v>
      </c>
      <c r="EO154" s="29"/>
      <c r="EP154" s="29"/>
      <c r="EQ154" s="29"/>
      <c r="ER154" s="29"/>
      <c r="ES154" s="29"/>
      <c r="ET154" s="29" t="n">
        <v>18500</v>
      </c>
      <c r="EU154" s="29" t="n">
        <v>18500</v>
      </c>
      <c r="EV154" s="29"/>
      <c r="EW154" s="29" t="n">
        <v>37000</v>
      </c>
      <c r="EX154" s="29" t="n">
        <v>18500</v>
      </c>
      <c r="EY154" s="29"/>
      <c r="EZ154" s="29" t="n">
        <v>18500</v>
      </c>
      <c r="FA154" s="29" t="n">
        <v>18500</v>
      </c>
      <c r="FB154" s="29" t="n">
        <v>18500</v>
      </c>
      <c r="FC154" s="29" t="n">
        <v>7000</v>
      </c>
      <c r="FD154" s="29"/>
      <c r="FE154" s="29" t="n">
        <v>44000</v>
      </c>
      <c r="FF154" s="29" t="n">
        <v>18500</v>
      </c>
      <c r="FG154" s="29"/>
      <c r="FH154" s="29"/>
      <c r="FI154" s="29"/>
      <c r="FJ154" s="29"/>
      <c r="FK154" s="29"/>
      <c r="FL154" s="29"/>
      <c r="FM154" s="29"/>
      <c r="FN154" s="29"/>
      <c r="FO154" s="29"/>
      <c r="FP154" s="29" t="n">
        <v>89250</v>
      </c>
      <c r="FQ154" s="29"/>
      <c r="FR154" s="29"/>
      <c r="FS154" s="29"/>
      <c r="FT154" s="29" t="n">
        <f aca="false">SUM(N154:FS154)</f>
        <v>306750</v>
      </c>
      <c r="FU154" s="27" t="n">
        <f aca="false">SUM(L154-FT154)</f>
        <v>89250</v>
      </c>
      <c r="FV154" s="31" t="n">
        <f aca="false">SUM( H154/5)</f>
        <v>17.0416666666667</v>
      </c>
      <c r="FW154" s="31" t="n">
        <f aca="false">SUM( I154/5)</f>
        <v>4.95833333333333</v>
      </c>
      <c r="FX154" s="32" t="n">
        <f aca="false">SUM(FV154/4)</f>
        <v>4.26041666666667</v>
      </c>
      <c r="FY154" s="32" t="n">
        <f aca="false">SUM(FW154/4)</f>
        <v>1.23958333333333</v>
      </c>
    </row>
    <row r="155" customFormat="false" ht="43.5" hidden="false" customHeight="true" outlineLevel="0" collapsed="false">
      <c r="A155" s="24" t="n">
        <v>3018</v>
      </c>
      <c r="B155" s="21" t="s">
        <v>448</v>
      </c>
      <c r="C155" s="21" t="s">
        <v>449</v>
      </c>
      <c r="D155" s="22"/>
      <c r="E155" s="23" t="n">
        <v>45680</v>
      </c>
      <c r="F155" s="23" t="n">
        <f aca="false">WORKDAY(E155,G155)</f>
        <v>45960</v>
      </c>
      <c r="G155" s="24" t="n">
        <v>200</v>
      </c>
      <c r="H155" s="25" t="n">
        <f aca="false">(FT155* 5)/M155</f>
        <v>180</v>
      </c>
      <c r="I155" s="25" t="n">
        <f aca="false">G155-H155</f>
        <v>20</v>
      </c>
      <c r="J155" s="26" t="s">
        <v>450</v>
      </c>
      <c r="K155" s="27" t="n">
        <v>500000</v>
      </c>
      <c r="L155" s="27" t="n">
        <v>1680000</v>
      </c>
      <c r="M155" s="28" t="n">
        <f aca="false">(L155/G155)*5</f>
        <v>42000</v>
      </c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  <c r="CF155" s="29"/>
      <c r="CG155" s="29"/>
      <c r="CH155" s="29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  <c r="CZ155" s="29"/>
      <c r="DA155" s="29"/>
      <c r="DB155" s="29"/>
      <c r="DC155" s="29"/>
      <c r="DD155" s="29"/>
      <c r="DE155" s="29"/>
      <c r="DF155" s="29"/>
      <c r="DG155" s="29"/>
      <c r="DH155" s="29"/>
      <c r="DI155" s="29"/>
      <c r="DJ155" s="29"/>
      <c r="DK155" s="29"/>
      <c r="DL155" s="29"/>
      <c r="DM155" s="29"/>
      <c r="DN155" s="29"/>
      <c r="DO155" s="29"/>
      <c r="DP155" s="29"/>
      <c r="DQ155" s="29"/>
      <c r="DR155" s="29"/>
      <c r="DS155" s="29"/>
      <c r="DT155" s="29"/>
      <c r="DU155" s="29"/>
      <c r="DV155" s="29"/>
      <c r="DW155" s="29"/>
      <c r="DX155" s="29"/>
      <c r="DY155" s="29"/>
      <c r="DZ155" s="29"/>
      <c r="EA155" s="29"/>
      <c r="EB155" s="29" t="n">
        <v>168000</v>
      </c>
      <c r="EC155" s="29"/>
      <c r="ED155" s="29"/>
      <c r="EE155" s="29"/>
      <c r="EF155" s="29"/>
      <c r="EG155" s="29"/>
      <c r="EH155" s="29"/>
      <c r="EI155" s="29"/>
      <c r="EJ155" s="29"/>
      <c r="EK155" s="29" t="n">
        <v>168000</v>
      </c>
      <c r="EL155" s="29"/>
      <c r="EM155" s="29"/>
      <c r="EN155" s="29"/>
      <c r="EO155" s="29" t="n">
        <v>168000</v>
      </c>
      <c r="EP155" s="29"/>
      <c r="EQ155" s="29"/>
      <c r="ER155" s="29"/>
      <c r="ES155" s="29" t="n">
        <v>168000</v>
      </c>
      <c r="ET155" s="29"/>
      <c r="EU155" s="29"/>
      <c r="EV155" s="29"/>
      <c r="EW155" s="29"/>
      <c r="EX155" s="29" t="n">
        <v>168000</v>
      </c>
      <c r="EY155" s="29"/>
      <c r="EZ155" s="29"/>
      <c r="FA155" s="29"/>
      <c r="FB155" s="29" t="n">
        <v>168000</v>
      </c>
      <c r="FC155" s="29"/>
      <c r="FD155" s="29"/>
      <c r="FE155" s="29"/>
      <c r="FF155" s="29" t="n">
        <v>168000</v>
      </c>
      <c r="FG155" s="29"/>
      <c r="FH155" s="29"/>
      <c r="FI155" s="29"/>
      <c r="FJ155" s="29"/>
      <c r="FK155" s="29" t="n">
        <v>168000</v>
      </c>
      <c r="FL155" s="29"/>
      <c r="FM155" s="29"/>
      <c r="FN155" s="29"/>
      <c r="FO155" s="29" t="n">
        <v>168000</v>
      </c>
      <c r="FP155" s="29"/>
      <c r="FQ155" s="29"/>
      <c r="FR155" s="29"/>
      <c r="FS155" s="29"/>
      <c r="FT155" s="29" t="n">
        <f aca="false">SUM(N155:FS155)</f>
        <v>1512000</v>
      </c>
      <c r="FU155" s="27" t="n">
        <f aca="false">SUM(L155-FT155)</f>
        <v>168000</v>
      </c>
      <c r="FV155" s="31" t="n">
        <f aca="false">SUM( H155/5)</f>
        <v>36</v>
      </c>
      <c r="FW155" s="31" t="n">
        <f aca="false">SUM( I155/5)</f>
        <v>4</v>
      </c>
      <c r="FX155" s="32" t="n">
        <f aca="false">SUM(FV155/4)</f>
        <v>9</v>
      </c>
      <c r="FY155" s="32" t="n">
        <f aca="false">SUM(FW155/4)</f>
        <v>1</v>
      </c>
    </row>
    <row r="156" customFormat="false" ht="43.5" hidden="false" customHeight="true" outlineLevel="0" collapsed="false">
      <c r="A156" s="24" t="n">
        <v>3325</v>
      </c>
      <c r="B156" s="21" t="s">
        <v>448</v>
      </c>
      <c r="C156" s="21" t="s">
        <v>449</v>
      </c>
      <c r="D156" s="22"/>
      <c r="E156" s="23" t="n">
        <v>45868</v>
      </c>
      <c r="F156" s="23" t="n">
        <f aca="false">WORKDAY(E156,G156)</f>
        <v>46036</v>
      </c>
      <c r="G156" s="24" t="n">
        <v>120</v>
      </c>
      <c r="H156" s="25" t="n">
        <f aca="false">(FT156* 5)/M156</f>
        <v>60</v>
      </c>
      <c r="I156" s="25" t="n">
        <f aca="false">G156-H156</f>
        <v>60</v>
      </c>
      <c r="J156" s="26" t="s">
        <v>451</v>
      </c>
      <c r="K156" s="27" t="n">
        <v>100000</v>
      </c>
      <c r="L156" s="27" t="n">
        <v>264000</v>
      </c>
      <c r="M156" s="28" t="n">
        <f aca="false">(L156/G156)*5</f>
        <v>11000</v>
      </c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  <c r="CF156" s="29"/>
      <c r="CG156" s="29"/>
      <c r="CH156" s="29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  <c r="CZ156" s="29"/>
      <c r="DA156" s="29"/>
      <c r="DB156" s="29"/>
      <c r="DC156" s="29"/>
      <c r="DD156" s="29"/>
      <c r="DE156" s="29"/>
      <c r="DF156" s="29"/>
      <c r="DG156" s="29"/>
      <c r="DH156" s="29"/>
      <c r="DI156" s="29"/>
      <c r="DJ156" s="29"/>
      <c r="DK156" s="29"/>
      <c r="DL156" s="29"/>
      <c r="DM156" s="29"/>
      <c r="DN156" s="29"/>
      <c r="DO156" s="29"/>
      <c r="DP156" s="29"/>
      <c r="DQ156" s="29"/>
      <c r="DR156" s="29"/>
      <c r="DS156" s="29"/>
      <c r="DT156" s="29"/>
      <c r="DU156" s="29"/>
      <c r="DV156" s="29"/>
      <c r="DW156" s="29"/>
      <c r="DX156" s="29"/>
      <c r="DY156" s="29"/>
      <c r="DZ156" s="29"/>
      <c r="EA156" s="29"/>
      <c r="EB156" s="29"/>
      <c r="EC156" s="29"/>
      <c r="ED156" s="29"/>
      <c r="EE156" s="29"/>
      <c r="EF156" s="29"/>
      <c r="EG156" s="29"/>
      <c r="EH156" s="29"/>
      <c r="EI156" s="29"/>
      <c r="EJ156" s="29"/>
      <c r="EK156" s="29" t="s">
        <v>184</v>
      </c>
      <c r="EL156" s="29"/>
      <c r="EM156" s="29" t="s">
        <v>184</v>
      </c>
      <c r="EN156" s="29" t="s">
        <v>184</v>
      </c>
      <c r="EO156" s="29"/>
      <c r="EP156" s="29"/>
      <c r="EQ156" s="29"/>
      <c r="ER156" s="29"/>
      <c r="ES156" s="29" t="s">
        <v>184</v>
      </c>
      <c r="ET156" s="29"/>
      <c r="EU156" s="29"/>
      <c r="EV156" s="29" t="s">
        <v>184</v>
      </c>
      <c r="EW156" s="29"/>
      <c r="EX156" s="29"/>
      <c r="EY156" s="29"/>
      <c r="EZ156" s="29"/>
      <c r="FA156" s="29"/>
      <c r="FB156" s="29"/>
      <c r="FC156" s="29"/>
      <c r="FD156" s="29"/>
      <c r="FE156" s="29"/>
      <c r="FF156" s="29" t="n">
        <v>44000</v>
      </c>
      <c r="FG156" s="29"/>
      <c r="FH156" s="29"/>
      <c r="FI156" s="29"/>
      <c r="FJ156" s="29"/>
      <c r="FK156" s="29" t="n">
        <v>44000</v>
      </c>
      <c r="FL156" s="29"/>
      <c r="FM156" s="29"/>
      <c r="FN156" s="29"/>
      <c r="FO156" s="29" t="n">
        <v>44000</v>
      </c>
      <c r="FP156" s="29"/>
      <c r="FQ156" s="29"/>
      <c r="FR156" s="29"/>
      <c r="FS156" s="29"/>
      <c r="FT156" s="29" t="n">
        <f aca="false">SUM(N156:FS156)</f>
        <v>132000</v>
      </c>
      <c r="FU156" s="27" t="n">
        <f aca="false">SUM(L156-FT156)</f>
        <v>132000</v>
      </c>
      <c r="FV156" s="31" t="n">
        <f aca="false">SUM( H156/5)</f>
        <v>12</v>
      </c>
      <c r="FW156" s="31" t="n">
        <f aca="false">SUM( I156/5)</f>
        <v>12</v>
      </c>
      <c r="FX156" s="32" t="n">
        <f aca="false">SUM(FV156/4)</f>
        <v>3</v>
      </c>
      <c r="FY156" s="32" t="n">
        <f aca="false">SUM(FW156/4)</f>
        <v>3</v>
      </c>
    </row>
    <row r="157" customFormat="false" ht="43.5" hidden="false" customHeight="true" outlineLevel="0" collapsed="false">
      <c r="A157" s="24" t="n">
        <v>3405</v>
      </c>
      <c r="B157" s="21" t="s">
        <v>448</v>
      </c>
      <c r="C157" s="21" t="s">
        <v>449</v>
      </c>
      <c r="D157" s="22"/>
      <c r="E157" s="23" t="n">
        <v>45919</v>
      </c>
      <c r="F157" s="23" t="n">
        <f aca="false">WORKDAY(E157,G157)</f>
        <v>46031</v>
      </c>
      <c r="G157" s="24" t="n">
        <v>80</v>
      </c>
      <c r="H157" s="25" t="n">
        <f aca="false">(FT157* 5)/M157</f>
        <v>20</v>
      </c>
      <c r="I157" s="25" t="n">
        <f aca="false">G157-H157</f>
        <v>60</v>
      </c>
      <c r="J157" s="26" t="s">
        <v>273</v>
      </c>
      <c r="K157" s="27" t="n">
        <v>300000</v>
      </c>
      <c r="L157" s="27" t="n">
        <v>648000</v>
      </c>
      <c r="M157" s="28" t="n">
        <f aca="false">(L157/G157)*5</f>
        <v>40500</v>
      </c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  <c r="CF157" s="29"/>
      <c r="CG157" s="29"/>
      <c r="CH157" s="29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  <c r="DI157" s="29"/>
      <c r="DJ157" s="29"/>
      <c r="DK157" s="29"/>
      <c r="DL157" s="29"/>
      <c r="DM157" s="29"/>
      <c r="DN157" s="29"/>
      <c r="DO157" s="29"/>
      <c r="DP157" s="29"/>
      <c r="DQ157" s="29"/>
      <c r="DR157" s="29"/>
      <c r="DS157" s="29"/>
      <c r="DT157" s="29"/>
      <c r="DU157" s="29"/>
      <c r="DV157" s="29"/>
      <c r="DW157" s="29"/>
      <c r="DX157" s="29"/>
      <c r="DY157" s="29"/>
      <c r="DZ157" s="29"/>
      <c r="EA157" s="29"/>
      <c r="EB157" s="29"/>
      <c r="EC157" s="29"/>
      <c r="ED157" s="29"/>
      <c r="EE157" s="29"/>
      <c r="EF157" s="29"/>
      <c r="EG157" s="29"/>
      <c r="EH157" s="29"/>
      <c r="EI157" s="29"/>
      <c r="EJ157" s="29"/>
      <c r="EK157" s="29" t="s">
        <v>184</v>
      </c>
      <c r="EL157" s="29"/>
      <c r="EM157" s="29" t="s">
        <v>184</v>
      </c>
      <c r="EN157" s="29" t="s">
        <v>184</v>
      </c>
      <c r="EO157" s="29"/>
      <c r="EP157" s="29"/>
      <c r="EQ157" s="29"/>
      <c r="ER157" s="29"/>
      <c r="ES157" s="29" t="s">
        <v>184</v>
      </c>
      <c r="ET157" s="29"/>
      <c r="EU157" s="29"/>
      <c r="EV157" s="29" t="s">
        <v>184</v>
      </c>
      <c r="EW157" s="29"/>
      <c r="EX157" s="29"/>
      <c r="EY157" s="29"/>
      <c r="EZ157" s="29"/>
      <c r="FA157" s="29"/>
      <c r="FB157" s="29"/>
      <c r="FC157" s="29" t="s">
        <v>184</v>
      </c>
      <c r="FD157" s="29"/>
      <c r="FE157" s="29"/>
      <c r="FF157" s="29"/>
      <c r="FG157" s="29"/>
      <c r="FH157" s="29"/>
      <c r="FI157" s="29"/>
      <c r="FJ157" s="29"/>
      <c r="FK157" s="29"/>
      <c r="FL157" s="29"/>
      <c r="FM157" s="29"/>
      <c r="FN157" s="29"/>
      <c r="FO157" s="29" t="n">
        <v>162000</v>
      </c>
      <c r="FP157" s="29"/>
      <c r="FQ157" s="29"/>
      <c r="FR157" s="29"/>
      <c r="FS157" s="29"/>
      <c r="FT157" s="29" t="n">
        <f aca="false">SUM(N157:FS157)</f>
        <v>162000</v>
      </c>
      <c r="FU157" s="27" t="n">
        <f aca="false">SUM(L157-FT157)</f>
        <v>486000</v>
      </c>
      <c r="FV157" s="31" t="n">
        <f aca="false">SUM( H157/5)</f>
        <v>4</v>
      </c>
      <c r="FW157" s="31" t="n">
        <f aca="false">SUM( I157/5)</f>
        <v>12</v>
      </c>
      <c r="FX157" s="32" t="n">
        <f aca="false">SUM(FV157/4)</f>
        <v>1</v>
      </c>
      <c r="FY157" s="32" t="n">
        <f aca="false">SUM(FW157/4)</f>
        <v>3</v>
      </c>
    </row>
    <row r="158" customFormat="false" ht="43.5" hidden="false" customHeight="true" outlineLevel="0" collapsed="false">
      <c r="A158" s="24" t="n">
        <v>3453</v>
      </c>
      <c r="B158" s="21" t="s">
        <v>448</v>
      </c>
      <c r="C158" s="21" t="s">
        <v>449</v>
      </c>
      <c r="D158" s="22"/>
      <c r="E158" s="23" t="n">
        <v>45949</v>
      </c>
      <c r="F158" s="23" t="n">
        <f aca="false">WORKDAY(E158,G158)</f>
        <v>46059</v>
      </c>
      <c r="G158" s="24" t="n">
        <v>80</v>
      </c>
      <c r="H158" s="25" t="n">
        <f aca="false">(FT158* 5)/M158</f>
        <v>0</v>
      </c>
      <c r="I158" s="25" t="n">
        <f aca="false">G158-H158</f>
        <v>80</v>
      </c>
      <c r="J158" s="26" t="s">
        <v>273</v>
      </c>
      <c r="K158" s="58" t="n">
        <v>300000</v>
      </c>
      <c r="L158" s="30" t="n">
        <v>648000</v>
      </c>
      <c r="M158" s="28" t="n">
        <f aca="false">(L158/G158)*5</f>
        <v>40500</v>
      </c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  <c r="DI158" s="29"/>
      <c r="DJ158" s="29"/>
      <c r="DK158" s="29"/>
      <c r="DL158" s="29"/>
      <c r="DM158" s="29"/>
      <c r="DN158" s="29"/>
      <c r="DO158" s="29"/>
      <c r="DP158" s="29"/>
      <c r="DQ158" s="29"/>
      <c r="DR158" s="29"/>
      <c r="DS158" s="29"/>
      <c r="DT158" s="29"/>
      <c r="DU158" s="29"/>
      <c r="DV158" s="29"/>
      <c r="DW158" s="29"/>
      <c r="DX158" s="29"/>
      <c r="DY158" s="29"/>
      <c r="DZ158" s="29"/>
      <c r="EA158" s="29"/>
      <c r="EB158" s="29"/>
      <c r="EC158" s="29"/>
      <c r="ED158" s="29"/>
      <c r="EE158" s="29"/>
      <c r="EF158" s="29"/>
      <c r="EG158" s="29"/>
      <c r="EH158" s="29"/>
      <c r="EI158" s="29"/>
      <c r="EJ158" s="29"/>
      <c r="EK158" s="29" t="s">
        <v>184</v>
      </c>
      <c r="EL158" s="29"/>
      <c r="EM158" s="29" t="s">
        <v>184</v>
      </c>
      <c r="EN158" s="29" t="s">
        <v>184</v>
      </c>
      <c r="EO158" s="29"/>
      <c r="EP158" s="29"/>
      <c r="EQ158" s="29"/>
      <c r="ER158" s="29"/>
      <c r="ES158" s="29" t="s">
        <v>184</v>
      </c>
      <c r="ET158" s="29"/>
      <c r="EU158" s="29"/>
      <c r="EV158" s="29" t="s">
        <v>184</v>
      </c>
      <c r="EW158" s="29"/>
      <c r="EX158" s="29"/>
      <c r="EY158" s="29"/>
      <c r="EZ158" s="29"/>
      <c r="FA158" s="29"/>
      <c r="FB158" s="29"/>
      <c r="FC158" s="29" t="s">
        <v>184</v>
      </c>
      <c r="FD158" s="29"/>
      <c r="FE158" s="29"/>
      <c r="FF158" s="29"/>
      <c r="FG158" s="29"/>
      <c r="FH158" s="29"/>
      <c r="FI158" s="29"/>
      <c r="FJ158" s="29"/>
      <c r="FK158" s="29"/>
      <c r="FL158" s="29" t="s">
        <v>184</v>
      </c>
      <c r="FM158" s="29"/>
      <c r="FN158" s="29"/>
      <c r="FO158" s="29"/>
      <c r="FP158" s="29"/>
      <c r="FQ158" s="29"/>
      <c r="FR158" s="29"/>
      <c r="FS158" s="29"/>
      <c r="FT158" s="29" t="n">
        <f aca="false">SUM(N158:FS158)</f>
        <v>0</v>
      </c>
      <c r="FU158" s="27" t="n">
        <f aca="false">SUM(L158-FT158)</f>
        <v>648000</v>
      </c>
      <c r="FV158" s="31" t="n">
        <f aca="false">SUM( H158/5)</f>
        <v>0</v>
      </c>
      <c r="FW158" s="31" t="n">
        <f aca="false">SUM( I158/5)</f>
        <v>16</v>
      </c>
      <c r="FX158" s="32" t="n">
        <f aca="false">SUM(FV158/4)</f>
        <v>0</v>
      </c>
      <c r="FY158" s="32" t="n">
        <f aca="false">SUM(FW158/4)</f>
        <v>4</v>
      </c>
    </row>
    <row r="159" customFormat="false" ht="43.5" hidden="false" customHeight="true" outlineLevel="0" collapsed="false">
      <c r="A159" s="24" t="n">
        <v>3230</v>
      </c>
      <c r="B159" s="21" t="s">
        <v>452</v>
      </c>
      <c r="C159" s="21" t="s">
        <v>184</v>
      </c>
      <c r="D159" s="22"/>
      <c r="E159" s="23" t="n">
        <v>45818</v>
      </c>
      <c r="F159" s="23" t="n">
        <f aca="false">WORKDAY(E159,G159)</f>
        <v>46210</v>
      </c>
      <c r="G159" s="24" t="n">
        <v>280</v>
      </c>
      <c r="H159" s="25" t="n">
        <f aca="false">(FT159* 5)/M159</f>
        <v>100</v>
      </c>
      <c r="I159" s="25" t="n">
        <f aca="false">G159-H159</f>
        <v>180</v>
      </c>
      <c r="J159" s="26" t="s">
        <v>453</v>
      </c>
      <c r="K159" s="33" t="n">
        <v>1500000</v>
      </c>
      <c r="L159" s="27" t="n">
        <v>4501000</v>
      </c>
      <c r="M159" s="47" t="n">
        <f aca="false">(L159/G159)*5</f>
        <v>80375</v>
      </c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  <c r="CF159" s="29"/>
      <c r="CG159" s="29"/>
      <c r="CH159" s="29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  <c r="CZ159" s="29"/>
      <c r="DA159" s="29"/>
      <c r="DB159" s="29"/>
      <c r="DC159" s="29"/>
      <c r="DD159" s="29"/>
      <c r="DE159" s="29"/>
      <c r="DF159" s="29"/>
      <c r="DG159" s="29"/>
      <c r="DH159" s="29"/>
      <c r="DI159" s="29"/>
      <c r="DJ159" s="29"/>
      <c r="DK159" s="29"/>
      <c r="DL159" s="29"/>
      <c r="DM159" s="29"/>
      <c r="DN159" s="29"/>
      <c r="DO159" s="29"/>
      <c r="DP159" s="29"/>
      <c r="DQ159" s="29"/>
      <c r="DR159" s="29"/>
      <c r="DS159" s="29"/>
      <c r="DT159" s="29"/>
      <c r="DU159" s="29"/>
      <c r="DV159" s="29"/>
      <c r="DW159" s="29"/>
      <c r="DX159" s="29"/>
      <c r="DY159" s="29"/>
      <c r="DZ159" s="29"/>
      <c r="EA159" s="29"/>
      <c r="EB159" s="29"/>
      <c r="EC159" s="29"/>
      <c r="ED159" s="29"/>
      <c r="EE159" s="29"/>
      <c r="EF159" s="29"/>
      <c r="EG159" s="29"/>
      <c r="EH159" s="29"/>
      <c r="EI159" s="29"/>
      <c r="EJ159" s="29"/>
      <c r="EK159" s="29" t="s">
        <v>184</v>
      </c>
      <c r="EL159" s="29"/>
      <c r="EM159" s="29" t="s">
        <v>184</v>
      </c>
      <c r="EN159" s="29" t="s">
        <v>184</v>
      </c>
      <c r="EO159" s="29"/>
      <c r="EP159" s="29"/>
      <c r="EQ159" s="29"/>
      <c r="ER159" s="29"/>
      <c r="ES159" s="29" t="s">
        <v>184</v>
      </c>
      <c r="ET159" s="29"/>
      <c r="EU159" s="29"/>
      <c r="EV159" s="29"/>
      <c r="EW159" s="29"/>
      <c r="EX159" s="29"/>
      <c r="EY159" s="29" t="n">
        <v>321500</v>
      </c>
      <c r="EZ159" s="29"/>
      <c r="FA159" s="29"/>
      <c r="FB159" s="29" t="n">
        <v>321500</v>
      </c>
      <c r="FC159" s="29"/>
      <c r="FD159" s="29"/>
      <c r="FE159" s="29"/>
      <c r="FF159" s="29"/>
      <c r="FG159" s="29"/>
      <c r="FH159" s="29" t="n">
        <v>321500</v>
      </c>
      <c r="FI159" s="29"/>
      <c r="FJ159" s="29"/>
      <c r="FK159" s="29"/>
      <c r="FL159" s="29" t="n">
        <v>321500</v>
      </c>
      <c r="FM159" s="29"/>
      <c r="FN159" s="29"/>
      <c r="FO159" s="29"/>
      <c r="FP159" s="29" t="n">
        <v>321500</v>
      </c>
      <c r="FQ159" s="29"/>
      <c r="FR159" s="29"/>
      <c r="FS159" s="29"/>
      <c r="FT159" s="29" t="n">
        <f aca="false">SUM(N159:FS159)</f>
        <v>1607500</v>
      </c>
      <c r="FU159" s="27" t="n">
        <f aca="false">SUM(L159-FT159)</f>
        <v>2893500</v>
      </c>
      <c r="FV159" s="31" t="n">
        <f aca="false">SUM( H159/5)</f>
        <v>20</v>
      </c>
      <c r="FW159" s="31" t="n">
        <f aca="false">SUM( I159/5)</f>
        <v>36</v>
      </c>
      <c r="FX159" s="32" t="n">
        <f aca="false">SUM(FV159/4)</f>
        <v>5</v>
      </c>
      <c r="FY159" s="32" t="n">
        <f aca="false">SUM(FW159/4)</f>
        <v>9</v>
      </c>
    </row>
    <row r="160" customFormat="false" ht="43.5" hidden="false" customHeight="true" outlineLevel="0" collapsed="false">
      <c r="A160" s="24" t="n">
        <v>3301</v>
      </c>
      <c r="B160" s="21" t="s">
        <v>452</v>
      </c>
      <c r="C160" s="21"/>
      <c r="D160" s="22"/>
      <c r="E160" s="23" t="n">
        <v>45858</v>
      </c>
      <c r="F160" s="23" t="n">
        <f aca="false">WORKDAY(E160,G160)</f>
        <v>46024</v>
      </c>
      <c r="G160" s="24" t="n">
        <v>120</v>
      </c>
      <c r="H160" s="25" t="n">
        <f aca="false">(FT160* 5)/M160</f>
        <v>117.424545454545</v>
      </c>
      <c r="I160" s="25" t="n">
        <f aca="false">G160-H160</f>
        <v>2.57545454545455</v>
      </c>
      <c r="J160" s="26" t="s">
        <v>454</v>
      </c>
      <c r="K160" s="27" t="n">
        <v>200000</v>
      </c>
      <c r="L160" s="27" t="n">
        <v>528000</v>
      </c>
      <c r="M160" s="45" t="n">
        <f aca="false">(L160/G160)*5</f>
        <v>22000</v>
      </c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  <c r="CF160" s="29"/>
      <c r="CG160" s="29"/>
      <c r="CH160" s="29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  <c r="CZ160" s="29"/>
      <c r="DA160" s="29"/>
      <c r="DB160" s="29"/>
      <c r="DC160" s="29"/>
      <c r="DD160" s="29"/>
      <c r="DE160" s="29"/>
      <c r="DF160" s="29"/>
      <c r="DG160" s="29"/>
      <c r="DH160" s="29"/>
      <c r="DI160" s="29"/>
      <c r="DJ160" s="29"/>
      <c r="DK160" s="29"/>
      <c r="DL160" s="29"/>
      <c r="DM160" s="29"/>
      <c r="DN160" s="29"/>
      <c r="DO160" s="29"/>
      <c r="DP160" s="29"/>
      <c r="DQ160" s="29"/>
      <c r="DR160" s="29"/>
      <c r="DS160" s="29"/>
      <c r="DT160" s="29"/>
      <c r="DU160" s="29"/>
      <c r="DV160" s="29"/>
      <c r="DW160" s="29"/>
      <c r="DX160" s="29"/>
      <c r="DY160" s="29"/>
      <c r="DZ160" s="29"/>
      <c r="EA160" s="29"/>
      <c r="EB160" s="29"/>
      <c r="EC160" s="29"/>
      <c r="ED160" s="29"/>
      <c r="EE160" s="29"/>
      <c r="EF160" s="29"/>
      <c r="EG160" s="29"/>
      <c r="EH160" s="29"/>
      <c r="EI160" s="29"/>
      <c r="EJ160" s="29"/>
      <c r="EK160" s="29" t="s">
        <v>184</v>
      </c>
      <c r="EL160" s="29"/>
      <c r="EM160" s="29" t="s">
        <v>184</v>
      </c>
      <c r="EN160" s="29" t="s">
        <v>184</v>
      </c>
      <c r="EO160" s="29"/>
      <c r="EP160" s="29"/>
      <c r="EQ160" s="29"/>
      <c r="ER160" s="29"/>
      <c r="ES160" s="29" t="s">
        <v>184</v>
      </c>
      <c r="ET160" s="29"/>
      <c r="EU160" s="29"/>
      <c r="EV160" s="29" t="s">
        <v>184</v>
      </c>
      <c r="EW160" s="29"/>
      <c r="EX160" s="29"/>
      <c r="EY160" s="29"/>
      <c r="EZ160" s="29"/>
      <c r="FA160" s="29"/>
      <c r="FB160" s="29" t="s">
        <v>184</v>
      </c>
      <c r="FC160" s="29"/>
      <c r="FD160" s="29"/>
      <c r="FE160" s="29"/>
      <c r="FF160" s="29"/>
      <c r="FG160" s="29"/>
      <c r="FH160" s="29" t="n">
        <v>340668</v>
      </c>
      <c r="FI160" s="29"/>
      <c r="FJ160" s="29"/>
      <c r="FK160" s="29"/>
      <c r="FL160" s="29" t="n">
        <v>88000</v>
      </c>
      <c r="FM160" s="29"/>
      <c r="FN160" s="29"/>
      <c r="FO160" s="29"/>
      <c r="FP160" s="29" t="n">
        <v>88000</v>
      </c>
      <c r="FQ160" s="29"/>
      <c r="FR160" s="29"/>
      <c r="FS160" s="29"/>
      <c r="FT160" s="29" t="n">
        <f aca="false">SUM(N160:FS160)</f>
        <v>516668</v>
      </c>
      <c r="FU160" s="27" t="n">
        <f aca="false">SUM(L160-FT160)</f>
        <v>11332</v>
      </c>
      <c r="FV160" s="31" t="n">
        <f aca="false">SUM( H160/5)</f>
        <v>23.4849090909091</v>
      </c>
      <c r="FW160" s="31" t="n">
        <f aca="false">SUM( I160/5)</f>
        <v>0.51509090909091</v>
      </c>
      <c r="FX160" s="32" t="n">
        <f aca="false">SUM(FV160/4)</f>
        <v>5.87122727272727</v>
      </c>
      <c r="FY160" s="32" t="n">
        <f aca="false">SUM(FW160/4)</f>
        <v>0.128772727272727</v>
      </c>
    </row>
    <row r="161" customFormat="false" ht="43.5" hidden="false" customHeight="true" outlineLevel="0" collapsed="false">
      <c r="A161" s="24" t="n">
        <v>3321</v>
      </c>
      <c r="B161" s="21" t="s">
        <v>452</v>
      </c>
      <c r="C161" s="21" t="s">
        <v>455</v>
      </c>
      <c r="D161" s="22"/>
      <c r="E161" s="23" t="n">
        <v>45866</v>
      </c>
      <c r="F161" s="23" t="n">
        <f aca="false">WORKDAY(E161,G161)</f>
        <v>46034</v>
      </c>
      <c r="G161" s="24" t="n">
        <v>120</v>
      </c>
      <c r="H161" s="25" t="n">
        <f aca="false">(FT161* 5)/M161</f>
        <v>60</v>
      </c>
      <c r="I161" s="25" t="n">
        <f aca="false">G161-H161</f>
        <v>60</v>
      </c>
      <c r="J161" s="26" t="s">
        <v>454</v>
      </c>
      <c r="K161" s="58" t="n">
        <v>200000</v>
      </c>
      <c r="L161" s="30" t="n">
        <v>528000</v>
      </c>
      <c r="M161" s="45" t="n">
        <f aca="false">(L161/G161)*5</f>
        <v>22000</v>
      </c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  <c r="CF161" s="29"/>
      <c r="CG161" s="29"/>
      <c r="CH161" s="29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  <c r="CZ161" s="29"/>
      <c r="DA161" s="29"/>
      <c r="DB161" s="29"/>
      <c r="DC161" s="29"/>
      <c r="DD161" s="29"/>
      <c r="DE161" s="29"/>
      <c r="DF161" s="29"/>
      <c r="DG161" s="29"/>
      <c r="DH161" s="29"/>
      <c r="DI161" s="29"/>
      <c r="DJ161" s="29"/>
      <c r="DK161" s="29"/>
      <c r="DL161" s="29"/>
      <c r="DM161" s="29"/>
      <c r="DN161" s="29"/>
      <c r="DO161" s="29"/>
      <c r="DP161" s="29"/>
      <c r="DQ161" s="29"/>
      <c r="DR161" s="29"/>
      <c r="DS161" s="29"/>
      <c r="DT161" s="29"/>
      <c r="DU161" s="29"/>
      <c r="DV161" s="29"/>
      <c r="DW161" s="29"/>
      <c r="DX161" s="29"/>
      <c r="DY161" s="29"/>
      <c r="DZ161" s="29"/>
      <c r="EA161" s="29"/>
      <c r="EB161" s="29"/>
      <c r="EC161" s="29"/>
      <c r="ED161" s="29"/>
      <c r="EE161" s="29"/>
      <c r="EF161" s="29"/>
      <c r="EG161" s="29"/>
      <c r="EH161" s="29"/>
      <c r="EI161" s="29"/>
      <c r="EJ161" s="29"/>
      <c r="EK161" s="29" t="s">
        <v>184</v>
      </c>
      <c r="EL161" s="29"/>
      <c r="EM161" s="29" t="s">
        <v>184</v>
      </c>
      <c r="EN161" s="29" t="s">
        <v>184</v>
      </c>
      <c r="EO161" s="29"/>
      <c r="EP161" s="29"/>
      <c r="EQ161" s="29"/>
      <c r="ER161" s="29"/>
      <c r="ES161" s="29" t="s">
        <v>184</v>
      </c>
      <c r="ET161" s="29"/>
      <c r="EU161" s="29"/>
      <c r="EV161" s="29" t="s">
        <v>184</v>
      </c>
      <c r="EW161" s="29"/>
      <c r="EX161" s="29"/>
      <c r="EY161" s="29"/>
      <c r="EZ161" s="29"/>
      <c r="FA161" s="29"/>
      <c r="FB161" s="29"/>
      <c r="FC161" s="29"/>
      <c r="FD161" s="29"/>
      <c r="FE161" s="29"/>
      <c r="FF161" s="29"/>
      <c r="FG161" s="29"/>
      <c r="FH161" s="29" t="n">
        <v>88000</v>
      </c>
      <c r="FI161" s="29"/>
      <c r="FJ161" s="29"/>
      <c r="FK161" s="29"/>
      <c r="FL161" s="29" t="n">
        <v>88000</v>
      </c>
      <c r="FM161" s="29"/>
      <c r="FN161" s="29"/>
      <c r="FO161" s="29"/>
      <c r="FP161" s="29" t="n">
        <v>88000</v>
      </c>
      <c r="FQ161" s="29"/>
      <c r="FR161" s="29"/>
      <c r="FS161" s="29"/>
      <c r="FT161" s="29" t="n">
        <f aca="false">SUM(N161:FS161)</f>
        <v>264000</v>
      </c>
      <c r="FU161" s="27" t="n">
        <f aca="false">SUM(L161-FT161)</f>
        <v>264000</v>
      </c>
      <c r="FV161" s="31" t="n">
        <f aca="false">SUM( H161/5)</f>
        <v>12</v>
      </c>
      <c r="FW161" s="31" t="n">
        <f aca="false">SUM( I161/5)</f>
        <v>12</v>
      </c>
      <c r="FX161" s="32" t="n">
        <f aca="false">SUM(FV161/4)</f>
        <v>3</v>
      </c>
      <c r="FY161" s="32" t="n">
        <f aca="false">SUM(FW161/4)</f>
        <v>3</v>
      </c>
    </row>
    <row r="162" customFormat="false" ht="43.5" hidden="false" customHeight="true" outlineLevel="0" collapsed="false">
      <c r="A162" s="24" t="n">
        <v>3333</v>
      </c>
      <c r="B162" s="21" t="s">
        <v>452</v>
      </c>
      <c r="C162" s="21" t="s">
        <v>184</v>
      </c>
      <c r="D162" s="22"/>
      <c r="E162" s="23" t="n">
        <v>45877</v>
      </c>
      <c r="F162" s="23" t="n">
        <f aca="false">WORKDAY(E162,G162)</f>
        <v>46157</v>
      </c>
      <c r="G162" s="24" t="n">
        <v>200</v>
      </c>
      <c r="H162" s="25" t="n">
        <f aca="false">(FT162* 5)/M162</f>
        <v>60</v>
      </c>
      <c r="I162" s="25" t="n">
        <f aca="false">G162-H162</f>
        <v>140</v>
      </c>
      <c r="J162" s="26" t="s">
        <v>221</v>
      </c>
      <c r="K162" s="30" t="n">
        <v>1000000</v>
      </c>
      <c r="L162" s="30" t="n">
        <v>3120000</v>
      </c>
      <c r="M162" s="68" t="n">
        <f aca="false">(L162/G162)*5</f>
        <v>78000</v>
      </c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  <c r="CF162" s="29"/>
      <c r="CG162" s="29"/>
      <c r="CH162" s="29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  <c r="CZ162" s="29"/>
      <c r="DA162" s="29"/>
      <c r="DB162" s="29"/>
      <c r="DC162" s="29"/>
      <c r="DD162" s="29"/>
      <c r="DE162" s="29"/>
      <c r="DF162" s="29"/>
      <c r="DG162" s="29"/>
      <c r="DH162" s="29"/>
      <c r="DI162" s="29"/>
      <c r="DJ162" s="29"/>
      <c r="DK162" s="29"/>
      <c r="DL162" s="29"/>
      <c r="DM162" s="29"/>
      <c r="DN162" s="29"/>
      <c r="DO162" s="29"/>
      <c r="DP162" s="29"/>
      <c r="DQ162" s="29"/>
      <c r="DR162" s="29"/>
      <c r="DS162" s="29"/>
      <c r="DT162" s="29"/>
      <c r="DU162" s="29"/>
      <c r="DV162" s="29"/>
      <c r="DW162" s="29"/>
      <c r="DX162" s="29"/>
      <c r="DY162" s="29"/>
      <c r="DZ162" s="29"/>
      <c r="EA162" s="29"/>
      <c r="EB162" s="29"/>
      <c r="EC162" s="29"/>
      <c r="ED162" s="29"/>
      <c r="EE162" s="29"/>
      <c r="EF162" s="29"/>
      <c r="EG162" s="29"/>
      <c r="EH162" s="29"/>
      <c r="EI162" s="29"/>
      <c r="EJ162" s="29"/>
      <c r="EK162" s="29" t="s">
        <v>184</v>
      </c>
      <c r="EL162" s="29"/>
      <c r="EM162" s="29" t="s">
        <v>184</v>
      </c>
      <c r="EN162" s="29" t="s">
        <v>184</v>
      </c>
      <c r="EO162" s="29"/>
      <c r="EP162" s="29"/>
      <c r="EQ162" s="29"/>
      <c r="ER162" s="29"/>
      <c r="ES162" s="29" t="s">
        <v>184</v>
      </c>
      <c r="ET162" s="29"/>
      <c r="EU162" s="29"/>
      <c r="EV162" s="29" t="s">
        <v>184</v>
      </c>
      <c r="EW162" s="29"/>
      <c r="EX162" s="29"/>
      <c r="EY162" s="29"/>
      <c r="EZ162" s="29"/>
      <c r="FA162" s="29"/>
      <c r="FB162" s="29"/>
      <c r="FC162" s="29"/>
      <c r="FD162" s="29"/>
      <c r="FE162" s="29"/>
      <c r="FF162" s="29"/>
      <c r="FG162" s="29"/>
      <c r="FH162" s="29" t="n">
        <v>312000</v>
      </c>
      <c r="FI162" s="29"/>
      <c r="FJ162" s="29"/>
      <c r="FK162" s="29"/>
      <c r="FL162" s="29" t="n">
        <v>312000</v>
      </c>
      <c r="FM162" s="29"/>
      <c r="FN162" s="29"/>
      <c r="FO162" s="29"/>
      <c r="FP162" s="29" t="n">
        <v>312000</v>
      </c>
      <c r="FQ162" s="29"/>
      <c r="FR162" s="29"/>
      <c r="FS162" s="29"/>
      <c r="FT162" s="29" t="n">
        <f aca="false">SUM(N162:FS162)</f>
        <v>936000</v>
      </c>
      <c r="FU162" s="27" t="n">
        <f aca="false">SUM(L162-FT162)</f>
        <v>2184000</v>
      </c>
      <c r="FV162" s="31" t="n">
        <f aca="false">SUM( H162/5)</f>
        <v>12</v>
      </c>
      <c r="FW162" s="31" t="n">
        <f aca="false">SUM( I162/5)</f>
        <v>28</v>
      </c>
      <c r="FX162" s="32" t="n">
        <f aca="false">SUM(FV162/4)</f>
        <v>3</v>
      </c>
      <c r="FY162" s="32" t="n">
        <f aca="false">SUM(FW162/4)</f>
        <v>7</v>
      </c>
    </row>
    <row r="163" customFormat="false" ht="43.5" hidden="false" customHeight="true" outlineLevel="0" collapsed="false">
      <c r="A163" s="24" t="n">
        <v>3353</v>
      </c>
      <c r="B163" s="21" t="s">
        <v>452</v>
      </c>
      <c r="C163" s="21" t="s">
        <v>184</v>
      </c>
      <c r="D163" s="22"/>
      <c r="E163" s="23" t="n">
        <v>45885</v>
      </c>
      <c r="F163" s="23" t="n">
        <f aca="false">WORKDAY(E163,G163)</f>
        <v>46052</v>
      </c>
      <c r="G163" s="24" t="n">
        <v>120</v>
      </c>
      <c r="H163" s="25" t="n">
        <f aca="false">(FT163* 5)/M163</f>
        <v>60</v>
      </c>
      <c r="I163" s="25" t="n">
        <f aca="false">G163-H163</f>
        <v>60</v>
      </c>
      <c r="J163" s="26" t="s">
        <v>456</v>
      </c>
      <c r="K163" s="27" t="n">
        <v>100000</v>
      </c>
      <c r="L163" s="27" t="n">
        <v>264000</v>
      </c>
      <c r="M163" s="28" t="n">
        <f aca="false">(L163/G163)*5</f>
        <v>11000</v>
      </c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  <c r="DG163" s="29"/>
      <c r="DH163" s="29"/>
      <c r="DI163" s="29"/>
      <c r="DJ163" s="29"/>
      <c r="DK163" s="29"/>
      <c r="DL163" s="29"/>
      <c r="DM163" s="29"/>
      <c r="DN163" s="29"/>
      <c r="DO163" s="29"/>
      <c r="DP163" s="29"/>
      <c r="DQ163" s="29"/>
      <c r="DR163" s="29"/>
      <c r="DS163" s="29"/>
      <c r="DT163" s="29"/>
      <c r="DU163" s="29"/>
      <c r="DV163" s="29"/>
      <c r="DW163" s="29"/>
      <c r="DX163" s="29"/>
      <c r="DY163" s="29"/>
      <c r="DZ163" s="29"/>
      <c r="EA163" s="29"/>
      <c r="EB163" s="29"/>
      <c r="EC163" s="29"/>
      <c r="ED163" s="29"/>
      <c r="EE163" s="29"/>
      <c r="EF163" s="29"/>
      <c r="EG163" s="29"/>
      <c r="EH163" s="29"/>
      <c r="EI163" s="29"/>
      <c r="EJ163" s="29"/>
      <c r="EK163" s="29" t="s">
        <v>184</v>
      </c>
      <c r="EL163" s="29"/>
      <c r="EM163" s="29" t="s">
        <v>184</v>
      </c>
      <c r="EN163" s="29" t="s">
        <v>184</v>
      </c>
      <c r="EO163" s="29"/>
      <c r="EP163" s="29"/>
      <c r="EQ163" s="29"/>
      <c r="ER163" s="29"/>
      <c r="ES163" s="29" t="s">
        <v>184</v>
      </c>
      <c r="ET163" s="29"/>
      <c r="EU163" s="29"/>
      <c r="EV163" s="29" t="s">
        <v>184</v>
      </c>
      <c r="EW163" s="29"/>
      <c r="EX163" s="29"/>
      <c r="EY163" s="29"/>
      <c r="EZ163" s="29"/>
      <c r="FA163" s="29"/>
      <c r="FB163" s="29"/>
      <c r="FC163" s="29" t="s">
        <v>184</v>
      </c>
      <c r="FD163" s="29"/>
      <c r="FE163" s="29"/>
      <c r="FF163" s="29"/>
      <c r="FG163" s="29"/>
      <c r="FH163" s="29" t="n">
        <v>44000</v>
      </c>
      <c r="FI163" s="29"/>
      <c r="FJ163" s="29"/>
      <c r="FK163" s="29"/>
      <c r="FL163" s="29" t="n">
        <v>44000</v>
      </c>
      <c r="FM163" s="29"/>
      <c r="FN163" s="29"/>
      <c r="FO163" s="29"/>
      <c r="FP163" s="29" t="n">
        <v>44000</v>
      </c>
      <c r="FQ163" s="29"/>
      <c r="FR163" s="29"/>
      <c r="FS163" s="29"/>
      <c r="FT163" s="29" t="n">
        <f aca="false">SUM(N163:FS163)</f>
        <v>132000</v>
      </c>
      <c r="FU163" s="27" t="n">
        <f aca="false">SUM(L163-FT163)</f>
        <v>132000</v>
      </c>
      <c r="FV163" s="31" t="n">
        <f aca="false">SUM( H163/5)</f>
        <v>12</v>
      </c>
      <c r="FW163" s="31" t="n">
        <f aca="false">SUM( I163/5)</f>
        <v>12</v>
      </c>
      <c r="FX163" s="32" t="n">
        <f aca="false">SUM(FV163/4)</f>
        <v>3</v>
      </c>
      <c r="FY163" s="32" t="n">
        <f aca="false">SUM(FW163/4)</f>
        <v>3</v>
      </c>
    </row>
    <row r="164" customFormat="false" ht="43.5" hidden="false" customHeight="true" outlineLevel="0" collapsed="false">
      <c r="A164" s="24" t="n">
        <v>3461</v>
      </c>
      <c r="B164" s="21" t="s">
        <v>452</v>
      </c>
      <c r="C164" s="21" t="s">
        <v>184</v>
      </c>
      <c r="D164" s="22"/>
      <c r="E164" s="23" t="n">
        <v>45954</v>
      </c>
      <c r="F164" s="23" t="n">
        <f aca="false">WORKDAY(E164,G164)</f>
        <v>46122</v>
      </c>
      <c r="G164" s="24" t="n">
        <v>120</v>
      </c>
      <c r="H164" s="25" t="n">
        <f aca="false">(FT164* 5)/M164</f>
        <v>20</v>
      </c>
      <c r="I164" s="25" t="n">
        <f aca="false">G164-H164</f>
        <v>100</v>
      </c>
      <c r="J164" s="26" t="s">
        <v>456</v>
      </c>
      <c r="K164" s="27" t="n">
        <v>100000</v>
      </c>
      <c r="L164" s="27" t="n">
        <v>264000</v>
      </c>
      <c r="M164" s="28" t="n">
        <f aca="false">(L164/G164)*5</f>
        <v>11000</v>
      </c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  <c r="DG164" s="29"/>
      <c r="DH164" s="29"/>
      <c r="DI164" s="29"/>
      <c r="DJ164" s="29"/>
      <c r="DK164" s="29"/>
      <c r="DL164" s="29"/>
      <c r="DM164" s="29"/>
      <c r="DN164" s="29"/>
      <c r="DO164" s="29"/>
      <c r="DP164" s="29"/>
      <c r="DQ164" s="29"/>
      <c r="DR164" s="29"/>
      <c r="DS164" s="29"/>
      <c r="DT164" s="29"/>
      <c r="DU164" s="29"/>
      <c r="DV164" s="29"/>
      <c r="DW164" s="29"/>
      <c r="DX164" s="29"/>
      <c r="DY164" s="29"/>
      <c r="DZ164" s="29"/>
      <c r="EA164" s="29"/>
      <c r="EB164" s="29"/>
      <c r="EC164" s="29"/>
      <c r="ED164" s="29"/>
      <c r="EE164" s="29"/>
      <c r="EF164" s="29"/>
      <c r="EG164" s="29"/>
      <c r="EH164" s="29"/>
      <c r="EI164" s="29"/>
      <c r="EJ164" s="29"/>
      <c r="EK164" s="29" t="s">
        <v>184</v>
      </c>
      <c r="EL164" s="29"/>
      <c r="EM164" s="29" t="s">
        <v>184</v>
      </c>
      <c r="EN164" s="29" t="s">
        <v>184</v>
      </c>
      <c r="EO164" s="29"/>
      <c r="EP164" s="29"/>
      <c r="EQ164" s="29"/>
      <c r="ER164" s="29"/>
      <c r="ES164" s="29" t="s">
        <v>184</v>
      </c>
      <c r="ET164" s="29"/>
      <c r="EU164" s="29"/>
      <c r="EV164" s="29" t="s">
        <v>184</v>
      </c>
      <c r="EW164" s="29"/>
      <c r="EX164" s="29"/>
      <c r="EY164" s="29"/>
      <c r="EZ164" s="29"/>
      <c r="FA164" s="29"/>
      <c r="FB164" s="29"/>
      <c r="FC164" s="29" t="s">
        <v>184</v>
      </c>
      <c r="FD164" s="29"/>
      <c r="FE164" s="29"/>
      <c r="FF164" s="29"/>
      <c r="FG164" s="29"/>
      <c r="FH164" s="29"/>
      <c r="FI164" s="29"/>
      <c r="FJ164" s="29"/>
      <c r="FK164" s="29"/>
      <c r="FL164" s="29" t="s">
        <v>184</v>
      </c>
      <c r="FM164" s="29"/>
      <c r="FN164" s="29"/>
      <c r="FO164" s="29"/>
      <c r="FP164" s="29" t="n">
        <v>44000</v>
      </c>
      <c r="FQ164" s="29"/>
      <c r="FR164" s="29"/>
      <c r="FS164" s="29"/>
      <c r="FT164" s="29" t="n">
        <f aca="false">SUM(N164:FS164)</f>
        <v>44000</v>
      </c>
      <c r="FU164" s="27" t="n">
        <f aca="false">SUM(L164-FT164)</f>
        <v>220000</v>
      </c>
      <c r="FV164" s="31" t="n">
        <f aca="false">SUM( H164/5)</f>
        <v>4</v>
      </c>
      <c r="FW164" s="31" t="n">
        <f aca="false">SUM( I164/5)</f>
        <v>20</v>
      </c>
      <c r="FX164" s="32" t="n">
        <f aca="false">SUM(FV164/4)</f>
        <v>1</v>
      </c>
      <c r="FY164" s="32" t="n">
        <f aca="false">SUM(FW164/4)</f>
        <v>5</v>
      </c>
    </row>
    <row r="165" customFormat="false" ht="43.5" hidden="false" customHeight="true" outlineLevel="0" collapsed="false">
      <c r="A165" s="24" t="n">
        <v>3477</v>
      </c>
      <c r="B165" s="21" t="s">
        <v>452</v>
      </c>
      <c r="C165" s="21" t="s">
        <v>184</v>
      </c>
      <c r="D165" s="22"/>
      <c r="E165" s="23" t="n">
        <v>45963</v>
      </c>
      <c r="F165" s="23" t="n">
        <f aca="false">WORKDAY(E165,G165)</f>
        <v>46129</v>
      </c>
      <c r="G165" s="24" t="n">
        <v>120</v>
      </c>
      <c r="H165" s="25" t="n">
        <f aca="false">(FT165* 5)/M165</f>
        <v>0</v>
      </c>
      <c r="I165" s="25" t="n">
        <f aca="false">G165-H165</f>
        <v>120</v>
      </c>
      <c r="J165" s="26" t="s">
        <v>456</v>
      </c>
      <c r="K165" s="30" t="n">
        <v>100000</v>
      </c>
      <c r="L165" s="30" t="n">
        <v>264000</v>
      </c>
      <c r="M165" s="45" t="n">
        <f aca="false">(L165/G165)*5</f>
        <v>11000</v>
      </c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  <c r="DG165" s="29"/>
      <c r="DH165" s="29"/>
      <c r="DI165" s="29"/>
      <c r="DJ165" s="29"/>
      <c r="DK165" s="29"/>
      <c r="DL165" s="29"/>
      <c r="DM165" s="29"/>
      <c r="DN165" s="29"/>
      <c r="DO165" s="29"/>
      <c r="DP165" s="29"/>
      <c r="DQ165" s="29"/>
      <c r="DR165" s="29"/>
      <c r="DS165" s="29"/>
      <c r="DT165" s="29"/>
      <c r="DU165" s="29"/>
      <c r="DV165" s="29"/>
      <c r="DW165" s="29"/>
      <c r="DX165" s="29"/>
      <c r="DY165" s="29"/>
      <c r="DZ165" s="29"/>
      <c r="EA165" s="29"/>
      <c r="EB165" s="29"/>
      <c r="EC165" s="29"/>
      <c r="ED165" s="29"/>
      <c r="EE165" s="29"/>
      <c r="EF165" s="29"/>
      <c r="EG165" s="29"/>
      <c r="EH165" s="29"/>
      <c r="EI165" s="29"/>
      <c r="EJ165" s="29"/>
      <c r="EK165" s="29" t="s">
        <v>184</v>
      </c>
      <c r="EL165" s="29"/>
      <c r="EM165" s="29" t="s">
        <v>184</v>
      </c>
      <c r="EN165" s="29" t="s">
        <v>184</v>
      </c>
      <c r="EO165" s="29"/>
      <c r="EP165" s="29"/>
      <c r="EQ165" s="29"/>
      <c r="ER165" s="29"/>
      <c r="ES165" s="29" t="s">
        <v>184</v>
      </c>
      <c r="ET165" s="29"/>
      <c r="EU165" s="29"/>
      <c r="EV165" s="29" t="s">
        <v>184</v>
      </c>
      <c r="EW165" s="29"/>
      <c r="EX165" s="29"/>
      <c r="EY165" s="29"/>
      <c r="EZ165" s="29"/>
      <c r="FA165" s="29"/>
      <c r="FB165" s="29"/>
      <c r="FC165" s="29" t="s">
        <v>184</v>
      </c>
      <c r="FD165" s="29"/>
      <c r="FE165" s="29"/>
      <c r="FF165" s="29"/>
      <c r="FG165" s="29"/>
      <c r="FH165" s="29"/>
      <c r="FI165" s="29"/>
      <c r="FJ165" s="29"/>
      <c r="FK165" s="29"/>
      <c r="FL165" s="29" t="s">
        <v>184</v>
      </c>
      <c r="FM165" s="29"/>
      <c r="FN165" s="29"/>
      <c r="FO165" s="29"/>
      <c r="FP165" s="29"/>
      <c r="FQ165" s="29"/>
      <c r="FR165" s="29"/>
      <c r="FS165" s="29"/>
      <c r="FT165" s="29" t="n">
        <f aca="false">SUM(N165:FS165)</f>
        <v>0</v>
      </c>
      <c r="FU165" s="27" t="n">
        <f aca="false">SUM(L165-FT165)</f>
        <v>264000</v>
      </c>
      <c r="FV165" s="31" t="n">
        <f aca="false">SUM( H165/5)</f>
        <v>0</v>
      </c>
      <c r="FW165" s="31" t="n">
        <f aca="false">SUM( I165/5)</f>
        <v>24</v>
      </c>
      <c r="FX165" s="32" t="n">
        <f aca="false">SUM(FV165/4)</f>
        <v>0</v>
      </c>
      <c r="FY165" s="32" t="n">
        <f aca="false">SUM(FW165/4)</f>
        <v>6</v>
      </c>
    </row>
    <row r="166" customFormat="false" ht="43.5" hidden="false" customHeight="true" outlineLevel="0" collapsed="false">
      <c r="A166" s="24" t="n">
        <v>3482</v>
      </c>
      <c r="B166" s="21" t="s">
        <v>452</v>
      </c>
      <c r="C166" s="21" t="s">
        <v>184</v>
      </c>
      <c r="D166" s="22"/>
      <c r="E166" s="23" t="n">
        <v>45971</v>
      </c>
      <c r="F166" s="23" t="n">
        <f aca="false">WORKDAY(E166,G166)</f>
        <v>46363</v>
      </c>
      <c r="G166" s="24" t="n">
        <v>280</v>
      </c>
      <c r="H166" s="25" t="n">
        <f aca="false">(FT166* 5)/M166</f>
        <v>0</v>
      </c>
      <c r="I166" s="25" t="n">
        <f aca="false">G166-H166</f>
        <v>280</v>
      </c>
      <c r="J166" s="26" t="s">
        <v>453</v>
      </c>
      <c r="K166" s="58" t="n">
        <v>2000000</v>
      </c>
      <c r="L166" s="30" t="n">
        <v>6020000</v>
      </c>
      <c r="M166" s="68" t="n">
        <f aca="false">(L166/G166)*5</f>
        <v>107500</v>
      </c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D166" s="29"/>
      <c r="DE166" s="29"/>
      <c r="DF166" s="29"/>
      <c r="DG166" s="29"/>
      <c r="DH166" s="29"/>
      <c r="DI166" s="29"/>
      <c r="DJ166" s="29"/>
      <c r="DK166" s="29"/>
      <c r="DL166" s="29"/>
      <c r="DM166" s="29"/>
      <c r="DN166" s="29"/>
      <c r="DO166" s="29"/>
      <c r="DP166" s="29"/>
      <c r="DQ166" s="29"/>
      <c r="DR166" s="29"/>
      <c r="DS166" s="29"/>
      <c r="DT166" s="29"/>
      <c r="DU166" s="29"/>
      <c r="DV166" s="29"/>
      <c r="DW166" s="29"/>
      <c r="DX166" s="29"/>
      <c r="DY166" s="29"/>
      <c r="DZ166" s="29"/>
      <c r="EA166" s="29"/>
      <c r="EB166" s="29"/>
      <c r="EC166" s="29"/>
      <c r="ED166" s="29"/>
      <c r="EE166" s="29"/>
      <c r="EF166" s="29"/>
      <c r="EG166" s="29"/>
      <c r="EH166" s="29"/>
      <c r="EI166" s="29"/>
      <c r="EJ166" s="29"/>
      <c r="EK166" s="29" t="s">
        <v>184</v>
      </c>
      <c r="EL166" s="29"/>
      <c r="EM166" s="29" t="s">
        <v>184</v>
      </c>
      <c r="EN166" s="29" t="s">
        <v>184</v>
      </c>
      <c r="EO166" s="29"/>
      <c r="EP166" s="29"/>
      <c r="EQ166" s="29"/>
      <c r="ER166" s="29"/>
      <c r="ES166" s="29" t="s">
        <v>184</v>
      </c>
      <c r="ET166" s="29"/>
      <c r="EU166" s="29"/>
      <c r="EV166" s="29" t="s">
        <v>184</v>
      </c>
      <c r="EW166" s="29"/>
      <c r="EX166" s="29"/>
      <c r="EY166" s="29"/>
      <c r="EZ166" s="29"/>
      <c r="FA166" s="29"/>
      <c r="FB166" s="29"/>
      <c r="FC166" s="29" t="s">
        <v>184</v>
      </c>
      <c r="FD166" s="29"/>
      <c r="FE166" s="29"/>
      <c r="FF166" s="29"/>
      <c r="FG166" s="29"/>
      <c r="FH166" s="29"/>
      <c r="FI166" s="29"/>
      <c r="FJ166" s="29"/>
      <c r="FK166" s="29"/>
      <c r="FL166" s="29" t="s">
        <v>184</v>
      </c>
      <c r="FM166" s="29"/>
      <c r="FN166" s="29"/>
      <c r="FO166" s="29"/>
      <c r="FP166" s="29"/>
      <c r="FQ166" s="29"/>
      <c r="FR166" s="29"/>
      <c r="FS166" s="29"/>
      <c r="FT166" s="29" t="n">
        <f aca="false">SUM(N166:FS166)</f>
        <v>0</v>
      </c>
      <c r="FU166" s="27" t="n">
        <f aca="false">SUM(L166-FT166)</f>
        <v>6020000</v>
      </c>
      <c r="FV166" s="31" t="n">
        <f aca="false">SUM( H166/5)</f>
        <v>0</v>
      </c>
      <c r="FW166" s="31" t="n">
        <f aca="false">SUM( I166/5)</f>
        <v>56</v>
      </c>
      <c r="FX166" s="32" t="n">
        <f aca="false">SUM(FV166/4)</f>
        <v>0</v>
      </c>
      <c r="FY166" s="32" t="n">
        <f aca="false">SUM(FW166/4)</f>
        <v>14</v>
      </c>
    </row>
    <row r="167" customFormat="false" ht="43.5" hidden="false" customHeight="true" outlineLevel="0" collapsed="false">
      <c r="A167" s="24" t="n">
        <v>3320</v>
      </c>
      <c r="B167" s="21" t="s">
        <v>457</v>
      </c>
      <c r="C167" s="21"/>
      <c r="D167" s="22"/>
      <c r="E167" s="23" t="n">
        <v>45864</v>
      </c>
      <c r="F167" s="23" t="n">
        <f aca="false">WORKDAY(E167,G167)</f>
        <v>45975</v>
      </c>
      <c r="G167" s="24" t="n">
        <v>80</v>
      </c>
      <c r="H167" s="25" t="n">
        <f aca="false">(FT167* 5)/M167</f>
        <v>60</v>
      </c>
      <c r="I167" s="25" t="n">
        <f aca="false">G167-H167</f>
        <v>20</v>
      </c>
      <c r="J167" s="26" t="s">
        <v>458</v>
      </c>
      <c r="K167" s="27" t="n">
        <v>150000</v>
      </c>
      <c r="L167" s="27" t="n">
        <v>324000</v>
      </c>
      <c r="M167" s="45" t="n">
        <f aca="false">(L167/G167)*5</f>
        <v>20250</v>
      </c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  <c r="DG167" s="29"/>
      <c r="DH167" s="29"/>
      <c r="DI167" s="29"/>
      <c r="DJ167" s="29"/>
      <c r="DK167" s="29"/>
      <c r="DL167" s="29"/>
      <c r="DM167" s="29"/>
      <c r="DN167" s="29"/>
      <c r="DO167" s="29"/>
      <c r="DP167" s="29"/>
      <c r="DQ167" s="29"/>
      <c r="DR167" s="29"/>
      <c r="DS167" s="29"/>
      <c r="DT167" s="29"/>
      <c r="DU167" s="29"/>
      <c r="DV167" s="29"/>
      <c r="DW167" s="29"/>
      <c r="DX167" s="29"/>
      <c r="DY167" s="29"/>
      <c r="DZ167" s="29"/>
      <c r="EA167" s="29"/>
      <c r="EB167" s="29"/>
      <c r="EC167" s="29"/>
      <c r="ED167" s="29"/>
      <c r="EE167" s="29"/>
      <c r="EF167" s="29"/>
      <c r="EG167" s="29"/>
      <c r="EH167" s="29"/>
      <c r="EI167" s="29"/>
      <c r="EJ167" s="29"/>
      <c r="EK167" s="29" t="s">
        <v>184</v>
      </c>
      <c r="EL167" s="29"/>
      <c r="EM167" s="29" t="s">
        <v>184</v>
      </c>
      <c r="EN167" s="29" t="s">
        <v>184</v>
      </c>
      <c r="EO167" s="29"/>
      <c r="EP167" s="29"/>
      <c r="EQ167" s="29"/>
      <c r="ER167" s="29"/>
      <c r="ES167" s="29" t="s">
        <v>184</v>
      </c>
      <c r="ET167" s="29"/>
      <c r="EU167" s="29"/>
      <c r="EV167" s="29" t="s">
        <v>184</v>
      </c>
      <c r="EW167" s="29"/>
      <c r="EX167" s="29"/>
      <c r="EY167" s="29"/>
      <c r="EZ167" s="29"/>
      <c r="FA167" s="29"/>
      <c r="FB167" s="29"/>
      <c r="FC167" s="29"/>
      <c r="FD167" s="29"/>
      <c r="FE167" s="29"/>
      <c r="FF167" s="29"/>
      <c r="FG167" s="29" t="n">
        <v>81000</v>
      </c>
      <c r="FH167" s="29"/>
      <c r="FI167" s="29"/>
      <c r="FJ167" s="29"/>
      <c r="FK167" s="29" t="n">
        <v>81000</v>
      </c>
      <c r="FL167" s="29"/>
      <c r="FM167" s="29"/>
      <c r="FN167" s="29"/>
      <c r="FO167" s="29"/>
      <c r="FP167" s="29" t="n">
        <v>81000</v>
      </c>
      <c r="FQ167" s="29"/>
      <c r="FR167" s="29"/>
      <c r="FS167" s="29"/>
      <c r="FT167" s="29" t="n">
        <f aca="false">SUM(N167:FS167)</f>
        <v>243000</v>
      </c>
      <c r="FU167" s="27" t="n">
        <f aca="false">SUM(L167-FT167)</f>
        <v>81000</v>
      </c>
      <c r="FV167" s="31" t="n">
        <f aca="false">SUM( H167/5)</f>
        <v>12</v>
      </c>
      <c r="FW167" s="31" t="n">
        <f aca="false">SUM( I167/5)</f>
        <v>4</v>
      </c>
      <c r="FX167" s="32" t="n">
        <f aca="false">SUM(FV167/4)</f>
        <v>3</v>
      </c>
      <c r="FY167" s="32" t="n">
        <f aca="false">SUM(FW167/4)</f>
        <v>1</v>
      </c>
    </row>
    <row r="168" customFormat="false" ht="43.5" hidden="false" customHeight="true" outlineLevel="0" collapsed="false">
      <c r="A168" s="24" t="n">
        <v>3266</v>
      </c>
      <c r="B168" s="21" t="s">
        <v>459</v>
      </c>
      <c r="C168" s="21" t="s">
        <v>460</v>
      </c>
      <c r="D168" s="22"/>
      <c r="E168" s="23" t="n">
        <v>45835</v>
      </c>
      <c r="F168" s="23" t="n">
        <f aca="false">WORKDAY(E168,G168)</f>
        <v>45937</v>
      </c>
      <c r="G168" s="24" t="n">
        <v>72</v>
      </c>
      <c r="H168" s="25" t="n">
        <f aca="false">(FT168* 5)/M168</f>
        <v>64.5</v>
      </c>
      <c r="I168" s="25" t="n">
        <f aca="false">G168-H168</f>
        <v>7.5</v>
      </c>
      <c r="J168" s="34" t="s">
        <v>188</v>
      </c>
      <c r="K168" s="27" t="n">
        <v>100000</v>
      </c>
      <c r="L168" s="27" t="n">
        <v>216000</v>
      </c>
      <c r="M168" s="28" t="n">
        <f aca="false">(L168/G168)*5</f>
        <v>15000</v>
      </c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  <c r="DG168" s="29"/>
      <c r="DH168" s="29"/>
      <c r="DI168" s="29"/>
      <c r="DJ168" s="29"/>
      <c r="DK168" s="29"/>
      <c r="DL168" s="29"/>
      <c r="DM168" s="29"/>
      <c r="DN168" s="29"/>
      <c r="DO168" s="29"/>
      <c r="DP168" s="29"/>
      <c r="DQ168" s="29"/>
      <c r="DR168" s="29"/>
      <c r="DS168" s="29"/>
      <c r="DT168" s="29"/>
      <c r="DU168" s="29"/>
      <c r="DV168" s="29"/>
      <c r="DW168" s="29"/>
      <c r="DX168" s="29"/>
      <c r="DY168" s="29"/>
      <c r="DZ168" s="29"/>
      <c r="EA168" s="29"/>
      <c r="EB168" s="29"/>
      <c r="EC168" s="29"/>
      <c r="ED168" s="29"/>
      <c r="EE168" s="29"/>
      <c r="EF168" s="29"/>
      <c r="EG168" s="29"/>
      <c r="EH168" s="29"/>
      <c r="EI168" s="29"/>
      <c r="EJ168" s="29"/>
      <c r="EK168" s="29" t="s">
        <v>184</v>
      </c>
      <c r="EL168" s="29"/>
      <c r="EM168" s="29" t="s">
        <v>184</v>
      </c>
      <c r="EN168" s="29" t="s">
        <v>184</v>
      </c>
      <c r="EO168" s="29"/>
      <c r="EP168" s="29"/>
      <c r="EQ168" s="29"/>
      <c r="ER168" s="29"/>
      <c r="ES168" s="29" t="s">
        <v>184</v>
      </c>
      <c r="ET168" s="29"/>
      <c r="EU168" s="29"/>
      <c r="EV168" s="29"/>
      <c r="EW168" s="29"/>
      <c r="EX168" s="29"/>
      <c r="EY168" s="29"/>
      <c r="EZ168" s="29"/>
      <c r="FA168" s="29"/>
      <c r="FB168" s="29"/>
      <c r="FC168" s="29"/>
      <c r="FD168" s="29" t="n">
        <v>15000</v>
      </c>
      <c r="FE168" s="29" t="n">
        <v>15000</v>
      </c>
      <c r="FF168" s="29"/>
      <c r="FG168" s="29"/>
      <c r="FH168" s="29" t="n">
        <v>15000</v>
      </c>
      <c r="FI168" s="29" t="n">
        <v>15000</v>
      </c>
      <c r="FJ168" s="29"/>
      <c r="FK168" s="29" t="n">
        <v>15000</v>
      </c>
      <c r="FL168" s="29" t="n">
        <v>15000</v>
      </c>
      <c r="FM168" s="29" t="n">
        <v>15000</v>
      </c>
      <c r="FN168" s="29" t="n">
        <v>15000</v>
      </c>
      <c r="FO168" s="29" t="n">
        <v>15000</v>
      </c>
      <c r="FP168" s="29" t="n">
        <v>15000</v>
      </c>
      <c r="FQ168" s="29" t="n">
        <v>28500</v>
      </c>
      <c r="FR168" s="29" t="n">
        <v>15000</v>
      </c>
      <c r="FS168" s="29"/>
      <c r="FT168" s="29" t="n">
        <f aca="false">SUM(N168:FS168)</f>
        <v>193500</v>
      </c>
      <c r="FU168" s="27" t="n">
        <f aca="false">SUM(L168-FT168)</f>
        <v>22500</v>
      </c>
      <c r="FV168" s="31" t="n">
        <f aca="false">SUM( H168/5)</f>
        <v>12.9</v>
      </c>
      <c r="FW168" s="31" t="n">
        <f aca="false">SUM( I168/5)</f>
        <v>1.5</v>
      </c>
      <c r="FX168" s="32" t="n">
        <f aca="false">SUM(FV168/4)</f>
        <v>3.225</v>
      </c>
      <c r="FY168" s="32" t="n">
        <f aca="false">SUM(FW168/4)</f>
        <v>0.375</v>
      </c>
    </row>
    <row r="169" customFormat="false" ht="43.5" hidden="false" customHeight="true" outlineLevel="0" collapsed="false">
      <c r="A169" s="24" t="n">
        <v>3271</v>
      </c>
      <c r="B169" s="21" t="s">
        <v>459</v>
      </c>
      <c r="C169" s="21" t="s">
        <v>460</v>
      </c>
      <c r="D169" s="22"/>
      <c r="E169" s="23" t="n">
        <v>45838</v>
      </c>
      <c r="F169" s="23" t="n">
        <f aca="false">WORKDAY(E169,G169)</f>
        <v>45938</v>
      </c>
      <c r="G169" s="24" t="n">
        <v>72</v>
      </c>
      <c r="H169" s="25" t="n">
        <f aca="false">(FT169* 5)/M169</f>
        <v>51</v>
      </c>
      <c r="I169" s="25" t="n">
        <f aca="false">G169-H169</f>
        <v>21</v>
      </c>
      <c r="J169" s="34" t="s">
        <v>188</v>
      </c>
      <c r="K169" s="58" t="n">
        <v>100000</v>
      </c>
      <c r="L169" s="30" t="n">
        <v>216000</v>
      </c>
      <c r="M169" s="28" t="n">
        <f aca="false">(L169/G169)*5</f>
        <v>15000</v>
      </c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  <c r="DI169" s="29"/>
      <c r="DJ169" s="29"/>
      <c r="DK169" s="29"/>
      <c r="DL169" s="29"/>
      <c r="DM169" s="29"/>
      <c r="DN169" s="29"/>
      <c r="DO169" s="29"/>
      <c r="DP169" s="29"/>
      <c r="DQ169" s="29"/>
      <c r="DR169" s="29"/>
      <c r="DS169" s="29"/>
      <c r="DT169" s="29"/>
      <c r="DU169" s="29"/>
      <c r="DV169" s="29"/>
      <c r="DW169" s="29"/>
      <c r="DX169" s="29"/>
      <c r="DY169" s="29"/>
      <c r="DZ169" s="29"/>
      <c r="EA169" s="29"/>
      <c r="EB169" s="29"/>
      <c r="EC169" s="29"/>
      <c r="ED169" s="29"/>
      <c r="EE169" s="29"/>
      <c r="EF169" s="29"/>
      <c r="EG169" s="29"/>
      <c r="EH169" s="29"/>
      <c r="EI169" s="29"/>
      <c r="EJ169" s="29"/>
      <c r="EK169" s="29" t="s">
        <v>184</v>
      </c>
      <c r="EL169" s="29"/>
      <c r="EM169" s="29" t="s">
        <v>184</v>
      </c>
      <c r="EN169" s="29" t="s">
        <v>184</v>
      </c>
      <c r="EO169" s="29"/>
      <c r="EP169" s="29"/>
      <c r="EQ169" s="29"/>
      <c r="ER169" s="29"/>
      <c r="ES169" s="29" t="s">
        <v>184</v>
      </c>
      <c r="ET169" s="29"/>
      <c r="EU169" s="29"/>
      <c r="EV169" s="29" t="s">
        <v>184</v>
      </c>
      <c r="EW169" s="29"/>
      <c r="EX169" s="29"/>
      <c r="EY169" s="29"/>
      <c r="EZ169" s="29"/>
      <c r="FA169" s="29"/>
      <c r="FB169" s="29"/>
      <c r="FC169" s="29"/>
      <c r="FD169" s="29" t="n">
        <v>15000</v>
      </c>
      <c r="FE169" s="29" t="n">
        <v>15000</v>
      </c>
      <c r="FF169" s="29"/>
      <c r="FG169" s="29"/>
      <c r="FH169" s="29" t="n">
        <v>15000</v>
      </c>
      <c r="FI169" s="29" t="n">
        <v>15000</v>
      </c>
      <c r="FJ169" s="29"/>
      <c r="FK169" s="29" t="n">
        <v>5500</v>
      </c>
      <c r="FL169" s="29" t="n">
        <v>12500</v>
      </c>
      <c r="FM169" s="29" t="n">
        <v>15000</v>
      </c>
      <c r="FN169" s="29" t="n">
        <v>15000</v>
      </c>
      <c r="FO169" s="29" t="n">
        <v>15000</v>
      </c>
      <c r="FP169" s="29" t="n">
        <v>7500</v>
      </c>
      <c r="FQ169" s="29" t="n">
        <v>7500</v>
      </c>
      <c r="FR169" s="29" t="n">
        <v>15000</v>
      </c>
      <c r="FS169" s="29"/>
      <c r="FT169" s="29" t="n">
        <f aca="false">SUM(N169:FS169)</f>
        <v>153000</v>
      </c>
      <c r="FU169" s="27" t="n">
        <f aca="false">SUM(L169-FT169)</f>
        <v>63000</v>
      </c>
      <c r="FV169" s="31" t="n">
        <f aca="false">SUM( H169/5)</f>
        <v>10.2</v>
      </c>
      <c r="FW169" s="31" t="n">
        <f aca="false">SUM( I169/5)</f>
        <v>4.2</v>
      </c>
      <c r="FX169" s="32" t="n">
        <f aca="false">SUM(FV169/4)</f>
        <v>2.55</v>
      </c>
      <c r="FY169" s="32" t="n">
        <f aca="false">SUM(FW169/4)</f>
        <v>1.05</v>
      </c>
    </row>
    <row r="170" customFormat="false" ht="43.5" hidden="false" customHeight="true" outlineLevel="0" collapsed="false">
      <c r="A170" s="24" t="n">
        <v>3290</v>
      </c>
      <c r="B170" s="21" t="s">
        <v>459</v>
      </c>
      <c r="C170" s="21" t="s">
        <v>460</v>
      </c>
      <c r="D170" s="22"/>
      <c r="E170" s="23" t="n">
        <v>45853</v>
      </c>
      <c r="F170" s="23" t="n">
        <f aca="false">WORKDAY(E170,G170)</f>
        <v>45953</v>
      </c>
      <c r="G170" s="24" t="n">
        <v>72</v>
      </c>
      <c r="H170" s="25" t="n">
        <f aca="false">(FT170* 5)/M170</f>
        <v>42.5</v>
      </c>
      <c r="I170" s="25" t="n">
        <f aca="false">G170-H170</f>
        <v>29.5</v>
      </c>
      <c r="J170" s="34" t="s">
        <v>188</v>
      </c>
      <c r="K170" s="27" t="n">
        <v>100000</v>
      </c>
      <c r="L170" s="27" t="n">
        <v>216000</v>
      </c>
      <c r="M170" s="28" t="n">
        <f aca="false">(L170/G170)*5</f>
        <v>15000</v>
      </c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  <c r="DI170" s="29"/>
      <c r="DJ170" s="29"/>
      <c r="DK170" s="29"/>
      <c r="DL170" s="29"/>
      <c r="DM170" s="29"/>
      <c r="DN170" s="29"/>
      <c r="DO170" s="29"/>
      <c r="DP170" s="29"/>
      <c r="DQ170" s="29"/>
      <c r="DR170" s="29"/>
      <c r="DS170" s="29"/>
      <c r="DT170" s="29"/>
      <c r="DU170" s="29"/>
      <c r="DV170" s="29"/>
      <c r="DW170" s="29"/>
      <c r="DX170" s="29"/>
      <c r="DY170" s="29"/>
      <c r="DZ170" s="29"/>
      <c r="EA170" s="29"/>
      <c r="EB170" s="29"/>
      <c r="EC170" s="29"/>
      <c r="ED170" s="29"/>
      <c r="EE170" s="29"/>
      <c r="EF170" s="29"/>
      <c r="EG170" s="29"/>
      <c r="EH170" s="29"/>
      <c r="EI170" s="29"/>
      <c r="EJ170" s="29"/>
      <c r="EK170" s="29" t="s">
        <v>184</v>
      </c>
      <c r="EL170" s="29"/>
      <c r="EM170" s="29" t="s">
        <v>184</v>
      </c>
      <c r="EN170" s="29" t="s">
        <v>184</v>
      </c>
      <c r="EO170" s="29"/>
      <c r="EP170" s="29"/>
      <c r="EQ170" s="29"/>
      <c r="ER170" s="29"/>
      <c r="ES170" s="29" t="s">
        <v>184</v>
      </c>
      <c r="ET170" s="29"/>
      <c r="EU170" s="29"/>
      <c r="EV170" s="29" t="s">
        <v>184</v>
      </c>
      <c r="EW170" s="29"/>
      <c r="EX170" s="29"/>
      <c r="EY170" s="29"/>
      <c r="EZ170" s="29"/>
      <c r="FA170" s="29"/>
      <c r="FB170" s="29"/>
      <c r="FC170" s="29"/>
      <c r="FD170" s="29" t="n">
        <v>15000</v>
      </c>
      <c r="FE170" s="29" t="n">
        <v>15000</v>
      </c>
      <c r="FF170" s="29"/>
      <c r="FG170" s="29"/>
      <c r="FH170" s="29" t="n">
        <v>15000</v>
      </c>
      <c r="FI170" s="29" t="n">
        <v>7500</v>
      </c>
      <c r="FJ170" s="29"/>
      <c r="FK170" s="29"/>
      <c r="FL170" s="29"/>
      <c r="FM170" s="29" t="n">
        <v>15000</v>
      </c>
      <c r="FN170" s="29" t="n">
        <v>15000</v>
      </c>
      <c r="FO170" s="29" t="n">
        <v>15000</v>
      </c>
      <c r="FP170" s="29"/>
      <c r="FQ170" s="29" t="n">
        <v>15000</v>
      </c>
      <c r="FR170" s="29" t="n">
        <v>15000</v>
      </c>
      <c r="FS170" s="29"/>
      <c r="FT170" s="29" t="n">
        <f aca="false">SUM(N170:FS170)</f>
        <v>127500</v>
      </c>
      <c r="FU170" s="27" t="n">
        <f aca="false">SUM(L170-FT170)</f>
        <v>88500</v>
      </c>
      <c r="FV170" s="31" t="n">
        <f aca="false">SUM( H170/5)</f>
        <v>8.5</v>
      </c>
      <c r="FW170" s="31" t="n">
        <f aca="false">SUM( I170/5)</f>
        <v>5.9</v>
      </c>
      <c r="FX170" s="32" t="n">
        <f aca="false">SUM(FV170/4)</f>
        <v>2.125</v>
      </c>
      <c r="FY170" s="32" t="n">
        <f aca="false">SUM(FW170/4)</f>
        <v>1.475</v>
      </c>
    </row>
    <row r="171" customFormat="false" ht="43.5" hidden="false" customHeight="true" outlineLevel="0" collapsed="false">
      <c r="A171" s="24" t="n">
        <v>3342</v>
      </c>
      <c r="B171" s="21" t="s">
        <v>459</v>
      </c>
      <c r="C171" s="21" t="s">
        <v>460</v>
      </c>
      <c r="D171" s="22"/>
      <c r="E171" s="23" t="n">
        <v>45878</v>
      </c>
      <c r="F171" s="23" t="n">
        <f aca="false">WORKDAY(E171,G171)</f>
        <v>45979</v>
      </c>
      <c r="G171" s="24" t="n">
        <v>72</v>
      </c>
      <c r="H171" s="25" t="n">
        <f aca="false">(FT171* 5)/M171</f>
        <v>40</v>
      </c>
      <c r="I171" s="25" t="n">
        <f aca="false">G171-H171</f>
        <v>32</v>
      </c>
      <c r="J171" s="34" t="s">
        <v>333</v>
      </c>
      <c r="K171" s="27" t="n">
        <v>50000</v>
      </c>
      <c r="L171" s="27" t="n">
        <v>108000</v>
      </c>
      <c r="M171" s="45" t="n">
        <f aca="false">(L171/G171)*5</f>
        <v>7500</v>
      </c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  <c r="DI171" s="29"/>
      <c r="DJ171" s="29"/>
      <c r="DK171" s="29"/>
      <c r="DL171" s="29"/>
      <c r="DM171" s="29"/>
      <c r="DN171" s="29"/>
      <c r="DO171" s="29"/>
      <c r="DP171" s="29"/>
      <c r="DQ171" s="29"/>
      <c r="DR171" s="29"/>
      <c r="DS171" s="29"/>
      <c r="DT171" s="29"/>
      <c r="DU171" s="29"/>
      <c r="DV171" s="29"/>
      <c r="DW171" s="29"/>
      <c r="DX171" s="29"/>
      <c r="DY171" s="29"/>
      <c r="DZ171" s="29"/>
      <c r="EA171" s="29"/>
      <c r="EB171" s="29"/>
      <c r="EC171" s="29"/>
      <c r="ED171" s="29"/>
      <c r="EE171" s="29"/>
      <c r="EF171" s="29"/>
      <c r="EG171" s="29"/>
      <c r="EH171" s="29"/>
      <c r="EI171" s="29"/>
      <c r="EJ171" s="29"/>
      <c r="EK171" s="29" t="s">
        <v>184</v>
      </c>
      <c r="EL171" s="29"/>
      <c r="EM171" s="29" t="s">
        <v>184</v>
      </c>
      <c r="EN171" s="29" t="s">
        <v>184</v>
      </c>
      <c r="EO171" s="29"/>
      <c r="EP171" s="29"/>
      <c r="EQ171" s="29"/>
      <c r="ER171" s="29"/>
      <c r="ES171" s="29" t="s">
        <v>184</v>
      </c>
      <c r="ET171" s="29"/>
      <c r="EU171" s="29"/>
      <c r="EV171" s="29" t="s">
        <v>184</v>
      </c>
      <c r="EW171" s="29"/>
      <c r="EX171" s="29"/>
      <c r="EY171" s="29"/>
      <c r="EZ171" s="29"/>
      <c r="FA171" s="29"/>
      <c r="FB171" s="29"/>
      <c r="FC171" s="29"/>
      <c r="FD171" s="29" t="n">
        <v>7500</v>
      </c>
      <c r="FE171" s="29" t="n">
        <v>7500</v>
      </c>
      <c r="FF171" s="29"/>
      <c r="FG171" s="29"/>
      <c r="FH171" s="29" t="n">
        <v>7500</v>
      </c>
      <c r="FI171" s="29"/>
      <c r="FJ171" s="29"/>
      <c r="FK171" s="29"/>
      <c r="FL171" s="29"/>
      <c r="FM171" s="29" t="n">
        <v>7500</v>
      </c>
      <c r="FN171" s="29" t="n">
        <v>7500</v>
      </c>
      <c r="FO171" s="29" t="n">
        <v>7500</v>
      </c>
      <c r="FP171" s="29"/>
      <c r="FQ171" s="29" t="n">
        <v>7500</v>
      </c>
      <c r="FR171" s="29" t="n">
        <v>7500</v>
      </c>
      <c r="FS171" s="29"/>
      <c r="FT171" s="29" t="n">
        <f aca="false">SUM(N171:FS171)</f>
        <v>60000</v>
      </c>
      <c r="FU171" s="27" t="n">
        <f aca="false">SUM(L171-FT171)</f>
        <v>48000</v>
      </c>
      <c r="FV171" s="31" t="n">
        <f aca="false">SUM( H171/5)</f>
        <v>8</v>
      </c>
      <c r="FW171" s="31" t="n">
        <f aca="false">SUM( I171/5)</f>
        <v>6.4</v>
      </c>
      <c r="FX171" s="32" t="n">
        <f aca="false">SUM(FV171/4)</f>
        <v>2</v>
      </c>
      <c r="FY171" s="32" t="n">
        <f aca="false">SUM(FW171/4)</f>
        <v>1.6</v>
      </c>
    </row>
    <row r="172" customFormat="false" ht="43.5" hidden="false" customHeight="true" outlineLevel="0" collapsed="false">
      <c r="A172" s="24" t="n">
        <v>3379</v>
      </c>
      <c r="B172" s="21" t="s">
        <v>459</v>
      </c>
      <c r="C172" s="21" t="s">
        <v>460</v>
      </c>
      <c r="D172" s="22"/>
      <c r="E172" s="23" t="n">
        <v>45906</v>
      </c>
      <c r="F172" s="23" t="n">
        <f aca="false">WORKDAY(E172,G172)</f>
        <v>46007</v>
      </c>
      <c r="G172" s="24" t="n">
        <v>72</v>
      </c>
      <c r="H172" s="25" t="n">
        <f aca="false">(FT172* 5)/M172</f>
        <v>31.5</v>
      </c>
      <c r="I172" s="25" t="n">
        <f aca="false">G172-H172</f>
        <v>40.5</v>
      </c>
      <c r="J172" s="34" t="s">
        <v>188</v>
      </c>
      <c r="K172" s="27" t="n">
        <v>100000</v>
      </c>
      <c r="L172" s="27" t="n">
        <v>216000</v>
      </c>
      <c r="M172" s="28" t="n">
        <f aca="false">(L172/G172)*5</f>
        <v>15000</v>
      </c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  <c r="CF172" s="29"/>
      <c r="CG172" s="29"/>
      <c r="CH172" s="29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  <c r="DI172" s="29"/>
      <c r="DJ172" s="29"/>
      <c r="DK172" s="29"/>
      <c r="DL172" s="29"/>
      <c r="DM172" s="29"/>
      <c r="DN172" s="29"/>
      <c r="DO172" s="29"/>
      <c r="DP172" s="29"/>
      <c r="DQ172" s="29"/>
      <c r="DR172" s="29"/>
      <c r="DS172" s="29"/>
      <c r="DT172" s="29"/>
      <c r="DU172" s="29"/>
      <c r="DV172" s="29"/>
      <c r="DW172" s="29"/>
      <c r="DX172" s="29"/>
      <c r="DY172" s="29"/>
      <c r="DZ172" s="29"/>
      <c r="EA172" s="29"/>
      <c r="EB172" s="29"/>
      <c r="EC172" s="29"/>
      <c r="ED172" s="29"/>
      <c r="EE172" s="29"/>
      <c r="EF172" s="29"/>
      <c r="EG172" s="29"/>
      <c r="EH172" s="29"/>
      <c r="EI172" s="29"/>
      <c r="EJ172" s="29"/>
      <c r="EK172" s="29" t="s">
        <v>184</v>
      </c>
      <c r="EL172" s="29"/>
      <c r="EM172" s="29" t="s">
        <v>184</v>
      </c>
      <c r="EN172" s="29" t="s">
        <v>184</v>
      </c>
      <c r="EO172" s="29"/>
      <c r="EP172" s="29"/>
      <c r="EQ172" s="29"/>
      <c r="ER172" s="29"/>
      <c r="ES172" s="29" t="s">
        <v>184</v>
      </c>
      <c r="ET172" s="29"/>
      <c r="EU172" s="29"/>
      <c r="EV172" s="29" t="s">
        <v>184</v>
      </c>
      <c r="EW172" s="29"/>
      <c r="EX172" s="29"/>
      <c r="EY172" s="29"/>
      <c r="EZ172" s="29"/>
      <c r="FA172" s="29"/>
      <c r="FB172" s="29"/>
      <c r="FC172" s="29" t="s">
        <v>184</v>
      </c>
      <c r="FD172" s="29"/>
      <c r="FE172" s="29"/>
      <c r="FF172" s="29"/>
      <c r="FG172" s="29"/>
      <c r="FH172" s="29" t="n">
        <v>15000</v>
      </c>
      <c r="FI172" s="29"/>
      <c r="FJ172" s="29"/>
      <c r="FK172" s="29"/>
      <c r="FL172" s="29" t="n">
        <v>14500</v>
      </c>
      <c r="FM172" s="29" t="n">
        <v>5000</v>
      </c>
      <c r="FN172" s="29" t="n">
        <v>15000</v>
      </c>
      <c r="FO172" s="29" t="n">
        <v>15000</v>
      </c>
      <c r="FP172" s="29"/>
      <c r="FQ172" s="29" t="n">
        <v>15000</v>
      </c>
      <c r="FR172" s="29" t="n">
        <v>15000</v>
      </c>
      <c r="FS172" s="29"/>
      <c r="FT172" s="29" t="n">
        <f aca="false">SUM(N172:FS172)</f>
        <v>94500</v>
      </c>
      <c r="FU172" s="27" t="n">
        <f aca="false">SUM(L172-FT172)</f>
        <v>121500</v>
      </c>
      <c r="FV172" s="31" t="n">
        <f aca="false">SUM( H172/5)</f>
        <v>6.3</v>
      </c>
      <c r="FW172" s="31" t="n">
        <f aca="false">SUM( I172/5)</f>
        <v>8.1</v>
      </c>
      <c r="FX172" s="32" t="n">
        <f aca="false">SUM(FV172/4)</f>
        <v>1.575</v>
      </c>
      <c r="FY172" s="32" t="n">
        <f aca="false">SUM(FW172/4)</f>
        <v>2.025</v>
      </c>
    </row>
    <row r="173" customFormat="false" ht="43.5" hidden="false" customHeight="true" outlineLevel="0" collapsed="false">
      <c r="A173" s="24" t="n">
        <v>3416</v>
      </c>
      <c r="B173" s="21" t="s">
        <v>459</v>
      </c>
      <c r="C173" s="21" t="s">
        <v>460</v>
      </c>
      <c r="D173" s="22"/>
      <c r="E173" s="23" t="n">
        <v>45925</v>
      </c>
      <c r="F173" s="23" t="n">
        <f aca="false">WORKDAY(E173,G173)</f>
        <v>46079</v>
      </c>
      <c r="G173" s="24" t="n">
        <v>110</v>
      </c>
      <c r="H173" s="25" t="n">
        <f aca="false">(FT173* 5)/M173</f>
        <v>19.1666666666667</v>
      </c>
      <c r="I173" s="25" t="n">
        <f aca="false">G173-H173</f>
        <v>90.8333333333333</v>
      </c>
      <c r="J173" s="34" t="s">
        <v>461</v>
      </c>
      <c r="K173" s="27" t="n">
        <v>150000</v>
      </c>
      <c r="L173" s="27" t="n">
        <v>396000</v>
      </c>
      <c r="M173" s="28" t="n">
        <f aca="false">(L173/G173)*5</f>
        <v>18000</v>
      </c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  <c r="CF173" s="29"/>
      <c r="CG173" s="29"/>
      <c r="CH173" s="29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  <c r="DI173" s="29"/>
      <c r="DJ173" s="29"/>
      <c r="DK173" s="29"/>
      <c r="DL173" s="29"/>
      <c r="DM173" s="29"/>
      <c r="DN173" s="29"/>
      <c r="DO173" s="29"/>
      <c r="DP173" s="29"/>
      <c r="DQ173" s="29"/>
      <c r="DR173" s="29"/>
      <c r="DS173" s="29"/>
      <c r="DT173" s="29"/>
      <c r="DU173" s="29"/>
      <c r="DV173" s="29"/>
      <c r="DW173" s="29"/>
      <c r="DX173" s="29"/>
      <c r="DY173" s="29"/>
      <c r="DZ173" s="29"/>
      <c r="EA173" s="29"/>
      <c r="EB173" s="29"/>
      <c r="EC173" s="29"/>
      <c r="ED173" s="29"/>
      <c r="EE173" s="29"/>
      <c r="EF173" s="29"/>
      <c r="EG173" s="29"/>
      <c r="EH173" s="29"/>
      <c r="EI173" s="29"/>
      <c r="EJ173" s="29"/>
      <c r="EK173" s="29" t="s">
        <v>184</v>
      </c>
      <c r="EL173" s="29"/>
      <c r="EM173" s="29" t="s">
        <v>184</v>
      </c>
      <c r="EN173" s="29" t="s">
        <v>184</v>
      </c>
      <c r="EO173" s="29"/>
      <c r="EP173" s="29"/>
      <c r="EQ173" s="29"/>
      <c r="ER173" s="29"/>
      <c r="ES173" s="29" t="s">
        <v>184</v>
      </c>
      <c r="ET173" s="29"/>
      <c r="EU173" s="29"/>
      <c r="EV173" s="29" t="s">
        <v>184</v>
      </c>
      <c r="EW173" s="29"/>
      <c r="EX173" s="29"/>
      <c r="EY173" s="29"/>
      <c r="EZ173" s="29"/>
      <c r="FA173" s="29"/>
      <c r="FB173" s="29"/>
      <c r="FC173" s="29" t="s">
        <v>184</v>
      </c>
      <c r="FD173" s="29"/>
      <c r="FE173" s="29"/>
      <c r="FF173" s="29"/>
      <c r="FG173" s="29"/>
      <c r="FH173" s="29"/>
      <c r="FI173" s="29"/>
      <c r="FJ173" s="29"/>
      <c r="FK173" s="29"/>
      <c r="FL173" s="29" t="n">
        <v>18000</v>
      </c>
      <c r="FM173" s="29"/>
      <c r="FN173" s="29" t="n">
        <v>5000</v>
      </c>
      <c r="FO173" s="29" t="n">
        <v>10000</v>
      </c>
      <c r="FP173" s="29"/>
      <c r="FQ173" s="29" t="n">
        <v>18000</v>
      </c>
      <c r="FR173" s="29" t="n">
        <v>18000</v>
      </c>
      <c r="FS173" s="29"/>
      <c r="FT173" s="29" t="n">
        <f aca="false">SUM(N173:FS173)</f>
        <v>69000</v>
      </c>
      <c r="FU173" s="27" t="n">
        <f aca="false">SUM(L173-FT173)</f>
        <v>327000</v>
      </c>
      <c r="FV173" s="31" t="n">
        <f aca="false">SUM( H173/5)</f>
        <v>3.83333333333333</v>
      </c>
      <c r="FW173" s="31" t="n">
        <f aca="false">SUM( I173/5)</f>
        <v>18.1666666666667</v>
      </c>
      <c r="FX173" s="32" t="n">
        <f aca="false">SUM(FV173/4)</f>
        <v>0.958333333333333</v>
      </c>
      <c r="FY173" s="32" t="n">
        <f aca="false">SUM(FW173/4)</f>
        <v>4.54166666666667</v>
      </c>
    </row>
    <row r="174" customFormat="false" ht="43.5" hidden="false" customHeight="true" outlineLevel="0" collapsed="false">
      <c r="A174" s="24" t="n">
        <v>3463</v>
      </c>
      <c r="B174" s="21" t="s">
        <v>459</v>
      </c>
      <c r="C174" s="21" t="s">
        <v>460</v>
      </c>
      <c r="D174" s="22"/>
      <c r="E174" s="23" t="n">
        <v>45957</v>
      </c>
      <c r="F174" s="23" t="n">
        <f aca="false">WORKDAY(E174,G174)</f>
        <v>46057</v>
      </c>
      <c r="G174" s="24" t="n">
        <v>72</v>
      </c>
      <c r="H174" s="25" t="n">
        <f aca="false">(FT174* 5)/M174</f>
        <v>9.83333333333333</v>
      </c>
      <c r="I174" s="25" t="n">
        <f aca="false">G174-H174</f>
        <v>62.1666666666667</v>
      </c>
      <c r="J174" s="34" t="s">
        <v>188</v>
      </c>
      <c r="K174" s="57" t="n">
        <v>100000</v>
      </c>
      <c r="L174" s="27" t="n">
        <v>216000</v>
      </c>
      <c r="M174" s="28" t="n">
        <f aca="false">(L174/G174)*5</f>
        <v>15000</v>
      </c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  <c r="CF174" s="29"/>
      <c r="CG174" s="29"/>
      <c r="CH174" s="29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  <c r="DI174" s="29"/>
      <c r="DJ174" s="29"/>
      <c r="DK174" s="29"/>
      <c r="DL174" s="29"/>
      <c r="DM174" s="29"/>
      <c r="DN174" s="29"/>
      <c r="DO174" s="29"/>
      <c r="DP174" s="29"/>
      <c r="DQ174" s="29"/>
      <c r="DR174" s="29"/>
      <c r="DS174" s="29"/>
      <c r="DT174" s="29"/>
      <c r="DU174" s="29"/>
      <c r="DV174" s="29"/>
      <c r="DW174" s="29"/>
      <c r="DX174" s="29"/>
      <c r="DY174" s="29"/>
      <c r="DZ174" s="29"/>
      <c r="EA174" s="29"/>
      <c r="EB174" s="29"/>
      <c r="EC174" s="29"/>
      <c r="ED174" s="29"/>
      <c r="EE174" s="29"/>
      <c r="EF174" s="29"/>
      <c r="EG174" s="29"/>
      <c r="EH174" s="29"/>
      <c r="EI174" s="29"/>
      <c r="EJ174" s="29"/>
      <c r="EK174" s="29" t="s">
        <v>184</v>
      </c>
      <c r="EL174" s="29"/>
      <c r="EM174" s="29" t="s">
        <v>184</v>
      </c>
      <c r="EN174" s="29" t="s">
        <v>184</v>
      </c>
      <c r="EO174" s="29"/>
      <c r="EP174" s="29"/>
      <c r="EQ174" s="29"/>
      <c r="ER174" s="29"/>
      <c r="ES174" s="29" t="s">
        <v>184</v>
      </c>
      <c r="ET174" s="29"/>
      <c r="EU174" s="29"/>
      <c r="EV174" s="29" t="s">
        <v>184</v>
      </c>
      <c r="EW174" s="29"/>
      <c r="EX174" s="29"/>
      <c r="EY174" s="29"/>
      <c r="EZ174" s="29"/>
      <c r="FA174" s="29"/>
      <c r="FB174" s="29"/>
      <c r="FC174" s="29" t="s">
        <v>184</v>
      </c>
      <c r="FD174" s="29"/>
      <c r="FE174" s="29"/>
      <c r="FF174" s="29"/>
      <c r="FG174" s="29"/>
      <c r="FH174" s="29"/>
      <c r="FI174" s="29"/>
      <c r="FJ174" s="29"/>
      <c r="FK174" s="29"/>
      <c r="FL174" s="29" t="s">
        <v>184</v>
      </c>
      <c r="FM174" s="29"/>
      <c r="FN174" s="29"/>
      <c r="FO174" s="29"/>
      <c r="FP174" s="29"/>
      <c r="FQ174" s="29" t="n">
        <v>15000</v>
      </c>
      <c r="FR174" s="29" t="n">
        <v>14500</v>
      </c>
      <c r="FS174" s="29"/>
      <c r="FT174" s="29" t="n">
        <f aca="false">SUM(N174:FS174)</f>
        <v>29500</v>
      </c>
      <c r="FU174" s="27" t="n">
        <f aca="false">SUM(L174-FT174)</f>
        <v>186500</v>
      </c>
      <c r="FV174" s="31" t="n">
        <f aca="false">SUM( H174/5)</f>
        <v>1.96666666666667</v>
      </c>
      <c r="FW174" s="31" t="n">
        <f aca="false">SUM( I174/5)</f>
        <v>12.4333333333333</v>
      </c>
      <c r="FX174" s="32" t="n">
        <f aca="false">SUM(FV174/4)</f>
        <v>0.491666666666667</v>
      </c>
      <c r="FY174" s="32" t="n">
        <f aca="false">SUM(FW174/4)</f>
        <v>3.10833333333333</v>
      </c>
    </row>
    <row r="175" customFormat="false" ht="43.5" hidden="false" customHeight="true" outlineLevel="0" collapsed="false">
      <c r="A175" s="24" t="n">
        <v>3481</v>
      </c>
      <c r="B175" s="21" t="s">
        <v>459</v>
      </c>
      <c r="C175" s="21" t="s">
        <v>460</v>
      </c>
      <c r="D175" s="22"/>
      <c r="E175" s="23" t="n">
        <v>45969</v>
      </c>
      <c r="F175" s="23" t="n">
        <f aca="false">WORKDAY(E175,G175)</f>
        <v>46070</v>
      </c>
      <c r="G175" s="24" t="n">
        <v>72</v>
      </c>
      <c r="H175" s="25" t="n">
        <f aca="false">(FT175* 5)/M175</f>
        <v>5</v>
      </c>
      <c r="I175" s="25" t="n">
        <f aca="false">G175-H175</f>
        <v>67</v>
      </c>
      <c r="J175" s="34" t="s">
        <v>188</v>
      </c>
      <c r="K175" s="27" t="n">
        <v>100000</v>
      </c>
      <c r="L175" s="27" t="n">
        <v>216000</v>
      </c>
      <c r="M175" s="28" t="n">
        <f aca="false">(L175/G175)*5</f>
        <v>15000</v>
      </c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  <c r="CF175" s="29"/>
      <c r="CG175" s="29"/>
      <c r="CH175" s="29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  <c r="DI175" s="29"/>
      <c r="DJ175" s="29"/>
      <c r="DK175" s="29"/>
      <c r="DL175" s="29"/>
      <c r="DM175" s="29"/>
      <c r="DN175" s="29"/>
      <c r="DO175" s="29"/>
      <c r="DP175" s="29"/>
      <c r="DQ175" s="29"/>
      <c r="DR175" s="29"/>
      <c r="DS175" s="29"/>
      <c r="DT175" s="29"/>
      <c r="DU175" s="29"/>
      <c r="DV175" s="29"/>
      <c r="DW175" s="29"/>
      <c r="DX175" s="29"/>
      <c r="DY175" s="29"/>
      <c r="DZ175" s="29"/>
      <c r="EA175" s="29"/>
      <c r="EB175" s="29"/>
      <c r="EC175" s="29"/>
      <c r="ED175" s="29"/>
      <c r="EE175" s="29"/>
      <c r="EF175" s="29"/>
      <c r="EG175" s="29"/>
      <c r="EH175" s="29"/>
      <c r="EI175" s="29"/>
      <c r="EJ175" s="29"/>
      <c r="EK175" s="29" t="s">
        <v>184</v>
      </c>
      <c r="EL175" s="29"/>
      <c r="EM175" s="29" t="s">
        <v>184</v>
      </c>
      <c r="EN175" s="29" t="s">
        <v>184</v>
      </c>
      <c r="EO175" s="29"/>
      <c r="EP175" s="29"/>
      <c r="EQ175" s="29"/>
      <c r="ER175" s="29"/>
      <c r="ES175" s="29" t="s">
        <v>184</v>
      </c>
      <c r="ET175" s="29"/>
      <c r="EU175" s="29"/>
      <c r="EV175" s="29" t="s">
        <v>184</v>
      </c>
      <c r="EW175" s="29"/>
      <c r="EX175" s="29"/>
      <c r="EY175" s="29"/>
      <c r="EZ175" s="29"/>
      <c r="FA175" s="29"/>
      <c r="FB175" s="29"/>
      <c r="FC175" s="29" t="s">
        <v>184</v>
      </c>
      <c r="FD175" s="29"/>
      <c r="FE175" s="29"/>
      <c r="FF175" s="29"/>
      <c r="FG175" s="29"/>
      <c r="FH175" s="29"/>
      <c r="FI175" s="29"/>
      <c r="FJ175" s="29"/>
      <c r="FK175" s="29"/>
      <c r="FL175" s="29" t="s">
        <v>184</v>
      </c>
      <c r="FM175" s="29"/>
      <c r="FN175" s="29"/>
      <c r="FO175" s="29"/>
      <c r="FP175" s="29"/>
      <c r="FQ175" s="29" t="n">
        <v>15000</v>
      </c>
      <c r="FR175" s="29"/>
      <c r="FS175" s="29"/>
      <c r="FT175" s="29" t="n">
        <f aca="false">SUM(N175:FS175)</f>
        <v>15000</v>
      </c>
      <c r="FU175" s="27" t="n">
        <f aca="false">SUM(L175-FT175)</f>
        <v>201000</v>
      </c>
      <c r="FV175" s="31" t="n">
        <f aca="false">SUM( H175/5)</f>
        <v>1</v>
      </c>
      <c r="FW175" s="31" t="n">
        <f aca="false">SUM( I175/5)</f>
        <v>13.4</v>
      </c>
      <c r="FX175" s="32" t="n">
        <f aca="false">SUM(FV175/4)</f>
        <v>0.25</v>
      </c>
      <c r="FY175" s="32" t="n">
        <f aca="false">SUM(FW175/4)</f>
        <v>3.35</v>
      </c>
    </row>
    <row r="176" customFormat="false" ht="43.5" hidden="false" customHeight="true" outlineLevel="0" collapsed="false">
      <c r="A176" s="24" t="n">
        <v>3487</v>
      </c>
      <c r="B176" s="21" t="s">
        <v>459</v>
      </c>
      <c r="C176" s="21" t="s">
        <v>460</v>
      </c>
      <c r="D176" s="22"/>
      <c r="E176" s="23" t="n">
        <v>45973</v>
      </c>
      <c r="F176" s="23" t="n">
        <f aca="false">WORKDAY(E176,G176)</f>
        <v>46073</v>
      </c>
      <c r="G176" s="24" t="n">
        <v>72</v>
      </c>
      <c r="H176" s="25" t="n">
        <f aca="false">(FT176* 5)/M176</f>
        <v>5</v>
      </c>
      <c r="I176" s="25" t="n">
        <f aca="false">G176-H176</f>
        <v>67</v>
      </c>
      <c r="J176" s="34" t="s">
        <v>188</v>
      </c>
      <c r="K176" s="27" t="n">
        <v>100000</v>
      </c>
      <c r="L176" s="27" t="n">
        <v>216000</v>
      </c>
      <c r="M176" s="28" t="n">
        <f aca="false">(L176/G176)*5</f>
        <v>15000</v>
      </c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  <c r="CF176" s="29"/>
      <c r="CG176" s="29"/>
      <c r="CH176" s="29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  <c r="DI176" s="29"/>
      <c r="DJ176" s="29"/>
      <c r="DK176" s="29"/>
      <c r="DL176" s="29"/>
      <c r="DM176" s="29"/>
      <c r="DN176" s="29"/>
      <c r="DO176" s="29"/>
      <c r="DP176" s="29"/>
      <c r="DQ176" s="29"/>
      <c r="DR176" s="29"/>
      <c r="DS176" s="29"/>
      <c r="DT176" s="29"/>
      <c r="DU176" s="29"/>
      <c r="DV176" s="29"/>
      <c r="DW176" s="29"/>
      <c r="DX176" s="29"/>
      <c r="DY176" s="29"/>
      <c r="DZ176" s="29"/>
      <c r="EA176" s="29"/>
      <c r="EB176" s="29"/>
      <c r="EC176" s="29"/>
      <c r="ED176" s="29"/>
      <c r="EE176" s="29"/>
      <c r="EF176" s="29"/>
      <c r="EG176" s="29"/>
      <c r="EH176" s="29"/>
      <c r="EI176" s="29"/>
      <c r="EJ176" s="29"/>
      <c r="EK176" s="29" t="s">
        <v>184</v>
      </c>
      <c r="EL176" s="29"/>
      <c r="EM176" s="29" t="s">
        <v>184</v>
      </c>
      <c r="EN176" s="29" t="s">
        <v>184</v>
      </c>
      <c r="EO176" s="29"/>
      <c r="EP176" s="29"/>
      <c r="EQ176" s="29"/>
      <c r="ER176" s="29"/>
      <c r="ES176" s="29" t="s">
        <v>184</v>
      </c>
      <c r="ET176" s="29"/>
      <c r="EU176" s="29"/>
      <c r="EV176" s="29" t="s">
        <v>184</v>
      </c>
      <c r="EW176" s="29"/>
      <c r="EX176" s="29"/>
      <c r="EY176" s="29"/>
      <c r="EZ176" s="29"/>
      <c r="FA176" s="29"/>
      <c r="FB176" s="29"/>
      <c r="FC176" s="29" t="s">
        <v>184</v>
      </c>
      <c r="FD176" s="29"/>
      <c r="FE176" s="29"/>
      <c r="FF176" s="29"/>
      <c r="FG176" s="29"/>
      <c r="FH176" s="29"/>
      <c r="FI176" s="29"/>
      <c r="FJ176" s="29"/>
      <c r="FK176" s="29"/>
      <c r="FL176" s="29" t="s">
        <v>184</v>
      </c>
      <c r="FM176" s="29"/>
      <c r="FN176" s="29"/>
      <c r="FO176" s="29"/>
      <c r="FP176" s="29"/>
      <c r="FQ176" s="29" t="n">
        <v>15000</v>
      </c>
      <c r="FR176" s="29"/>
      <c r="FS176" s="29"/>
      <c r="FT176" s="29" t="n">
        <f aca="false">SUM(N176:FS176)</f>
        <v>15000</v>
      </c>
      <c r="FU176" s="27" t="n">
        <f aca="false">SUM(L176-FT176)</f>
        <v>201000</v>
      </c>
      <c r="FV176" s="31" t="n">
        <f aca="false">SUM( H176/5)</f>
        <v>1</v>
      </c>
      <c r="FW176" s="31" t="n">
        <f aca="false">SUM( I176/5)</f>
        <v>13.4</v>
      </c>
      <c r="FX176" s="32" t="n">
        <f aca="false">SUM(FV176/4)</f>
        <v>0.25</v>
      </c>
      <c r="FY176" s="32" t="n">
        <f aca="false">SUM(FW176/4)</f>
        <v>3.35</v>
      </c>
    </row>
    <row r="177" customFormat="false" ht="43.5" hidden="false" customHeight="true" outlineLevel="0" collapsed="false">
      <c r="A177" s="24" t="n">
        <v>3505</v>
      </c>
      <c r="B177" s="21" t="s">
        <v>459</v>
      </c>
      <c r="C177" s="21" t="s">
        <v>460</v>
      </c>
      <c r="D177" s="22"/>
      <c r="E177" s="23" t="n">
        <v>45981</v>
      </c>
      <c r="F177" s="23" t="n">
        <f aca="false">WORKDAY(E177,G177)</f>
        <v>46083</v>
      </c>
      <c r="G177" s="24" t="n">
        <v>72</v>
      </c>
      <c r="H177" s="25" t="n">
        <f aca="false">(FT177* 5)/M177</f>
        <v>0</v>
      </c>
      <c r="I177" s="25" t="n">
        <f aca="false">G177-H177</f>
        <v>72</v>
      </c>
      <c r="J177" s="34" t="s">
        <v>188</v>
      </c>
      <c r="K177" s="27" t="n">
        <v>100000</v>
      </c>
      <c r="L177" s="27" t="n">
        <v>216000</v>
      </c>
      <c r="M177" s="28" t="n">
        <f aca="false">(L177/G177)*5</f>
        <v>15000</v>
      </c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  <c r="CF177" s="29"/>
      <c r="CG177" s="29"/>
      <c r="CH177" s="29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  <c r="DI177" s="29"/>
      <c r="DJ177" s="29"/>
      <c r="DK177" s="29"/>
      <c r="DL177" s="29"/>
      <c r="DM177" s="29"/>
      <c r="DN177" s="29"/>
      <c r="DO177" s="29"/>
      <c r="DP177" s="29"/>
      <c r="DQ177" s="29"/>
      <c r="DR177" s="29"/>
      <c r="DS177" s="29"/>
      <c r="DT177" s="29"/>
      <c r="DU177" s="29"/>
      <c r="DV177" s="29"/>
      <c r="DW177" s="29"/>
      <c r="DX177" s="29"/>
      <c r="DY177" s="29"/>
      <c r="DZ177" s="29"/>
      <c r="EA177" s="29"/>
      <c r="EB177" s="29"/>
      <c r="EC177" s="29"/>
      <c r="ED177" s="29"/>
      <c r="EE177" s="29"/>
      <c r="EF177" s="29"/>
      <c r="EG177" s="29"/>
      <c r="EH177" s="29"/>
      <c r="EI177" s="29"/>
      <c r="EJ177" s="29"/>
      <c r="EK177" s="29" t="s">
        <v>184</v>
      </c>
      <c r="EL177" s="29"/>
      <c r="EM177" s="29" t="s">
        <v>184</v>
      </c>
      <c r="EN177" s="29" t="s">
        <v>184</v>
      </c>
      <c r="EO177" s="29"/>
      <c r="EP177" s="29"/>
      <c r="EQ177" s="29"/>
      <c r="ER177" s="29"/>
      <c r="ES177" s="29" t="s">
        <v>184</v>
      </c>
      <c r="ET177" s="29"/>
      <c r="EU177" s="29"/>
      <c r="EV177" s="29" t="s">
        <v>184</v>
      </c>
      <c r="EW177" s="29"/>
      <c r="EX177" s="29"/>
      <c r="EY177" s="29"/>
      <c r="EZ177" s="29"/>
      <c r="FA177" s="29"/>
      <c r="FB177" s="29"/>
      <c r="FC177" s="29" t="s">
        <v>184</v>
      </c>
      <c r="FD177" s="29"/>
      <c r="FE177" s="29"/>
      <c r="FF177" s="29"/>
      <c r="FG177" s="29"/>
      <c r="FH177" s="29"/>
      <c r="FI177" s="29"/>
      <c r="FJ177" s="29"/>
      <c r="FK177" s="29"/>
      <c r="FL177" s="29" t="s">
        <v>184</v>
      </c>
      <c r="FM177" s="29"/>
      <c r="FN177" s="29"/>
      <c r="FO177" s="29"/>
      <c r="FP177" s="29"/>
      <c r="FQ177" s="29"/>
      <c r="FR177" s="29"/>
      <c r="FS177" s="29"/>
      <c r="FT177" s="29" t="n">
        <f aca="false">SUM(N177:FS177)</f>
        <v>0</v>
      </c>
      <c r="FU177" s="27" t="n">
        <f aca="false">SUM(L177-FT177)</f>
        <v>216000</v>
      </c>
      <c r="FV177" s="31" t="n">
        <f aca="false">SUM( H177/5)</f>
        <v>0</v>
      </c>
      <c r="FW177" s="31" t="n">
        <f aca="false">SUM( I177/5)</f>
        <v>14.4</v>
      </c>
      <c r="FX177" s="32" t="n">
        <f aca="false">SUM(FV177/4)</f>
        <v>0</v>
      </c>
      <c r="FY177" s="32" t="n">
        <f aca="false">SUM(FW177/4)</f>
        <v>3.6</v>
      </c>
    </row>
    <row r="178" customFormat="false" ht="43.5" hidden="false" customHeight="true" outlineLevel="0" collapsed="false">
      <c r="A178" s="24" t="n">
        <v>3125</v>
      </c>
      <c r="B178" s="21" t="s">
        <v>462</v>
      </c>
      <c r="C178" s="21" t="s">
        <v>463</v>
      </c>
      <c r="D178" s="22" t="s">
        <v>464</v>
      </c>
      <c r="E178" s="23" t="n">
        <v>45742</v>
      </c>
      <c r="F178" s="23" t="n">
        <f aca="false">WORKDAY(E178,G178)</f>
        <v>45910</v>
      </c>
      <c r="G178" s="24" t="n">
        <v>120</v>
      </c>
      <c r="H178" s="25" t="n">
        <f aca="false">(FT178* 5)/M178</f>
        <v>60</v>
      </c>
      <c r="I178" s="25" t="n">
        <f aca="false">G178-H178</f>
        <v>60</v>
      </c>
      <c r="J178" s="26" t="s">
        <v>465</v>
      </c>
      <c r="K178" s="27" t="n">
        <v>181900</v>
      </c>
      <c r="L178" s="27" t="n">
        <v>270000</v>
      </c>
      <c r="M178" s="28" t="n">
        <f aca="false">(L178/G178)*5</f>
        <v>11250</v>
      </c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  <c r="CF178" s="29"/>
      <c r="CG178" s="29"/>
      <c r="CH178" s="29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  <c r="DI178" s="29"/>
      <c r="DJ178" s="29"/>
      <c r="DK178" s="29"/>
      <c r="DL178" s="29"/>
      <c r="DM178" s="29"/>
      <c r="DN178" s="29"/>
      <c r="DO178" s="29"/>
      <c r="DP178" s="29"/>
      <c r="DQ178" s="29"/>
      <c r="DR178" s="29"/>
      <c r="DS178" s="29"/>
      <c r="DT178" s="29"/>
      <c r="DU178" s="29"/>
      <c r="DV178" s="29"/>
      <c r="DW178" s="29"/>
      <c r="DX178" s="29"/>
      <c r="DY178" s="29"/>
      <c r="DZ178" s="29"/>
      <c r="EA178" s="29"/>
      <c r="EB178" s="29"/>
      <c r="EC178" s="29"/>
      <c r="ED178" s="29"/>
      <c r="EE178" s="29"/>
      <c r="EF178" s="29"/>
      <c r="EG178" s="29"/>
      <c r="EH178" s="29"/>
      <c r="EI178" s="29"/>
      <c r="EJ178" s="29"/>
      <c r="EK178" s="29" t="n">
        <v>45000</v>
      </c>
      <c r="EL178" s="29"/>
      <c r="EM178" s="29"/>
      <c r="EN178" s="29"/>
      <c r="EO178" s="29" t="s">
        <v>184</v>
      </c>
      <c r="EP178" s="29" t="n">
        <v>45000</v>
      </c>
      <c r="EQ178" s="29"/>
      <c r="ER178" s="29"/>
      <c r="ES178" s="29"/>
      <c r="ET178" s="29"/>
      <c r="EU178" s="29"/>
      <c r="EV178" s="29" t="n">
        <v>45000</v>
      </c>
      <c r="EW178" s="29"/>
      <c r="EX178" s="29"/>
      <c r="EY178" s="29"/>
      <c r="EZ178" s="29"/>
      <c r="FA178" s="29" t="s">
        <v>184</v>
      </c>
      <c r="FB178" s="29"/>
      <c r="FC178" s="29"/>
      <c r="FD178" s="29"/>
      <c r="FE178" s="29"/>
      <c r="FF178" s="29"/>
      <c r="FG178" s="29"/>
      <c r="FH178" s="29"/>
      <c r="FI178" s="29"/>
      <c r="FJ178" s="29"/>
      <c r="FK178" s="29"/>
      <c r="FL178" s="29"/>
      <c r="FM178" s="29"/>
      <c r="FN178" s="29"/>
      <c r="FO178" s="29"/>
      <c r="FP178" s="29"/>
      <c r="FQ178" s="29"/>
      <c r="FR178" s="29"/>
      <c r="FS178" s="29"/>
      <c r="FT178" s="29" t="n">
        <f aca="false">SUM(N178:FS178)</f>
        <v>135000</v>
      </c>
      <c r="FU178" s="27" t="n">
        <f aca="false">SUM(L178-FT178)</f>
        <v>135000</v>
      </c>
      <c r="FV178" s="31" t="n">
        <f aca="false">SUM( H178/5)</f>
        <v>12</v>
      </c>
      <c r="FW178" s="31" t="n">
        <f aca="false">SUM( I178/5)</f>
        <v>12</v>
      </c>
      <c r="FX178" s="32" t="n">
        <f aca="false">SUM(FV178/4)</f>
        <v>3</v>
      </c>
      <c r="FY178" s="32" t="n">
        <f aca="false">SUM(FW178/4)</f>
        <v>3</v>
      </c>
    </row>
    <row r="179" customFormat="false" ht="43.5" hidden="false" customHeight="true" outlineLevel="0" collapsed="false">
      <c r="A179" s="24" t="n">
        <v>3260</v>
      </c>
      <c r="B179" s="22" t="s">
        <v>466</v>
      </c>
      <c r="C179" s="22" t="s">
        <v>467</v>
      </c>
      <c r="D179" s="22"/>
      <c r="E179" s="23" t="n">
        <v>45832</v>
      </c>
      <c r="F179" s="23" t="n">
        <f aca="false">WORKDAY(E179,G179)</f>
        <v>45932</v>
      </c>
      <c r="G179" s="24" t="n">
        <v>72</v>
      </c>
      <c r="H179" s="25" t="n">
        <f aca="false">(FT179* 5)/M179</f>
        <v>55.6609558160505</v>
      </c>
      <c r="I179" s="25" t="n">
        <f aca="false">G179-H179</f>
        <v>16.3390441839495</v>
      </c>
      <c r="J179" s="22" t="s">
        <v>468</v>
      </c>
      <c r="K179" s="27" t="n">
        <v>300000</v>
      </c>
      <c r="L179" s="27" t="n">
        <v>665400</v>
      </c>
      <c r="M179" s="28" t="n">
        <f aca="false">(L179/G179)*5</f>
        <v>46208.3333333333</v>
      </c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  <c r="CF179" s="29"/>
      <c r="CG179" s="29"/>
      <c r="CH179" s="29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  <c r="DI179" s="29"/>
      <c r="DJ179" s="29"/>
      <c r="DK179" s="29"/>
      <c r="DL179" s="29"/>
      <c r="DM179" s="29"/>
      <c r="DN179" s="29"/>
      <c r="DO179" s="29"/>
      <c r="DP179" s="29"/>
      <c r="DQ179" s="29"/>
      <c r="DR179" s="29"/>
      <c r="DS179" s="29"/>
      <c r="DT179" s="29"/>
      <c r="DU179" s="29"/>
      <c r="DV179" s="29"/>
      <c r="DW179" s="29"/>
      <c r="DX179" s="29"/>
      <c r="DY179" s="29"/>
      <c r="DZ179" s="29"/>
      <c r="EA179" s="29"/>
      <c r="EB179" s="29"/>
      <c r="EC179" s="29"/>
      <c r="ED179" s="29"/>
      <c r="EE179" s="29"/>
      <c r="EF179" s="29"/>
      <c r="EG179" s="29"/>
      <c r="EH179" s="29"/>
      <c r="EI179" s="29"/>
      <c r="EJ179" s="29"/>
      <c r="EK179" s="29" t="s">
        <v>184</v>
      </c>
      <c r="EL179" s="29"/>
      <c r="EM179" s="29" t="s">
        <v>184</v>
      </c>
      <c r="EN179" s="29" t="s">
        <v>184</v>
      </c>
      <c r="EO179" s="29"/>
      <c r="EP179" s="29"/>
      <c r="EQ179" s="29"/>
      <c r="ER179" s="29"/>
      <c r="ES179" s="29" t="s">
        <v>184</v>
      </c>
      <c r="ET179" s="29"/>
      <c r="EU179" s="29"/>
      <c r="EV179" s="29"/>
      <c r="EW179" s="29" t="n">
        <v>45000</v>
      </c>
      <c r="EX179" s="29" t="n">
        <v>45000</v>
      </c>
      <c r="EY179" s="29"/>
      <c r="EZ179" s="29" t="n">
        <v>45000</v>
      </c>
      <c r="FA179" s="29" t="n">
        <v>45000</v>
      </c>
      <c r="FB179" s="29" t="n">
        <v>45000</v>
      </c>
      <c r="FC179" s="29" t="n">
        <v>40000</v>
      </c>
      <c r="FD179" s="29" t="n">
        <v>22000</v>
      </c>
      <c r="FE179" s="29" t="n">
        <v>25000</v>
      </c>
      <c r="FF179" s="29"/>
      <c r="FG179" s="29" t="n">
        <v>18900</v>
      </c>
      <c r="FH179" s="29" t="n">
        <v>19500</v>
      </c>
      <c r="FI179" s="29" t="n">
        <v>14000</v>
      </c>
      <c r="FJ179" s="29" t="n">
        <v>26000</v>
      </c>
      <c r="FK179" s="29" t="n">
        <v>35000</v>
      </c>
      <c r="FL179" s="29" t="n">
        <v>10000</v>
      </c>
      <c r="FM179" s="29" t="n">
        <v>15000</v>
      </c>
      <c r="FN179" s="29" t="n">
        <v>15000</v>
      </c>
      <c r="FO179" s="29" t="n">
        <v>10000</v>
      </c>
      <c r="FP179" s="29" t="n">
        <v>31000</v>
      </c>
      <c r="FQ179" s="29"/>
      <c r="FR179" s="29" t="n">
        <v>8000</v>
      </c>
      <c r="FS179" s="29"/>
      <c r="FT179" s="29" t="n">
        <f aca="false">SUM(N179:FS179)</f>
        <v>514400</v>
      </c>
      <c r="FU179" s="27" t="n">
        <f aca="false">SUM(L179-FT179)</f>
        <v>151000</v>
      </c>
      <c r="FV179" s="31" t="n">
        <f aca="false">SUM( H179/5)</f>
        <v>11.1321911632101</v>
      </c>
      <c r="FW179" s="31" t="n">
        <f aca="false">SUM( I179/5)</f>
        <v>3.2678088367899</v>
      </c>
      <c r="FX179" s="32" t="n">
        <f aca="false">SUM(FV179/4)</f>
        <v>2.78304779080253</v>
      </c>
      <c r="FY179" s="32" t="n">
        <f aca="false">SUM(FW179/4)</f>
        <v>0.816952209197475</v>
      </c>
    </row>
    <row r="180" customFormat="false" ht="43.5" hidden="false" customHeight="true" outlineLevel="0" collapsed="false">
      <c r="A180" s="24" t="n">
        <v>2951</v>
      </c>
      <c r="B180" s="21" t="s">
        <v>469</v>
      </c>
      <c r="C180" s="21" t="s">
        <v>470</v>
      </c>
      <c r="D180" s="22" t="s">
        <v>471</v>
      </c>
      <c r="E180" s="23" t="n">
        <v>45636</v>
      </c>
      <c r="F180" s="23" t="n">
        <f aca="false">WORKDAY(E180,G180)</f>
        <v>45790</v>
      </c>
      <c r="G180" s="24" t="n">
        <v>110</v>
      </c>
      <c r="H180" s="25" t="n">
        <f aca="false">(FT180* 5)/M180</f>
        <v>71.6944444444444</v>
      </c>
      <c r="I180" s="25" t="n">
        <f aca="false">G180-H180</f>
        <v>38.3055555555556</v>
      </c>
      <c r="J180" s="34" t="s">
        <v>381</v>
      </c>
      <c r="K180" s="30" t="n">
        <v>300000</v>
      </c>
      <c r="L180" s="30" t="n">
        <v>792000</v>
      </c>
      <c r="M180" s="28" t="n">
        <f aca="false">(L180/G180)*5</f>
        <v>36000</v>
      </c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  <c r="CF180" s="29"/>
      <c r="CG180" s="29"/>
      <c r="CH180" s="29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  <c r="DI180" s="29"/>
      <c r="DJ180" s="29"/>
      <c r="DK180" s="29"/>
      <c r="DL180" s="29"/>
      <c r="DM180" s="29"/>
      <c r="DN180" s="29"/>
      <c r="DO180" s="29"/>
      <c r="DP180" s="29"/>
      <c r="DQ180" s="29"/>
      <c r="DR180" s="29"/>
      <c r="DS180" s="29"/>
      <c r="DT180" s="29"/>
      <c r="DU180" s="29" t="n">
        <v>36000</v>
      </c>
      <c r="DV180" s="29" t="n">
        <v>34000</v>
      </c>
      <c r="DW180" s="29" t="n">
        <v>30000</v>
      </c>
      <c r="DX180" s="29" t="n">
        <v>10000</v>
      </c>
      <c r="DY180" s="29" t="n">
        <v>20000</v>
      </c>
      <c r="DZ180" s="29" t="n">
        <v>36000</v>
      </c>
      <c r="EA180" s="29" t="n">
        <v>36000</v>
      </c>
      <c r="EB180" s="29" t="n">
        <v>36000</v>
      </c>
      <c r="EC180" s="29"/>
      <c r="ED180" s="29" t="n">
        <v>36000</v>
      </c>
      <c r="EE180" s="29" t="n">
        <v>36000</v>
      </c>
      <c r="EF180" s="29"/>
      <c r="EG180" s="29"/>
      <c r="EH180" s="29" t="n">
        <v>18000</v>
      </c>
      <c r="EI180" s="29"/>
      <c r="EJ180" s="29" t="n">
        <v>15200</v>
      </c>
      <c r="EK180" s="29" t="n">
        <v>50000</v>
      </c>
      <c r="EL180" s="29" t="n">
        <v>17000</v>
      </c>
      <c r="EM180" s="29"/>
      <c r="EN180" s="29"/>
      <c r="EO180" s="29"/>
      <c r="EP180" s="29"/>
      <c r="EQ180" s="29" t="n">
        <v>66000</v>
      </c>
      <c r="ER180" s="29"/>
      <c r="ES180" s="29"/>
      <c r="ET180" s="29"/>
      <c r="EU180" s="29"/>
      <c r="EV180" s="29"/>
      <c r="EW180" s="29"/>
      <c r="EX180" s="29" t="n">
        <v>20000</v>
      </c>
      <c r="EY180" s="29"/>
      <c r="EZ180" s="29"/>
      <c r="FA180" s="29" t="n">
        <v>20000</v>
      </c>
      <c r="FB180" s="29"/>
      <c r="FC180" s="29"/>
      <c r="FD180" s="29"/>
      <c r="FE180" s="29"/>
      <c r="FF180" s="29"/>
      <c r="FG180" s="29"/>
      <c r="FH180" s="29"/>
      <c r="FI180" s="29"/>
      <c r="FJ180" s="29"/>
      <c r="FK180" s="29"/>
      <c r="FL180" s="29"/>
      <c r="FM180" s="29"/>
      <c r="FN180" s="29"/>
      <c r="FO180" s="29"/>
      <c r="FP180" s="29"/>
      <c r="FQ180" s="29"/>
      <c r="FR180" s="29"/>
      <c r="FS180" s="29"/>
      <c r="FT180" s="29" t="n">
        <f aca="false">SUM(N180:FS180)</f>
        <v>516200</v>
      </c>
      <c r="FU180" s="27" t="n">
        <f aca="false">SUM(L180-FT180)</f>
        <v>275800</v>
      </c>
      <c r="FV180" s="31" t="n">
        <f aca="false">SUM( H180/5)</f>
        <v>14.3388888888889</v>
      </c>
      <c r="FW180" s="31" t="n">
        <f aca="false">SUM( I180/5)</f>
        <v>7.66111111111111</v>
      </c>
      <c r="FX180" s="32" t="n">
        <f aca="false">SUM(FV180/4)</f>
        <v>3.58472222222222</v>
      </c>
      <c r="FY180" s="32" t="n">
        <f aca="false">SUM(FW180/4)</f>
        <v>1.91527777777778</v>
      </c>
    </row>
    <row r="181" customFormat="false" ht="43.5" hidden="false" customHeight="true" outlineLevel="0" collapsed="false">
      <c r="A181" s="24" t="n">
        <v>3048</v>
      </c>
      <c r="B181" s="21" t="s">
        <v>469</v>
      </c>
      <c r="C181" s="21" t="s">
        <v>472</v>
      </c>
      <c r="D181" s="22" t="s">
        <v>471</v>
      </c>
      <c r="E181" s="23" t="n">
        <v>45698</v>
      </c>
      <c r="F181" s="23" t="n">
        <f aca="false">WORKDAY(E181,G181)</f>
        <v>45978</v>
      </c>
      <c r="G181" s="24" t="n">
        <v>200</v>
      </c>
      <c r="H181" s="25" t="n">
        <f aca="false">(FT181* 5)/M181</f>
        <v>49.6</v>
      </c>
      <c r="I181" s="25" t="n">
        <f aca="false">G181-H181</f>
        <v>150.4</v>
      </c>
      <c r="J181" s="46" t="s">
        <v>473</v>
      </c>
      <c r="K181" s="27" t="n">
        <v>500000</v>
      </c>
      <c r="L181" s="27" t="n">
        <v>1500000</v>
      </c>
      <c r="M181" s="45" t="n">
        <f aca="false">(L181/G181)*5</f>
        <v>37500</v>
      </c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  <c r="CF181" s="29"/>
      <c r="CG181" s="29"/>
      <c r="CH181" s="29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  <c r="CZ181" s="29"/>
      <c r="DA181" s="29"/>
      <c r="DB181" s="29"/>
      <c r="DC181" s="29"/>
      <c r="DD181" s="29"/>
      <c r="DE181" s="29"/>
      <c r="DF181" s="29"/>
      <c r="DG181" s="29"/>
      <c r="DH181" s="29"/>
      <c r="DI181" s="29"/>
      <c r="DJ181" s="29"/>
      <c r="DK181" s="29"/>
      <c r="DL181" s="29"/>
      <c r="DM181" s="29"/>
      <c r="DN181" s="29"/>
      <c r="DO181" s="29"/>
      <c r="DP181" s="29"/>
      <c r="DQ181" s="29"/>
      <c r="DR181" s="29"/>
      <c r="DS181" s="29"/>
      <c r="DT181" s="29"/>
      <c r="DU181" s="29"/>
      <c r="DV181" s="29"/>
      <c r="DW181" s="29"/>
      <c r="DX181" s="29"/>
      <c r="DY181" s="29"/>
      <c r="DZ181" s="29"/>
      <c r="EA181" s="29"/>
      <c r="EB181" s="29"/>
      <c r="EC181" s="29"/>
      <c r="ED181" s="29" t="n">
        <v>45000</v>
      </c>
      <c r="EE181" s="29" t="n">
        <v>30000</v>
      </c>
      <c r="EF181" s="29"/>
      <c r="EG181" s="29" t="n">
        <v>69000</v>
      </c>
      <c r="EH181" s="29" t="n">
        <v>6000</v>
      </c>
      <c r="EI181" s="29" t="n">
        <v>60000</v>
      </c>
      <c r="EJ181" s="29"/>
      <c r="EK181" s="29"/>
      <c r="EL181" s="29"/>
      <c r="EM181" s="29" t="n">
        <v>31400</v>
      </c>
      <c r="EN181" s="29"/>
      <c r="EO181" s="29" t="n">
        <v>55600</v>
      </c>
      <c r="EP181" s="29"/>
      <c r="EQ181" s="29" t="s">
        <v>474</v>
      </c>
      <c r="ER181" s="29" t="n">
        <v>35000</v>
      </c>
      <c r="ES181" s="29" t="n">
        <v>40000</v>
      </c>
      <c r="ET181" s="29"/>
      <c r="EU181" s="29"/>
      <c r="EV181" s="29"/>
      <c r="EW181" s="29"/>
      <c r="EX181" s="29"/>
      <c r="EY181" s="29"/>
      <c r="EZ181" s="29"/>
      <c r="FA181" s="29"/>
      <c r="FB181" s="29"/>
      <c r="FC181" s="29"/>
      <c r="FD181" s="29"/>
      <c r="FE181" s="29"/>
      <c r="FF181" s="29"/>
      <c r="FG181" s="29"/>
      <c r="FH181" s="29"/>
      <c r="FI181" s="29"/>
      <c r="FJ181" s="29"/>
      <c r="FK181" s="29"/>
      <c r="FL181" s="29"/>
      <c r="FM181" s="29"/>
      <c r="FN181" s="29"/>
      <c r="FO181" s="29"/>
      <c r="FP181" s="29"/>
      <c r="FQ181" s="29"/>
      <c r="FR181" s="29"/>
      <c r="FS181" s="29"/>
      <c r="FT181" s="29" t="n">
        <f aca="false">SUM(N181:FS181)</f>
        <v>372000</v>
      </c>
      <c r="FU181" s="27" t="n">
        <f aca="false">SUM(L181-FT181)</f>
        <v>1128000</v>
      </c>
      <c r="FV181" s="31" t="n">
        <f aca="false">SUM( H181/5)</f>
        <v>9.92</v>
      </c>
      <c r="FW181" s="31" t="n">
        <f aca="false">SUM( I181/5)</f>
        <v>30.08</v>
      </c>
      <c r="FX181" s="32" t="n">
        <f aca="false">SUM(FV181/4)</f>
        <v>2.48</v>
      </c>
      <c r="FY181" s="32" t="n">
        <f aca="false">SUM(FW181/4)</f>
        <v>7.52</v>
      </c>
    </row>
    <row r="182" customFormat="false" ht="43.5" hidden="false" customHeight="true" outlineLevel="0" collapsed="false">
      <c r="A182" s="24" t="n">
        <v>3436</v>
      </c>
      <c r="B182" s="34" t="s">
        <v>475</v>
      </c>
      <c r="C182" s="34" t="s">
        <v>476</v>
      </c>
      <c r="D182" s="34"/>
      <c r="E182" s="23" t="n">
        <v>45940</v>
      </c>
      <c r="F182" s="42" t="n">
        <v>45138</v>
      </c>
      <c r="G182" s="24" t="n">
        <v>110</v>
      </c>
      <c r="H182" s="25" t="n">
        <f aca="false">(FT182* 5)/M182</f>
        <v>18.3333333333333</v>
      </c>
      <c r="I182" s="25" t="n">
        <f aca="false">G182-H182</f>
        <v>91.6666666666667</v>
      </c>
      <c r="J182" s="22" t="s">
        <v>477</v>
      </c>
      <c r="K182" s="44" t="n">
        <v>100000</v>
      </c>
      <c r="L182" s="44" t="n">
        <v>264000</v>
      </c>
      <c r="M182" s="28" t="n">
        <f aca="false">(L182/G182)*5</f>
        <v>12000</v>
      </c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  <c r="CF182" s="29"/>
      <c r="CG182" s="29"/>
      <c r="CH182" s="29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  <c r="CZ182" s="29"/>
      <c r="DA182" s="29"/>
      <c r="DB182" s="29"/>
      <c r="DC182" s="29"/>
      <c r="DD182" s="29"/>
      <c r="DE182" s="29"/>
      <c r="DF182" s="29"/>
      <c r="DG182" s="29"/>
      <c r="DH182" s="29"/>
      <c r="DI182" s="29"/>
      <c r="DJ182" s="29"/>
      <c r="DK182" s="29"/>
      <c r="DL182" s="29"/>
      <c r="DM182" s="29"/>
      <c r="DN182" s="29"/>
      <c r="DO182" s="29"/>
      <c r="DP182" s="29"/>
      <c r="DQ182" s="29"/>
      <c r="DR182" s="29"/>
      <c r="DS182" s="29"/>
      <c r="DT182" s="29"/>
      <c r="DU182" s="29"/>
      <c r="DV182" s="29"/>
      <c r="DW182" s="29"/>
      <c r="DX182" s="29"/>
      <c r="DY182" s="29"/>
      <c r="DZ182" s="29"/>
      <c r="EA182" s="29"/>
      <c r="EB182" s="29"/>
      <c r="EC182" s="29"/>
      <c r="ED182" s="29"/>
      <c r="EE182" s="29"/>
      <c r="EF182" s="29"/>
      <c r="EG182" s="29"/>
      <c r="EH182" s="29"/>
      <c r="EI182" s="29"/>
      <c r="EJ182" s="29"/>
      <c r="EK182" s="29" t="s">
        <v>184</v>
      </c>
      <c r="EL182" s="29"/>
      <c r="EM182" s="29" t="s">
        <v>184</v>
      </c>
      <c r="EN182" s="29" t="s">
        <v>184</v>
      </c>
      <c r="EO182" s="29"/>
      <c r="EP182" s="29"/>
      <c r="EQ182" s="29"/>
      <c r="ER182" s="29"/>
      <c r="ES182" s="29" t="s">
        <v>184</v>
      </c>
      <c r="ET182" s="29"/>
      <c r="EU182" s="29"/>
      <c r="EV182" s="29" t="s">
        <v>184</v>
      </c>
      <c r="EW182" s="29"/>
      <c r="EX182" s="29"/>
      <c r="EY182" s="29"/>
      <c r="EZ182" s="29"/>
      <c r="FA182" s="29"/>
      <c r="FB182" s="29"/>
      <c r="FC182" s="29" t="s">
        <v>184</v>
      </c>
      <c r="FD182" s="29"/>
      <c r="FE182" s="29"/>
      <c r="FF182" s="29"/>
      <c r="FG182" s="29"/>
      <c r="FH182" s="29"/>
      <c r="FI182" s="29"/>
      <c r="FJ182" s="29"/>
      <c r="FK182" s="29"/>
      <c r="FL182" s="29"/>
      <c r="FM182" s="29"/>
      <c r="FN182" s="29"/>
      <c r="FO182" s="29"/>
      <c r="FP182" s="29" t="n">
        <v>44000</v>
      </c>
      <c r="FQ182" s="29"/>
      <c r="FR182" s="29"/>
      <c r="FS182" s="29"/>
      <c r="FT182" s="29" t="n">
        <f aca="false">SUM(N182:FS182)</f>
        <v>44000</v>
      </c>
      <c r="FU182" s="27" t="n">
        <f aca="false">SUM(L182-FT182)</f>
        <v>220000</v>
      </c>
      <c r="FV182" s="31" t="n">
        <f aca="false">SUM( H182/5)</f>
        <v>3.66666666666667</v>
      </c>
      <c r="FW182" s="31" t="n">
        <f aca="false">SUM( I182/5)</f>
        <v>18.3333333333333</v>
      </c>
      <c r="FX182" s="32" t="n">
        <f aca="false">SUM(FV182/4)</f>
        <v>0.916666666666667</v>
      </c>
      <c r="FY182" s="32" t="n">
        <f aca="false">SUM(FW182/4)</f>
        <v>4.58333333333333</v>
      </c>
    </row>
    <row r="183" customFormat="false" ht="43.5" hidden="false" customHeight="true" outlineLevel="0" collapsed="false">
      <c r="A183" s="24" t="n">
        <v>2797</v>
      </c>
      <c r="B183" s="21" t="s">
        <v>478</v>
      </c>
      <c r="C183" s="21" t="s">
        <v>479</v>
      </c>
      <c r="D183" s="22"/>
      <c r="E183" s="23" t="n">
        <v>45544</v>
      </c>
      <c r="F183" s="23" t="n">
        <f aca="false">WORKDAY(E183,G183)</f>
        <v>45768</v>
      </c>
      <c r="G183" s="24" t="n">
        <v>160</v>
      </c>
      <c r="H183" s="25" t="n">
        <f aca="false">(FT183* 5)/M183</f>
        <v>46.6666666666667</v>
      </c>
      <c r="I183" s="25" t="n">
        <f aca="false">G183-H183</f>
        <v>113.333333333333</v>
      </c>
      <c r="J183" s="26" t="s">
        <v>480</v>
      </c>
      <c r="K183" s="27" t="n">
        <v>400000</v>
      </c>
      <c r="L183" s="27" t="n">
        <v>1200000</v>
      </c>
      <c r="M183" s="28" t="n">
        <f aca="false">(L183/G183)*5</f>
        <v>37500</v>
      </c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  <c r="CF183" s="29"/>
      <c r="CG183" s="29"/>
      <c r="CH183" s="29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  <c r="CZ183" s="29"/>
      <c r="DA183" s="29"/>
      <c r="DB183" s="29"/>
      <c r="DC183" s="29"/>
      <c r="DD183" s="29"/>
      <c r="DE183" s="29"/>
      <c r="DF183" s="29"/>
      <c r="DG183" s="29"/>
      <c r="DH183" s="29"/>
      <c r="DI183" s="29"/>
      <c r="DJ183" s="29"/>
      <c r="DK183" s="29"/>
      <c r="DL183" s="29"/>
      <c r="DM183" s="29"/>
      <c r="DN183" s="29"/>
      <c r="DO183" s="29"/>
      <c r="DP183" s="29"/>
      <c r="DQ183" s="29" t="n">
        <v>150000</v>
      </c>
      <c r="DR183" s="29"/>
      <c r="DS183" s="29"/>
      <c r="DT183" s="29"/>
      <c r="DU183" s="29"/>
      <c r="DV183" s="29"/>
      <c r="DW183" s="29"/>
      <c r="DX183" s="29"/>
      <c r="DY183" s="29"/>
      <c r="DZ183" s="29"/>
      <c r="EA183" s="29"/>
      <c r="EB183" s="29"/>
      <c r="EC183" s="29"/>
      <c r="ED183" s="29"/>
      <c r="EE183" s="29"/>
      <c r="EF183" s="29"/>
      <c r="EG183" s="29"/>
      <c r="EH183" s="29"/>
      <c r="EI183" s="29"/>
      <c r="EJ183" s="29"/>
      <c r="EK183" s="29"/>
      <c r="EL183" s="29"/>
      <c r="EM183" s="29"/>
      <c r="EN183" s="29"/>
      <c r="EO183" s="29"/>
      <c r="EP183" s="29"/>
      <c r="EQ183" s="29"/>
      <c r="ER183" s="29"/>
      <c r="ES183" s="29"/>
      <c r="ET183" s="29"/>
      <c r="EU183" s="29"/>
      <c r="EV183" s="29"/>
      <c r="EW183" s="29"/>
      <c r="EX183" s="29"/>
      <c r="EY183" s="29"/>
      <c r="EZ183" s="29"/>
      <c r="FA183" s="29"/>
      <c r="FB183" s="29"/>
      <c r="FC183" s="29"/>
      <c r="FD183" s="29"/>
      <c r="FE183" s="29"/>
      <c r="FF183" s="29"/>
      <c r="FG183" s="29"/>
      <c r="FH183" s="29" t="n">
        <v>100000</v>
      </c>
      <c r="FI183" s="29"/>
      <c r="FJ183" s="29"/>
      <c r="FK183" s="29"/>
      <c r="FL183" s="29"/>
      <c r="FM183" s="29"/>
      <c r="FN183" s="29"/>
      <c r="FO183" s="29"/>
      <c r="FP183" s="29"/>
      <c r="FQ183" s="29" t="n">
        <v>100000</v>
      </c>
      <c r="FR183" s="29"/>
      <c r="FS183" s="29"/>
      <c r="FT183" s="29" t="n">
        <f aca="false">SUM(N183:FS183)</f>
        <v>350000</v>
      </c>
      <c r="FU183" s="27" t="n">
        <f aca="false">SUM(L183-FT183)</f>
        <v>850000</v>
      </c>
      <c r="FV183" s="31" t="n">
        <f aca="false">SUM( H183/5)</f>
        <v>9.33333333333333</v>
      </c>
      <c r="FW183" s="31" t="n">
        <f aca="false">SUM( I183/5)</f>
        <v>22.6666666666667</v>
      </c>
      <c r="FX183" s="32" t="n">
        <f aca="false">SUM(FV183/4)</f>
        <v>2.33333333333333</v>
      </c>
      <c r="FY183" s="32" t="n">
        <f aca="false">SUM(FW183/4)</f>
        <v>5.66666666666667</v>
      </c>
    </row>
    <row r="184" customFormat="false" ht="43.5" hidden="false" customHeight="true" outlineLevel="0" collapsed="false">
      <c r="A184" s="24" t="n">
        <v>3491</v>
      </c>
      <c r="B184" s="22" t="s">
        <v>481</v>
      </c>
      <c r="C184" s="21"/>
      <c r="D184" s="22"/>
      <c r="E184" s="23" t="n">
        <v>45974</v>
      </c>
      <c r="F184" s="23" t="n">
        <f aca="false">WORKDAY(E184,G184)</f>
        <v>46002</v>
      </c>
      <c r="G184" s="24" t="n">
        <v>20</v>
      </c>
      <c r="H184" s="25" t="e">
        <f aca="false">(FT184* 5)/M184</f>
        <v>#DIV/0!</v>
      </c>
      <c r="I184" s="25" t="e">
        <f aca="false">G184-H184</f>
        <v>#DIV/0!</v>
      </c>
      <c r="J184" s="26" t="s">
        <v>444</v>
      </c>
      <c r="K184" s="27" t="n">
        <v>100000</v>
      </c>
      <c r="L184" s="27" t="n">
        <v>160000</v>
      </c>
      <c r="M184" s="45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  <c r="CF184" s="29"/>
      <c r="CG184" s="29"/>
      <c r="CH184" s="29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  <c r="CZ184" s="29"/>
      <c r="DA184" s="29"/>
      <c r="DB184" s="29"/>
      <c r="DC184" s="29"/>
      <c r="DD184" s="29"/>
      <c r="DE184" s="29"/>
      <c r="DF184" s="29"/>
      <c r="DG184" s="29"/>
      <c r="DH184" s="29"/>
      <c r="DI184" s="29"/>
      <c r="DJ184" s="29"/>
      <c r="DK184" s="29"/>
      <c r="DL184" s="29"/>
      <c r="DM184" s="29"/>
      <c r="DN184" s="29"/>
      <c r="DO184" s="29"/>
      <c r="DP184" s="29"/>
      <c r="DQ184" s="29"/>
      <c r="DR184" s="29"/>
      <c r="DS184" s="29"/>
      <c r="DT184" s="29"/>
      <c r="DU184" s="29"/>
      <c r="DV184" s="29"/>
      <c r="DW184" s="29"/>
      <c r="DX184" s="29"/>
      <c r="DY184" s="29"/>
      <c r="DZ184" s="29"/>
      <c r="EA184" s="29"/>
      <c r="EB184" s="29"/>
      <c r="EC184" s="29"/>
      <c r="ED184" s="29"/>
      <c r="EE184" s="29"/>
      <c r="EF184" s="29"/>
      <c r="EG184" s="29"/>
      <c r="EH184" s="29"/>
      <c r="EI184" s="29"/>
      <c r="EJ184" s="29"/>
      <c r="EK184" s="29" t="s">
        <v>184</v>
      </c>
      <c r="EL184" s="29"/>
      <c r="EM184" s="29" t="s">
        <v>184</v>
      </c>
      <c r="EN184" s="29" t="s">
        <v>184</v>
      </c>
      <c r="EO184" s="29"/>
      <c r="EP184" s="29"/>
      <c r="EQ184" s="29"/>
      <c r="ER184" s="29"/>
      <c r="ES184" s="29" t="s">
        <v>184</v>
      </c>
      <c r="ET184" s="29"/>
      <c r="EU184" s="29"/>
      <c r="EV184" s="29" t="s">
        <v>184</v>
      </c>
      <c r="EW184" s="29"/>
      <c r="EX184" s="29"/>
      <c r="EY184" s="29"/>
      <c r="EZ184" s="29"/>
      <c r="FA184" s="29"/>
      <c r="FB184" s="29"/>
      <c r="FC184" s="29" t="s">
        <v>184</v>
      </c>
      <c r="FD184" s="29"/>
      <c r="FE184" s="29"/>
      <c r="FF184" s="29"/>
      <c r="FG184" s="29"/>
      <c r="FH184" s="29"/>
      <c r="FI184" s="29"/>
      <c r="FJ184" s="29"/>
      <c r="FK184" s="29"/>
      <c r="FL184" s="29" t="s">
        <v>184</v>
      </c>
      <c r="FM184" s="29"/>
      <c r="FN184" s="29"/>
      <c r="FO184" s="29"/>
      <c r="FP184" s="29"/>
      <c r="FQ184" s="29"/>
      <c r="FR184" s="29"/>
      <c r="FS184" s="29"/>
      <c r="FT184" s="29" t="n">
        <f aca="false">SUM(N184:FS184)</f>
        <v>0</v>
      </c>
      <c r="FU184" s="27" t="n">
        <f aca="false">SUM(L184-FT184)</f>
        <v>160000</v>
      </c>
      <c r="FV184" s="31" t="e">
        <f aca="false">SUM( H184/5)</f>
        <v>#DIV/0!</v>
      </c>
      <c r="FW184" s="31" t="e">
        <f aca="false">SUM( I184/5)</f>
        <v>#DIV/0!</v>
      </c>
      <c r="FX184" s="32" t="e">
        <f aca="false">SUM(FV184/4)</f>
        <v>#DIV/0!</v>
      </c>
      <c r="FY184" s="32" t="e">
        <f aca="false">SUM(FW184/4)</f>
        <v>#DIV/0!</v>
      </c>
    </row>
    <row r="185" customFormat="false" ht="43.5" hidden="false" customHeight="true" outlineLevel="0" collapsed="false">
      <c r="A185" s="24" t="n">
        <v>3498</v>
      </c>
      <c r="B185" s="22" t="s">
        <v>481</v>
      </c>
      <c r="C185" s="21"/>
      <c r="D185" s="22"/>
      <c r="E185" s="23" t="n">
        <v>45977</v>
      </c>
      <c r="F185" s="23" t="n">
        <f aca="false">WORKDAY(E185,G185)</f>
        <v>46003</v>
      </c>
      <c r="G185" s="24" t="n">
        <v>20</v>
      </c>
      <c r="H185" s="25" t="e">
        <f aca="false">(FT185* 5)/M185</f>
        <v>#DIV/0!</v>
      </c>
      <c r="I185" s="25" t="e">
        <f aca="false">G185-H185</f>
        <v>#DIV/0!</v>
      </c>
      <c r="J185" s="26" t="s">
        <v>444</v>
      </c>
      <c r="K185" s="33" t="n">
        <v>40000</v>
      </c>
      <c r="L185" s="27" t="n">
        <v>64000</v>
      </c>
      <c r="M185" s="45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  <c r="CF185" s="29"/>
      <c r="CG185" s="29"/>
      <c r="CH185" s="29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  <c r="CZ185" s="29"/>
      <c r="DA185" s="29"/>
      <c r="DB185" s="29"/>
      <c r="DC185" s="29"/>
      <c r="DD185" s="29"/>
      <c r="DE185" s="29"/>
      <c r="DF185" s="29"/>
      <c r="DG185" s="29"/>
      <c r="DH185" s="29"/>
      <c r="DI185" s="29"/>
      <c r="DJ185" s="29"/>
      <c r="DK185" s="29"/>
      <c r="DL185" s="29"/>
      <c r="DM185" s="29"/>
      <c r="DN185" s="29"/>
      <c r="DO185" s="29"/>
      <c r="DP185" s="29"/>
      <c r="DQ185" s="29"/>
      <c r="DR185" s="29"/>
      <c r="DS185" s="29"/>
      <c r="DT185" s="29"/>
      <c r="DU185" s="29"/>
      <c r="DV185" s="29"/>
      <c r="DW185" s="29"/>
      <c r="DX185" s="29"/>
      <c r="DY185" s="29"/>
      <c r="DZ185" s="29"/>
      <c r="EA185" s="29"/>
      <c r="EB185" s="29"/>
      <c r="EC185" s="29"/>
      <c r="ED185" s="29"/>
      <c r="EE185" s="29"/>
      <c r="EF185" s="29"/>
      <c r="EG185" s="29"/>
      <c r="EH185" s="29"/>
      <c r="EI185" s="29"/>
      <c r="EJ185" s="29"/>
      <c r="EK185" s="29" t="s">
        <v>184</v>
      </c>
      <c r="EL185" s="29"/>
      <c r="EM185" s="29" t="s">
        <v>184</v>
      </c>
      <c r="EN185" s="29" t="s">
        <v>184</v>
      </c>
      <c r="EO185" s="29"/>
      <c r="EP185" s="29"/>
      <c r="EQ185" s="29"/>
      <c r="ER185" s="29"/>
      <c r="ES185" s="29" t="s">
        <v>184</v>
      </c>
      <c r="ET185" s="29"/>
      <c r="EU185" s="29"/>
      <c r="EV185" s="29" t="s">
        <v>184</v>
      </c>
      <c r="EW185" s="29"/>
      <c r="EX185" s="29"/>
      <c r="EY185" s="29"/>
      <c r="EZ185" s="29"/>
      <c r="FA185" s="29"/>
      <c r="FB185" s="29"/>
      <c r="FC185" s="29" t="s">
        <v>184</v>
      </c>
      <c r="FD185" s="29"/>
      <c r="FE185" s="29"/>
      <c r="FF185" s="29"/>
      <c r="FG185" s="29"/>
      <c r="FH185" s="29"/>
      <c r="FI185" s="29"/>
      <c r="FJ185" s="29"/>
      <c r="FK185" s="29"/>
      <c r="FL185" s="29" t="s">
        <v>184</v>
      </c>
      <c r="FM185" s="29"/>
      <c r="FN185" s="29"/>
      <c r="FO185" s="29"/>
      <c r="FP185" s="29"/>
      <c r="FQ185" s="29"/>
      <c r="FR185" s="29"/>
      <c r="FS185" s="29"/>
      <c r="FT185" s="29" t="n">
        <f aca="false">SUM(N185:FS185)</f>
        <v>0</v>
      </c>
      <c r="FU185" s="27" t="n">
        <f aca="false">SUM(L185-FT185)</f>
        <v>64000</v>
      </c>
      <c r="FV185" s="31" t="e">
        <f aca="false">SUM( H185/5)</f>
        <v>#DIV/0!</v>
      </c>
      <c r="FW185" s="31" t="e">
        <f aca="false">SUM( I185/5)</f>
        <v>#DIV/0!</v>
      </c>
      <c r="FX185" s="32" t="e">
        <f aca="false">SUM(FV185/4)</f>
        <v>#DIV/0!</v>
      </c>
      <c r="FY185" s="32" t="e">
        <f aca="false">SUM(FW185/4)</f>
        <v>#DIV/0!</v>
      </c>
    </row>
    <row r="186" customFormat="false" ht="43.5" hidden="false" customHeight="true" outlineLevel="0" collapsed="false">
      <c r="A186" s="24" t="n">
        <v>3502</v>
      </c>
      <c r="B186" s="22" t="s">
        <v>481</v>
      </c>
      <c r="C186" s="21"/>
      <c r="D186" s="22"/>
      <c r="E186" s="23" t="n">
        <v>45979</v>
      </c>
      <c r="F186" s="23" t="n">
        <f aca="false">WORKDAY(E186,G186)</f>
        <v>46007</v>
      </c>
      <c r="G186" s="24" t="n">
        <v>20</v>
      </c>
      <c r="H186" s="25" t="e">
        <f aca="false">(FT186* 5)/M186</f>
        <v>#DIV/0!</v>
      </c>
      <c r="I186" s="25" t="e">
        <f aca="false">G186-H186</f>
        <v>#DIV/0!</v>
      </c>
      <c r="J186" s="26" t="s">
        <v>444</v>
      </c>
      <c r="K186" s="27" t="n">
        <v>30000</v>
      </c>
      <c r="L186" s="27" t="n">
        <v>48000</v>
      </c>
      <c r="M186" s="28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  <c r="CF186" s="29"/>
      <c r="CG186" s="29"/>
      <c r="CH186" s="29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  <c r="CZ186" s="29"/>
      <c r="DA186" s="29"/>
      <c r="DB186" s="29"/>
      <c r="DC186" s="29"/>
      <c r="DD186" s="29"/>
      <c r="DE186" s="29"/>
      <c r="DF186" s="29"/>
      <c r="DG186" s="29"/>
      <c r="DH186" s="29"/>
      <c r="DI186" s="29"/>
      <c r="DJ186" s="29"/>
      <c r="DK186" s="29"/>
      <c r="DL186" s="29"/>
      <c r="DM186" s="29"/>
      <c r="DN186" s="29"/>
      <c r="DO186" s="29"/>
      <c r="DP186" s="29"/>
      <c r="DQ186" s="29"/>
      <c r="DR186" s="29"/>
      <c r="DS186" s="29"/>
      <c r="DT186" s="29"/>
      <c r="DU186" s="29"/>
      <c r="DV186" s="29"/>
      <c r="DW186" s="29"/>
      <c r="DX186" s="29"/>
      <c r="DY186" s="29"/>
      <c r="DZ186" s="29"/>
      <c r="EA186" s="29"/>
      <c r="EB186" s="29"/>
      <c r="EC186" s="29"/>
      <c r="ED186" s="29"/>
      <c r="EE186" s="29"/>
      <c r="EF186" s="29"/>
      <c r="EG186" s="29"/>
      <c r="EH186" s="29"/>
      <c r="EI186" s="29"/>
      <c r="EJ186" s="29"/>
      <c r="EK186" s="29"/>
      <c r="EL186" s="29"/>
      <c r="EM186" s="29"/>
      <c r="EN186" s="29"/>
      <c r="EO186" s="29"/>
      <c r="EP186" s="29"/>
      <c r="EQ186" s="29"/>
      <c r="ER186" s="29"/>
      <c r="ES186" s="29"/>
      <c r="ET186" s="29"/>
      <c r="EU186" s="29"/>
      <c r="EV186" s="29"/>
      <c r="EW186" s="29"/>
      <c r="EX186" s="29"/>
      <c r="EY186" s="29"/>
      <c r="EZ186" s="29"/>
      <c r="FA186" s="29"/>
      <c r="FB186" s="29"/>
      <c r="FC186" s="29"/>
      <c r="FD186" s="29"/>
      <c r="FE186" s="29"/>
      <c r="FF186" s="29"/>
      <c r="FG186" s="29"/>
      <c r="FH186" s="29"/>
      <c r="FI186" s="29"/>
      <c r="FJ186" s="29"/>
      <c r="FK186" s="29"/>
      <c r="FL186" s="29"/>
      <c r="FM186" s="29"/>
      <c r="FN186" s="29"/>
      <c r="FO186" s="29"/>
      <c r="FP186" s="29"/>
      <c r="FQ186" s="29"/>
      <c r="FR186" s="29"/>
      <c r="FS186" s="29"/>
      <c r="FT186" s="29" t="n">
        <f aca="false">SUM(N186:FS186)</f>
        <v>0</v>
      </c>
      <c r="FU186" s="27" t="n">
        <f aca="false">SUM(L186-FT186)</f>
        <v>48000</v>
      </c>
      <c r="FV186" s="31" t="e">
        <f aca="false">SUM( H186/5)</f>
        <v>#DIV/0!</v>
      </c>
      <c r="FW186" s="31" t="e">
        <f aca="false">SUM( I186/5)</f>
        <v>#DIV/0!</v>
      </c>
      <c r="FX186" s="32" t="e">
        <f aca="false">SUM(FV186/4)</f>
        <v>#DIV/0!</v>
      </c>
      <c r="FY186" s="32" t="e">
        <f aca="false">SUM(FW186/4)</f>
        <v>#DIV/0!</v>
      </c>
    </row>
    <row r="187" customFormat="false" ht="43.5" hidden="false" customHeight="true" outlineLevel="0" collapsed="false">
      <c r="A187" s="24" t="n">
        <v>3507</v>
      </c>
      <c r="B187" s="22" t="s">
        <v>481</v>
      </c>
      <c r="C187" s="21"/>
      <c r="D187" s="22"/>
      <c r="E187" s="23" t="n">
        <v>45981</v>
      </c>
      <c r="F187" s="23" t="n">
        <f aca="false">WORKDAY(E187,G187)</f>
        <v>46009</v>
      </c>
      <c r="G187" s="24" t="n">
        <v>20</v>
      </c>
      <c r="H187" s="25" t="e">
        <f aca="false">(FT187* 5)/M187</f>
        <v>#DIV/0!</v>
      </c>
      <c r="I187" s="25" t="e">
        <f aca="false">G187-H187</f>
        <v>#DIV/0!</v>
      </c>
      <c r="J187" s="26" t="s">
        <v>444</v>
      </c>
      <c r="K187" s="27" t="n">
        <v>20000</v>
      </c>
      <c r="L187" s="27" t="n">
        <v>32000</v>
      </c>
      <c r="M187" s="45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  <c r="CF187" s="29"/>
      <c r="CG187" s="29"/>
      <c r="CH187" s="29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  <c r="CZ187" s="29"/>
      <c r="DA187" s="29"/>
      <c r="DB187" s="29"/>
      <c r="DC187" s="29"/>
      <c r="DD187" s="29"/>
      <c r="DE187" s="29"/>
      <c r="DF187" s="29"/>
      <c r="DG187" s="29"/>
      <c r="DH187" s="29"/>
      <c r="DI187" s="29"/>
      <c r="DJ187" s="29"/>
      <c r="DK187" s="29"/>
      <c r="DL187" s="29"/>
      <c r="DM187" s="29"/>
      <c r="DN187" s="29"/>
      <c r="DO187" s="29"/>
      <c r="DP187" s="29"/>
      <c r="DQ187" s="29"/>
      <c r="DR187" s="29"/>
      <c r="DS187" s="29"/>
      <c r="DT187" s="29"/>
      <c r="DU187" s="29"/>
      <c r="DV187" s="29"/>
      <c r="DW187" s="29"/>
      <c r="DX187" s="29"/>
      <c r="DY187" s="29"/>
      <c r="DZ187" s="29"/>
      <c r="EA187" s="29"/>
      <c r="EB187" s="29"/>
      <c r="EC187" s="29"/>
      <c r="ED187" s="29"/>
      <c r="EE187" s="29"/>
      <c r="EF187" s="29"/>
      <c r="EG187" s="29"/>
      <c r="EH187" s="29"/>
      <c r="EI187" s="29"/>
      <c r="EJ187" s="29"/>
      <c r="EK187" s="29" t="s">
        <v>184</v>
      </c>
      <c r="EL187" s="29"/>
      <c r="EM187" s="29" t="s">
        <v>184</v>
      </c>
      <c r="EN187" s="29" t="s">
        <v>184</v>
      </c>
      <c r="EO187" s="29"/>
      <c r="EP187" s="29"/>
      <c r="EQ187" s="29"/>
      <c r="ER187" s="29"/>
      <c r="ES187" s="29" t="s">
        <v>184</v>
      </c>
      <c r="ET187" s="29"/>
      <c r="EU187" s="29"/>
      <c r="EV187" s="29" t="s">
        <v>184</v>
      </c>
      <c r="EW187" s="29"/>
      <c r="EX187" s="29"/>
      <c r="EY187" s="29"/>
      <c r="EZ187" s="29"/>
      <c r="FA187" s="29"/>
      <c r="FB187" s="29"/>
      <c r="FC187" s="29" t="s">
        <v>184</v>
      </c>
      <c r="FD187" s="29"/>
      <c r="FE187" s="29"/>
      <c r="FF187" s="29"/>
      <c r="FG187" s="29"/>
      <c r="FH187" s="29"/>
      <c r="FI187" s="29"/>
      <c r="FJ187" s="29"/>
      <c r="FK187" s="29"/>
      <c r="FL187" s="29" t="s">
        <v>184</v>
      </c>
      <c r="FM187" s="29"/>
      <c r="FN187" s="29"/>
      <c r="FO187" s="29"/>
      <c r="FP187" s="29"/>
      <c r="FQ187" s="29"/>
      <c r="FR187" s="29"/>
      <c r="FS187" s="29"/>
      <c r="FT187" s="29" t="n">
        <f aca="false">SUM(N187:FS187)</f>
        <v>0</v>
      </c>
      <c r="FU187" s="27" t="n">
        <f aca="false">SUM(L187-FT187)</f>
        <v>32000</v>
      </c>
      <c r="FV187" s="31" t="e">
        <f aca="false">SUM( H187/5)</f>
        <v>#DIV/0!</v>
      </c>
      <c r="FW187" s="31" t="e">
        <f aca="false">SUM( I187/5)</f>
        <v>#DIV/0!</v>
      </c>
      <c r="FX187" s="32" t="e">
        <f aca="false">SUM(FV187/4)</f>
        <v>#DIV/0!</v>
      </c>
      <c r="FY187" s="32" t="e">
        <f aca="false">SUM(FW187/4)</f>
        <v>#DIV/0!</v>
      </c>
    </row>
    <row r="188" customFormat="false" ht="43.5" hidden="false" customHeight="true" outlineLevel="0" collapsed="false">
      <c r="A188" s="24" t="n">
        <v>3231</v>
      </c>
      <c r="B188" s="21" t="s">
        <v>482</v>
      </c>
      <c r="C188" s="21" t="s">
        <v>483</v>
      </c>
      <c r="D188" s="22" t="s">
        <v>484</v>
      </c>
      <c r="E188" s="23" t="n">
        <v>45818</v>
      </c>
      <c r="F188" s="23" t="n">
        <f aca="false">WORKDAY(E188,G188)</f>
        <v>46042</v>
      </c>
      <c r="G188" s="24" t="n">
        <v>160</v>
      </c>
      <c r="H188" s="25" t="n">
        <f aca="false">(FT188* 5)/M188</f>
        <v>80</v>
      </c>
      <c r="I188" s="25" t="n">
        <f aca="false">G188-H188</f>
        <v>80</v>
      </c>
      <c r="J188" s="26" t="s">
        <v>485</v>
      </c>
      <c r="K188" s="27" t="n">
        <v>400000</v>
      </c>
      <c r="L188" s="27" t="n">
        <v>1200000</v>
      </c>
      <c r="M188" s="45" t="n">
        <f aca="false">(L188/G188)*5</f>
        <v>37500</v>
      </c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  <c r="CF188" s="29"/>
      <c r="CG188" s="29"/>
      <c r="CH188" s="29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  <c r="CZ188" s="29"/>
      <c r="DA188" s="29"/>
      <c r="DB188" s="29"/>
      <c r="DC188" s="29"/>
      <c r="DD188" s="29"/>
      <c r="DE188" s="29"/>
      <c r="DF188" s="29"/>
      <c r="DG188" s="29"/>
      <c r="DH188" s="29"/>
      <c r="DI188" s="29"/>
      <c r="DJ188" s="29"/>
      <c r="DK188" s="29"/>
      <c r="DL188" s="29"/>
      <c r="DM188" s="29"/>
      <c r="DN188" s="29"/>
      <c r="DO188" s="29"/>
      <c r="DP188" s="29"/>
      <c r="DQ188" s="29"/>
      <c r="DR188" s="29"/>
      <c r="DS188" s="29"/>
      <c r="DT188" s="29"/>
      <c r="DU188" s="29"/>
      <c r="DV188" s="29"/>
      <c r="DW188" s="29"/>
      <c r="DX188" s="29"/>
      <c r="DY188" s="29"/>
      <c r="DZ188" s="29"/>
      <c r="EA188" s="29"/>
      <c r="EB188" s="29"/>
      <c r="EC188" s="29"/>
      <c r="ED188" s="29"/>
      <c r="EE188" s="29"/>
      <c r="EF188" s="29"/>
      <c r="EG188" s="29"/>
      <c r="EH188" s="29"/>
      <c r="EI188" s="29"/>
      <c r="EJ188" s="29"/>
      <c r="EK188" s="29" t="s">
        <v>184</v>
      </c>
      <c r="EL188" s="29"/>
      <c r="EM188" s="29" t="s">
        <v>184</v>
      </c>
      <c r="EN188" s="29" t="s">
        <v>184</v>
      </c>
      <c r="EO188" s="29"/>
      <c r="EP188" s="29"/>
      <c r="EQ188" s="29"/>
      <c r="ER188" s="29"/>
      <c r="ES188" s="29" t="s">
        <v>184</v>
      </c>
      <c r="ET188" s="29"/>
      <c r="EU188" s="29"/>
      <c r="EV188" s="29"/>
      <c r="EW188" s="29"/>
      <c r="EX188" s="29"/>
      <c r="EY188" s="29"/>
      <c r="EZ188" s="29" t="n">
        <v>150000</v>
      </c>
      <c r="FA188" s="29"/>
      <c r="FB188" s="29"/>
      <c r="FC188" s="29"/>
      <c r="FD188" s="29" t="n">
        <v>150000</v>
      </c>
      <c r="FE188" s="29"/>
      <c r="FF188" s="29"/>
      <c r="FG188" s="29"/>
      <c r="FH188" s="29"/>
      <c r="FI188" s="29"/>
      <c r="FJ188" s="29" t="n">
        <v>150000</v>
      </c>
      <c r="FK188" s="29"/>
      <c r="FL188" s="29"/>
      <c r="FM188" s="29"/>
      <c r="FN188" s="29"/>
      <c r="FO188" s="29" t="n">
        <v>150000</v>
      </c>
      <c r="FP188" s="29"/>
      <c r="FQ188" s="29"/>
      <c r="FR188" s="29"/>
      <c r="FS188" s="29"/>
      <c r="FT188" s="29" t="n">
        <f aca="false">SUM(N188:FS188)</f>
        <v>600000</v>
      </c>
      <c r="FU188" s="27" t="n">
        <f aca="false">SUM(L188-FT188)</f>
        <v>600000</v>
      </c>
      <c r="FV188" s="31" t="n">
        <f aca="false">SUM( H188/5)</f>
        <v>16</v>
      </c>
      <c r="FW188" s="31" t="n">
        <f aca="false">SUM( I188/5)</f>
        <v>16</v>
      </c>
      <c r="FX188" s="32" t="n">
        <f aca="false">SUM(FV188/4)</f>
        <v>4</v>
      </c>
      <c r="FY188" s="32" t="n">
        <f aca="false">SUM(FW188/4)</f>
        <v>4</v>
      </c>
    </row>
    <row r="189" customFormat="false" ht="43.5" hidden="false" customHeight="true" outlineLevel="0" collapsed="false">
      <c r="A189" s="24" t="n">
        <v>3420</v>
      </c>
      <c r="B189" s="21" t="s">
        <v>486</v>
      </c>
      <c r="C189" s="21" t="s">
        <v>476</v>
      </c>
      <c r="D189" s="22"/>
      <c r="E189" s="23" t="n">
        <v>45929</v>
      </c>
      <c r="F189" s="23" t="n">
        <f aca="false">WORKDAY(E189,G189)</f>
        <v>46153</v>
      </c>
      <c r="G189" s="24" t="n">
        <v>160</v>
      </c>
      <c r="H189" s="25" t="n">
        <f aca="false">(FT189* 5)/M189</f>
        <v>20</v>
      </c>
      <c r="I189" s="25" t="n">
        <f aca="false">G189-H189</f>
        <v>140</v>
      </c>
      <c r="J189" s="26" t="s">
        <v>487</v>
      </c>
      <c r="K189" s="58" t="n">
        <v>200000</v>
      </c>
      <c r="L189" s="30" t="n">
        <v>576000</v>
      </c>
      <c r="M189" s="28" t="n">
        <f aca="false">(L189/G189)*5</f>
        <v>18000</v>
      </c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  <c r="CF189" s="29"/>
      <c r="CG189" s="29"/>
      <c r="CH189" s="29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  <c r="CZ189" s="29"/>
      <c r="DA189" s="29"/>
      <c r="DB189" s="29"/>
      <c r="DC189" s="29"/>
      <c r="DD189" s="29"/>
      <c r="DE189" s="29"/>
      <c r="DF189" s="29"/>
      <c r="DG189" s="29"/>
      <c r="DH189" s="29"/>
      <c r="DI189" s="29"/>
      <c r="DJ189" s="29"/>
      <c r="DK189" s="29"/>
      <c r="DL189" s="29"/>
      <c r="DM189" s="29"/>
      <c r="DN189" s="29"/>
      <c r="DO189" s="29"/>
      <c r="DP189" s="29"/>
      <c r="DQ189" s="29"/>
      <c r="DR189" s="29"/>
      <c r="DS189" s="29"/>
      <c r="DT189" s="29"/>
      <c r="DU189" s="29"/>
      <c r="DV189" s="29"/>
      <c r="DW189" s="29"/>
      <c r="DX189" s="29"/>
      <c r="DY189" s="29"/>
      <c r="DZ189" s="29"/>
      <c r="EA189" s="29"/>
      <c r="EB189" s="29"/>
      <c r="EC189" s="29"/>
      <c r="ED189" s="29"/>
      <c r="EE189" s="29"/>
      <c r="EF189" s="29"/>
      <c r="EG189" s="29"/>
      <c r="EH189" s="29"/>
      <c r="EI189" s="29"/>
      <c r="EJ189" s="29"/>
      <c r="EK189" s="29" t="s">
        <v>184</v>
      </c>
      <c r="EL189" s="29"/>
      <c r="EM189" s="29" t="s">
        <v>184</v>
      </c>
      <c r="EN189" s="29" t="s">
        <v>184</v>
      </c>
      <c r="EO189" s="29"/>
      <c r="EP189" s="29"/>
      <c r="EQ189" s="29"/>
      <c r="ER189" s="29"/>
      <c r="ES189" s="29" t="s">
        <v>184</v>
      </c>
      <c r="ET189" s="29"/>
      <c r="EU189" s="29"/>
      <c r="EV189" s="29" t="s">
        <v>184</v>
      </c>
      <c r="EW189" s="29"/>
      <c r="EX189" s="29"/>
      <c r="EY189" s="29"/>
      <c r="EZ189" s="29"/>
      <c r="FA189" s="29"/>
      <c r="FB189" s="29"/>
      <c r="FC189" s="29" t="s">
        <v>184</v>
      </c>
      <c r="FD189" s="29"/>
      <c r="FE189" s="29"/>
      <c r="FF189" s="29"/>
      <c r="FG189" s="29"/>
      <c r="FH189" s="29"/>
      <c r="FI189" s="29"/>
      <c r="FJ189" s="29"/>
      <c r="FK189" s="29"/>
      <c r="FL189" s="29"/>
      <c r="FM189" s="29"/>
      <c r="FN189" s="29"/>
      <c r="FO189" s="29" t="n">
        <v>72000</v>
      </c>
      <c r="FP189" s="29"/>
      <c r="FQ189" s="29"/>
      <c r="FR189" s="29"/>
      <c r="FS189" s="29"/>
      <c r="FT189" s="29" t="n">
        <f aca="false">SUM(N189:FS189)</f>
        <v>72000</v>
      </c>
      <c r="FU189" s="27" t="n">
        <f aca="false">SUM(L189-FT189)</f>
        <v>504000</v>
      </c>
      <c r="FV189" s="31" t="n">
        <f aca="false">SUM( H189/5)</f>
        <v>4</v>
      </c>
      <c r="FW189" s="31" t="n">
        <f aca="false">SUM( I189/5)</f>
        <v>28</v>
      </c>
      <c r="FX189" s="32" t="n">
        <f aca="false">SUM(FV189/4)</f>
        <v>1</v>
      </c>
      <c r="FY189" s="32" t="n">
        <f aca="false">SUM(FW189/4)</f>
        <v>7</v>
      </c>
    </row>
    <row r="190" customFormat="false" ht="43.5" hidden="false" customHeight="true" outlineLevel="0" collapsed="false">
      <c r="A190" s="24" t="n">
        <v>3446</v>
      </c>
      <c r="B190" s="21" t="s">
        <v>486</v>
      </c>
      <c r="C190" s="21" t="s">
        <v>476</v>
      </c>
      <c r="D190" s="22"/>
      <c r="E190" s="23" t="n">
        <v>45825</v>
      </c>
      <c r="F190" s="23" t="n">
        <f aca="false">WORKDAY(E190,G190)</f>
        <v>45937</v>
      </c>
      <c r="G190" s="24" t="n">
        <v>80</v>
      </c>
      <c r="H190" s="25" t="n">
        <f aca="false">(FT190* 5)/M190</f>
        <v>20</v>
      </c>
      <c r="I190" s="25" t="n">
        <f aca="false">G190-H190</f>
        <v>60</v>
      </c>
      <c r="J190" s="26" t="s">
        <v>488</v>
      </c>
      <c r="K190" s="30" t="n">
        <v>100000</v>
      </c>
      <c r="L190" s="30" t="n">
        <v>216000</v>
      </c>
      <c r="M190" s="45" t="n">
        <f aca="false">(L190/G190)*5</f>
        <v>13500</v>
      </c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  <c r="CZ190" s="29"/>
      <c r="DA190" s="29"/>
      <c r="DB190" s="29"/>
      <c r="DC190" s="29"/>
      <c r="DD190" s="29"/>
      <c r="DE190" s="29"/>
      <c r="DF190" s="29"/>
      <c r="DG190" s="29"/>
      <c r="DH190" s="29"/>
      <c r="DI190" s="29"/>
      <c r="DJ190" s="29"/>
      <c r="DK190" s="29"/>
      <c r="DL190" s="29"/>
      <c r="DM190" s="29"/>
      <c r="DN190" s="29"/>
      <c r="DO190" s="29"/>
      <c r="DP190" s="29"/>
      <c r="DQ190" s="29"/>
      <c r="DR190" s="29"/>
      <c r="DS190" s="29"/>
      <c r="DT190" s="29"/>
      <c r="DU190" s="29"/>
      <c r="DV190" s="29"/>
      <c r="DW190" s="29"/>
      <c r="DX190" s="29"/>
      <c r="DY190" s="29"/>
      <c r="DZ190" s="29"/>
      <c r="EA190" s="29"/>
      <c r="EB190" s="29"/>
      <c r="EC190" s="29"/>
      <c r="ED190" s="29"/>
      <c r="EE190" s="29"/>
      <c r="EF190" s="29"/>
      <c r="EG190" s="29"/>
      <c r="EH190" s="29"/>
      <c r="EI190" s="29"/>
      <c r="EJ190" s="29"/>
      <c r="EK190" s="29" t="s">
        <v>184</v>
      </c>
      <c r="EL190" s="29"/>
      <c r="EM190" s="29" t="s">
        <v>184</v>
      </c>
      <c r="EN190" s="29" t="s">
        <v>184</v>
      </c>
      <c r="EO190" s="29"/>
      <c r="EP190" s="29"/>
      <c r="EQ190" s="29"/>
      <c r="ER190" s="29"/>
      <c r="ES190" s="29" t="s">
        <v>184</v>
      </c>
      <c r="ET190" s="29"/>
      <c r="EU190" s="29"/>
      <c r="EV190" s="29" t="s">
        <v>184</v>
      </c>
      <c r="EW190" s="29"/>
      <c r="EX190" s="29"/>
      <c r="EY190" s="29"/>
      <c r="EZ190" s="29"/>
      <c r="FA190" s="29"/>
      <c r="FB190" s="29"/>
      <c r="FC190" s="29" t="s">
        <v>184</v>
      </c>
      <c r="FD190" s="29"/>
      <c r="FE190" s="29"/>
      <c r="FF190" s="29"/>
      <c r="FG190" s="29"/>
      <c r="FH190" s="29"/>
      <c r="FI190" s="29"/>
      <c r="FJ190" s="29"/>
      <c r="FK190" s="29"/>
      <c r="FL190" s="29"/>
      <c r="FM190" s="29"/>
      <c r="FN190" s="29"/>
      <c r="FO190" s="29" t="n">
        <v>54000</v>
      </c>
      <c r="FP190" s="29"/>
      <c r="FQ190" s="29"/>
      <c r="FR190" s="29"/>
      <c r="FS190" s="29"/>
      <c r="FT190" s="29" t="n">
        <f aca="false">SUM(N190:FS190)</f>
        <v>54000</v>
      </c>
      <c r="FU190" s="27" t="n">
        <f aca="false">SUM(L190-FT190)</f>
        <v>162000</v>
      </c>
      <c r="FV190" s="31" t="n">
        <f aca="false">SUM( H190/5)</f>
        <v>4</v>
      </c>
      <c r="FW190" s="31" t="n">
        <f aca="false">SUM( I190/5)</f>
        <v>12</v>
      </c>
      <c r="FX190" s="32" t="n">
        <f aca="false">SUM(FV190/4)</f>
        <v>1</v>
      </c>
      <c r="FY190" s="32" t="n">
        <f aca="false">SUM(FW190/4)</f>
        <v>3</v>
      </c>
    </row>
    <row r="191" customFormat="false" ht="43.5" hidden="false" customHeight="true" outlineLevel="0" collapsed="false">
      <c r="A191" s="24" t="n">
        <v>3358</v>
      </c>
      <c r="B191" s="21" t="s">
        <v>489</v>
      </c>
      <c r="C191" s="21" t="s">
        <v>490</v>
      </c>
      <c r="D191" s="22" t="n">
        <v>20317686979</v>
      </c>
      <c r="E191" s="23" t="n">
        <v>45890</v>
      </c>
      <c r="F191" s="23" t="n">
        <f aca="false">WORKDAY(E191,G191)</f>
        <v>46058</v>
      </c>
      <c r="G191" s="24" t="n">
        <v>120</v>
      </c>
      <c r="H191" s="25" t="n">
        <f aca="false">(FT191* 5)/M191</f>
        <v>60</v>
      </c>
      <c r="I191" s="25" t="n">
        <f aca="false">G191-H191</f>
        <v>60</v>
      </c>
      <c r="J191" s="26" t="s">
        <v>491</v>
      </c>
      <c r="K191" s="27" t="n">
        <v>400000</v>
      </c>
      <c r="L191" s="27" t="n">
        <v>1056000</v>
      </c>
      <c r="M191" s="45" t="n">
        <f aca="false">(L191/G191)*5</f>
        <v>44000</v>
      </c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  <c r="CF191" s="29"/>
      <c r="CG191" s="29"/>
      <c r="CH191" s="29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  <c r="CZ191" s="29"/>
      <c r="DA191" s="29"/>
      <c r="DB191" s="29"/>
      <c r="DC191" s="29"/>
      <c r="DD191" s="29"/>
      <c r="DE191" s="29"/>
      <c r="DF191" s="29"/>
      <c r="DG191" s="29"/>
      <c r="DH191" s="29"/>
      <c r="DI191" s="29"/>
      <c r="DJ191" s="29"/>
      <c r="DK191" s="29"/>
      <c r="DL191" s="29"/>
      <c r="DM191" s="29"/>
      <c r="DN191" s="29"/>
      <c r="DO191" s="29"/>
      <c r="DP191" s="29"/>
      <c r="DQ191" s="29"/>
      <c r="DR191" s="29"/>
      <c r="DS191" s="29"/>
      <c r="DT191" s="29"/>
      <c r="DU191" s="29"/>
      <c r="DV191" s="29"/>
      <c r="DW191" s="29"/>
      <c r="DX191" s="29"/>
      <c r="DY191" s="29"/>
      <c r="DZ191" s="29"/>
      <c r="EA191" s="29"/>
      <c r="EB191" s="29"/>
      <c r="EC191" s="29"/>
      <c r="ED191" s="29"/>
      <c r="EE191" s="29"/>
      <c r="EF191" s="29"/>
      <c r="EG191" s="29"/>
      <c r="EH191" s="29"/>
      <c r="EI191" s="29"/>
      <c r="EJ191" s="29"/>
      <c r="EK191" s="29" t="s">
        <v>184</v>
      </c>
      <c r="EL191" s="29"/>
      <c r="EM191" s="29" t="s">
        <v>184</v>
      </c>
      <c r="EN191" s="29" t="s">
        <v>184</v>
      </c>
      <c r="EO191" s="29"/>
      <c r="EP191" s="29"/>
      <c r="EQ191" s="29"/>
      <c r="ER191" s="29"/>
      <c r="ES191" s="29" t="s">
        <v>184</v>
      </c>
      <c r="ET191" s="29"/>
      <c r="EU191" s="29"/>
      <c r="EV191" s="29" t="s">
        <v>184</v>
      </c>
      <c r="EW191" s="29"/>
      <c r="EX191" s="29"/>
      <c r="EY191" s="29"/>
      <c r="EZ191" s="29"/>
      <c r="FA191" s="29"/>
      <c r="FB191" s="29"/>
      <c r="FC191" s="29" t="s">
        <v>184</v>
      </c>
      <c r="FD191" s="29"/>
      <c r="FE191" s="29"/>
      <c r="FF191" s="29"/>
      <c r="FG191" s="29"/>
      <c r="FH191" s="29"/>
      <c r="FI191" s="29"/>
      <c r="FJ191" s="29" t="n">
        <v>176000</v>
      </c>
      <c r="FK191" s="29"/>
      <c r="FL191" s="29"/>
      <c r="FM191" s="29"/>
      <c r="FN191" s="29" t="n">
        <v>176000</v>
      </c>
      <c r="FO191" s="29"/>
      <c r="FP191" s="29"/>
      <c r="FQ191" s="29"/>
      <c r="FR191" s="29" t="n">
        <v>176000</v>
      </c>
      <c r="FS191" s="29"/>
      <c r="FT191" s="29" t="n">
        <f aca="false">SUM(N191:FS191)</f>
        <v>528000</v>
      </c>
      <c r="FU191" s="27" t="n">
        <f aca="false">SUM(L191-FT191)</f>
        <v>528000</v>
      </c>
      <c r="FV191" s="31" t="n">
        <f aca="false">SUM( H191/5)</f>
        <v>12</v>
      </c>
      <c r="FW191" s="31" t="n">
        <f aca="false">SUM( I191/5)</f>
        <v>12</v>
      </c>
      <c r="FX191" s="32" t="n">
        <f aca="false">SUM(FV191/4)</f>
        <v>3</v>
      </c>
      <c r="FY191" s="32" t="n">
        <f aca="false">SUM(FW191/4)</f>
        <v>3</v>
      </c>
    </row>
    <row r="192" customFormat="false" ht="43.5" hidden="false" customHeight="true" outlineLevel="0" collapsed="false">
      <c r="A192" s="24" t="n">
        <v>3070</v>
      </c>
      <c r="B192" s="21" t="s">
        <v>492</v>
      </c>
      <c r="C192" s="21" t="s">
        <v>493</v>
      </c>
      <c r="D192" s="22"/>
      <c r="E192" s="23" t="n">
        <v>45707</v>
      </c>
      <c r="F192" s="23" t="n">
        <f aca="false">WORKDAY(E192,G192)</f>
        <v>45861</v>
      </c>
      <c r="G192" s="24" t="n">
        <v>110</v>
      </c>
      <c r="H192" s="25" t="n">
        <f aca="false">(FT192* 5)/M192</f>
        <v>90.4861111111111</v>
      </c>
      <c r="I192" s="25" t="n">
        <f aca="false">G192-H192</f>
        <v>19.5138888888889</v>
      </c>
      <c r="J192" s="26" t="s">
        <v>494</v>
      </c>
      <c r="K192" s="27" t="n">
        <v>300000</v>
      </c>
      <c r="L192" s="27" t="n">
        <v>792000</v>
      </c>
      <c r="M192" s="45" t="n">
        <f aca="false">(L192/G192)*5</f>
        <v>36000</v>
      </c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  <c r="CF192" s="29"/>
      <c r="CG192" s="29"/>
      <c r="CH192" s="29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  <c r="CZ192" s="29"/>
      <c r="DA192" s="29"/>
      <c r="DB192" s="29"/>
      <c r="DC192" s="29"/>
      <c r="DD192" s="29"/>
      <c r="DE192" s="29"/>
      <c r="DF192" s="29"/>
      <c r="DG192" s="29"/>
      <c r="DH192" s="29"/>
      <c r="DI192" s="29"/>
      <c r="DJ192" s="29"/>
      <c r="DK192" s="29"/>
      <c r="DL192" s="29"/>
      <c r="DM192" s="29"/>
      <c r="DN192" s="29"/>
      <c r="DO192" s="29"/>
      <c r="DP192" s="29"/>
      <c r="DQ192" s="29"/>
      <c r="DR192" s="29"/>
      <c r="DS192" s="29"/>
      <c r="DT192" s="29"/>
      <c r="DU192" s="29"/>
      <c r="DV192" s="29"/>
      <c r="DW192" s="29"/>
      <c r="DX192" s="29"/>
      <c r="DY192" s="29"/>
      <c r="DZ192" s="29"/>
      <c r="EA192" s="29"/>
      <c r="EB192" s="29"/>
      <c r="EC192" s="29"/>
      <c r="ED192" s="29"/>
      <c r="EE192" s="29"/>
      <c r="EF192" s="29" t="n">
        <v>72000</v>
      </c>
      <c r="EG192" s="29"/>
      <c r="EH192" s="29"/>
      <c r="EI192" s="29" t="n">
        <v>72000</v>
      </c>
      <c r="EJ192" s="29"/>
      <c r="EK192" s="29" t="n">
        <v>72000</v>
      </c>
      <c r="EL192" s="29"/>
      <c r="EM192" s="29" t="n">
        <v>72000</v>
      </c>
      <c r="EN192" s="29"/>
      <c r="EO192" s="29" t="n">
        <v>72000</v>
      </c>
      <c r="EP192" s="29"/>
      <c r="EQ192" s="29"/>
      <c r="ER192" s="29" t="n">
        <v>72000</v>
      </c>
      <c r="ES192" s="29"/>
      <c r="ET192" s="29" t="n">
        <v>72000</v>
      </c>
      <c r="EU192" s="29"/>
      <c r="EV192" s="29"/>
      <c r="EW192" s="29"/>
      <c r="EX192" s="29" t="n">
        <v>40000</v>
      </c>
      <c r="EY192" s="29"/>
      <c r="EZ192" s="29"/>
      <c r="FA192" s="29" t="n">
        <v>10000</v>
      </c>
      <c r="FB192" s="29" t="n">
        <v>10000</v>
      </c>
      <c r="FC192" s="29" t="n">
        <v>10000</v>
      </c>
      <c r="FD192" s="29" t="n">
        <v>10000</v>
      </c>
      <c r="FE192" s="29" t="n">
        <v>10000</v>
      </c>
      <c r="FF192" s="29"/>
      <c r="FG192" s="29" t="n">
        <v>10000</v>
      </c>
      <c r="FH192" s="29"/>
      <c r="FI192" s="29" t="n">
        <v>7500</v>
      </c>
      <c r="FJ192" s="29"/>
      <c r="FK192" s="29" t="n">
        <v>10000</v>
      </c>
      <c r="FL192" s="29"/>
      <c r="FM192" s="29"/>
      <c r="FN192" s="29"/>
      <c r="FO192" s="29" t="n">
        <v>10000</v>
      </c>
      <c r="FP192" s="29" t="n">
        <v>10000</v>
      </c>
      <c r="FQ192" s="29"/>
      <c r="FR192" s="29"/>
      <c r="FS192" s="29" t="n">
        <v>10000</v>
      </c>
      <c r="FT192" s="29" t="n">
        <f aca="false">SUM(N192:FS192)</f>
        <v>651500</v>
      </c>
      <c r="FU192" s="27" t="n">
        <f aca="false">SUM(L192-FT192)</f>
        <v>140500</v>
      </c>
      <c r="FV192" s="31" t="n">
        <f aca="false">SUM( H192/5)</f>
        <v>18.0972222222222</v>
      </c>
      <c r="FW192" s="31" t="n">
        <f aca="false">SUM( I192/5)</f>
        <v>3.90277777777778</v>
      </c>
      <c r="FX192" s="32" t="n">
        <f aca="false">SUM(FV192/4)</f>
        <v>4.52430555555556</v>
      </c>
      <c r="FY192" s="32" t="n">
        <f aca="false">SUM(FW192/4)</f>
        <v>0.975694444444444</v>
      </c>
    </row>
    <row r="193" customFormat="false" ht="43.5" hidden="false" customHeight="true" outlineLevel="0" collapsed="false">
      <c r="A193" s="24" t="n">
        <v>3248</v>
      </c>
      <c r="B193" s="21" t="s">
        <v>492</v>
      </c>
      <c r="C193" s="21" t="s">
        <v>493</v>
      </c>
      <c r="D193" s="22"/>
      <c r="E193" s="23" t="n">
        <v>45826</v>
      </c>
      <c r="F193" s="23" t="n">
        <f aca="false">WORKDAY(E193,G193)</f>
        <v>45926</v>
      </c>
      <c r="G193" s="24" t="n">
        <v>72</v>
      </c>
      <c r="H193" s="25" t="n">
        <f aca="false">(FT193* 5)/M193</f>
        <v>70.2380952380952</v>
      </c>
      <c r="I193" s="25" t="n">
        <f aca="false">G193-H193</f>
        <v>1.76190476190476</v>
      </c>
      <c r="J193" s="34" t="s">
        <v>495</v>
      </c>
      <c r="K193" s="27" t="n">
        <v>70000</v>
      </c>
      <c r="L193" s="27" t="n">
        <v>151200</v>
      </c>
      <c r="M193" s="28" t="n">
        <f aca="false">(L193/G193)*5</f>
        <v>10500</v>
      </c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  <c r="CF193" s="29"/>
      <c r="CG193" s="29"/>
      <c r="CH193" s="29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  <c r="CZ193" s="29"/>
      <c r="DA193" s="29"/>
      <c r="DB193" s="29"/>
      <c r="DC193" s="29"/>
      <c r="DD193" s="29"/>
      <c r="DE193" s="29"/>
      <c r="DF193" s="29"/>
      <c r="DG193" s="29"/>
      <c r="DH193" s="29"/>
      <c r="DI193" s="29"/>
      <c r="DJ193" s="29"/>
      <c r="DK193" s="29"/>
      <c r="DL193" s="29"/>
      <c r="DM193" s="29"/>
      <c r="DN193" s="29"/>
      <c r="DO193" s="29"/>
      <c r="DP193" s="29"/>
      <c r="DQ193" s="29"/>
      <c r="DR193" s="29"/>
      <c r="DS193" s="29"/>
      <c r="DT193" s="29"/>
      <c r="DU193" s="29"/>
      <c r="DV193" s="29"/>
      <c r="DW193" s="29"/>
      <c r="DX193" s="29"/>
      <c r="DY193" s="29"/>
      <c r="DZ193" s="29"/>
      <c r="EA193" s="29"/>
      <c r="EB193" s="29"/>
      <c r="EC193" s="29"/>
      <c r="ED193" s="29"/>
      <c r="EE193" s="29"/>
      <c r="EF193" s="29"/>
      <c r="EG193" s="29"/>
      <c r="EH193" s="29"/>
      <c r="EI193" s="29"/>
      <c r="EJ193" s="29"/>
      <c r="EK193" s="29" t="s">
        <v>184</v>
      </c>
      <c r="EL193" s="29"/>
      <c r="EM193" s="29" t="s">
        <v>184</v>
      </c>
      <c r="EN193" s="29" t="s">
        <v>184</v>
      </c>
      <c r="EO193" s="29"/>
      <c r="EP193" s="29"/>
      <c r="EQ193" s="29"/>
      <c r="ER193" s="29"/>
      <c r="ES193" s="29" t="s">
        <v>184</v>
      </c>
      <c r="ET193" s="29"/>
      <c r="EU193" s="29"/>
      <c r="EV193" s="29"/>
      <c r="EW193" s="29"/>
      <c r="EX193" s="29"/>
      <c r="EY193" s="29"/>
      <c r="EZ193" s="29" t="n">
        <v>40000</v>
      </c>
      <c r="FA193" s="29" t="n">
        <v>10000</v>
      </c>
      <c r="FB193" s="29" t="n">
        <v>10000</v>
      </c>
      <c r="FC193" s="29" t="n">
        <v>10000</v>
      </c>
      <c r="FD193" s="29" t="n">
        <v>10000</v>
      </c>
      <c r="FE193" s="29" t="n">
        <v>10000</v>
      </c>
      <c r="FF193" s="29"/>
      <c r="FG193" s="29" t="n">
        <v>10000</v>
      </c>
      <c r="FH193" s="29"/>
      <c r="FI193" s="29" t="n">
        <v>7500</v>
      </c>
      <c r="FJ193" s="29"/>
      <c r="FK193" s="29" t="n">
        <v>10000</v>
      </c>
      <c r="FL193" s="29"/>
      <c r="FM193" s="29"/>
      <c r="FN193" s="29"/>
      <c r="FO193" s="29" t="n">
        <v>10000</v>
      </c>
      <c r="FP193" s="29" t="n">
        <v>10000</v>
      </c>
      <c r="FQ193" s="29"/>
      <c r="FR193" s="29"/>
      <c r="FS193" s="29" t="n">
        <v>10000</v>
      </c>
      <c r="FT193" s="29" t="n">
        <f aca="false">SUM(N193:FS193)</f>
        <v>147500</v>
      </c>
      <c r="FU193" s="27" t="n">
        <f aca="false">SUM(L193-FT193)</f>
        <v>3700</v>
      </c>
      <c r="FV193" s="31" t="n">
        <f aca="false">SUM( H193/5)</f>
        <v>14.047619047619</v>
      </c>
      <c r="FW193" s="31" t="n">
        <f aca="false">SUM( I193/5)</f>
        <v>0.352380952380952</v>
      </c>
      <c r="FX193" s="32" t="n">
        <f aca="false">SUM(FV193/4)</f>
        <v>3.51190476190476</v>
      </c>
      <c r="FY193" s="32" t="n">
        <f aca="false">SUM(FW193/4)</f>
        <v>0.088095238095238</v>
      </c>
    </row>
    <row r="194" customFormat="false" ht="43.5" hidden="false" customHeight="true" outlineLevel="0" collapsed="false">
      <c r="A194" s="24" t="n">
        <v>3387</v>
      </c>
      <c r="B194" s="21" t="s">
        <v>496</v>
      </c>
      <c r="C194" s="21" t="s">
        <v>497</v>
      </c>
      <c r="D194" s="22"/>
      <c r="E194" s="23" t="n">
        <v>45909</v>
      </c>
      <c r="F194" s="23" t="n">
        <f aca="false">WORKDAY(E194,G194)</f>
        <v>46133</v>
      </c>
      <c r="G194" s="24" t="n">
        <v>160</v>
      </c>
      <c r="H194" s="25" t="n">
        <f aca="false">(FT194* 5)/M194</f>
        <v>40</v>
      </c>
      <c r="I194" s="25" t="n">
        <f aca="false">G194-H194</f>
        <v>120</v>
      </c>
      <c r="J194" s="26" t="s">
        <v>498</v>
      </c>
      <c r="K194" s="27" t="n">
        <v>1000000</v>
      </c>
      <c r="L194" s="27" t="n">
        <v>2880000</v>
      </c>
      <c r="M194" s="28" t="n">
        <f aca="false">(L194/G194)*5</f>
        <v>90000</v>
      </c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  <c r="CF194" s="29"/>
      <c r="CG194" s="29"/>
      <c r="CH194" s="29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  <c r="CZ194" s="29"/>
      <c r="DA194" s="29"/>
      <c r="DB194" s="29"/>
      <c r="DC194" s="29"/>
      <c r="DD194" s="29"/>
      <c r="DE194" s="29"/>
      <c r="DF194" s="29"/>
      <c r="DG194" s="29"/>
      <c r="DH194" s="29"/>
      <c r="DI194" s="29"/>
      <c r="DJ194" s="29"/>
      <c r="DK194" s="29"/>
      <c r="DL194" s="29"/>
      <c r="DM194" s="29"/>
      <c r="DN194" s="29"/>
      <c r="DO194" s="29"/>
      <c r="DP194" s="29"/>
      <c r="DQ194" s="29"/>
      <c r="DR194" s="29"/>
      <c r="DS194" s="29"/>
      <c r="DT194" s="29"/>
      <c r="DU194" s="29"/>
      <c r="DV194" s="29"/>
      <c r="DW194" s="29"/>
      <c r="DX194" s="29"/>
      <c r="DY194" s="29"/>
      <c r="DZ194" s="29"/>
      <c r="EA194" s="29"/>
      <c r="EB194" s="29"/>
      <c r="EC194" s="29"/>
      <c r="ED194" s="29"/>
      <c r="EE194" s="29"/>
      <c r="EF194" s="29"/>
      <c r="EG194" s="29"/>
      <c r="EH194" s="29"/>
      <c r="EI194" s="29"/>
      <c r="EJ194" s="29"/>
      <c r="EK194" s="29" t="s">
        <v>184</v>
      </c>
      <c r="EL194" s="29"/>
      <c r="EM194" s="29" t="s">
        <v>184</v>
      </c>
      <c r="EN194" s="29" t="s">
        <v>184</v>
      </c>
      <c r="EO194" s="29"/>
      <c r="EP194" s="29"/>
      <c r="EQ194" s="29"/>
      <c r="ER194" s="29"/>
      <c r="ES194" s="29" t="s">
        <v>184</v>
      </c>
      <c r="ET194" s="29"/>
      <c r="EU194" s="29"/>
      <c r="EV194" s="29" t="s">
        <v>184</v>
      </c>
      <c r="EW194" s="29"/>
      <c r="EX194" s="29"/>
      <c r="EY194" s="29"/>
      <c r="EZ194" s="29"/>
      <c r="FA194" s="29"/>
      <c r="FB194" s="29"/>
      <c r="FC194" s="29" t="s">
        <v>184</v>
      </c>
      <c r="FD194" s="29"/>
      <c r="FE194" s="29"/>
      <c r="FF194" s="29"/>
      <c r="FG194" s="29"/>
      <c r="FH194" s="29"/>
      <c r="FI194" s="29"/>
      <c r="FJ194" s="29" t="n">
        <v>360000</v>
      </c>
      <c r="FK194" s="29"/>
      <c r="FL194" s="29"/>
      <c r="FM194" s="29"/>
      <c r="FN194" s="29"/>
      <c r="FO194" s="29" t="n">
        <v>360000</v>
      </c>
      <c r="FP194" s="29"/>
      <c r="FQ194" s="29"/>
      <c r="FR194" s="29"/>
      <c r="FS194" s="29"/>
      <c r="FT194" s="29" t="n">
        <f aca="false">SUM(N194:FS194)</f>
        <v>720000</v>
      </c>
      <c r="FU194" s="27" t="n">
        <f aca="false">SUM(L194-FT194)</f>
        <v>2160000</v>
      </c>
      <c r="FV194" s="31" t="n">
        <f aca="false">SUM( H194/5)</f>
        <v>8</v>
      </c>
      <c r="FW194" s="31" t="n">
        <f aca="false">SUM( I194/5)</f>
        <v>24</v>
      </c>
      <c r="FX194" s="32" t="n">
        <f aca="false">SUM(FV194/4)</f>
        <v>2</v>
      </c>
      <c r="FY194" s="32" t="n">
        <f aca="false">SUM(FW194/4)</f>
        <v>6</v>
      </c>
    </row>
    <row r="195" customFormat="false" ht="43.5" hidden="false" customHeight="true" outlineLevel="0" collapsed="false">
      <c r="A195" s="24" t="n">
        <v>3337</v>
      </c>
      <c r="B195" s="69" t="s">
        <v>499</v>
      </c>
      <c r="C195" s="22" t="s">
        <v>500</v>
      </c>
      <c r="D195" s="70" t="n">
        <v>24324078</v>
      </c>
      <c r="E195" s="71" t="n">
        <v>45877</v>
      </c>
      <c r="F195" s="23" t="n">
        <f aca="false">WORKDAY(E195,G195)</f>
        <v>46157</v>
      </c>
      <c r="G195" s="72" t="n">
        <v>200</v>
      </c>
      <c r="H195" s="25" t="n">
        <f aca="false">(FT195* 5)/M195</f>
        <v>33.5164835164835</v>
      </c>
      <c r="I195" s="25" t="n">
        <f aca="false">G195-H195</f>
        <v>166.483516483517</v>
      </c>
      <c r="J195" s="69" t="s">
        <v>501</v>
      </c>
      <c r="K195" s="30" t="n">
        <v>700000</v>
      </c>
      <c r="L195" s="30" t="n">
        <v>2184000</v>
      </c>
      <c r="M195" s="28" t="n">
        <f aca="false">(L195/G195)*5</f>
        <v>54600</v>
      </c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  <c r="CF195" s="29"/>
      <c r="CG195" s="29"/>
      <c r="CH195" s="29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  <c r="CZ195" s="29"/>
      <c r="DA195" s="29"/>
      <c r="DB195" s="29"/>
      <c r="DC195" s="29"/>
      <c r="DD195" s="29"/>
      <c r="DE195" s="29"/>
      <c r="DF195" s="29"/>
      <c r="DG195" s="29"/>
      <c r="DH195" s="29"/>
      <c r="DI195" s="29"/>
      <c r="DJ195" s="29"/>
      <c r="DK195" s="29"/>
      <c r="DL195" s="29"/>
      <c r="DM195" s="29"/>
      <c r="DN195" s="29"/>
      <c r="DO195" s="29"/>
      <c r="DP195" s="29"/>
      <c r="DQ195" s="29"/>
      <c r="DR195" s="29"/>
      <c r="DS195" s="29"/>
      <c r="DT195" s="29"/>
      <c r="DU195" s="29"/>
      <c r="DV195" s="29"/>
      <c r="DW195" s="29"/>
      <c r="DX195" s="29"/>
      <c r="DY195" s="29"/>
      <c r="DZ195" s="29"/>
      <c r="EA195" s="29"/>
      <c r="EB195" s="29"/>
      <c r="EC195" s="29"/>
      <c r="ED195" s="29"/>
      <c r="EE195" s="29"/>
      <c r="EF195" s="29"/>
      <c r="EG195" s="29"/>
      <c r="EH195" s="29"/>
      <c r="EI195" s="29"/>
      <c r="EJ195" s="29"/>
      <c r="EK195" s="29" t="s">
        <v>184</v>
      </c>
      <c r="EL195" s="29"/>
      <c r="EM195" s="29" t="s">
        <v>184</v>
      </c>
      <c r="EN195" s="29" t="s">
        <v>184</v>
      </c>
      <c r="EO195" s="29"/>
      <c r="EP195" s="29"/>
      <c r="EQ195" s="29"/>
      <c r="ER195" s="29"/>
      <c r="ES195" s="29" t="s">
        <v>184</v>
      </c>
      <c r="ET195" s="29"/>
      <c r="EU195" s="29"/>
      <c r="EV195" s="29" t="s">
        <v>184</v>
      </c>
      <c r="EW195" s="29"/>
      <c r="EX195" s="29"/>
      <c r="EY195" s="29"/>
      <c r="EZ195" s="29"/>
      <c r="FA195" s="29"/>
      <c r="FB195" s="29"/>
      <c r="FC195" s="29"/>
      <c r="FD195" s="29"/>
      <c r="FE195" s="29"/>
      <c r="FF195" s="29" t="n">
        <v>100000</v>
      </c>
      <c r="FG195" s="29" t="n">
        <v>60000</v>
      </c>
      <c r="FH195" s="29"/>
      <c r="FI195" s="29"/>
      <c r="FJ195" s="29" t="n">
        <v>46000</v>
      </c>
      <c r="FK195" s="29"/>
      <c r="FL195" s="29"/>
      <c r="FM195" s="29" t="n">
        <v>60000</v>
      </c>
      <c r="FN195" s="29"/>
      <c r="FO195" s="29"/>
      <c r="FP195" s="29"/>
      <c r="FQ195" s="29"/>
      <c r="FR195" s="29" t="n">
        <v>100000</v>
      </c>
      <c r="FS195" s="29"/>
      <c r="FT195" s="29" t="n">
        <f aca="false">SUM(N195:FS195)</f>
        <v>366000</v>
      </c>
      <c r="FU195" s="27" t="n">
        <f aca="false">SUM(L195-FT195)</f>
        <v>1818000</v>
      </c>
      <c r="FV195" s="31" t="n">
        <f aca="false">SUM( H195/5)</f>
        <v>6.7032967032967</v>
      </c>
      <c r="FW195" s="31" t="n">
        <f aca="false">SUM( I195/5)</f>
        <v>33.2967032967033</v>
      </c>
      <c r="FX195" s="32" t="n">
        <f aca="false">SUM(FV195/4)</f>
        <v>1.67582417582418</v>
      </c>
      <c r="FY195" s="32" t="n">
        <f aca="false">SUM(FW195/4)</f>
        <v>8.32417582417583</v>
      </c>
    </row>
    <row r="196" customFormat="false" ht="43.5" hidden="false" customHeight="true" outlineLevel="0" collapsed="false">
      <c r="A196" s="24" t="n">
        <v>3390</v>
      </c>
      <c r="B196" s="21" t="s">
        <v>502</v>
      </c>
      <c r="C196" s="21" t="s">
        <v>503</v>
      </c>
      <c r="D196" s="48"/>
      <c r="E196" s="23" t="n">
        <v>45912</v>
      </c>
      <c r="F196" s="23" t="n">
        <f aca="false">WORKDAY(E196,G196)</f>
        <v>46080</v>
      </c>
      <c r="G196" s="37" t="n">
        <v>120</v>
      </c>
      <c r="H196" s="25" t="n">
        <f aca="false">(FT196* 5)/M196</f>
        <v>60</v>
      </c>
      <c r="I196" s="25" t="n">
        <f aca="false">G196-H196</f>
        <v>60</v>
      </c>
      <c r="J196" s="35" t="s">
        <v>504</v>
      </c>
      <c r="K196" s="27" t="n">
        <v>500000</v>
      </c>
      <c r="L196" s="27" t="n">
        <v>1320000</v>
      </c>
      <c r="M196" s="28" t="n">
        <f aca="false">(L196/G196)*5</f>
        <v>55000</v>
      </c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  <c r="CF196" s="29"/>
      <c r="CG196" s="29"/>
      <c r="CH196" s="29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  <c r="CZ196" s="29"/>
      <c r="DA196" s="29"/>
      <c r="DB196" s="29"/>
      <c r="DC196" s="29"/>
      <c r="DD196" s="29"/>
      <c r="DE196" s="29"/>
      <c r="DF196" s="29"/>
      <c r="DG196" s="29"/>
      <c r="DH196" s="29"/>
      <c r="DI196" s="29"/>
      <c r="DJ196" s="29"/>
      <c r="DK196" s="29"/>
      <c r="DL196" s="29"/>
      <c r="DM196" s="29"/>
      <c r="DN196" s="29"/>
      <c r="DO196" s="29"/>
      <c r="DP196" s="29"/>
      <c r="DQ196" s="29"/>
      <c r="DR196" s="29"/>
      <c r="DS196" s="29"/>
      <c r="DT196" s="29"/>
      <c r="DU196" s="29"/>
      <c r="DV196" s="29"/>
      <c r="DW196" s="29"/>
      <c r="DX196" s="29"/>
      <c r="DY196" s="29"/>
      <c r="DZ196" s="29"/>
      <c r="EA196" s="29"/>
      <c r="EB196" s="29"/>
      <c r="EC196" s="29"/>
      <c r="ED196" s="29"/>
      <c r="EE196" s="29"/>
      <c r="EF196" s="29"/>
      <c r="EG196" s="29"/>
      <c r="EH196" s="29"/>
      <c r="EI196" s="29"/>
      <c r="EJ196" s="29"/>
      <c r="EK196" s="29" t="s">
        <v>184</v>
      </c>
      <c r="EL196" s="29"/>
      <c r="EM196" s="29" t="s">
        <v>184</v>
      </c>
      <c r="EN196" s="29" t="s">
        <v>184</v>
      </c>
      <c r="EO196" s="29"/>
      <c r="EP196" s="29"/>
      <c r="EQ196" s="29"/>
      <c r="ER196" s="29"/>
      <c r="ES196" s="29" t="s">
        <v>184</v>
      </c>
      <c r="ET196" s="29"/>
      <c r="EU196" s="29"/>
      <c r="EV196" s="29" t="s">
        <v>184</v>
      </c>
      <c r="EW196" s="29"/>
      <c r="EX196" s="29"/>
      <c r="EY196" s="29"/>
      <c r="EZ196" s="29"/>
      <c r="FA196" s="29"/>
      <c r="FB196" s="29"/>
      <c r="FC196" s="29" t="s">
        <v>184</v>
      </c>
      <c r="FD196" s="29"/>
      <c r="FE196" s="29"/>
      <c r="FF196" s="29"/>
      <c r="FG196" s="29"/>
      <c r="FH196" s="29"/>
      <c r="FI196" s="29"/>
      <c r="FJ196" s="29"/>
      <c r="FK196" s="29" t="n">
        <v>220000</v>
      </c>
      <c r="FL196" s="29"/>
      <c r="FM196" s="29"/>
      <c r="FN196" s="29"/>
      <c r="FO196" s="29"/>
      <c r="FP196" s="29" t="n">
        <v>220000</v>
      </c>
      <c r="FQ196" s="29" t="n">
        <v>220000</v>
      </c>
      <c r="FR196" s="29"/>
      <c r="FS196" s="29"/>
      <c r="FT196" s="29" t="n">
        <f aca="false">SUM(N196:FS196)</f>
        <v>660000</v>
      </c>
      <c r="FU196" s="27" t="n">
        <f aca="false">SUM(L196-FT196)</f>
        <v>660000</v>
      </c>
      <c r="FV196" s="31" t="n">
        <f aca="false">SUM( H196/5)</f>
        <v>12</v>
      </c>
      <c r="FW196" s="31" t="n">
        <f aca="false">SUM( I196/5)</f>
        <v>12</v>
      </c>
      <c r="FX196" s="32" t="n">
        <f aca="false">SUM(FV196/4)</f>
        <v>3</v>
      </c>
      <c r="FY196" s="32" t="n">
        <f aca="false">SUM(FW196/4)</f>
        <v>3</v>
      </c>
    </row>
    <row r="197" customFormat="false" ht="43.5" hidden="false" customHeight="true" outlineLevel="0" collapsed="false">
      <c r="A197" s="24" t="n">
        <v>3201</v>
      </c>
      <c r="B197" s="21" t="s">
        <v>505</v>
      </c>
      <c r="C197" s="21" t="s">
        <v>506</v>
      </c>
      <c r="D197" s="22"/>
      <c r="E197" s="23" t="n">
        <v>45794</v>
      </c>
      <c r="F197" s="23" t="n">
        <f aca="false">WORKDAY(E197,G197)</f>
        <v>46017</v>
      </c>
      <c r="G197" s="24" t="n">
        <v>160</v>
      </c>
      <c r="H197" s="25" t="n">
        <f aca="false">(FT197* 5)/M197</f>
        <v>100</v>
      </c>
      <c r="I197" s="25" t="n">
        <f aca="false">G197-H197</f>
        <v>60</v>
      </c>
      <c r="J197" s="26" t="s">
        <v>507</v>
      </c>
      <c r="K197" s="30" t="n">
        <v>170000</v>
      </c>
      <c r="L197" s="30" t="n">
        <v>510000</v>
      </c>
      <c r="M197" s="28" t="n">
        <f aca="false">(L197/G197)*5</f>
        <v>15937.5</v>
      </c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  <c r="CF197" s="29"/>
      <c r="CG197" s="29"/>
      <c r="CH197" s="29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  <c r="CZ197" s="29"/>
      <c r="DA197" s="29"/>
      <c r="DB197" s="29"/>
      <c r="DC197" s="29"/>
      <c r="DD197" s="29"/>
      <c r="DE197" s="29"/>
      <c r="DF197" s="29"/>
      <c r="DG197" s="29"/>
      <c r="DH197" s="29"/>
      <c r="DI197" s="29"/>
      <c r="DJ197" s="29"/>
      <c r="DK197" s="29"/>
      <c r="DL197" s="29"/>
      <c r="DM197" s="29"/>
      <c r="DN197" s="29"/>
      <c r="DO197" s="29"/>
      <c r="DP197" s="29"/>
      <c r="DQ197" s="29"/>
      <c r="DR197" s="29"/>
      <c r="DS197" s="29"/>
      <c r="DT197" s="29"/>
      <c r="DU197" s="29"/>
      <c r="DV197" s="29"/>
      <c r="DW197" s="29"/>
      <c r="DX197" s="29"/>
      <c r="DY197" s="29"/>
      <c r="DZ197" s="29"/>
      <c r="EA197" s="29"/>
      <c r="EB197" s="29"/>
      <c r="EC197" s="29"/>
      <c r="ED197" s="29"/>
      <c r="EE197" s="29"/>
      <c r="EF197" s="29"/>
      <c r="EG197" s="29"/>
      <c r="EH197" s="29"/>
      <c r="EI197" s="29"/>
      <c r="EJ197" s="29"/>
      <c r="EK197" s="29" t="s">
        <v>184</v>
      </c>
      <c r="EL197" s="29"/>
      <c r="EM197" s="29" t="s">
        <v>184</v>
      </c>
      <c r="EN197" s="29" t="s">
        <v>184</v>
      </c>
      <c r="EO197" s="29"/>
      <c r="EP197" s="29"/>
      <c r="EQ197" s="29"/>
      <c r="ER197" s="29"/>
      <c r="ES197" s="29"/>
      <c r="ET197" s="29"/>
      <c r="EU197" s="29" t="n">
        <v>63750</v>
      </c>
      <c r="EV197" s="29"/>
      <c r="EW197" s="29"/>
      <c r="EX197" s="29"/>
      <c r="EY197" s="29" t="n">
        <v>63750</v>
      </c>
      <c r="EZ197" s="29"/>
      <c r="FA197" s="29"/>
      <c r="FB197" s="29"/>
      <c r="FC197" s="29"/>
      <c r="FD197" s="29" t="n">
        <v>63750</v>
      </c>
      <c r="FE197" s="29"/>
      <c r="FF197" s="29"/>
      <c r="FG197" s="29"/>
      <c r="FH197" s="29" t="n">
        <v>63750</v>
      </c>
      <c r="FI197" s="29"/>
      <c r="FJ197" s="29"/>
      <c r="FK197" s="29"/>
      <c r="FL197" s="29" t="n">
        <v>63750</v>
      </c>
      <c r="FM197" s="29"/>
      <c r="FN197" s="29"/>
      <c r="FO197" s="29"/>
      <c r="FP197" s="29"/>
      <c r="FQ197" s="29"/>
      <c r="FR197" s="29"/>
      <c r="FS197" s="29"/>
      <c r="FT197" s="29" t="n">
        <f aca="false">SUM(N197:FS197)</f>
        <v>318750</v>
      </c>
      <c r="FU197" s="27" t="n">
        <f aca="false">SUM(L197-FT197)</f>
        <v>191250</v>
      </c>
      <c r="FV197" s="31" t="n">
        <f aca="false">SUM( H197/5)</f>
        <v>20</v>
      </c>
      <c r="FW197" s="31" t="n">
        <f aca="false">SUM( I197/5)</f>
        <v>12</v>
      </c>
      <c r="FX197" s="32" t="n">
        <f aca="false">SUM(FV197/4)</f>
        <v>5</v>
      </c>
      <c r="FY197" s="32" t="n">
        <f aca="false">SUM(FW197/4)</f>
        <v>3</v>
      </c>
    </row>
    <row r="198" customFormat="false" ht="43.5" hidden="false" customHeight="true" outlineLevel="0" collapsed="false">
      <c r="A198" s="24" t="n">
        <v>3256</v>
      </c>
      <c r="B198" s="21" t="s">
        <v>505</v>
      </c>
      <c r="C198" s="21" t="s">
        <v>506</v>
      </c>
      <c r="D198" s="22"/>
      <c r="E198" s="23" t="n">
        <v>45830</v>
      </c>
      <c r="F198" s="23" t="n">
        <f aca="false">WORKDAY(E198,G198)</f>
        <v>45982</v>
      </c>
      <c r="G198" s="24" t="n">
        <v>110</v>
      </c>
      <c r="H198" s="25" t="n">
        <f aca="false">(FT198* 5)/M198</f>
        <v>65</v>
      </c>
      <c r="I198" s="25" t="n">
        <f aca="false">G198-H198</f>
        <v>45</v>
      </c>
      <c r="J198" s="34" t="s">
        <v>508</v>
      </c>
      <c r="K198" s="33" t="n">
        <v>200000</v>
      </c>
      <c r="L198" s="27" t="n">
        <v>528000</v>
      </c>
      <c r="M198" s="45" t="n">
        <f aca="false">(L198/G198)*5</f>
        <v>24000</v>
      </c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  <c r="CF198" s="29"/>
      <c r="CG198" s="29"/>
      <c r="CH198" s="29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  <c r="CZ198" s="29"/>
      <c r="DA198" s="29"/>
      <c r="DB198" s="29"/>
      <c r="DC198" s="29"/>
      <c r="DD198" s="29"/>
      <c r="DE198" s="29"/>
      <c r="DF198" s="29"/>
      <c r="DG198" s="29"/>
      <c r="DH198" s="29"/>
      <c r="DI198" s="29"/>
      <c r="DJ198" s="29"/>
      <c r="DK198" s="29"/>
      <c r="DL198" s="29"/>
      <c r="DM198" s="29"/>
      <c r="DN198" s="29"/>
      <c r="DO198" s="29"/>
      <c r="DP198" s="29"/>
      <c r="DQ198" s="29"/>
      <c r="DR198" s="29"/>
      <c r="DS198" s="29"/>
      <c r="DT198" s="29"/>
      <c r="DU198" s="29"/>
      <c r="DV198" s="29"/>
      <c r="DW198" s="29"/>
      <c r="DX198" s="29"/>
      <c r="DY198" s="29"/>
      <c r="DZ198" s="29"/>
      <c r="EA198" s="29"/>
      <c r="EB198" s="29"/>
      <c r="EC198" s="29"/>
      <c r="ED198" s="29"/>
      <c r="EE198" s="29"/>
      <c r="EF198" s="29"/>
      <c r="EG198" s="29"/>
      <c r="EH198" s="29"/>
      <c r="EI198" s="29"/>
      <c r="EJ198" s="29"/>
      <c r="EK198" s="29" t="s">
        <v>184</v>
      </c>
      <c r="EL198" s="29"/>
      <c r="EM198" s="29" t="s">
        <v>184</v>
      </c>
      <c r="EN198" s="29" t="s">
        <v>184</v>
      </c>
      <c r="EO198" s="29"/>
      <c r="EP198" s="29"/>
      <c r="EQ198" s="29"/>
      <c r="ER198" s="29"/>
      <c r="ES198" s="29" t="s">
        <v>184</v>
      </c>
      <c r="ET198" s="29"/>
      <c r="EU198" s="29"/>
      <c r="EV198" s="29" t="n">
        <v>24000</v>
      </c>
      <c r="EW198" s="29"/>
      <c r="EX198" s="29" t="n">
        <v>24000</v>
      </c>
      <c r="EY198" s="29" t="n">
        <v>24000</v>
      </c>
      <c r="EZ198" s="29"/>
      <c r="FA198" s="29" t="n">
        <v>48000</v>
      </c>
      <c r="FB198" s="29"/>
      <c r="FC198" s="29" t="n">
        <v>24000</v>
      </c>
      <c r="FD198" s="29"/>
      <c r="FE198" s="29"/>
      <c r="FF198" s="29"/>
      <c r="FG198" s="29" t="n">
        <v>24000</v>
      </c>
      <c r="FH198" s="29"/>
      <c r="FI198" s="29" t="n">
        <v>24000</v>
      </c>
      <c r="FJ198" s="29" t="n">
        <v>24000</v>
      </c>
      <c r="FK198" s="29"/>
      <c r="FL198" s="29"/>
      <c r="FM198" s="29" t="n">
        <v>24000</v>
      </c>
      <c r="FN198" s="29" t="n">
        <v>24000</v>
      </c>
      <c r="FO198" s="29"/>
      <c r="FP198" s="29"/>
      <c r="FQ198" s="29" t="n">
        <v>24000</v>
      </c>
      <c r="FR198" s="29" t="n">
        <v>24000</v>
      </c>
      <c r="FS198" s="29"/>
      <c r="FT198" s="29" t="n">
        <f aca="false">SUM(N198:FS198)</f>
        <v>312000</v>
      </c>
      <c r="FU198" s="27" t="n">
        <f aca="false">SUM(L198-FT198)</f>
        <v>216000</v>
      </c>
      <c r="FV198" s="31" t="n">
        <f aca="false">SUM( H198/5)</f>
        <v>13</v>
      </c>
      <c r="FW198" s="31" t="n">
        <f aca="false">SUM( I198/5)</f>
        <v>9</v>
      </c>
      <c r="FX198" s="32" t="n">
        <f aca="false">SUM(FV198/4)</f>
        <v>3.25</v>
      </c>
      <c r="FY198" s="32" t="n">
        <f aca="false">SUM(FW198/4)</f>
        <v>2.25</v>
      </c>
    </row>
    <row r="199" customFormat="false" ht="43.5" hidden="false" customHeight="true" outlineLevel="0" collapsed="false">
      <c r="A199" s="24" t="n">
        <v>3282</v>
      </c>
      <c r="B199" s="21" t="s">
        <v>505</v>
      </c>
      <c r="C199" s="21" t="s">
        <v>506</v>
      </c>
      <c r="D199" s="22"/>
      <c r="E199" s="23" t="n">
        <v>45849</v>
      </c>
      <c r="F199" s="23" t="n">
        <f aca="false">WORKDAY(E199,G199)</f>
        <v>46003</v>
      </c>
      <c r="G199" s="24" t="n">
        <v>110</v>
      </c>
      <c r="H199" s="25" t="n">
        <f aca="false">(FT199* 5)/M199</f>
        <v>50</v>
      </c>
      <c r="I199" s="25" t="n">
        <f aca="false">G199-H199</f>
        <v>60</v>
      </c>
      <c r="J199" s="34" t="s">
        <v>509</v>
      </c>
      <c r="K199" s="30" t="n">
        <v>250000</v>
      </c>
      <c r="L199" s="30" t="n">
        <v>660000</v>
      </c>
      <c r="M199" s="28" t="n">
        <f aca="false">(L199/G199)*5</f>
        <v>30000</v>
      </c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  <c r="CF199" s="29"/>
      <c r="CG199" s="29"/>
      <c r="CH199" s="29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  <c r="CZ199" s="29"/>
      <c r="DA199" s="29"/>
      <c r="DB199" s="29"/>
      <c r="DC199" s="29"/>
      <c r="DD199" s="29"/>
      <c r="DE199" s="29"/>
      <c r="DF199" s="29"/>
      <c r="DG199" s="29"/>
      <c r="DH199" s="29"/>
      <c r="DI199" s="29"/>
      <c r="DJ199" s="29"/>
      <c r="DK199" s="29"/>
      <c r="DL199" s="29"/>
      <c r="DM199" s="29"/>
      <c r="DN199" s="29"/>
      <c r="DO199" s="29"/>
      <c r="DP199" s="29"/>
      <c r="DQ199" s="29"/>
      <c r="DR199" s="29"/>
      <c r="DS199" s="29"/>
      <c r="DT199" s="29"/>
      <c r="DU199" s="29"/>
      <c r="DV199" s="29"/>
      <c r="DW199" s="29"/>
      <c r="DX199" s="29"/>
      <c r="DY199" s="29"/>
      <c r="DZ199" s="29"/>
      <c r="EA199" s="29"/>
      <c r="EB199" s="29"/>
      <c r="EC199" s="29"/>
      <c r="ED199" s="29"/>
      <c r="EE199" s="29"/>
      <c r="EF199" s="29"/>
      <c r="EG199" s="29"/>
      <c r="EH199" s="29"/>
      <c r="EI199" s="29"/>
      <c r="EJ199" s="29"/>
      <c r="EK199" s="29" t="s">
        <v>184</v>
      </c>
      <c r="EL199" s="29"/>
      <c r="EM199" s="29" t="s">
        <v>184</v>
      </c>
      <c r="EN199" s="29" t="s">
        <v>184</v>
      </c>
      <c r="EO199" s="29"/>
      <c r="EP199" s="29"/>
      <c r="EQ199" s="29"/>
      <c r="ER199" s="29"/>
      <c r="ES199" s="29" t="s">
        <v>184</v>
      </c>
      <c r="ET199" s="29"/>
      <c r="EU199" s="29"/>
      <c r="EV199" s="29" t="s">
        <v>184</v>
      </c>
      <c r="EW199" s="29"/>
      <c r="EX199" s="29"/>
      <c r="EY199" s="29"/>
      <c r="EZ199" s="29" t="n">
        <v>30000</v>
      </c>
      <c r="FA199" s="29" t="n">
        <v>30000</v>
      </c>
      <c r="FB199" s="29"/>
      <c r="FC199" s="29" t="n">
        <v>30000</v>
      </c>
      <c r="FD199" s="29"/>
      <c r="FE199" s="29"/>
      <c r="FF199" s="29"/>
      <c r="FG199" s="29" t="n">
        <v>30000</v>
      </c>
      <c r="FH199" s="29"/>
      <c r="FI199" s="29" t="n">
        <v>30000</v>
      </c>
      <c r="FJ199" s="29" t="n">
        <v>30000</v>
      </c>
      <c r="FK199" s="29"/>
      <c r="FL199" s="29"/>
      <c r="FM199" s="29" t="n">
        <v>30000</v>
      </c>
      <c r="FN199" s="29" t="n">
        <v>30000</v>
      </c>
      <c r="FO199" s="29"/>
      <c r="FP199" s="29"/>
      <c r="FQ199" s="29" t="n">
        <v>30000</v>
      </c>
      <c r="FR199" s="29" t="n">
        <v>30000</v>
      </c>
      <c r="FS199" s="29"/>
      <c r="FT199" s="29" t="n">
        <f aca="false">SUM(N199:FS199)</f>
        <v>300000</v>
      </c>
      <c r="FU199" s="27" t="n">
        <f aca="false">SUM(L199-FT199)</f>
        <v>360000</v>
      </c>
      <c r="FV199" s="31" t="n">
        <f aca="false">SUM( H199/5)</f>
        <v>10</v>
      </c>
      <c r="FW199" s="31" t="n">
        <f aca="false">SUM( I199/5)</f>
        <v>12</v>
      </c>
      <c r="FX199" s="32" t="n">
        <f aca="false">SUM(FV199/4)</f>
        <v>2.5</v>
      </c>
      <c r="FY199" s="32" t="n">
        <f aca="false">SUM(FW199/4)</f>
        <v>3</v>
      </c>
    </row>
    <row r="200" customFormat="false" ht="43.5" hidden="false" customHeight="true" outlineLevel="0" collapsed="false">
      <c r="A200" s="24" t="n">
        <v>3302</v>
      </c>
      <c r="B200" s="21" t="s">
        <v>505</v>
      </c>
      <c r="C200" s="21" t="s">
        <v>506</v>
      </c>
      <c r="D200" s="22"/>
      <c r="E200" s="23" t="n">
        <v>45859</v>
      </c>
      <c r="F200" s="23" t="n">
        <f aca="false">WORKDAY(E200,G200)</f>
        <v>46139</v>
      </c>
      <c r="G200" s="24" t="n">
        <v>200</v>
      </c>
      <c r="H200" s="25" t="n">
        <f aca="false">(FT200* 5)/M200</f>
        <v>60</v>
      </c>
      <c r="I200" s="25" t="n">
        <f aca="false">G200-H200</f>
        <v>140</v>
      </c>
      <c r="J200" s="26" t="s">
        <v>510</v>
      </c>
      <c r="K200" s="27" t="n">
        <v>250000</v>
      </c>
      <c r="L200" s="27" t="n">
        <v>850000</v>
      </c>
      <c r="M200" s="45" t="n">
        <f aca="false">(L200/G200)*5</f>
        <v>21250</v>
      </c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  <c r="CF200" s="29"/>
      <c r="CG200" s="29"/>
      <c r="CH200" s="29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  <c r="CZ200" s="29"/>
      <c r="DA200" s="29"/>
      <c r="DB200" s="29"/>
      <c r="DC200" s="29"/>
      <c r="DD200" s="29"/>
      <c r="DE200" s="29"/>
      <c r="DF200" s="29"/>
      <c r="DG200" s="29"/>
      <c r="DH200" s="29"/>
      <c r="DI200" s="29"/>
      <c r="DJ200" s="29"/>
      <c r="DK200" s="29"/>
      <c r="DL200" s="29"/>
      <c r="DM200" s="29"/>
      <c r="DN200" s="29"/>
      <c r="DO200" s="29"/>
      <c r="DP200" s="29"/>
      <c r="DQ200" s="29"/>
      <c r="DR200" s="29"/>
      <c r="DS200" s="29"/>
      <c r="DT200" s="29"/>
      <c r="DU200" s="29"/>
      <c r="DV200" s="29"/>
      <c r="DW200" s="29"/>
      <c r="DX200" s="29"/>
      <c r="DY200" s="29"/>
      <c r="DZ200" s="29"/>
      <c r="EA200" s="29"/>
      <c r="EB200" s="29"/>
      <c r="EC200" s="29"/>
      <c r="ED200" s="29"/>
      <c r="EE200" s="29"/>
      <c r="EF200" s="29"/>
      <c r="EG200" s="29"/>
      <c r="EH200" s="29"/>
      <c r="EI200" s="29"/>
      <c r="EJ200" s="29"/>
      <c r="EK200" s="29" t="s">
        <v>184</v>
      </c>
      <c r="EL200" s="29"/>
      <c r="EM200" s="29" t="s">
        <v>184</v>
      </c>
      <c r="EN200" s="29" t="s">
        <v>184</v>
      </c>
      <c r="EO200" s="29"/>
      <c r="EP200" s="29"/>
      <c r="EQ200" s="29"/>
      <c r="ER200" s="29"/>
      <c r="ES200" s="29" t="s">
        <v>184</v>
      </c>
      <c r="ET200" s="29"/>
      <c r="EU200" s="29"/>
      <c r="EV200" s="29" t="s">
        <v>184</v>
      </c>
      <c r="EW200" s="29"/>
      <c r="EX200" s="29"/>
      <c r="EY200" s="29"/>
      <c r="EZ200" s="29"/>
      <c r="FA200" s="29"/>
      <c r="FB200" s="29"/>
      <c r="FC200" s="29"/>
      <c r="FD200" s="29" t="n">
        <v>85000</v>
      </c>
      <c r="FE200" s="29"/>
      <c r="FF200" s="29"/>
      <c r="FG200" s="29"/>
      <c r="FH200" s="29" t="n">
        <v>85000</v>
      </c>
      <c r="FI200" s="29"/>
      <c r="FJ200" s="29"/>
      <c r="FK200" s="29"/>
      <c r="FL200" s="29" t="n">
        <v>85000</v>
      </c>
      <c r="FM200" s="29"/>
      <c r="FN200" s="29"/>
      <c r="FO200" s="29"/>
      <c r="FP200" s="29"/>
      <c r="FQ200" s="29"/>
      <c r="FR200" s="29"/>
      <c r="FS200" s="29"/>
      <c r="FT200" s="29" t="n">
        <f aca="false">SUM(N200:FS200)</f>
        <v>255000</v>
      </c>
      <c r="FU200" s="27" t="n">
        <f aca="false">SUM(L200-FT200)</f>
        <v>595000</v>
      </c>
      <c r="FV200" s="31" t="n">
        <f aca="false">SUM( H200/5)</f>
        <v>12</v>
      </c>
      <c r="FW200" s="31" t="n">
        <f aca="false">SUM( I200/5)</f>
        <v>28</v>
      </c>
      <c r="FX200" s="32" t="n">
        <f aca="false">SUM(FV200/4)</f>
        <v>3</v>
      </c>
      <c r="FY200" s="32" t="n">
        <f aca="false">SUM(FW200/4)</f>
        <v>7</v>
      </c>
    </row>
    <row r="201" customFormat="false" ht="43.5" hidden="false" customHeight="true" outlineLevel="0" collapsed="false">
      <c r="A201" s="24" t="n">
        <v>3330</v>
      </c>
      <c r="B201" s="21" t="s">
        <v>505</v>
      </c>
      <c r="C201" s="21" t="s">
        <v>506</v>
      </c>
      <c r="D201" s="22"/>
      <c r="E201" s="23" t="n">
        <v>45871</v>
      </c>
      <c r="F201" s="23" t="n">
        <f aca="false">WORKDAY(E201,G201)</f>
        <v>46024</v>
      </c>
      <c r="G201" s="24" t="n">
        <v>110</v>
      </c>
      <c r="H201" s="25" t="n">
        <f aca="false">(FT201* 5)/M201</f>
        <v>34.3333333333333</v>
      </c>
      <c r="I201" s="25" t="n">
        <f aca="false">G201-H201</f>
        <v>75.6666666666667</v>
      </c>
      <c r="J201" s="34" t="s">
        <v>508</v>
      </c>
      <c r="K201" s="27" t="n">
        <v>250000</v>
      </c>
      <c r="L201" s="27" t="n">
        <v>660000</v>
      </c>
      <c r="M201" s="45" t="n">
        <f aca="false">(L201/G201)*5</f>
        <v>30000</v>
      </c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  <c r="CF201" s="29"/>
      <c r="CG201" s="29"/>
      <c r="CH201" s="29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  <c r="CZ201" s="29"/>
      <c r="DA201" s="29"/>
      <c r="DB201" s="29"/>
      <c r="DC201" s="29"/>
      <c r="DD201" s="29"/>
      <c r="DE201" s="29"/>
      <c r="DF201" s="29"/>
      <c r="DG201" s="29"/>
      <c r="DH201" s="29"/>
      <c r="DI201" s="29"/>
      <c r="DJ201" s="29"/>
      <c r="DK201" s="29"/>
      <c r="DL201" s="29"/>
      <c r="DM201" s="29"/>
      <c r="DN201" s="29"/>
      <c r="DO201" s="29"/>
      <c r="DP201" s="29"/>
      <c r="DQ201" s="29"/>
      <c r="DR201" s="29"/>
      <c r="DS201" s="29"/>
      <c r="DT201" s="29"/>
      <c r="DU201" s="29"/>
      <c r="DV201" s="29"/>
      <c r="DW201" s="29"/>
      <c r="DX201" s="29"/>
      <c r="DY201" s="29"/>
      <c r="DZ201" s="29"/>
      <c r="EA201" s="29"/>
      <c r="EB201" s="29"/>
      <c r="EC201" s="29"/>
      <c r="ED201" s="29"/>
      <c r="EE201" s="29"/>
      <c r="EF201" s="29"/>
      <c r="EG201" s="29"/>
      <c r="EH201" s="29"/>
      <c r="EI201" s="29"/>
      <c r="EJ201" s="29"/>
      <c r="EK201" s="29" t="s">
        <v>184</v>
      </c>
      <c r="EL201" s="29"/>
      <c r="EM201" s="29" t="s">
        <v>184</v>
      </c>
      <c r="EN201" s="29" t="s">
        <v>184</v>
      </c>
      <c r="EO201" s="29"/>
      <c r="EP201" s="29"/>
      <c r="EQ201" s="29"/>
      <c r="ER201" s="29"/>
      <c r="ES201" s="29" t="s">
        <v>184</v>
      </c>
      <c r="ET201" s="29"/>
      <c r="EU201" s="29"/>
      <c r="EV201" s="29" t="s">
        <v>184</v>
      </c>
      <c r="EW201" s="29"/>
      <c r="EX201" s="29"/>
      <c r="EY201" s="29"/>
      <c r="EZ201" s="29"/>
      <c r="FA201" s="29"/>
      <c r="FB201" s="29"/>
      <c r="FC201" s="29" t="n">
        <v>30000</v>
      </c>
      <c r="FD201" s="29"/>
      <c r="FE201" s="29"/>
      <c r="FF201" s="29"/>
      <c r="FG201" s="29" t="n">
        <v>26000</v>
      </c>
      <c r="FH201" s="29" t="n">
        <v>4000</v>
      </c>
      <c r="FI201" s="29" t="n">
        <v>30000</v>
      </c>
      <c r="FJ201" s="29" t="n">
        <v>30000</v>
      </c>
      <c r="FK201" s="29"/>
      <c r="FL201" s="29"/>
      <c r="FM201" s="29" t="n">
        <v>26000</v>
      </c>
      <c r="FN201" s="29"/>
      <c r="FO201" s="29"/>
      <c r="FP201" s="29"/>
      <c r="FQ201" s="29" t="n">
        <v>30000</v>
      </c>
      <c r="FR201" s="29" t="n">
        <v>30000</v>
      </c>
      <c r="FS201" s="29"/>
      <c r="FT201" s="29" t="n">
        <f aca="false">SUM(N201:FS201)</f>
        <v>206000</v>
      </c>
      <c r="FU201" s="27" t="n">
        <f aca="false">SUM(L201-FT201)</f>
        <v>454000</v>
      </c>
      <c r="FV201" s="31" t="n">
        <f aca="false">SUM( H201/5)</f>
        <v>6.86666666666667</v>
      </c>
      <c r="FW201" s="31" t="n">
        <f aca="false">SUM( I201/5)</f>
        <v>15.1333333333333</v>
      </c>
      <c r="FX201" s="32" t="n">
        <f aca="false">SUM(FV201/4)</f>
        <v>1.71666666666667</v>
      </c>
      <c r="FY201" s="32" t="n">
        <f aca="false">SUM(FW201/4)</f>
        <v>3.78333333333333</v>
      </c>
    </row>
    <row r="202" customFormat="false" ht="43.5" hidden="false" customHeight="true" outlineLevel="0" collapsed="false">
      <c r="A202" s="24" t="n">
        <v>3418</v>
      </c>
      <c r="B202" s="21" t="s">
        <v>505</v>
      </c>
      <c r="C202" s="21" t="s">
        <v>506</v>
      </c>
      <c r="D202" s="22"/>
      <c r="E202" s="23" t="n">
        <v>45927</v>
      </c>
      <c r="F202" s="23" t="n">
        <f aca="false">WORKDAY(E202,G202)</f>
        <v>46206</v>
      </c>
      <c r="G202" s="24" t="n">
        <v>200</v>
      </c>
      <c r="H202" s="25" t="n">
        <f aca="false">(FT202* 5)/M202</f>
        <v>20</v>
      </c>
      <c r="I202" s="25" t="n">
        <f aca="false">G202-H202</f>
        <v>180</v>
      </c>
      <c r="J202" s="26" t="s">
        <v>511</v>
      </c>
      <c r="K202" s="30" t="n">
        <v>200000</v>
      </c>
      <c r="L202" s="30" t="n">
        <v>624000</v>
      </c>
      <c r="M202" s="45" t="n">
        <f aca="false">(L202/G202)*5</f>
        <v>15600</v>
      </c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  <c r="CF202" s="29"/>
      <c r="CG202" s="29"/>
      <c r="CH202" s="29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  <c r="CZ202" s="29"/>
      <c r="DA202" s="29"/>
      <c r="DB202" s="29"/>
      <c r="DC202" s="29"/>
      <c r="DD202" s="29"/>
      <c r="DE202" s="29"/>
      <c r="DF202" s="29"/>
      <c r="DG202" s="29"/>
      <c r="DH202" s="29"/>
      <c r="DI202" s="29"/>
      <c r="DJ202" s="29"/>
      <c r="DK202" s="29"/>
      <c r="DL202" s="29"/>
      <c r="DM202" s="29"/>
      <c r="DN202" s="29"/>
      <c r="DO202" s="29"/>
      <c r="DP202" s="29"/>
      <c r="DQ202" s="29"/>
      <c r="DR202" s="29"/>
      <c r="DS202" s="29"/>
      <c r="DT202" s="29"/>
      <c r="DU202" s="29"/>
      <c r="DV202" s="29"/>
      <c r="DW202" s="29"/>
      <c r="DX202" s="29"/>
      <c r="DY202" s="29"/>
      <c r="DZ202" s="29"/>
      <c r="EA202" s="29"/>
      <c r="EB202" s="29"/>
      <c r="EC202" s="29"/>
      <c r="ED202" s="29"/>
      <c r="EE202" s="29"/>
      <c r="EF202" s="29"/>
      <c r="EG202" s="29"/>
      <c r="EH202" s="29"/>
      <c r="EI202" s="29"/>
      <c r="EJ202" s="29"/>
      <c r="EK202" s="29" t="s">
        <v>184</v>
      </c>
      <c r="EL202" s="29"/>
      <c r="EM202" s="29" t="s">
        <v>184</v>
      </c>
      <c r="EN202" s="29" t="s">
        <v>184</v>
      </c>
      <c r="EO202" s="29"/>
      <c r="EP202" s="29"/>
      <c r="EQ202" s="29"/>
      <c r="ER202" s="29"/>
      <c r="ES202" s="29" t="s">
        <v>184</v>
      </c>
      <c r="ET202" s="29"/>
      <c r="EU202" s="29"/>
      <c r="EV202" s="29" t="s">
        <v>184</v>
      </c>
      <c r="EW202" s="29"/>
      <c r="EX202" s="29"/>
      <c r="EY202" s="29"/>
      <c r="EZ202" s="29"/>
      <c r="FA202" s="29"/>
      <c r="FB202" s="29"/>
      <c r="FC202" s="29" t="s">
        <v>184</v>
      </c>
      <c r="FD202" s="29"/>
      <c r="FE202" s="29"/>
      <c r="FF202" s="29"/>
      <c r="FG202" s="29"/>
      <c r="FH202" s="29"/>
      <c r="FI202" s="29"/>
      <c r="FJ202" s="29"/>
      <c r="FK202" s="29"/>
      <c r="FL202" s="29" t="n">
        <v>62400</v>
      </c>
      <c r="FM202" s="29"/>
      <c r="FN202" s="29"/>
      <c r="FO202" s="29"/>
      <c r="FP202" s="29"/>
      <c r="FQ202" s="29"/>
      <c r="FR202" s="29"/>
      <c r="FS202" s="29"/>
      <c r="FT202" s="29" t="n">
        <f aca="false">SUM(N202:FS202)</f>
        <v>62400</v>
      </c>
      <c r="FU202" s="27" t="n">
        <f aca="false">SUM(L202-FT202)</f>
        <v>561600</v>
      </c>
      <c r="FV202" s="31" t="n">
        <f aca="false">SUM( H202/5)</f>
        <v>4</v>
      </c>
      <c r="FW202" s="31" t="n">
        <f aca="false">SUM( I202/5)</f>
        <v>36</v>
      </c>
      <c r="FX202" s="32" t="n">
        <f aca="false">SUM(FV202/4)</f>
        <v>1</v>
      </c>
      <c r="FY202" s="32" t="n">
        <f aca="false">SUM(FW202/4)</f>
        <v>9</v>
      </c>
    </row>
    <row r="203" customFormat="false" ht="43.5" hidden="false" customHeight="true" outlineLevel="0" collapsed="false">
      <c r="A203" s="24" t="n">
        <v>3188</v>
      </c>
      <c r="B203" s="21" t="s">
        <v>512</v>
      </c>
      <c r="C203" s="21" t="s">
        <v>506</v>
      </c>
      <c r="D203" s="22"/>
      <c r="E203" s="23" t="n">
        <v>45789</v>
      </c>
      <c r="F203" s="23" t="n">
        <f aca="false">WORKDAY(E203,G203)</f>
        <v>45943</v>
      </c>
      <c r="G203" s="24" t="n">
        <v>110</v>
      </c>
      <c r="H203" s="25" t="n">
        <f aca="false">(FT203* 5)/M203</f>
        <v>60</v>
      </c>
      <c r="I203" s="25" t="n">
        <f aca="false">G203-H203</f>
        <v>50</v>
      </c>
      <c r="J203" s="34" t="s">
        <v>513</v>
      </c>
      <c r="K203" s="58" t="n">
        <v>150000</v>
      </c>
      <c r="L203" s="30" t="n">
        <v>396000</v>
      </c>
      <c r="M203" s="28" t="n">
        <f aca="false">(L203/G203)*5</f>
        <v>18000</v>
      </c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  <c r="CF203" s="29"/>
      <c r="CG203" s="29"/>
      <c r="CH203" s="29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  <c r="CZ203" s="29"/>
      <c r="DA203" s="29"/>
      <c r="DB203" s="29"/>
      <c r="DC203" s="29"/>
      <c r="DD203" s="29"/>
      <c r="DE203" s="29"/>
      <c r="DF203" s="29"/>
      <c r="DG203" s="29"/>
      <c r="DH203" s="29"/>
      <c r="DI203" s="29"/>
      <c r="DJ203" s="29"/>
      <c r="DK203" s="29"/>
      <c r="DL203" s="29"/>
      <c r="DM203" s="29"/>
      <c r="DN203" s="29"/>
      <c r="DO203" s="29"/>
      <c r="DP203" s="29"/>
      <c r="DQ203" s="29"/>
      <c r="DR203" s="29"/>
      <c r="DS203" s="29"/>
      <c r="DT203" s="29"/>
      <c r="DU203" s="29"/>
      <c r="DV203" s="29"/>
      <c r="DW203" s="29"/>
      <c r="DX203" s="29"/>
      <c r="DY203" s="29"/>
      <c r="DZ203" s="29"/>
      <c r="EA203" s="29"/>
      <c r="EB203" s="29"/>
      <c r="EC203" s="29"/>
      <c r="ED203" s="29"/>
      <c r="EE203" s="29"/>
      <c r="EF203" s="29"/>
      <c r="EG203" s="29"/>
      <c r="EH203" s="29"/>
      <c r="EI203" s="29"/>
      <c r="EJ203" s="29"/>
      <c r="EK203" s="29" t="s">
        <v>184</v>
      </c>
      <c r="EL203" s="29"/>
      <c r="EM203" s="29" t="s">
        <v>184</v>
      </c>
      <c r="EN203" s="29" t="s">
        <v>184</v>
      </c>
      <c r="EO203" s="29"/>
      <c r="EP203" s="29" t="n">
        <v>18000</v>
      </c>
      <c r="EQ203" s="29"/>
      <c r="ER203" s="29" t="n">
        <v>18000</v>
      </c>
      <c r="ES203" s="29"/>
      <c r="ET203" s="29" t="n">
        <v>36000</v>
      </c>
      <c r="EU203" s="29"/>
      <c r="EV203" s="29" t="n">
        <v>36000</v>
      </c>
      <c r="EW203" s="29" t="n">
        <v>18000</v>
      </c>
      <c r="EX203" s="29"/>
      <c r="EY203" s="29" t="n">
        <v>18000</v>
      </c>
      <c r="EZ203" s="29"/>
      <c r="FA203" s="29"/>
      <c r="FB203" s="29" t="n">
        <v>18000</v>
      </c>
      <c r="FC203" s="29"/>
      <c r="FD203" s="29" t="n">
        <v>18000</v>
      </c>
      <c r="FE203" s="29" t="n">
        <v>18000</v>
      </c>
      <c r="FF203" s="29"/>
      <c r="FG203" s="29"/>
      <c r="FH203" s="29"/>
      <c r="FI203" s="29" t="n">
        <v>18000</v>
      </c>
      <c r="FJ203" s="29"/>
      <c r="FK203" s="29"/>
      <c r="FL203" s="29"/>
      <c r="FM203" s="29"/>
      <c r="FN203" s="29"/>
      <c r="FO203" s="29"/>
      <c r="FP203" s="29"/>
      <c r="FQ203" s="29"/>
      <c r="FR203" s="29"/>
      <c r="FS203" s="29"/>
      <c r="FT203" s="29" t="n">
        <f aca="false">SUM(N203:FS203)</f>
        <v>216000</v>
      </c>
      <c r="FU203" s="27" t="n">
        <f aca="false">SUM(L203-FT203)</f>
        <v>180000</v>
      </c>
      <c r="FV203" s="31" t="n">
        <f aca="false">SUM( H203/5)</f>
        <v>12</v>
      </c>
      <c r="FW203" s="31" t="n">
        <f aca="false">SUM( I203/5)</f>
        <v>10</v>
      </c>
      <c r="FX203" s="32" t="n">
        <f aca="false">SUM(FV203/4)</f>
        <v>3</v>
      </c>
      <c r="FY203" s="32" t="n">
        <f aca="false">SUM(FW203/4)</f>
        <v>2.5</v>
      </c>
    </row>
    <row r="204" customFormat="false" ht="43.5" hidden="false" customHeight="true" outlineLevel="0" collapsed="false">
      <c r="A204" s="24" t="n">
        <v>3235</v>
      </c>
      <c r="B204" s="21" t="s">
        <v>514</v>
      </c>
      <c r="C204" s="21" t="s">
        <v>515</v>
      </c>
      <c r="D204" s="22"/>
      <c r="E204" s="23" t="n">
        <v>45818</v>
      </c>
      <c r="F204" s="23" t="n">
        <f aca="false">WORKDAY(E204,G204)</f>
        <v>45972</v>
      </c>
      <c r="G204" s="24" t="n">
        <v>110</v>
      </c>
      <c r="H204" s="25" t="n">
        <f aca="false">(FT204* 5)/M204</f>
        <v>105</v>
      </c>
      <c r="I204" s="25" t="n">
        <f aca="false">G204-H204</f>
        <v>5</v>
      </c>
      <c r="J204" s="34" t="s">
        <v>421</v>
      </c>
      <c r="K204" s="30" t="n">
        <v>150000</v>
      </c>
      <c r="L204" s="30" t="n">
        <v>396000</v>
      </c>
      <c r="M204" s="28" t="n">
        <f aca="false">(L204/G204)*5</f>
        <v>18000</v>
      </c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  <c r="CF204" s="29"/>
      <c r="CG204" s="29"/>
      <c r="CH204" s="29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  <c r="CZ204" s="29"/>
      <c r="DA204" s="29"/>
      <c r="DB204" s="29"/>
      <c r="DC204" s="29"/>
      <c r="DD204" s="29"/>
      <c r="DE204" s="29"/>
      <c r="DF204" s="29"/>
      <c r="DG204" s="29"/>
      <c r="DH204" s="29"/>
      <c r="DI204" s="29"/>
      <c r="DJ204" s="29"/>
      <c r="DK204" s="29"/>
      <c r="DL204" s="29"/>
      <c r="DM204" s="29"/>
      <c r="DN204" s="29"/>
      <c r="DO204" s="29"/>
      <c r="DP204" s="29"/>
      <c r="DQ204" s="29"/>
      <c r="DR204" s="29"/>
      <c r="DS204" s="29"/>
      <c r="DT204" s="29"/>
      <c r="DU204" s="29"/>
      <c r="DV204" s="29"/>
      <c r="DW204" s="29"/>
      <c r="DX204" s="29"/>
      <c r="DY204" s="29"/>
      <c r="DZ204" s="29"/>
      <c r="EA204" s="29"/>
      <c r="EB204" s="29"/>
      <c r="EC204" s="29"/>
      <c r="ED204" s="29"/>
      <c r="EE204" s="29"/>
      <c r="EF204" s="29"/>
      <c r="EG204" s="29"/>
      <c r="EH204" s="29"/>
      <c r="EI204" s="29"/>
      <c r="EJ204" s="29"/>
      <c r="EK204" s="29" t="s">
        <v>184</v>
      </c>
      <c r="EL204" s="29"/>
      <c r="EM204" s="29" t="s">
        <v>184</v>
      </c>
      <c r="EN204" s="29" t="s">
        <v>184</v>
      </c>
      <c r="EO204" s="29"/>
      <c r="EP204" s="29"/>
      <c r="EQ204" s="29"/>
      <c r="ER204" s="29"/>
      <c r="ES204" s="29" t="s">
        <v>184</v>
      </c>
      <c r="ET204" s="29"/>
      <c r="EU204" s="29" t="n">
        <v>18000</v>
      </c>
      <c r="EV204" s="29" t="n">
        <v>18000</v>
      </c>
      <c r="EW204" s="29" t="n">
        <v>18000</v>
      </c>
      <c r="EX204" s="29"/>
      <c r="EY204" s="29" t="n">
        <v>36000</v>
      </c>
      <c r="EZ204" s="29"/>
      <c r="FA204" s="29" t="n">
        <v>36000</v>
      </c>
      <c r="FB204" s="29" t="n">
        <v>18000</v>
      </c>
      <c r="FC204" s="29"/>
      <c r="FD204" s="29" t="n">
        <v>18000</v>
      </c>
      <c r="FE204" s="29" t="n">
        <v>18000</v>
      </c>
      <c r="FF204" s="29" t="n">
        <v>18000</v>
      </c>
      <c r="FG204" s="29" t="n">
        <v>18000</v>
      </c>
      <c r="FH204" s="29" t="n">
        <v>18000</v>
      </c>
      <c r="FI204" s="29" t="n">
        <v>18000</v>
      </c>
      <c r="FJ204" s="29" t="n">
        <v>18000</v>
      </c>
      <c r="FK204" s="29" t="n">
        <v>18000</v>
      </c>
      <c r="FL204" s="29" t="n">
        <v>18000</v>
      </c>
      <c r="FM204" s="29" t="n">
        <v>18000</v>
      </c>
      <c r="FN204" s="29" t="s">
        <v>184</v>
      </c>
      <c r="FO204" s="29" t="n">
        <v>18000</v>
      </c>
      <c r="FP204" s="29" t="n">
        <v>18000</v>
      </c>
      <c r="FQ204" s="29"/>
      <c r="FR204" s="29" t="n">
        <v>18000</v>
      </c>
      <c r="FS204" s="29"/>
      <c r="FT204" s="29" t="n">
        <f aca="false">SUM(N204:FS204)</f>
        <v>378000</v>
      </c>
      <c r="FU204" s="27" t="n">
        <f aca="false">SUM(L204-FT204)</f>
        <v>18000</v>
      </c>
      <c r="FV204" s="31" t="n">
        <f aca="false">SUM( H204/5)</f>
        <v>21</v>
      </c>
      <c r="FW204" s="31" t="n">
        <f aca="false">SUM( I204/5)</f>
        <v>1</v>
      </c>
      <c r="FX204" s="32" t="n">
        <f aca="false">SUM(FV204/4)</f>
        <v>5.25</v>
      </c>
      <c r="FY204" s="32" t="n">
        <f aca="false">SUM(FW204/4)</f>
        <v>0.25</v>
      </c>
    </row>
    <row r="205" customFormat="false" ht="43.5" hidden="false" customHeight="true" outlineLevel="0" collapsed="false">
      <c r="A205" s="24" t="n">
        <v>3410</v>
      </c>
      <c r="B205" s="21" t="s">
        <v>514</v>
      </c>
      <c r="C205" s="21" t="s">
        <v>515</v>
      </c>
      <c r="D205" s="22"/>
      <c r="E205" s="23" t="n">
        <v>45922</v>
      </c>
      <c r="F205" s="23" t="n">
        <f aca="false">WORKDAY(E205,G205)</f>
        <v>46076</v>
      </c>
      <c r="G205" s="24" t="n">
        <v>110</v>
      </c>
      <c r="H205" s="25" t="n">
        <f aca="false">(FT205* 5)/M205</f>
        <v>35</v>
      </c>
      <c r="I205" s="25" t="n">
        <f aca="false">G205-H205</f>
        <v>75</v>
      </c>
      <c r="J205" s="34" t="s">
        <v>421</v>
      </c>
      <c r="K205" s="33" t="n">
        <v>150000</v>
      </c>
      <c r="L205" s="27" t="n">
        <v>396000</v>
      </c>
      <c r="M205" s="45" t="n">
        <f aca="false">(L205/G205)*5</f>
        <v>18000</v>
      </c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  <c r="CF205" s="29"/>
      <c r="CG205" s="29"/>
      <c r="CH205" s="29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  <c r="CZ205" s="29"/>
      <c r="DA205" s="29"/>
      <c r="DB205" s="29"/>
      <c r="DC205" s="29"/>
      <c r="DD205" s="29"/>
      <c r="DE205" s="29"/>
      <c r="DF205" s="29"/>
      <c r="DG205" s="29"/>
      <c r="DH205" s="29"/>
      <c r="DI205" s="29"/>
      <c r="DJ205" s="29"/>
      <c r="DK205" s="29"/>
      <c r="DL205" s="29"/>
      <c r="DM205" s="29"/>
      <c r="DN205" s="29"/>
      <c r="DO205" s="29"/>
      <c r="DP205" s="29"/>
      <c r="DQ205" s="29"/>
      <c r="DR205" s="29"/>
      <c r="DS205" s="29"/>
      <c r="DT205" s="29"/>
      <c r="DU205" s="29"/>
      <c r="DV205" s="29"/>
      <c r="DW205" s="29"/>
      <c r="DX205" s="29"/>
      <c r="DY205" s="29"/>
      <c r="DZ205" s="29"/>
      <c r="EA205" s="29"/>
      <c r="EB205" s="29"/>
      <c r="EC205" s="29"/>
      <c r="ED205" s="29"/>
      <c r="EE205" s="29"/>
      <c r="EF205" s="29"/>
      <c r="EG205" s="29"/>
      <c r="EH205" s="29"/>
      <c r="EI205" s="29"/>
      <c r="EJ205" s="29"/>
      <c r="EK205" s="29" t="s">
        <v>184</v>
      </c>
      <c r="EL205" s="29"/>
      <c r="EM205" s="29" t="s">
        <v>184</v>
      </c>
      <c r="EN205" s="29" t="s">
        <v>184</v>
      </c>
      <c r="EO205" s="29"/>
      <c r="EP205" s="29"/>
      <c r="EQ205" s="29"/>
      <c r="ER205" s="29"/>
      <c r="ES205" s="29" t="s">
        <v>184</v>
      </c>
      <c r="ET205" s="29"/>
      <c r="EU205" s="29"/>
      <c r="EV205" s="29" t="s">
        <v>184</v>
      </c>
      <c r="EW205" s="29"/>
      <c r="EX205" s="29"/>
      <c r="EY205" s="29"/>
      <c r="EZ205" s="29"/>
      <c r="FA205" s="29"/>
      <c r="FB205" s="29"/>
      <c r="FC205" s="29" t="s">
        <v>184</v>
      </c>
      <c r="FD205" s="29"/>
      <c r="FE205" s="29"/>
      <c r="FF205" s="29"/>
      <c r="FG205" s="29"/>
      <c r="FH205" s="29"/>
      <c r="FI205" s="29"/>
      <c r="FJ205" s="29"/>
      <c r="FK205" s="29" t="n">
        <v>36000</v>
      </c>
      <c r="FL205" s="29" t="n">
        <v>18000</v>
      </c>
      <c r="FM205" s="29" t="n">
        <v>18000</v>
      </c>
      <c r="FN205" s="29"/>
      <c r="FO205" s="29" t="n">
        <v>18000</v>
      </c>
      <c r="FP205" s="29"/>
      <c r="FQ205" s="29" t="n">
        <v>18000</v>
      </c>
      <c r="FR205" s="29" t="n">
        <v>18000</v>
      </c>
      <c r="FS205" s="29"/>
      <c r="FT205" s="29" t="n">
        <f aca="false">SUM(N205:FS205)</f>
        <v>126000</v>
      </c>
      <c r="FU205" s="27" t="n">
        <f aca="false">SUM(L205-FT205)</f>
        <v>270000</v>
      </c>
      <c r="FV205" s="31" t="n">
        <f aca="false">SUM( H205/5)</f>
        <v>7</v>
      </c>
      <c r="FW205" s="31" t="n">
        <f aca="false">SUM( I205/5)</f>
        <v>15</v>
      </c>
      <c r="FX205" s="32" t="n">
        <f aca="false">SUM(FV205/4)</f>
        <v>1.75</v>
      </c>
      <c r="FY205" s="32" t="n">
        <f aca="false">SUM(FW205/4)</f>
        <v>3.75</v>
      </c>
    </row>
    <row r="206" customFormat="false" ht="43.5" hidden="false" customHeight="true" outlineLevel="0" collapsed="false">
      <c r="A206" s="24" t="n">
        <v>3476</v>
      </c>
      <c r="B206" s="21" t="s">
        <v>514</v>
      </c>
      <c r="C206" s="21" t="s">
        <v>515</v>
      </c>
      <c r="D206" s="22"/>
      <c r="E206" s="23" t="n">
        <v>45963</v>
      </c>
      <c r="F206" s="23" t="n">
        <f aca="false">WORKDAY(E206,G206)</f>
        <v>46115</v>
      </c>
      <c r="G206" s="24" t="n">
        <v>110</v>
      </c>
      <c r="H206" s="25" t="n">
        <f aca="false">(FT206* 5)/M206</f>
        <v>15</v>
      </c>
      <c r="I206" s="25" t="n">
        <f aca="false">G206-H206</f>
        <v>95</v>
      </c>
      <c r="J206" s="34" t="s">
        <v>421</v>
      </c>
      <c r="K206" s="58" t="n">
        <v>150000</v>
      </c>
      <c r="L206" s="30" t="n">
        <v>396000</v>
      </c>
      <c r="M206" s="45" t="n">
        <f aca="false">(L206/G206)*5</f>
        <v>18000</v>
      </c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  <c r="CF206" s="29"/>
      <c r="CG206" s="29"/>
      <c r="CH206" s="29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  <c r="DI206" s="29"/>
      <c r="DJ206" s="29"/>
      <c r="DK206" s="29"/>
      <c r="DL206" s="29"/>
      <c r="DM206" s="29"/>
      <c r="DN206" s="29"/>
      <c r="DO206" s="29"/>
      <c r="DP206" s="29"/>
      <c r="DQ206" s="29"/>
      <c r="DR206" s="29"/>
      <c r="DS206" s="29"/>
      <c r="DT206" s="29"/>
      <c r="DU206" s="29"/>
      <c r="DV206" s="29"/>
      <c r="DW206" s="29"/>
      <c r="DX206" s="29"/>
      <c r="DY206" s="29"/>
      <c r="DZ206" s="29"/>
      <c r="EA206" s="29"/>
      <c r="EB206" s="29"/>
      <c r="EC206" s="29"/>
      <c r="ED206" s="29"/>
      <c r="EE206" s="29"/>
      <c r="EF206" s="29"/>
      <c r="EG206" s="29"/>
      <c r="EH206" s="29"/>
      <c r="EI206" s="29"/>
      <c r="EJ206" s="29"/>
      <c r="EK206" s="29" t="s">
        <v>184</v>
      </c>
      <c r="EL206" s="29"/>
      <c r="EM206" s="29" t="s">
        <v>184</v>
      </c>
      <c r="EN206" s="29" t="s">
        <v>184</v>
      </c>
      <c r="EO206" s="29"/>
      <c r="EP206" s="29"/>
      <c r="EQ206" s="29"/>
      <c r="ER206" s="29"/>
      <c r="ES206" s="29" t="s">
        <v>184</v>
      </c>
      <c r="ET206" s="29"/>
      <c r="EU206" s="29"/>
      <c r="EV206" s="29" t="s">
        <v>184</v>
      </c>
      <c r="EW206" s="29"/>
      <c r="EX206" s="29"/>
      <c r="EY206" s="29"/>
      <c r="EZ206" s="29"/>
      <c r="FA206" s="29"/>
      <c r="FB206" s="29"/>
      <c r="FC206" s="29" t="s">
        <v>184</v>
      </c>
      <c r="FD206" s="29"/>
      <c r="FE206" s="29"/>
      <c r="FF206" s="29"/>
      <c r="FG206" s="29"/>
      <c r="FH206" s="29"/>
      <c r="FI206" s="29"/>
      <c r="FJ206" s="29"/>
      <c r="FK206" s="29"/>
      <c r="FL206" s="29" t="s">
        <v>184</v>
      </c>
      <c r="FM206" s="29"/>
      <c r="FN206" s="29"/>
      <c r="FO206" s="29" t="n">
        <v>18000</v>
      </c>
      <c r="FP206" s="29"/>
      <c r="FQ206" s="29" t="n">
        <v>18000</v>
      </c>
      <c r="FR206" s="29"/>
      <c r="FS206" s="29" t="n">
        <v>18000</v>
      </c>
      <c r="FT206" s="29" t="n">
        <f aca="false">SUM(N206:FS206)</f>
        <v>54000</v>
      </c>
      <c r="FU206" s="27" t="n">
        <f aca="false">SUM(L206-FT206)</f>
        <v>342000</v>
      </c>
      <c r="FV206" s="31" t="n">
        <f aca="false">SUM( H206/5)</f>
        <v>3</v>
      </c>
      <c r="FW206" s="31" t="n">
        <f aca="false">SUM( I206/5)</f>
        <v>19</v>
      </c>
      <c r="FX206" s="32" t="n">
        <f aca="false">SUM(FV206/4)</f>
        <v>0.75</v>
      </c>
      <c r="FY206" s="32" t="n">
        <f aca="false">SUM(FW206/4)</f>
        <v>4.75</v>
      </c>
    </row>
    <row r="207" customFormat="false" ht="43.5" hidden="false" customHeight="true" outlineLevel="0" collapsed="false">
      <c r="A207" s="24" t="n">
        <v>3364</v>
      </c>
      <c r="B207" s="21" t="s">
        <v>516</v>
      </c>
      <c r="C207" s="21" t="s">
        <v>517</v>
      </c>
      <c r="D207" s="22"/>
      <c r="E207" s="23" t="n">
        <v>45892</v>
      </c>
      <c r="F207" s="23" t="n">
        <f aca="false">WORKDAY(E207,G207)</f>
        <v>45993</v>
      </c>
      <c r="G207" s="24" t="n">
        <v>72</v>
      </c>
      <c r="H207" s="25" t="n">
        <f aca="false">(FT207* 5)/M207</f>
        <v>50</v>
      </c>
      <c r="I207" s="25" t="n">
        <f aca="false">G207-H207</f>
        <v>22</v>
      </c>
      <c r="J207" s="34" t="s">
        <v>518</v>
      </c>
      <c r="K207" s="27" t="n">
        <v>250000</v>
      </c>
      <c r="L207" s="27" t="n">
        <v>540000</v>
      </c>
      <c r="M207" s="45" t="n">
        <f aca="false">(L207/G207)*5</f>
        <v>37500</v>
      </c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  <c r="CF207" s="29"/>
      <c r="CG207" s="29"/>
      <c r="CH207" s="29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  <c r="DI207" s="29"/>
      <c r="DJ207" s="29"/>
      <c r="DK207" s="29"/>
      <c r="DL207" s="29"/>
      <c r="DM207" s="29"/>
      <c r="DN207" s="29"/>
      <c r="DO207" s="29"/>
      <c r="DP207" s="29"/>
      <c r="DQ207" s="29"/>
      <c r="DR207" s="29"/>
      <c r="DS207" s="29"/>
      <c r="DT207" s="29"/>
      <c r="DU207" s="29"/>
      <c r="DV207" s="29"/>
      <c r="DW207" s="29"/>
      <c r="DX207" s="29"/>
      <c r="DY207" s="29"/>
      <c r="DZ207" s="29"/>
      <c r="EA207" s="29"/>
      <c r="EB207" s="29"/>
      <c r="EC207" s="29"/>
      <c r="ED207" s="29"/>
      <c r="EE207" s="29"/>
      <c r="EF207" s="29"/>
      <c r="EG207" s="29"/>
      <c r="EH207" s="29"/>
      <c r="EI207" s="29"/>
      <c r="EJ207" s="29"/>
      <c r="EK207" s="29" t="s">
        <v>184</v>
      </c>
      <c r="EL207" s="29"/>
      <c r="EM207" s="29" t="s">
        <v>184</v>
      </c>
      <c r="EN207" s="29" t="s">
        <v>184</v>
      </c>
      <c r="EO207" s="29"/>
      <c r="EP207" s="29"/>
      <c r="EQ207" s="29"/>
      <c r="ER207" s="29"/>
      <c r="ES207" s="29" t="s">
        <v>184</v>
      </c>
      <c r="ET207" s="29"/>
      <c r="EU207" s="29"/>
      <c r="EV207" s="29" t="s">
        <v>184</v>
      </c>
      <c r="EW207" s="29"/>
      <c r="EX207" s="29"/>
      <c r="EY207" s="29"/>
      <c r="EZ207" s="29"/>
      <c r="FA207" s="29"/>
      <c r="FB207" s="29"/>
      <c r="FC207" s="29" t="s">
        <v>184</v>
      </c>
      <c r="FD207" s="29"/>
      <c r="FE207" s="29" t="n">
        <v>37500</v>
      </c>
      <c r="FF207" s="29"/>
      <c r="FG207" s="29" t="n">
        <v>75000</v>
      </c>
      <c r="FH207" s="29"/>
      <c r="FI207" s="29" t="n">
        <v>27000</v>
      </c>
      <c r="FJ207" s="29" t="n">
        <v>48000</v>
      </c>
      <c r="FK207" s="29" t="n">
        <v>37500</v>
      </c>
      <c r="FL207" s="29"/>
      <c r="FM207" s="29" t="n">
        <v>37500</v>
      </c>
      <c r="FN207" s="29"/>
      <c r="FO207" s="29" t="n">
        <v>75000</v>
      </c>
      <c r="FP207" s="29"/>
      <c r="FQ207" s="29" t="n">
        <v>37500</v>
      </c>
      <c r="FR207" s="29"/>
      <c r="FS207" s="29"/>
      <c r="FT207" s="29" t="n">
        <f aca="false">SUM(N207:FS207)</f>
        <v>375000</v>
      </c>
      <c r="FU207" s="27" t="n">
        <f aca="false">SUM(L207-FT207)</f>
        <v>165000</v>
      </c>
      <c r="FV207" s="31" t="n">
        <f aca="false">SUM( H207/5)</f>
        <v>10</v>
      </c>
      <c r="FW207" s="31" t="n">
        <f aca="false">SUM( I207/5)</f>
        <v>4.4</v>
      </c>
      <c r="FX207" s="32" t="n">
        <f aca="false">SUM(FV207/4)</f>
        <v>2.5</v>
      </c>
      <c r="FY207" s="32" t="n">
        <f aca="false">SUM(FW207/4)</f>
        <v>1.1</v>
      </c>
    </row>
    <row r="208" customFormat="false" ht="43.5" hidden="false" customHeight="true" outlineLevel="0" collapsed="false">
      <c r="A208" s="24" t="n">
        <v>3457</v>
      </c>
      <c r="B208" s="21" t="s">
        <v>516</v>
      </c>
      <c r="C208" s="21" t="s">
        <v>517</v>
      </c>
      <c r="D208" s="22"/>
      <c r="E208" s="23" t="n">
        <v>45953</v>
      </c>
      <c r="F208" s="23" t="n">
        <f aca="false">WORKDAY(E208,G208)</f>
        <v>45979</v>
      </c>
      <c r="G208" s="24" t="n">
        <v>18</v>
      </c>
      <c r="H208" s="25" t="e">
        <f aca="false">(FT208* 5)/M208</f>
        <v>#DIV/0!</v>
      </c>
      <c r="I208" s="25" t="e">
        <f aca="false">G208-H208</f>
        <v>#DIV/0!</v>
      </c>
      <c r="J208" s="26" t="s">
        <v>199</v>
      </c>
      <c r="K208" s="27" t="n">
        <v>250000</v>
      </c>
      <c r="L208" s="27" t="n">
        <v>350000</v>
      </c>
      <c r="M208" s="45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  <c r="CF208" s="29"/>
      <c r="CG208" s="29"/>
      <c r="CH208" s="29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  <c r="DI208" s="29"/>
      <c r="DJ208" s="29"/>
      <c r="DK208" s="29"/>
      <c r="DL208" s="29"/>
      <c r="DM208" s="29"/>
      <c r="DN208" s="29"/>
      <c r="DO208" s="29"/>
      <c r="DP208" s="29"/>
      <c r="DQ208" s="29"/>
      <c r="DR208" s="29"/>
      <c r="DS208" s="29"/>
      <c r="DT208" s="29"/>
      <c r="DU208" s="29"/>
      <c r="DV208" s="29"/>
      <c r="DW208" s="29"/>
      <c r="DX208" s="29"/>
      <c r="DY208" s="29"/>
      <c r="DZ208" s="29"/>
      <c r="EA208" s="29"/>
      <c r="EB208" s="29"/>
      <c r="EC208" s="29"/>
      <c r="ED208" s="29"/>
      <c r="EE208" s="29"/>
      <c r="EF208" s="29"/>
      <c r="EG208" s="29"/>
      <c r="EH208" s="29"/>
      <c r="EI208" s="29"/>
      <c r="EJ208" s="29"/>
      <c r="EK208" s="29" t="s">
        <v>184</v>
      </c>
      <c r="EL208" s="29"/>
      <c r="EM208" s="29" t="s">
        <v>184</v>
      </c>
      <c r="EN208" s="29" t="s">
        <v>184</v>
      </c>
      <c r="EO208" s="29"/>
      <c r="EP208" s="29"/>
      <c r="EQ208" s="29"/>
      <c r="ER208" s="29"/>
      <c r="ES208" s="29" t="s">
        <v>184</v>
      </c>
      <c r="ET208" s="29"/>
      <c r="EU208" s="29"/>
      <c r="EV208" s="29" t="s">
        <v>184</v>
      </c>
      <c r="EW208" s="29"/>
      <c r="EX208" s="29"/>
      <c r="EY208" s="29"/>
      <c r="EZ208" s="29"/>
      <c r="FA208" s="29"/>
      <c r="FB208" s="29"/>
      <c r="FC208" s="29" t="s">
        <v>184</v>
      </c>
      <c r="FD208" s="29"/>
      <c r="FE208" s="29"/>
      <c r="FF208" s="29"/>
      <c r="FG208" s="29"/>
      <c r="FH208" s="29"/>
      <c r="FI208" s="29"/>
      <c r="FJ208" s="29"/>
      <c r="FK208" s="29"/>
      <c r="FL208" s="29" t="s">
        <v>184</v>
      </c>
      <c r="FM208" s="29"/>
      <c r="FN208" s="29"/>
      <c r="FO208" s="29"/>
      <c r="FP208" s="29" t="n">
        <v>60000</v>
      </c>
      <c r="FQ208" s="29"/>
      <c r="FR208" s="29"/>
      <c r="FS208" s="29"/>
      <c r="FT208" s="29" t="n">
        <f aca="false">SUM(N208:FS208)</f>
        <v>60000</v>
      </c>
      <c r="FU208" s="27" t="n">
        <f aca="false">SUM(L208-FT208)</f>
        <v>290000</v>
      </c>
      <c r="FV208" s="31" t="e">
        <f aca="false">SUM( H208/5)</f>
        <v>#DIV/0!</v>
      </c>
      <c r="FW208" s="31" t="e">
        <f aca="false">SUM( I208/5)</f>
        <v>#DIV/0!</v>
      </c>
      <c r="FX208" s="32" t="e">
        <f aca="false">SUM(FV208/4)</f>
        <v>#DIV/0!</v>
      </c>
      <c r="FY208" s="32" t="e">
        <f aca="false">SUM(FW208/4)</f>
        <v>#DIV/0!</v>
      </c>
    </row>
    <row r="209" customFormat="false" ht="43.5" hidden="false" customHeight="true" outlineLevel="0" collapsed="false">
      <c r="A209" s="24" t="n">
        <v>3504</v>
      </c>
      <c r="B209" s="21" t="s">
        <v>516</v>
      </c>
      <c r="C209" s="21" t="s">
        <v>517</v>
      </c>
      <c r="D209" s="22"/>
      <c r="E209" s="23" t="n">
        <v>45981</v>
      </c>
      <c r="F209" s="23" t="n">
        <f aca="false">WORKDAY(E209,G209)</f>
        <v>46007</v>
      </c>
      <c r="G209" s="24" t="n">
        <v>18</v>
      </c>
      <c r="H209" s="25" t="e">
        <f aca="false">(FT209* 5)/M209</f>
        <v>#DIV/0!</v>
      </c>
      <c r="I209" s="25" t="e">
        <f aca="false">G209-H209</f>
        <v>#DIV/0!</v>
      </c>
      <c r="J209" s="26" t="s">
        <v>199</v>
      </c>
      <c r="K209" s="30" t="n">
        <v>250000</v>
      </c>
      <c r="L209" s="30" t="n">
        <v>350000</v>
      </c>
      <c r="M209" s="45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  <c r="CF209" s="29"/>
      <c r="CG209" s="29"/>
      <c r="CH209" s="29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  <c r="CZ209" s="29"/>
      <c r="DA209" s="29"/>
      <c r="DB209" s="29"/>
      <c r="DC209" s="29"/>
      <c r="DD209" s="29"/>
      <c r="DE209" s="29"/>
      <c r="DF209" s="29"/>
      <c r="DG209" s="29"/>
      <c r="DH209" s="29"/>
      <c r="DI209" s="29"/>
      <c r="DJ209" s="29"/>
      <c r="DK209" s="29"/>
      <c r="DL209" s="29"/>
      <c r="DM209" s="29"/>
      <c r="DN209" s="29"/>
      <c r="DO209" s="29"/>
      <c r="DP209" s="29"/>
      <c r="DQ209" s="29"/>
      <c r="DR209" s="29"/>
      <c r="DS209" s="29"/>
      <c r="DT209" s="29"/>
      <c r="DU209" s="29"/>
      <c r="DV209" s="29"/>
      <c r="DW209" s="29"/>
      <c r="DX209" s="29"/>
      <c r="DY209" s="29"/>
      <c r="DZ209" s="29"/>
      <c r="EA209" s="29"/>
      <c r="EB209" s="29"/>
      <c r="EC209" s="29"/>
      <c r="ED209" s="29"/>
      <c r="EE209" s="29"/>
      <c r="EF209" s="29"/>
      <c r="EG209" s="29"/>
      <c r="EH209" s="29"/>
      <c r="EI209" s="29"/>
      <c r="EJ209" s="29"/>
      <c r="EK209" s="29" t="s">
        <v>184</v>
      </c>
      <c r="EL209" s="29"/>
      <c r="EM209" s="29" t="s">
        <v>184</v>
      </c>
      <c r="EN209" s="29" t="s">
        <v>184</v>
      </c>
      <c r="EO209" s="29"/>
      <c r="EP209" s="29"/>
      <c r="EQ209" s="29"/>
      <c r="ER209" s="29"/>
      <c r="ES209" s="29" t="s">
        <v>184</v>
      </c>
      <c r="ET209" s="29"/>
      <c r="EU209" s="29"/>
      <c r="EV209" s="29" t="s">
        <v>184</v>
      </c>
      <c r="EW209" s="29"/>
      <c r="EX209" s="29"/>
      <c r="EY209" s="29"/>
      <c r="EZ209" s="29"/>
      <c r="FA209" s="29"/>
      <c r="FB209" s="29"/>
      <c r="FC209" s="29" t="s">
        <v>184</v>
      </c>
      <c r="FD209" s="29"/>
      <c r="FE209" s="29"/>
      <c r="FF209" s="29"/>
      <c r="FG209" s="29"/>
      <c r="FH209" s="29"/>
      <c r="FI209" s="29"/>
      <c r="FJ209" s="29"/>
      <c r="FK209" s="29"/>
      <c r="FL209" s="29" t="s">
        <v>184</v>
      </c>
      <c r="FM209" s="29"/>
      <c r="FN209" s="29"/>
      <c r="FO209" s="29"/>
      <c r="FP209" s="29"/>
      <c r="FQ209" s="29"/>
      <c r="FR209" s="29"/>
      <c r="FS209" s="29"/>
      <c r="FT209" s="29" t="n">
        <f aca="false">SUM(N209:FS209)</f>
        <v>0</v>
      </c>
      <c r="FU209" s="27" t="n">
        <f aca="false">SUM(L209-FT209)</f>
        <v>350000</v>
      </c>
      <c r="FV209" s="31" t="e">
        <f aca="false">SUM( H209/5)</f>
        <v>#DIV/0!</v>
      </c>
      <c r="FW209" s="31" t="e">
        <f aca="false">SUM( I209/5)</f>
        <v>#DIV/0!</v>
      </c>
      <c r="FX209" s="32" t="e">
        <f aca="false">SUM(FV209/4)</f>
        <v>#DIV/0!</v>
      </c>
      <c r="FY209" s="32" t="e">
        <f aca="false">SUM(FW209/4)</f>
        <v>#DIV/0!</v>
      </c>
    </row>
    <row r="210" customFormat="false" ht="43.5" hidden="false" customHeight="true" outlineLevel="0" collapsed="false">
      <c r="A210" s="24" t="n">
        <v>3454</v>
      </c>
      <c r="B210" s="21" t="s">
        <v>519</v>
      </c>
      <c r="C210" s="21" t="s">
        <v>520</v>
      </c>
      <c r="D210" s="48"/>
      <c r="E210" s="23" t="n">
        <v>45950</v>
      </c>
      <c r="F210" s="23" t="n">
        <f aca="false">WORKDAY(E210,G210)</f>
        <v>46174</v>
      </c>
      <c r="G210" s="24" t="n">
        <v>160</v>
      </c>
      <c r="H210" s="25" t="n">
        <f aca="false">(FT210* 5)/M210</f>
        <v>15</v>
      </c>
      <c r="I210" s="25" t="n">
        <f aca="false">G210-H210</f>
        <v>145</v>
      </c>
      <c r="J210" s="34" t="s">
        <v>521</v>
      </c>
      <c r="K210" s="27" t="n">
        <v>400000</v>
      </c>
      <c r="L210" s="27" t="n">
        <v>1152000</v>
      </c>
      <c r="M210" s="45" t="n">
        <f aca="false">(L210/G210)*5</f>
        <v>36000</v>
      </c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  <c r="CF210" s="29"/>
      <c r="CG210" s="29"/>
      <c r="CH210" s="29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  <c r="CZ210" s="29"/>
      <c r="DA210" s="29"/>
      <c r="DB210" s="29"/>
      <c r="DC210" s="29"/>
      <c r="DD210" s="29"/>
      <c r="DE210" s="29"/>
      <c r="DF210" s="29"/>
      <c r="DG210" s="29"/>
      <c r="DH210" s="29"/>
      <c r="DI210" s="29"/>
      <c r="DJ210" s="29"/>
      <c r="DK210" s="29"/>
      <c r="DL210" s="29"/>
      <c r="DM210" s="29"/>
      <c r="DN210" s="29"/>
      <c r="DO210" s="29"/>
      <c r="DP210" s="29"/>
      <c r="DQ210" s="29"/>
      <c r="DR210" s="29"/>
      <c r="DS210" s="29"/>
      <c r="DT210" s="29"/>
      <c r="DU210" s="29"/>
      <c r="DV210" s="29"/>
      <c r="DW210" s="29"/>
      <c r="DX210" s="29"/>
      <c r="DY210" s="29"/>
      <c r="DZ210" s="29"/>
      <c r="EA210" s="29"/>
      <c r="EB210" s="29"/>
      <c r="EC210" s="29"/>
      <c r="ED210" s="29"/>
      <c r="EE210" s="29"/>
      <c r="EF210" s="29"/>
      <c r="EG210" s="29"/>
      <c r="EH210" s="29"/>
      <c r="EI210" s="29"/>
      <c r="EJ210" s="29"/>
      <c r="EK210" s="29" t="s">
        <v>184</v>
      </c>
      <c r="EL210" s="29"/>
      <c r="EM210" s="29" t="s">
        <v>184</v>
      </c>
      <c r="EN210" s="29" t="s">
        <v>184</v>
      </c>
      <c r="EO210" s="29"/>
      <c r="EP210" s="29"/>
      <c r="EQ210" s="29"/>
      <c r="ER210" s="29"/>
      <c r="ES210" s="29" t="s">
        <v>184</v>
      </c>
      <c r="ET210" s="29"/>
      <c r="EU210" s="29"/>
      <c r="EV210" s="29" t="s">
        <v>184</v>
      </c>
      <c r="EW210" s="29"/>
      <c r="EX210" s="29"/>
      <c r="EY210" s="29"/>
      <c r="EZ210" s="29"/>
      <c r="FA210" s="29"/>
      <c r="FB210" s="29"/>
      <c r="FC210" s="29" t="s">
        <v>184</v>
      </c>
      <c r="FD210" s="29"/>
      <c r="FE210" s="29"/>
      <c r="FF210" s="29"/>
      <c r="FG210" s="29"/>
      <c r="FH210" s="29"/>
      <c r="FI210" s="29"/>
      <c r="FJ210" s="29"/>
      <c r="FK210" s="29"/>
      <c r="FL210" s="29" t="s">
        <v>184</v>
      </c>
      <c r="FM210" s="29"/>
      <c r="FN210" s="29"/>
      <c r="FO210" s="29"/>
      <c r="FP210" s="29" t="n">
        <v>36000</v>
      </c>
      <c r="FQ210" s="29" t="n">
        <v>36000</v>
      </c>
      <c r="FR210" s="29" t="n">
        <v>36000</v>
      </c>
      <c r="FS210" s="29"/>
      <c r="FT210" s="29" t="n">
        <f aca="false">SUM(N210:FS210)</f>
        <v>108000</v>
      </c>
      <c r="FU210" s="27" t="n">
        <f aca="false">SUM(L210-FT210)</f>
        <v>1044000</v>
      </c>
      <c r="FV210" s="31" t="n">
        <f aca="false">SUM( H210/5)</f>
        <v>3</v>
      </c>
      <c r="FW210" s="31" t="n">
        <f aca="false">SUM( I210/5)</f>
        <v>29</v>
      </c>
      <c r="FX210" s="32" t="n">
        <f aca="false">SUM(FV210/4)</f>
        <v>0.75</v>
      </c>
      <c r="FY210" s="32" t="n">
        <f aca="false">SUM(FW210/4)</f>
        <v>7.25</v>
      </c>
    </row>
    <row r="211" customFormat="false" ht="43.5" hidden="false" customHeight="true" outlineLevel="0" collapsed="false">
      <c r="A211" s="24" t="n">
        <v>2844</v>
      </c>
      <c r="B211" s="21" t="s">
        <v>522</v>
      </c>
      <c r="C211" s="21" t="s">
        <v>523</v>
      </c>
      <c r="D211" s="22"/>
      <c r="E211" s="23" t="n">
        <v>45569</v>
      </c>
      <c r="F211" s="23" t="n">
        <f aca="false">WORKDAY(E211,G211)</f>
        <v>46017</v>
      </c>
      <c r="G211" s="24" t="n">
        <v>320</v>
      </c>
      <c r="H211" s="25" t="n">
        <f aca="false">(FT211* 5)/M211</f>
        <v>122.933333333333</v>
      </c>
      <c r="I211" s="25" t="n">
        <f aca="false">G211-H211</f>
        <v>197.066666666667</v>
      </c>
      <c r="J211" s="26" t="s">
        <v>524</v>
      </c>
      <c r="K211" s="27" t="n">
        <v>3000000</v>
      </c>
      <c r="L211" s="27" t="n">
        <v>12000000</v>
      </c>
      <c r="M211" s="45" t="n">
        <f aca="false">(L211/G211)*5</f>
        <v>187500</v>
      </c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  <c r="CF211" s="29"/>
      <c r="CG211" s="29"/>
      <c r="CH211" s="29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  <c r="CZ211" s="29"/>
      <c r="DA211" s="29"/>
      <c r="DB211" s="29"/>
      <c r="DC211" s="29"/>
      <c r="DD211" s="29"/>
      <c r="DE211" s="29"/>
      <c r="DF211" s="29"/>
      <c r="DG211" s="29"/>
      <c r="DH211" s="29"/>
      <c r="DI211" s="29"/>
      <c r="DJ211" s="29"/>
      <c r="DK211" s="29"/>
      <c r="DL211" s="29"/>
      <c r="DM211" s="29"/>
      <c r="DN211" s="29"/>
      <c r="DO211" s="29" t="n">
        <v>750000</v>
      </c>
      <c r="DP211" s="29"/>
      <c r="DQ211" s="29"/>
      <c r="DR211" s="29"/>
      <c r="DS211" s="29"/>
      <c r="DT211" s="29" t="n">
        <v>750000</v>
      </c>
      <c r="DU211" s="29"/>
      <c r="DV211" s="29"/>
      <c r="DW211" s="29"/>
      <c r="DX211" s="29"/>
      <c r="DY211" s="29" t="n">
        <v>750000</v>
      </c>
      <c r="DZ211" s="29"/>
      <c r="EA211" s="29"/>
      <c r="EB211" s="29"/>
      <c r="EC211" s="29"/>
      <c r="ED211" s="29"/>
      <c r="EE211" s="29"/>
      <c r="EF211" s="29"/>
      <c r="EG211" s="29"/>
      <c r="EH211" s="29"/>
      <c r="EI211" s="29"/>
      <c r="EJ211" s="29"/>
      <c r="EK211" s="29"/>
      <c r="EL211" s="29"/>
      <c r="EM211" s="29"/>
      <c r="EN211" s="29"/>
      <c r="EO211" s="29"/>
      <c r="EP211" s="29" t="n">
        <v>500000</v>
      </c>
      <c r="EQ211" s="29"/>
      <c r="ER211" s="29"/>
      <c r="ES211" s="29"/>
      <c r="ET211" s="29"/>
      <c r="EU211" s="29"/>
      <c r="EV211" s="29"/>
      <c r="EW211" s="29"/>
      <c r="EX211" s="29"/>
      <c r="EY211" s="29"/>
      <c r="EZ211" s="29"/>
      <c r="FA211" s="29"/>
      <c r="FB211" s="29"/>
      <c r="FC211" s="29"/>
      <c r="FD211" s="29"/>
      <c r="FE211" s="29" t="n">
        <v>250000</v>
      </c>
      <c r="FF211" s="29"/>
      <c r="FG211" s="29"/>
      <c r="FH211" s="29"/>
      <c r="FI211" s="29" t="n">
        <v>230000</v>
      </c>
      <c r="FJ211" s="29" t="n">
        <v>230000</v>
      </c>
      <c r="FK211" s="29"/>
      <c r="FL211" s="29"/>
      <c r="FM211" s="29"/>
      <c r="FN211" s="29" t="n">
        <v>230000</v>
      </c>
      <c r="FO211" s="29"/>
      <c r="FP211" s="29" t="n">
        <v>460000</v>
      </c>
      <c r="FQ211" s="29"/>
      <c r="FR211" s="29" t="n">
        <v>460000</v>
      </c>
      <c r="FS211" s="29"/>
      <c r="FT211" s="29" t="n">
        <f aca="false">SUM(N211:FS211)</f>
        <v>4610000</v>
      </c>
      <c r="FU211" s="27" t="n">
        <f aca="false">SUM(L211-FT211)</f>
        <v>7390000</v>
      </c>
      <c r="FV211" s="31" t="n">
        <f aca="false">SUM( H211/5)</f>
        <v>24.5866666666667</v>
      </c>
      <c r="FW211" s="31" t="n">
        <f aca="false">SUM( I211/5)</f>
        <v>39.4133333333333</v>
      </c>
      <c r="FX211" s="32" t="n">
        <f aca="false">SUM(FV211/4)</f>
        <v>6.14666666666667</v>
      </c>
      <c r="FY211" s="32" t="n">
        <f aca="false">SUM(FW211/4)</f>
        <v>9.85333333333333</v>
      </c>
    </row>
    <row r="212" customFormat="false" ht="43.5" hidden="false" customHeight="true" outlineLevel="0" collapsed="false">
      <c r="A212" s="24" t="n">
        <v>3019</v>
      </c>
      <c r="B212" s="21" t="s">
        <v>522</v>
      </c>
      <c r="C212" s="21" t="s">
        <v>523</v>
      </c>
      <c r="D212" s="22"/>
      <c r="E212" s="23" t="n">
        <v>45681</v>
      </c>
      <c r="F212" s="23" t="n">
        <f aca="false">WORKDAY(E212,G212)</f>
        <v>46017</v>
      </c>
      <c r="G212" s="24" t="n">
        <v>240</v>
      </c>
      <c r="H212" s="25" t="n">
        <f aca="false">(FT212* 5)/M212</f>
        <v>75.2</v>
      </c>
      <c r="I212" s="25" t="n">
        <f aca="false">G212-H212</f>
        <v>164.8</v>
      </c>
      <c r="J212" s="26" t="s">
        <v>525</v>
      </c>
      <c r="K212" s="27" t="n">
        <v>1000000</v>
      </c>
      <c r="L212" s="27" t="n">
        <v>3000000</v>
      </c>
      <c r="M212" s="45" t="n">
        <f aca="false">(L212/G212)*5</f>
        <v>62500</v>
      </c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  <c r="CF212" s="29"/>
      <c r="CG212" s="29"/>
      <c r="CH212" s="29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  <c r="CZ212" s="29"/>
      <c r="DA212" s="29"/>
      <c r="DB212" s="29"/>
      <c r="DC212" s="29"/>
      <c r="DD212" s="29"/>
      <c r="DE212" s="29"/>
      <c r="DF212" s="29"/>
      <c r="DG212" s="29"/>
      <c r="DH212" s="29"/>
      <c r="DI212" s="29"/>
      <c r="DJ212" s="29"/>
      <c r="DK212" s="29"/>
      <c r="DL212" s="29"/>
      <c r="DM212" s="29"/>
      <c r="DN212" s="29"/>
      <c r="DO212" s="29"/>
      <c r="DP212" s="29"/>
      <c r="DQ212" s="29"/>
      <c r="DR212" s="29"/>
      <c r="DS212" s="29"/>
      <c r="DT212" s="29"/>
      <c r="DU212" s="29"/>
      <c r="DV212" s="29"/>
      <c r="DW212" s="29"/>
      <c r="DX212" s="29"/>
      <c r="DY212" s="29"/>
      <c r="DZ212" s="29"/>
      <c r="EA212" s="29"/>
      <c r="EB212" s="29"/>
      <c r="EC212" s="29"/>
      <c r="ED212" s="29"/>
      <c r="EE212" s="29"/>
      <c r="EF212" s="29"/>
      <c r="EG212" s="29"/>
      <c r="EH212" s="29"/>
      <c r="EI212" s="29"/>
      <c r="EJ212" s="29"/>
      <c r="EK212" s="29" t="n">
        <v>250000</v>
      </c>
      <c r="EL212" s="29"/>
      <c r="EM212" s="29"/>
      <c r="EN212" s="29"/>
      <c r="EO212" s="29"/>
      <c r="EP212" s="29"/>
      <c r="EQ212" s="29"/>
      <c r="ER212" s="29"/>
      <c r="ES212" s="29"/>
      <c r="ET212" s="29"/>
      <c r="EU212" s="29"/>
      <c r="EV212" s="29"/>
      <c r="EW212" s="29"/>
      <c r="EX212" s="29"/>
      <c r="EY212" s="29"/>
      <c r="EZ212" s="29"/>
      <c r="FA212" s="29"/>
      <c r="FB212" s="29"/>
      <c r="FC212" s="29" t="n">
        <v>230000</v>
      </c>
      <c r="FD212" s="29"/>
      <c r="FE212" s="29"/>
      <c r="FF212" s="29"/>
      <c r="FG212" s="29"/>
      <c r="FH212" s="29" t="n">
        <v>230000</v>
      </c>
      <c r="FI212" s="29"/>
      <c r="FJ212" s="29"/>
      <c r="FK212" s="29"/>
      <c r="FL212" s="29"/>
      <c r="FM212" s="29" t="n">
        <v>230000</v>
      </c>
      <c r="FN212" s="29"/>
      <c r="FO212" s="29"/>
      <c r="FP212" s="29"/>
      <c r="FQ212" s="29"/>
      <c r="FR212" s="29"/>
      <c r="FS212" s="29"/>
      <c r="FT212" s="29" t="n">
        <f aca="false">SUM(N212:FS212)</f>
        <v>940000</v>
      </c>
      <c r="FU212" s="27" t="n">
        <f aca="false">SUM(L212-FT212)</f>
        <v>2060000</v>
      </c>
      <c r="FV212" s="31" t="n">
        <f aca="false">SUM( H212/5)</f>
        <v>15.04</v>
      </c>
      <c r="FW212" s="31" t="n">
        <f aca="false">SUM( I212/5)</f>
        <v>32.96</v>
      </c>
      <c r="FX212" s="32" t="n">
        <f aca="false">SUM(FV212/4)</f>
        <v>3.76</v>
      </c>
      <c r="FY212" s="32" t="n">
        <f aca="false">SUM(FW212/4)</f>
        <v>8.24</v>
      </c>
    </row>
    <row r="213" customFormat="false" ht="43.5" hidden="false" customHeight="true" outlineLevel="0" collapsed="false">
      <c r="A213" s="24" t="n">
        <v>2306</v>
      </c>
      <c r="B213" s="21" t="s">
        <v>526</v>
      </c>
      <c r="C213" s="21" t="s">
        <v>527</v>
      </c>
      <c r="D213" s="22" t="s">
        <v>528</v>
      </c>
      <c r="E213" s="23" t="n">
        <v>45221</v>
      </c>
      <c r="F213" s="23" t="n">
        <f aca="false">WORKDAY(E213,G213)</f>
        <v>45321</v>
      </c>
      <c r="G213" s="24" t="n">
        <v>72</v>
      </c>
      <c r="H213" s="25" t="n">
        <f aca="false">(FT213* 5)/M213</f>
        <v>5.55555555555556</v>
      </c>
      <c r="I213" s="25" t="n">
        <f aca="false">G213-H213</f>
        <v>66.4444444444444</v>
      </c>
      <c r="J213" s="34" t="s">
        <v>468</v>
      </c>
      <c r="K213" s="27" t="n">
        <v>300000</v>
      </c>
      <c r="L213" s="27" t="n">
        <v>648000</v>
      </c>
      <c r="M213" s="45" t="n">
        <f aca="false">(L213/G213)*5</f>
        <v>45000</v>
      </c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 t="s">
        <v>184</v>
      </c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 t="s">
        <v>184</v>
      </c>
      <c r="BI213" s="29"/>
      <c r="BJ213" s="29"/>
      <c r="BK213" s="29"/>
      <c r="BL213" s="29"/>
      <c r="BM213" s="29" t="n">
        <v>50000</v>
      </c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  <c r="CF213" s="29"/>
      <c r="CG213" s="29"/>
      <c r="CH213" s="29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  <c r="CZ213" s="29"/>
      <c r="DA213" s="29"/>
      <c r="DB213" s="29"/>
      <c r="DC213" s="29"/>
      <c r="DD213" s="29"/>
      <c r="DE213" s="29"/>
      <c r="DF213" s="29"/>
      <c r="DG213" s="29"/>
      <c r="DH213" s="29"/>
      <c r="DI213" s="29"/>
      <c r="DJ213" s="29"/>
      <c r="DK213" s="29"/>
      <c r="DL213" s="29"/>
      <c r="DM213" s="29"/>
      <c r="DN213" s="29"/>
      <c r="DO213" s="29"/>
      <c r="DP213" s="29"/>
      <c r="DQ213" s="29"/>
      <c r="DR213" s="29"/>
      <c r="DS213" s="29"/>
      <c r="DT213" s="29"/>
      <c r="DU213" s="29"/>
      <c r="DV213" s="29"/>
      <c r="DW213" s="29"/>
      <c r="DX213" s="29"/>
      <c r="DY213" s="29"/>
      <c r="DZ213" s="29"/>
      <c r="EA213" s="29"/>
      <c r="EB213" s="29"/>
      <c r="EC213" s="29"/>
      <c r="ED213" s="29"/>
      <c r="EE213" s="29"/>
      <c r="EF213" s="29"/>
      <c r="EG213" s="29"/>
      <c r="EH213" s="29"/>
      <c r="EI213" s="29"/>
      <c r="EJ213" s="29"/>
      <c r="EK213" s="29"/>
      <c r="EL213" s="29"/>
      <c r="EM213" s="29"/>
      <c r="EN213" s="29"/>
      <c r="EO213" s="29"/>
      <c r="EP213" s="29"/>
      <c r="EQ213" s="29"/>
      <c r="ER213" s="29"/>
      <c r="ES213" s="29"/>
      <c r="ET213" s="29"/>
      <c r="EU213" s="29"/>
      <c r="EV213" s="29"/>
      <c r="EW213" s="29"/>
      <c r="EX213" s="29"/>
      <c r="EY213" s="29"/>
      <c r="EZ213" s="29"/>
      <c r="FA213" s="29"/>
      <c r="FB213" s="29"/>
      <c r="FC213" s="29"/>
      <c r="FD213" s="29"/>
      <c r="FE213" s="29"/>
      <c r="FF213" s="29"/>
      <c r="FG213" s="29"/>
      <c r="FH213" s="29"/>
      <c r="FI213" s="29"/>
      <c r="FJ213" s="29"/>
      <c r="FK213" s="29"/>
      <c r="FL213" s="29"/>
      <c r="FM213" s="29"/>
      <c r="FN213" s="29"/>
      <c r="FO213" s="29"/>
      <c r="FP213" s="29"/>
      <c r="FQ213" s="29"/>
      <c r="FR213" s="29"/>
      <c r="FS213" s="29"/>
      <c r="FT213" s="29" t="n">
        <f aca="false">SUM(N213:FS213)</f>
        <v>50000</v>
      </c>
      <c r="FU213" s="27" t="n">
        <f aca="false">SUM(L213-FT213)</f>
        <v>598000</v>
      </c>
      <c r="FV213" s="31" t="n">
        <f aca="false">SUM( H213/5)</f>
        <v>1.11111111111111</v>
      </c>
      <c r="FW213" s="31" t="n">
        <f aca="false">SUM( I213/5)</f>
        <v>13.2888888888889</v>
      </c>
      <c r="FX213" s="32" t="n">
        <f aca="false">SUM(FV213/4)</f>
        <v>0.277777777777778</v>
      </c>
      <c r="FY213" s="32" t="n">
        <f aca="false">SUM(FW213/4)</f>
        <v>3.32222222222222</v>
      </c>
    </row>
    <row r="214" customFormat="false" ht="43.5" hidden="false" customHeight="true" outlineLevel="0" collapsed="false">
      <c r="A214" s="24" t="n">
        <v>2236</v>
      </c>
      <c r="B214" s="21" t="s">
        <v>529</v>
      </c>
      <c r="C214" s="21" t="s">
        <v>530</v>
      </c>
      <c r="D214" s="22"/>
      <c r="E214" s="23" t="n">
        <v>45174</v>
      </c>
      <c r="F214" s="23" t="n">
        <f aca="false">WORKDAY(E214,G214)</f>
        <v>45972</v>
      </c>
      <c r="G214" s="24" t="n">
        <v>570</v>
      </c>
      <c r="H214" s="25" t="n">
        <f aca="false">(FT214* 5)/M214</f>
        <v>438.461538461539</v>
      </c>
      <c r="I214" s="25" t="n">
        <f aca="false">G214-H214</f>
        <v>131.538461538462</v>
      </c>
      <c r="J214" s="26" t="s">
        <v>531</v>
      </c>
      <c r="K214" s="27" t="n">
        <v>224100</v>
      </c>
      <c r="L214" s="27" t="n">
        <v>520000</v>
      </c>
      <c r="M214" s="73" t="n">
        <f aca="false">(L214/G214)*5</f>
        <v>4561.40350877193</v>
      </c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 t="s">
        <v>184</v>
      </c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 t="n">
        <v>20000</v>
      </c>
      <c r="BG214" s="29"/>
      <c r="BH214" s="29"/>
      <c r="BI214" s="29"/>
      <c r="BJ214" s="29" t="n">
        <v>20000</v>
      </c>
      <c r="BK214" s="29"/>
      <c r="BL214" s="29"/>
      <c r="BM214" s="29"/>
      <c r="BN214" s="29"/>
      <c r="BO214" s="29" t="n">
        <v>20000</v>
      </c>
      <c r="BP214" s="29"/>
      <c r="BQ214" s="29"/>
      <c r="BR214" s="29"/>
      <c r="BS214" s="29" t="n">
        <v>20000</v>
      </c>
      <c r="BT214" s="29"/>
      <c r="BU214" s="29"/>
      <c r="BV214" s="29"/>
      <c r="BW214" s="29"/>
      <c r="BX214" s="29" t="n">
        <v>20000</v>
      </c>
      <c r="BY214" s="29"/>
      <c r="BZ214" s="29"/>
      <c r="CA214" s="29"/>
      <c r="CB214" s="29" t="n">
        <v>20000</v>
      </c>
      <c r="CC214" s="29"/>
      <c r="CD214" s="29"/>
      <c r="CE214" s="29"/>
      <c r="CF214" s="29"/>
      <c r="CG214" s="29"/>
      <c r="CH214" s="29" t="n">
        <v>20000</v>
      </c>
      <c r="CI214" s="29"/>
      <c r="CJ214" s="29"/>
      <c r="CK214" s="29"/>
      <c r="CL214" s="29"/>
      <c r="CM214" s="29" t="n">
        <v>10000</v>
      </c>
      <c r="CN214" s="29"/>
      <c r="CO214" s="29"/>
      <c r="CP214" s="29"/>
      <c r="CQ214" s="29"/>
      <c r="CR214" s="29"/>
      <c r="CS214" s="29" t="n">
        <v>20000</v>
      </c>
      <c r="CT214" s="29"/>
      <c r="CU214" s="29"/>
      <c r="CV214" s="29"/>
      <c r="CW214" s="29"/>
      <c r="CX214" s="29" t="n">
        <v>20000</v>
      </c>
      <c r="CY214" s="29"/>
      <c r="CZ214" s="29"/>
      <c r="DA214" s="29"/>
      <c r="DB214" s="29"/>
      <c r="DC214" s="29"/>
      <c r="DD214" s="29"/>
      <c r="DE214" s="29"/>
      <c r="DF214" s="29"/>
      <c r="DG214" s="29"/>
      <c r="DH214" s="29"/>
      <c r="DI214" s="29"/>
      <c r="DJ214" s="29" t="n">
        <v>20000</v>
      </c>
      <c r="DK214" s="29"/>
      <c r="DL214" s="29"/>
      <c r="DM214" s="29"/>
      <c r="DN214" s="29"/>
      <c r="DO214" s="29" t="n">
        <v>20000</v>
      </c>
      <c r="DP214" s="29"/>
      <c r="DQ214" s="29"/>
      <c r="DR214" s="29"/>
      <c r="DS214" s="29"/>
      <c r="DT214" s="29"/>
      <c r="DU214" s="29"/>
      <c r="DV214" s="29"/>
      <c r="DW214" s="29"/>
      <c r="DX214" s="29"/>
      <c r="DY214" s="29"/>
      <c r="DZ214" s="29"/>
      <c r="EA214" s="29"/>
      <c r="EB214" s="29"/>
      <c r="EC214" s="29"/>
      <c r="ED214" s="29" t="n">
        <v>15000</v>
      </c>
      <c r="EE214" s="29"/>
      <c r="EF214" s="29"/>
      <c r="EG214" s="29"/>
      <c r="EH214" s="29" t="n">
        <v>15000</v>
      </c>
      <c r="EI214" s="29"/>
      <c r="EJ214" s="29"/>
      <c r="EK214" s="29"/>
      <c r="EL214" s="29" t="n">
        <v>20000</v>
      </c>
      <c r="EM214" s="29"/>
      <c r="EN214" s="29"/>
      <c r="EO214" s="29"/>
      <c r="EP214" s="29" t="n">
        <v>20000</v>
      </c>
      <c r="EQ214" s="29"/>
      <c r="ER214" s="29"/>
      <c r="ES214" s="29"/>
      <c r="ET214" s="29" t="n">
        <v>20000</v>
      </c>
      <c r="EU214" s="29"/>
      <c r="EV214" s="29"/>
      <c r="EW214" s="29"/>
      <c r="EX214" s="29"/>
      <c r="EY214" s="29" t="n">
        <v>20000</v>
      </c>
      <c r="EZ214" s="29"/>
      <c r="FA214" s="29"/>
      <c r="FB214" s="29"/>
      <c r="FC214" s="29" t="n">
        <v>20000</v>
      </c>
      <c r="FD214" s="29"/>
      <c r="FE214" s="29"/>
      <c r="FF214" s="29"/>
      <c r="FG214" s="29"/>
      <c r="FH214" s="29" t="n">
        <v>20000</v>
      </c>
      <c r="FI214" s="29"/>
      <c r="FJ214" s="29"/>
      <c r="FK214" s="29"/>
      <c r="FL214" s="29" t="n">
        <v>20000</v>
      </c>
      <c r="FM214" s="29"/>
      <c r="FN214" s="29"/>
      <c r="FO214" s="29"/>
      <c r="FP214" s="29"/>
      <c r="FQ214" s="29"/>
      <c r="FR214" s="29"/>
      <c r="FS214" s="29"/>
      <c r="FT214" s="29" t="n">
        <f aca="false">SUM(N214:FS214)</f>
        <v>400000</v>
      </c>
      <c r="FU214" s="27" t="n">
        <f aca="false">SUM(L214-FT214)</f>
        <v>120000</v>
      </c>
      <c r="FV214" s="31" t="n">
        <f aca="false">SUM( H214/5)</f>
        <v>87.6923076923077</v>
      </c>
      <c r="FW214" s="31" t="n">
        <f aca="false">SUM( I214/5)</f>
        <v>26.3076923076923</v>
      </c>
      <c r="FX214" s="32" t="n">
        <f aca="false">SUM(FV214/4)</f>
        <v>21.9230769230769</v>
      </c>
      <c r="FY214" s="32" t="n">
        <f aca="false">SUM(FW214/4)</f>
        <v>6.57692307692308</v>
      </c>
    </row>
    <row r="215" customFormat="false" ht="43.5" hidden="false" customHeight="true" outlineLevel="0" collapsed="false">
      <c r="A215" s="24" t="n">
        <v>3197</v>
      </c>
      <c r="B215" s="21" t="s">
        <v>532</v>
      </c>
      <c r="C215" s="21" t="s">
        <v>533</v>
      </c>
      <c r="D215" s="22"/>
      <c r="E215" s="23" t="n">
        <v>45793</v>
      </c>
      <c r="F215" s="23" t="n">
        <f aca="false">WORKDAY(E215,G215)</f>
        <v>46017</v>
      </c>
      <c r="G215" s="24" t="n">
        <v>160</v>
      </c>
      <c r="H215" s="25" t="n">
        <f aca="false">(FT215* 5)/M215</f>
        <v>100</v>
      </c>
      <c r="I215" s="25" t="n">
        <f aca="false">G215-H215</f>
        <v>60</v>
      </c>
      <c r="J215" s="26" t="s">
        <v>534</v>
      </c>
      <c r="K215" s="27" t="n">
        <v>120000</v>
      </c>
      <c r="L215" s="27" t="n">
        <v>360000</v>
      </c>
      <c r="M215" s="45" t="n">
        <f aca="false">(L215/G215)*5</f>
        <v>11250</v>
      </c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  <c r="CF215" s="29"/>
      <c r="CG215" s="29"/>
      <c r="CH215" s="29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  <c r="CZ215" s="29"/>
      <c r="DA215" s="29"/>
      <c r="DB215" s="29"/>
      <c r="DC215" s="29"/>
      <c r="DD215" s="29"/>
      <c r="DE215" s="29"/>
      <c r="DF215" s="29"/>
      <c r="DG215" s="29"/>
      <c r="DH215" s="29"/>
      <c r="DI215" s="29"/>
      <c r="DJ215" s="29"/>
      <c r="DK215" s="29"/>
      <c r="DL215" s="29"/>
      <c r="DM215" s="29"/>
      <c r="DN215" s="29"/>
      <c r="DO215" s="29"/>
      <c r="DP215" s="29"/>
      <c r="DQ215" s="29"/>
      <c r="DR215" s="29"/>
      <c r="DS215" s="29"/>
      <c r="DT215" s="29"/>
      <c r="DU215" s="29"/>
      <c r="DV215" s="29"/>
      <c r="DW215" s="29"/>
      <c r="DX215" s="29"/>
      <c r="DY215" s="29"/>
      <c r="DZ215" s="29"/>
      <c r="EA215" s="29"/>
      <c r="EB215" s="29"/>
      <c r="EC215" s="29"/>
      <c r="ED215" s="29"/>
      <c r="EE215" s="29"/>
      <c r="EF215" s="29"/>
      <c r="EG215" s="29"/>
      <c r="EH215" s="29"/>
      <c r="EI215" s="29"/>
      <c r="EJ215" s="29"/>
      <c r="EK215" s="29" t="s">
        <v>184</v>
      </c>
      <c r="EL215" s="29"/>
      <c r="EM215" s="29" t="s">
        <v>184</v>
      </c>
      <c r="EN215" s="29" t="s">
        <v>184</v>
      </c>
      <c r="EO215" s="29"/>
      <c r="EP215" s="29"/>
      <c r="EQ215" s="29"/>
      <c r="ER215" s="29"/>
      <c r="ES215" s="29"/>
      <c r="ET215" s="29" t="n">
        <v>45000</v>
      </c>
      <c r="EU215" s="29"/>
      <c r="EV215" s="29"/>
      <c r="EW215" s="29"/>
      <c r="EX215" s="29" t="n">
        <v>45000</v>
      </c>
      <c r="EY215" s="29"/>
      <c r="EZ215" s="29"/>
      <c r="FA215" s="29"/>
      <c r="FB215" s="29"/>
      <c r="FC215" s="29"/>
      <c r="FD215" s="29"/>
      <c r="FE215" s="29"/>
      <c r="FF215" s="29"/>
      <c r="FG215" s="29" t="n">
        <v>45000</v>
      </c>
      <c r="FH215" s="29"/>
      <c r="FI215" s="29"/>
      <c r="FJ215" s="29"/>
      <c r="FK215" s="29" t="n">
        <v>45000</v>
      </c>
      <c r="FL215" s="29"/>
      <c r="FM215" s="29"/>
      <c r="FN215" s="29"/>
      <c r="FO215" s="29"/>
      <c r="FP215" s="29" t="n">
        <v>45000</v>
      </c>
      <c r="FQ215" s="29"/>
      <c r="FR215" s="29"/>
      <c r="FS215" s="29"/>
      <c r="FT215" s="29" t="n">
        <f aca="false">SUM(N215:FS215)</f>
        <v>225000</v>
      </c>
      <c r="FU215" s="27" t="n">
        <f aca="false">SUM(L215-FT215)</f>
        <v>135000</v>
      </c>
      <c r="FV215" s="31" t="n">
        <f aca="false">SUM( H215/5)</f>
        <v>20</v>
      </c>
      <c r="FW215" s="31" t="n">
        <f aca="false">SUM( I215/5)</f>
        <v>12</v>
      </c>
      <c r="FX215" s="32" t="n">
        <f aca="false">SUM(FV215/4)</f>
        <v>5</v>
      </c>
      <c r="FY215" s="32" t="n">
        <f aca="false">SUM(FW215/4)</f>
        <v>3</v>
      </c>
    </row>
    <row r="216" customFormat="false" ht="43.5" hidden="false" customHeight="true" outlineLevel="0" collapsed="false">
      <c r="A216" s="24" t="n">
        <v>3445</v>
      </c>
      <c r="B216" s="21" t="s">
        <v>532</v>
      </c>
      <c r="C216" s="21" t="s">
        <v>533</v>
      </c>
      <c r="D216" s="22"/>
      <c r="E216" s="23" t="n">
        <v>45945</v>
      </c>
      <c r="F216" s="23" t="n">
        <f aca="false">WORKDAY(E216,G216)</f>
        <v>46057</v>
      </c>
      <c r="G216" s="24" t="n">
        <v>80</v>
      </c>
      <c r="H216" s="25" t="n">
        <f aca="false">(FT216* 5)/M216</f>
        <v>19.6296296296296</v>
      </c>
      <c r="I216" s="25" t="n">
        <f aca="false">G216-H216</f>
        <v>60.3703703703704</v>
      </c>
      <c r="J216" s="26" t="s">
        <v>187</v>
      </c>
      <c r="K216" s="27" t="n">
        <v>100000</v>
      </c>
      <c r="L216" s="27" t="n">
        <v>216000</v>
      </c>
      <c r="M216" s="28" t="n">
        <f aca="false">(L216/G216)*5</f>
        <v>13500</v>
      </c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  <c r="CF216" s="29"/>
      <c r="CG216" s="29"/>
      <c r="CH216" s="29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  <c r="CZ216" s="29"/>
      <c r="DA216" s="29"/>
      <c r="DB216" s="29"/>
      <c r="DC216" s="29"/>
      <c r="DD216" s="29"/>
      <c r="DE216" s="29"/>
      <c r="DF216" s="29"/>
      <c r="DG216" s="29"/>
      <c r="DH216" s="29"/>
      <c r="DI216" s="29"/>
      <c r="DJ216" s="29"/>
      <c r="DK216" s="29"/>
      <c r="DL216" s="29"/>
      <c r="DM216" s="29"/>
      <c r="DN216" s="29"/>
      <c r="DO216" s="29"/>
      <c r="DP216" s="29"/>
      <c r="DQ216" s="29"/>
      <c r="DR216" s="29"/>
      <c r="DS216" s="29"/>
      <c r="DT216" s="29"/>
      <c r="DU216" s="29"/>
      <c r="DV216" s="29"/>
      <c r="DW216" s="29"/>
      <c r="DX216" s="29"/>
      <c r="DY216" s="29"/>
      <c r="DZ216" s="29"/>
      <c r="EA216" s="29"/>
      <c r="EB216" s="29"/>
      <c r="EC216" s="29"/>
      <c r="ED216" s="29"/>
      <c r="EE216" s="29"/>
      <c r="EF216" s="29"/>
      <c r="EG216" s="29"/>
      <c r="EH216" s="29"/>
      <c r="EI216" s="29"/>
      <c r="EJ216" s="29"/>
      <c r="EK216" s="29" t="s">
        <v>184</v>
      </c>
      <c r="EL216" s="29"/>
      <c r="EM216" s="29" t="s">
        <v>184</v>
      </c>
      <c r="EN216" s="29" t="s">
        <v>184</v>
      </c>
      <c r="EO216" s="29"/>
      <c r="EP216" s="29"/>
      <c r="EQ216" s="29"/>
      <c r="ER216" s="29"/>
      <c r="ES216" s="29" t="s">
        <v>184</v>
      </c>
      <c r="ET216" s="29"/>
      <c r="EU216" s="29"/>
      <c r="EV216" s="29" t="s">
        <v>184</v>
      </c>
      <c r="EW216" s="29"/>
      <c r="EX216" s="29"/>
      <c r="EY216" s="29"/>
      <c r="EZ216" s="29"/>
      <c r="FA216" s="29"/>
      <c r="FB216" s="29"/>
      <c r="FC216" s="29" t="s">
        <v>184</v>
      </c>
      <c r="FD216" s="29"/>
      <c r="FE216" s="29"/>
      <c r="FF216" s="29"/>
      <c r="FG216" s="29"/>
      <c r="FH216" s="29"/>
      <c r="FI216" s="29"/>
      <c r="FJ216" s="29"/>
      <c r="FK216" s="29"/>
      <c r="FL216" s="29"/>
      <c r="FM216" s="29"/>
      <c r="FN216" s="29"/>
      <c r="FO216" s="29"/>
      <c r="FP216" s="29" t="n">
        <v>53000</v>
      </c>
      <c r="FQ216" s="29"/>
      <c r="FR216" s="29"/>
      <c r="FS216" s="29"/>
      <c r="FT216" s="29" t="n">
        <f aca="false">SUM(N216:FS216)</f>
        <v>53000</v>
      </c>
      <c r="FU216" s="27" t="n">
        <f aca="false">SUM(L216-FT216)</f>
        <v>163000</v>
      </c>
      <c r="FV216" s="31" t="n">
        <f aca="false">SUM( H216/5)</f>
        <v>3.92592592592593</v>
      </c>
      <c r="FW216" s="31" t="n">
        <f aca="false">SUM( I216/5)</f>
        <v>12.0740740740741</v>
      </c>
      <c r="FX216" s="32" t="n">
        <f aca="false">SUM(FV216/4)</f>
        <v>0.981481481481482</v>
      </c>
      <c r="FY216" s="32" t="n">
        <f aca="false">SUM(FW216/4)</f>
        <v>3.01851851851852</v>
      </c>
    </row>
    <row r="217" customFormat="false" ht="43.5" hidden="false" customHeight="true" outlineLevel="0" collapsed="false">
      <c r="A217" s="24" t="n">
        <v>2526</v>
      </c>
      <c r="B217" s="21" t="s">
        <v>535</v>
      </c>
      <c r="C217" s="21" t="s">
        <v>536</v>
      </c>
      <c r="D217" s="22" t="n">
        <v>13141036</v>
      </c>
      <c r="E217" s="23" t="n">
        <v>45369</v>
      </c>
      <c r="F217" s="23" t="n">
        <f aca="false">WORKDAY(E217,G217)</f>
        <v>45523</v>
      </c>
      <c r="G217" s="24" t="n">
        <v>110</v>
      </c>
      <c r="H217" s="25" t="n">
        <f aca="false">(FT217* 5)/M217</f>
        <v>68.5208333333333</v>
      </c>
      <c r="I217" s="25" t="n">
        <f aca="false">G217-H217</f>
        <v>41.4791666666667</v>
      </c>
      <c r="J217" s="34" t="s">
        <v>509</v>
      </c>
      <c r="K217" s="27" t="n">
        <v>250000</v>
      </c>
      <c r="L217" s="27" t="n">
        <v>720000</v>
      </c>
      <c r="M217" s="68" t="n">
        <f aca="false">(L217/G217)*5</f>
        <v>32727.2727272727</v>
      </c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 t="s">
        <v>184</v>
      </c>
      <c r="CB217" s="29" t="s">
        <v>184</v>
      </c>
      <c r="CC217" s="29"/>
      <c r="CD217" s="29"/>
      <c r="CE217" s="29"/>
      <c r="CF217" s="29" t="n">
        <v>37000</v>
      </c>
      <c r="CG217" s="29" t="n">
        <v>37500</v>
      </c>
      <c r="CH217" s="29"/>
      <c r="CI217" s="29"/>
      <c r="CJ217" s="29"/>
      <c r="CK217" s="29"/>
      <c r="CL217" s="29"/>
      <c r="CM217" s="29"/>
      <c r="CN217" s="29"/>
      <c r="CO217" s="29"/>
      <c r="CP217" s="29" t="n">
        <v>30000</v>
      </c>
      <c r="CQ217" s="29"/>
      <c r="CR217" s="29" t="n">
        <v>30000</v>
      </c>
      <c r="CS217" s="29" t="n">
        <v>30000</v>
      </c>
      <c r="CT217" s="29"/>
      <c r="CU217" s="29"/>
      <c r="CV217" s="29"/>
      <c r="CW217" s="29" t="n">
        <v>30000</v>
      </c>
      <c r="CX217" s="29"/>
      <c r="CY217" s="29"/>
      <c r="CZ217" s="29" t="n">
        <v>30000</v>
      </c>
      <c r="DA217" s="29"/>
      <c r="DB217" s="29"/>
      <c r="DC217" s="29"/>
      <c r="DD217" s="29"/>
      <c r="DE217" s="29"/>
      <c r="DF217" s="29"/>
      <c r="DG217" s="29"/>
      <c r="DH217" s="29"/>
      <c r="DI217" s="29"/>
      <c r="DJ217" s="29"/>
      <c r="DK217" s="29"/>
      <c r="DL217" s="29" t="n">
        <v>14000</v>
      </c>
      <c r="DM217" s="29"/>
      <c r="DN217" s="29" t="n">
        <v>18000</v>
      </c>
      <c r="DO217" s="29"/>
      <c r="DP217" s="29"/>
      <c r="DQ217" s="29"/>
      <c r="DR217" s="29" t="n">
        <v>30000</v>
      </c>
      <c r="DS217" s="29"/>
      <c r="DT217" s="29"/>
      <c r="DU217" s="29" t="n">
        <v>13000</v>
      </c>
      <c r="DV217" s="29"/>
      <c r="DW217" s="29"/>
      <c r="DX217" s="29" t="n">
        <v>18000</v>
      </c>
      <c r="DY217" s="29"/>
      <c r="DZ217" s="29"/>
      <c r="EA217" s="29"/>
      <c r="EB217" s="29"/>
      <c r="EC217" s="29" t="n">
        <v>13000</v>
      </c>
      <c r="ED217" s="29"/>
      <c r="EE217" s="29"/>
      <c r="EF217" s="29"/>
      <c r="EG217" s="29"/>
      <c r="EH217" s="29"/>
      <c r="EI217" s="29"/>
      <c r="EJ217" s="29"/>
      <c r="EK217" s="29"/>
      <c r="EL217" s="29"/>
      <c r="EM217" s="29"/>
      <c r="EN217" s="29"/>
      <c r="EO217" s="29"/>
      <c r="EP217" s="29"/>
      <c r="EQ217" s="29"/>
      <c r="ER217" s="29" t="n">
        <v>30000</v>
      </c>
      <c r="ES217" s="29"/>
      <c r="ET217" s="29"/>
      <c r="EU217" s="29"/>
      <c r="EV217" s="29"/>
      <c r="EW217" s="29"/>
      <c r="EX217" s="29" t="n">
        <v>28000</v>
      </c>
      <c r="EY217" s="29"/>
      <c r="EZ217" s="29"/>
      <c r="FA217" s="29"/>
      <c r="FB217" s="29" t="n">
        <v>30000</v>
      </c>
      <c r="FC217" s="29"/>
      <c r="FD217" s="29"/>
      <c r="FE217" s="29"/>
      <c r="FF217" s="29"/>
      <c r="FG217" s="29"/>
      <c r="FH217" s="29"/>
      <c r="FI217" s="29"/>
      <c r="FJ217" s="29"/>
      <c r="FK217" s="29"/>
      <c r="FL217" s="29"/>
      <c r="FM217" s="29"/>
      <c r="FN217" s="29"/>
      <c r="FO217" s="29"/>
      <c r="FP217" s="29"/>
      <c r="FQ217" s="29" t="n">
        <v>30000</v>
      </c>
      <c r="FR217" s="29"/>
      <c r="FS217" s="29"/>
      <c r="FT217" s="29" t="n">
        <f aca="false">SUM(N217:FS217)</f>
        <v>448500</v>
      </c>
      <c r="FU217" s="27" t="n">
        <f aca="false">SUM(L217-FT217)</f>
        <v>271500</v>
      </c>
      <c r="FV217" s="31" t="n">
        <f aca="false">SUM( H217/5)</f>
        <v>13.7041666666667</v>
      </c>
      <c r="FW217" s="31" t="n">
        <f aca="false">SUM( I217/5)</f>
        <v>8.29583333333333</v>
      </c>
      <c r="FX217" s="32" t="n">
        <f aca="false">SUM(FV217/4)</f>
        <v>3.42604166666667</v>
      </c>
      <c r="FY217" s="32" t="n">
        <f aca="false">SUM(FW217/4)</f>
        <v>2.07395833333333</v>
      </c>
    </row>
    <row r="218" customFormat="false" ht="43.5" hidden="false" customHeight="true" outlineLevel="0" collapsed="false">
      <c r="A218" s="24" t="n">
        <v>3314</v>
      </c>
      <c r="B218" s="21" t="s">
        <v>537</v>
      </c>
      <c r="C218" s="21"/>
      <c r="D218" s="22"/>
      <c r="E218" s="23" t="n">
        <v>45862</v>
      </c>
      <c r="F218" s="23" t="n">
        <f aca="false">WORKDAY(E218,G218)</f>
        <v>45974</v>
      </c>
      <c r="G218" s="24" t="n">
        <v>80</v>
      </c>
      <c r="H218" s="25" t="n">
        <f aca="false">(FT218* 5)/M218</f>
        <v>77.7777777777778</v>
      </c>
      <c r="I218" s="25" t="n">
        <f aca="false">G218-H218</f>
        <v>2.22222222222223</v>
      </c>
      <c r="J218" s="26" t="s">
        <v>538</v>
      </c>
      <c r="K218" s="30" t="n">
        <v>100000</v>
      </c>
      <c r="L218" s="30" t="n">
        <v>216000</v>
      </c>
      <c r="M218" s="28" t="n">
        <f aca="false">(L218/G218)*5</f>
        <v>13500</v>
      </c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  <c r="CF218" s="29"/>
      <c r="CG218" s="29"/>
      <c r="CH218" s="29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  <c r="CZ218" s="29"/>
      <c r="DA218" s="29"/>
      <c r="DB218" s="29"/>
      <c r="DC218" s="29"/>
      <c r="DD218" s="29"/>
      <c r="DE218" s="29"/>
      <c r="DF218" s="29"/>
      <c r="DG218" s="29"/>
      <c r="DH218" s="29"/>
      <c r="DI218" s="29"/>
      <c r="DJ218" s="29"/>
      <c r="DK218" s="29"/>
      <c r="DL218" s="29"/>
      <c r="DM218" s="29"/>
      <c r="DN218" s="29"/>
      <c r="DO218" s="29"/>
      <c r="DP218" s="29"/>
      <c r="DQ218" s="29"/>
      <c r="DR218" s="29"/>
      <c r="DS218" s="29"/>
      <c r="DT218" s="29"/>
      <c r="DU218" s="29"/>
      <c r="DV218" s="29"/>
      <c r="DW218" s="29"/>
      <c r="DX218" s="29"/>
      <c r="DY218" s="29"/>
      <c r="DZ218" s="29"/>
      <c r="EA218" s="29"/>
      <c r="EB218" s="29"/>
      <c r="EC218" s="29"/>
      <c r="ED218" s="29"/>
      <c r="EE218" s="29"/>
      <c r="EF218" s="29"/>
      <c r="EG218" s="29"/>
      <c r="EH218" s="29"/>
      <c r="EI218" s="29"/>
      <c r="EJ218" s="29"/>
      <c r="EK218" s="29" t="s">
        <v>184</v>
      </c>
      <c r="EL218" s="29"/>
      <c r="EM218" s="29" t="s">
        <v>184</v>
      </c>
      <c r="EN218" s="29" t="s">
        <v>184</v>
      </c>
      <c r="EO218" s="29"/>
      <c r="EP218" s="29"/>
      <c r="EQ218" s="29"/>
      <c r="ER218" s="29"/>
      <c r="ES218" s="29" t="s">
        <v>184</v>
      </c>
      <c r="ET218" s="29"/>
      <c r="EU218" s="29"/>
      <c r="EV218" s="29" t="s">
        <v>184</v>
      </c>
      <c r="EW218" s="29"/>
      <c r="EX218" s="29"/>
      <c r="EY218" s="29"/>
      <c r="EZ218" s="29"/>
      <c r="FA218" s="29"/>
      <c r="FB218" s="29" t="n">
        <v>55000</v>
      </c>
      <c r="FC218" s="29"/>
      <c r="FD218" s="29"/>
      <c r="FE218" s="29"/>
      <c r="FF218" s="29"/>
      <c r="FG218" s="29" t="n">
        <v>50000</v>
      </c>
      <c r="FH218" s="29"/>
      <c r="FI218" s="29"/>
      <c r="FJ218" s="29"/>
      <c r="FK218" s="29"/>
      <c r="FL218" s="29" t="n">
        <v>55000</v>
      </c>
      <c r="FM218" s="29"/>
      <c r="FN218" s="29"/>
      <c r="FO218" s="29"/>
      <c r="FP218" s="29"/>
      <c r="FQ218" s="29" t="n">
        <v>50000</v>
      </c>
      <c r="FR218" s="29"/>
      <c r="FS218" s="29"/>
      <c r="FT218" s="29" t="n">
        <f aca="false">SUM(N218:FS218)</f>
        <v>210000</v>
      </c>
      <c r="FU218" s="27" t="n">
        <f aca="false">SUM(L218-FT218)</f>
        <v>6000</v>
      </c>
      <c r="FV218" s="31" t="n">
        <f aca="false">SUM( H218/5)</f>
        <v>15.5555555555556</v>
      </c>
      <c r="FW218" s="31" t="n">
        <f aca="false">SUM( I218/5)</f>
        <v>0.444444444444446</v>
      </c>
      <c r="FX218" s="32" t="n">
        <f aca="false">SUM(FV218/4)</f>
        <v>3.88888888888889</v>
      </c>
      <c r="FY218" s="32" t="n">
        <f aca="false">SUM(FW218/4)</f>
        <v>0.111111111111111</v>
      </c>
    </row>
    <row r="219" customFormat="false" ht="43.5" hidden="false" customHeight="true" outlineLevel="0" collapsed="false">
      <c r="A219" s="24" t="n">
        <v>3451</v>
      </c>
      <c r="B219" s="21" t="s">
        <v>537</v>
      </c>
      <c r="C219" s="21"/>
      <c r="D219" s="22"/>
      <c r="E219" s="23" t="n">
        <v>45948</v>
      </c>
      <c r="F219" s="23" t="n">
        <f aca="false">WORKDAY(E219,G219)</f>
        <v>46059</v>
      </c>
      <c r="G219" s="24" t="n">
        <v>80</v>
      </c>
      <c r="H219" s="25" t="n">
        <f aca="false">(FT219* 5)/M219</f>
        <v>0</v>
      </c>
      <c r="I219" s="25" t="n">
        <f aca="false">G219-H219</f>
        <v>80</v>
      </c>
      <c r="J219" s="26" t="s">
        <v>539</v>
      </c>
      <c r="K219" s="27" t="n">
        <v>70000</v>
      </c>
      <c r="L219" s="27" t="n">
        <v>151200</v>
      </c>
      <c r="M219" s="45" t="n">
        <f aca="false">(L219/G219)*5</f>
        <v>9450</v>
      </c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  <c r="CF219" s="29"/>
      <c r="CG219" s="29"/>
      <c r="CH219" s="29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  <c r="CZ219" s="29"/>
      <c r="DA219" s="29"/>
      <c r="DB219" s="29"/>
      <c r="DC219" s="29"/>
      <c r="DD219" s="29"/>
      <c r="DE219" s="29"/>
      <c r="DF219" s="29"/>
      <c r="DG219" s="29"/>
      <c r="DH219" s="29"/>
      <c r="DI219" s="29"/>
      <c r="DJ219" s="29"/>
      <c r="DK219" s="29"/>
      <c r="DL219" s="29"/>
      <c r="DM219" s="29"/>
      <c r="DN219" s="29"/>
      <c r="DO219" s="29"/>
      <c r="DP219" s="29"/>
      <c r="DQ219" s="29"/>
      <c r="DR219" s="29"/>
      <c r="DS219" s="29"/>
      <c r="DT219" s="29"/>
      <c r="DU219" s="29"/>
      <c r="DV219" s="29"/>
      <c r="DW219" s="29"/>
      <c r="DX219" s="29"/>
      <c r="DY219" s="29"/>
      <c r="DZ219" s="29"/>
      <c r="EA219" s="29"/>
      <c r="EB219" s="29"/>
      <c r="EC219" s="29"/>
      <c r="ED219" s="29"/>
      <c r="EE219" s="29"/>
      <c r="EF219" s="29"/>
      <c r="EG219" s="29"/>
      <c r="EH219" s="29"/>
      <c r="EI219" s="29"/>
      <c r="EJ219" s="29"/>
      <c r="EK219" s="29" t="s">
        <v>184</v>
      </c>
      <c r="EL219" s="29"/>
      <c r="EM219" s="29" t="s">
        <v>184</v>
      </c>
      <c r="EN219" s="29" t="s">
        <v>184</v>
      </c>
      <c r="EO219" s="29"/>
      <c r="EP219" s="29"/>
      <c r="EQ219" s="29"/>
      <c r="ER219" s="29"/>
      <c r="ES219" s="29" t="s">
        <v>184</v>
      </c>
      <c r="ET219" s="29"/>
      <c r="EU219" s="29"/>
      <c r="EV219" s="29" t="s">
        <v>184</v>
      </c>
      <c r="EW219" s="29"/>
      <c r="EX219" s="29"/>
      <c r="EY219" s="29"/>
      <c r="EZ219" s="29"/>
      <c r="FA219" s="29"/>
      <c r="FB219" s="29"/>
      <c r="FC219" s="29" t="s">
        <v>184</v>
      </c>
      <c r="FD219" s="29"/>
      <c r="FE219" s="29"/>
      <c r="FF219" s="29"/>
      <c r="FG219" s="29"/>
      <c r="FH219" s="29"/>
      <c r="FI219" s="29"/>
      <c r="FJ219" s="29"/>
      <c r="FK219" s="29"/>
      <c r="FL219" s="29"/>
      <c r="FM219" s="29"/>
      <c r="FN219" s="29"/>
      <c r="FO219" s="29"/>
      <c r="FP219" s="29"/>
      <c r="FQ219" s="29"/>
      <c r="FR219" s="29"/>
      <c r="FS219" s="29"/>
      <c r="FT219" s="29" t="n">
        <f aca="false">SUM(N219:FS219)</f>
        <v>0</v>
      </c>
      <c r="FU219" s="27" t="n">
        <f aca="false">SUM(L219-FT219)</f>
        <v>151200</v>
      </c>
      <c r="FV219" s="31" t="n">
        <f aca="false">SUM( H219/5)</f>
        <v>0</v>
      </c>
      <c r="FW219" s="31" t="n">
        <f aca="false">SUM( I219/5)</f>
        <v>16</v>
      </c>
      <c r="FX219" s="32" t="n">
        <f aca="false">SUM(FV219/4)</f>
        <v>0</v>
      </c>
      <c r="FY219" s="32" t="n">
        <f aca="false">SUM(FW219/4)</f>
        <v>4</v>
      </c>
    </row>
    <row r="220" customFormat="false" ht="43.5" hidden="false" customHeight="true" outlineLevel="0" collapsed="false">
      <c r="A220" s="24" t="n">
        <v>3361</v>
      </c>
      <c r="B220" s="21" t="s">
        <v>540</v>
      </c>
      <c r="C220" s="21"/>
      <c r="D220" s="48"/>
      <c r="E220" s="23" t="n">
        <v>45891</v>
      </c>
      <c r="F220" s="23" t="n">
        <f aca="false">WORKDAY(E220,G220)</f>
        <v>45989</v>
      </c>
      <c r="G220" s="24" t="n">
        <v>70</v>
      </c>
      <c r="H220" s="25" t="n">
        <f aca="false">(FT220* 5)/M220</f>
        <v>56.1290322580645</v>
      </c>
      <c r="I220" s="25" t="n">
        <f aca="false">G220-H220</f>
        <v>13.8709677419355</v>
      </c>
      <c r="J220" s="74" t="s">
        <v>541</v>
      </c>
      <c r="K220" s="27" t="n">
        <v>100000</v>
      </c>
      <c r="L220" s="27" t="n">
        <v>217000</v>
      </c>
      <c r="M220" s="45" t="n">
        <f aca="false">(L220/G220)*5</f>
        <v>15500</v>
      </c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  <c r="CF220" s="29"/>
      <c r="CG220" s="29"/>
      <c r="CH220" s="29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  <c r="CZ220" s="29"/>
      <c r="DA220" s="29"/>
      <c r="DB220" s="29"/>
      <c r="DC220" s="29"/>
      <c r="DD220" s="29"/>
      <c r="DE220" s="29"/>
      <c r="DF220" s="29"/>
      <c r="DG220" s="29"/>
      <c r="DH220" s="29"/>
      <c r="DI220" s="29"/>
      <c r="DJ220" s="29"/>
      <c r="DK220" s="29"/>
      <c r="DL220" s="29"/>
      <c r="DM220" s="29"/>
      <c r="DN220" s="29"/>
      <c r="DO220" s="29"/>
      <c r="DP220" s="29"/>
      <c r="DQ220" s="29"/>
      <c r="DR220" s="29"/>
      <c r="DS220" s="29"/>
      <c r="DT220" s="29"/>
      <c r="DU220" s="29"/>
      <c r="DV220" s="29"/>
      <c r="DW220" s="29"/>
      <c r="DX220" s="29"/>
      <c r="DY220" s="29"/>
      <c r="DZ220" s="29"/>
      <c r="EA220" s="29"/>
      <c r="EB220" s="29"/>
      <c r="EC220" s="29"/>
      <c r="ED220" s="29"/>
      <c r="EE220" s="29"/>
      <c r="EF220" s="29"/>
      <c r="EG220" s="29"/>
      <c r="EH220" s="29"/>
      <c r="EI220" s="29"/>
      <c r="EJ220" s="29"/>
      <c r="EK220" s="29" t="s">
        <v>184</v>
      </c>
      <c r="EL220" s="29"/>
      <c r="EM220" s="29" t="s">
        <v>184</v>
      </c>
      <c r="EN220" s="29" t="s">
        <v>184</v>
      </c>
      <c r="EO220" s="29"/>
      <c r="EP220" s="29"/>
      <c r="EQ220" s="29"/>
      <c r="ER220" s="29"/>
      <c r="ES220" s="29" t="s">
        <v>184</v>
      </c>
      <c r="ET220" s="29"/>
      <c r="EU220" s="29"/>
      <c r="EV220" s="29" t="s">
        <v>184</v>
      </c>
      <c r="EW220" s="29"/>
      <c r="EX220" s="29"/>
      <c r="EY220" s="29"/>
      <c r="EZ220" s="29"/>
      <c r="FA220" s="29"/>
      <c r="FB220" s="29"/>
      <c r="FC220" s="29" t="s">
        <v>184</v>
      </c>
      <c r="FD220" s="29"/>
      <c r="FE220" s="29"/>
      <c r="FF220" s="29"/>
      <c r="FG220" s="29"/>
      <c r="FH220" s="29" t="n">
        <v>62000</v>
      </c>
      <c r="FI220" s="29"/>
      <c r="FJ220" s="29"/>
      <c r="FK220" s="29"/>
      <c r="FL220" s="29"/>
      <c r="FM220" s="29" t="n">
        <v>62000</v>
      </c>
      <c r="FN220" s="29"/>
      <c r="FO220" s="29"/>
      <c r="FP220" s="29"/>
      <c r="FQ220" s="29" t="n">
        <v>50000</v>
      </c>
      <c r="FR220" s="29"/>
      <c r="FS220" s="29"/>
      <c r="FT220" s="29" t="n">
        <f aca="false">SUM(N220:FS220)</f>
        <v>174000</v>
      </c>
      <c r="FU220" s="27" t="n">
        <f aca="false">SUM(L220-FT220)</f>
        <v>43000</v>
      </c>
      <c r="FV220" s="31" t="n">
        <f aca="false">SUM( H220/5)</f>
        <v>11.2258064516129</v>
      </c>
      <c r="FW220" s="31" t="n">
        <f aca="false">SUM( I220/5)</f>
        <v>2.7741935483871</v>
      </c>
      <c r="FX220" s="32" t="n">
        <f aca="false">SUM(FV220/4)</f>
        <v>2.80645161290323</v>
      </c>
      <c r="FY220" s="32" t="n">
        <f aca="false">SUM(FW220/4)</f>
        <v>0.693548387096774</v>
      </c>
    </row>
    <row r="221" customFormat="false" ht="43.5" hidden="false" customHeight="true" outlineLevel="0" collapsed="false">
      <c r="A221" s="24" t="n">
        <v>3354</v>
      </c>
      <c r="B221" s="21" t="s">
        <v>542</v>
      </c>
      <c r="C221" s="21"/>
      <c r="D221" s="22"/>
      <c r="E221" s="23" t="n">
        <v>45887</v>
      </c>
      <c r="F221" s="23" t="n">
        <f aca="false">WORKDAY(E221,G221)</f>
        <v>45987</v>
      </c>
      <c r="G221" s="24" t="n">
        <v>72</v>
      </c>
      <c r="H221" s="25" t="n">
        <f aca="false">(FT221* 5)/M221</f>
        <v>61.6666666666667</v>
      </c>
      <c r="I221" s="25" t="n">
        <f aca="false">G221-H221</f>
        <v>10.3333333333333</v>
      </c>
      <c r="J221" s="34" t="s">
        <v>188</v>
      </c>
      <c r="K221" s="33" t="n">
        <v>100000</v>
      </c>
      <c r="L221" s="27" t="n">
        <v>216000</v>
      </c>
      <c r="M221" s="45" t="n">
        <v>15000</v>
      </c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  <c r="CF221" s="29"/>
      <c r="CG221" s="29"/>
      <c r="CH221" s="29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  <c r="CZ221" s="29"/>
      <c r="DA221" s="29"/>
      <c r="DB221" s="29"/>
      <c r="DC221" s="29"/>
      <c r="DD221" s="29"/>
      <c r="DE221" s="29"/>
      <c r="DF221" s="29"/>
      <c r="DG221" s="29"/>
      <c r="DH221" s="29"/>
      <c r="DI221" s="29"/>
      <c r="DJ221" s="29"/>
      <c r="DK221" s="29"/>
      <c r="DL221" s="29"/>
      <c r="DM221" s="29"/>
      <c r="DN221" s="29"/>
      <c r="DO221" s="29"/>
      <c r="DP221" s="29"/>
      <c r="DQ221" s="29"/>
      <c r="DR221" s="29"/>
      <c r="DS221" s="29"/>
      <c r="DT221" s="29"/>
      <c r="DU221" s="29"/>
      <c r="DV221" s="29"/>
      <c r="DW221" s="29"/>
      <c r="DX221" s="29"/>
      <c r="DY221" s="29"/>
      <c r="DZ221" s="29"/>
      <c r="EA221" s="29"/>
      <c r="EB221" s="29"/>
      <c r="EC221" s="29"/>
      <c r="ED221" s="29"/>
      <c r="EE221" s="29"/>
      <c r="EF221" s="29"/>
      <c r="EG221" s="29"/>
      <c r="EH221" s="29"/>
      <c r="EI221" s="29"/>
      <c r="EJ221" s="29"/>
      <c r="EK221" s="29" t="s">
        <v>184</v>
      </c>
      <c r="EL221" s="29"/>
      <c r="EM221" s="29" t="s">
        <v>184</v>
      </c>
      <c r="EN221" s="29" t="s">
        <v>184</v>
      </c>
      <c r="EO221" s="29"/>
      <c r="EP221" s="29"/>
      <c r="EQ221" s="29"/>
      <c r="ER221" s="29"/>
      <c r="ES221" s="29" t="s">
        <v>184</v>
      </c>
      <c r="ET221" s="29"/>
      <c r="EU221" s="29"/>
      <c r="EV221" s="29" t="s">
        <v>184</v>
      </c>
      <c r="EW221" s="29"/>
      <c r="EX221" s="29"/>
      <c r="EY221" s="29"/>
      <c r="EZ221" s="29"/>
      <c r="FA221" s="29"/>
      <c r="FB221" s="29"/>
      <c r="FC221" s="29" t="s">
        <v>184</v>
      </c>
      <c r="FD221" s="29"/>
      <c r="FE221" s="29"/>
      <c r="FF221" s="29" t="n">
        <v>45000</v>
      </c>
      <c r="FG221" s="29"/>
      <c r="FH221" s="29"/>
      <c r="FI221" s="29" t="n">
        <v>15000</v>
      </c>
      <c r="FJ221" s="29"/>
      <c r="FK221" s="29"/>
      <c r="FL221" s="29"/>
      <c r="FM221" s="29" t="n">
        <v>75000</v>
      </c>
      <c r="FN221" s="29"/>
      <c r="FO221" s="29"/>
      <c r="FP221" s="29"/>
      <c r="FQ221" s="29" t="n">
        <v>50000</v>
      </c>
      <c r="FR221" s="29"/>
      <c r="FS221" s="29"/>
      <c r="FT221" s="29" t="n">
        <f aca="false">SUM(N221:FS221)</f>
        <v>185000</v>
      </c>
      <c r="FU221" s="27" t="n">
        <f aca="false">SUM(L221-FT221)</f>
        <v>31000</v>
      </c>
      <c r="FV221" s="31" t="n">
        <f aca="false">SUM( H221/5)</f>
        <v>12.3333333333333</v>
      </c>
      <c r="FW221" s="31" t="n">
        <f aca="false">SUM( I221/5)</f>
        <v>2.06666666666667</v>
      </c>
      <c r="FX221" s="32" t="n">
        <f aca="false">SUM(FV221/4)</f>
        <v>3.08333333333333</v>
      </c>
      <c r="FY221" s="32" t="n">
        <f aca="false">SUM(FW221/4)</f>
        <v>0.516666666666667</v>
      </c>
    </row>
    <row r="222" customFormat="false" ht="43.5" hidden="false" customHeight="true" outlineLevel="0" collapsed="false">
      <c r="A222" s="24" t="n">
        <v>3444</v>
      </c>
      <c r="B222" s="21" t="s">
        <v>543</v>
      </c>
      <c r="C222" s="21"/>
      <c r="D222" s="22"/>
      <c r="E222" s="23" t="n">
        <v>45945</v>
      </c>
      <c r="F222" s="23" t="n">
        <f aca="false">WORKDAY(E222,G222)</f>
        <v>45952</v>
      </c>
      <c r="G222" s="24" t="n">
        <v>5</v>
      </c>
      <c r="H222" s="25" t="e">
        <f aca="false">(FT222* 5)/M222</f>
        <v>#VALUE!</v>
      </c>
      <c r="I222" s="25" t="e">
        <f aca="false">G222-H222</f>
        <v>#VALUE!</v>
      </c>
      <c r="J222" s="26" t="s">
        <v>544</v>
      </c>
      <c r="K222" s="30" t="n">
        <v>50000</v>
      </c>
      <c r="L222" s="30" t="n">
        <v>72000</v>
      </c>
      <c r="M222" s="45" t="s">
        <v>184</v>
      </c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  <c r="CZ222" s="29"/>
      <c r="DA222" s="29"/>
      <c r="DB222" s="29"/>
      <c r="DC222" s="29"/>
      <c r="DD222" s="29"/>
      <c r="DE222" s="29"/>
      <c r="DF222" s="29"/>
      <c r="DG222" s="29"/>
      <c r="DH222" s="29"/>
      <c r="DI222" s="29"/>
      <c r="DJ222" s="29"/>
      <c r="DK222" s="29"/>
      <c r="DL222" s="29"/>
      <c r="DM222" s="29"/>
      <c r="DN222" s="29"/>
      <c r="DO222" s="29"/>
      <c r="DP222" s="29"/>
      <c r="DQ222" s="29"/>
      <c r="DR222" s="29"/>
      <c r="DS222" s="29"/>
      <c r="DT222" s="29"/>
      <c r="DU222" s="29"/>
      <c r="DV222" s="29"/>
      <c r="DW222" s="29"/>
      <c r="DX222" s="29"/>
      <c r="DY222" s="29"/>
      <c r="DZ222" s="29"/>
      <c r="EA222" s="29"/>
      <c r="EB222" s="29"/>
      <c r="EC222" s="29"/>
      <c r="ED222" s="29"/>
      <c r="EE222" s="29"/>
      <c r="EF222" s="29"/>
      <c r="EG222" s="29"/>
      <c r="EH222" s="29"/>
      <c r="EI222" s="29"/>
      <c r="EJ222" s="29"/>
      <c r="EK222" s="29" t="s">
        <v>184</v>
      </c>
      <c r="EL222" s="29"/>
      <c r="EM222" s="29" t="s">
        <v>184</v>
      </c>
      <c r="EN222" s="29" t="s">
        <v>184</v>
      </c>
      <c r="EO222" s="29"/>
      <c r="EP222" s="29"/>
      <c r="EQ222" s="29"/>
      <c r="ER222" s="29"/>
      <c r="ES222" s="29" t="s">
        <v>184</v>
      </c>
      <c r="ET222" s="29"/>
      <c r="EU222" s="29"/>
      <c r="EV222" s="29" t="s">
        <v>184</v>
      </c>
      <c r="EW222" s="29"/>
      <c r="EX222" s="29"/>
      <c r="EY222" s="29"/>
      <c r="EZ222" s="29"/>
      <c r="FA222" s="29"/>
      <c r="FB222" s="29"/>
      <c r="FC222" s="29" t="s">
        <v>184</v>
      </c>
      <c r="FD222" s="29"/>
      <c r="FE222" s="29"/>
      <c r="FF222" s="29"/>
      <c r="FG222" s="29"/>
      <c r="FH222" s="29"/>
      <c r="FI222" s="29"/>
      <c r="FJ222" s="29"/>
      <c r="FK222" s="29"/>
      <c r="FL222" s="29"/>
      <c r="FM222" s="29"/>
      <c r="FN222" s="29" t="n">
        <v>60000</v>
      </c>
      <c r="FO222" s="29"/>
      <c r="FP222" s="29"/>
      <c r="FQ222" s="29"/>
      <c r="FR222" s="29"/>
      <c r="FS222" s="29"/>
      <c r="FT222" s="29" t="n">
        <f aca="false">SUM(N222:FS222)</f>
        <v>60000</v>
      </c>
      <c r="FU222" s="27" t="n">
        <f aca="false">SUM(L222-FT222)</f>
        <v>12000</v>
      </c>
      <c r="FV222" s="31" t="e">
        <f aca="false">SUM( H222/5)</f>
        <v>#VALUE!</v>
      </c>
      <c r="FW222" s="31" t="e">
        <f aca="false">SUM( I222/5)</f>
        <v>#VALUE!</v>
      </c>
      <c r="FX222" s="32" t="e">
        <f aca="false">SUM(FV222/4)</f>
        <v>#VALUE!</v>
      </c>
      <c r="FY222" s="32" t="e">
        <f aca="false">SUM(FW222/4)</f>
        <v>#VALUE!</v>
      </c>
    </row>
    <row r="223" customFormat="false" ht="43.5" hidden="false" customHeight="true" outlineLevel="0" collapsed="false">
      <c r="A223" s="24" t="n">
        <v>3213</v>
      </c>
      <c r="B223" s="21" t="s">
        <v>545</v>
      </c>
      <c r="C223" s="21" t="s">
        <v>546</v>
      </c>
      <c r="D223" s="22" t="n">
        <v>35869349</v>
      </c>
      <c r="E223" s="23" t="n">
        <v>45803</v>
      </c>
      <c r="F223" s="23" t="n">
        <f aca="false">WORKDAY(E223,G223)</f>
        <v>45957</v>
      </c>
      <c r="G223" s="24" t="n">
        <v>110</v>
      </c>
      <c r="H223" s="25" t="n">
        <f aca="false">(FT223* 5)/M223</f>
        <v>62.0833333333333</v>
      </c>
      <c r="I223" s="25" t="n">
        <f aca="false">G223-H223</f>
        <v>47.9166666666667</v>
      </c>
      <c r="J223" s="46" t="s">
        <v>547</v>
      </c>
      <c r="K223" s="33" t="n">
        <v>200000</v>
      </c>
      <c r="L223" s="27" t="n">
        <v>528000</v>
      </c>
      <c r="M223" s="28" t="n">
        <f aca="false">(L223/G223)*5</f>
        <v>24000</v>
      </c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  <c r="CF223" s="29"/>
      <c r="CG223" s="29"/>
      <c r="CH223" s="29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  <c r="CZ223" s="29"/>
      <c r="DA223" s="29"/>
      <c r="DB223" s="29"/>
      <c r="DC223" s="29"/>
      <c r="DD223" s="29"/>
      <c r="DE223" s="29"/>
      <c r="DF223" s="29"/>
      <c r="DG223" s="29"/>
      <c r="DH223" s="29"/>
      <c r="DI223" s="29"/>
      <c r="DJ223" s="29"/>
      <c r="DK223" s="29"/>
      <c r="DL223" s="29"/>
      <c r="DM223" s="29"/>
      <c r="DN223" s="29"/>
      <c r="DO223" s="29"/>
      <c r="DP223" s="29"/>
      <c r="DQ223" s="29"/>
      <c r="DR223" s="29"/>
      <c r="DS223" s="29"/>
      <c r="DT223" s="29"/>
      <c r="DU223" s="29"/>
      <c r="DV223" s="29"/>
      <c r="DW223" s="29"/>
      <c r="DX223" s="29"/>
      <c r="DY223" s="29"/>
      <c r="DZ223" s="29"/>
      <c r="EA223" s="29"/>
      <c r="EB223" s="29"/>
      <c r="EC223" s="29"/>
      <c r="ED223" s="29"/>
      <c r="EE223" s="29"/>
      <c r="EF223" s="29"/>
      <c r="EG223" s="29"/>
      <c r="EH223" s="29"/>
      <c r="EI223" s="29"/>
      <c r="EJ223" s="29"/>
      <c r="EK223" s="29" t="s">
        <v>184</v>
      </c>
      <c r="EL223" s="29"/>
      <c r="EM223" s="29" t="s">
        <v>184</v>
      </c>
      <c r="EN223" s="29" t="s">
        <v>184</v>
      </c>
      <c r="EO223" s="29"/>
      <c r="EP223" s="29"/>
      <c r="EQ223" s="29"/>
      <c r="ER223" s="29"/>
      <c r="ES223" s="29" t="n">
        <v>48000</v>
      </c>
      <c r="ET223" s="29"/>
      <c r="EU223" s="29" t="n">
        <v>48000</v>
      </c>
      <c r="EV223" s="29"/>
      <c r="EW223" s="29"/>
      <c r="EX223" s="29"/>
      <c r="EY223" s="29"/>
      <c r="EZ223" s="29" t="n">
        <v>48000</v>
      </c>
      <c r="FA223" s="29"/>
      <c r="FB223" s="29"/>
      <c r="FC223" s="29"/>
      <c r="FD223" s="29"/>
      <c r="FE223" s="29"/>
      <c r="FF223" s="29"/>
      <c r="FG223" s="29"/>
      <c r="FH223" s="29" t="n">
        <v>48000</v>
      </c>
      <c r="FI223" s="29"/>
      <c r="FJ223" s="29" t="n">
        <v>48000</v>
      </c>
      <c r="FK223" s="29"/>
      <c r="FL223" s="29"/>
      <c r="FM223" s="29" t="n">
        <v>48000</v>
      </c>
      <c r="FN223" s="29"/>
      <c r="FO223" s="29" t="n">
        <v>10000</v>
      </c>
      <c r="FP223" s="29"/>
      <c r="FQ223" s="29"/>
      <c r="FR223" s="29"/>
      <c r="FS223" s="29"/>
      <c r="FT223" s="29" t="n">
        <f aca="false">SUM(N223:FS223)</f>
        <v>298000</v>
      </c>
      <c r="FU223" s="27" t="n">
        <f aca="false">SUM(L223-FT223)</f>
        <v>230000</v>
      </c>
      <c r="FV223" s="31" t="n">
        <f aca="false">SUM( H223/5)</f>
        <v>12.4166666666667</v>
      </c>
      <c r="FW223" s="31" t="n">
        <f aca="false">SUM( I223/5)</f>
        <v>9.58333333333333</v>
      </c>
      <c r="FX223" s="32" t="n">
        <f aca="false">SUM(FV223/4)</f>
        <v>3.10416666666667</v>
      </c>
      <c r="FY223" s="32" t="n">
        <f aca="false">SUM(FW223/4)</f>
        <v>2.39583333333333</v>
      </c>
    </row>
    <row r="224" customFormat="false" ht="43.5" hidden="false" customHeight="true" outlineLevel="0" collapsed="false">
      <c r="A224" s="61" t="n">
        <v>3510</v>
      </c>
      <c r="B224" s="22" t="s">
        <v>548</v>
      </c>
      <c r="C224" s="22" t="s">
        <v>252</v>
      </c>
      <c r="D224" s="22"/>
      <c r="E224" s="23" t="n">
        <v>45983</v>
      </c>
      <c r="F224" s="23" t="n">
        <f aca="false">WORKDAY(E224,G224)</f>
        <v>46262</v>
      </c>
      <c r="G224" s="24" t="n">
        <v>200</v>
      </c>
      <c r="H224" s="25" t="n">
        <f aca="false">(FT224* 5)/M224</f>
        <v>0</v>
      </c>
      <c r="I224" s="25" t="n">
        <f aca="false">G224-H224</f>
        <v>200</v>
      </c>
      <c r="J224" s="26" t="s">
        <v>255</v>
      </c>
      <c r="K224" s="30" t="n">
        <v>200000</v>
      </c>
      <c r="L224" s="30" t="n">
        <v>624000</v>
      </c>
      <c r="M224" s="28" t="n">
        <f aca="false">(L224/G224)*5</f>
        <v>15600</v>
      </c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  <c r="CF224" s="29"/>
      <c r="CG224" s="29"/>
      <c r="CH224" s="29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  <c r="CZ224" s="29"/>
      <c r="DA224" s="29"/>
      <c r="DB224" s="29"/>
      <c r="DC224" s="29"/>
      <c r="DD224" s="29"/>
      <c r="DE224" s="29"/>
      <c r="DF224" s="29"/>
      <c r="DG224" s="29"/>
      <c r="DH224" s="29"/>
      <c r="DI224" s="29"/>
      <c r="DJ224" s="29"/>
      <c r="DK224" s="29"/>
      <c r="DL224" s="29"/>
      <c r="DM224" s="29"/>
      <c r="DN224" s="29"/>
      <c r="DO224" s="29"/>
      <c r="DP224" s="29"/>
      <c r="DQ224" s="29"/>
      <c r="DR224" s="29"/>
      <c r="DS224" s="29"/>
      <c r="DT224" s="29"/>
      <c r="DU224" s="29"/>
      <c r="DV224" s="29"/>
      <c r="DW224" s="29"/>
      <c r="DX224" s="29"/>
      <c r="DY224" s="29"/>
      <c r="DZ224" s="29"/>
      <c r="EA224" s="29"/>
      <c r="EB224" s="29"/>
      <c r="EC224" s="29"/>
      <c r="ED224" s="29"/>
      <c r="EE224" s="29"/>
      <c r="EF224" s="29"/>
      <c r="EG224" s="29"/>
      <c r="EH224" s="29"/>
      <c r="EI224" s="29"/>
      <c r="EJ224" s="29"/>
      <c r="EK224" s="29" t="s">
        <v>184</v>
      </c>
      <c r="EL224" s="29"/>
      <c r="EM224" s="29" t="s">
        <v>184</v>
      </c>
      <c r="EN224" s="29" t="s">
        <v>184</v>
      </c>
      <c r="EO224" s="29"/>
      <c r="EP224" s="29"/>
      <c r="EQ224" s="29"/>
      <c r="ER224" s="29"/>
      <c r="ES224" s="29" t="s">
        <v>184</v>
      </c>
      <c r="ET224" s="29"/>
      <c r="EU224" s="29"/>
      <c r="EV224" s="29" t="s">
        <v>184</v>
      </c>
      <c r="EW224" s="29"/>
      <c r="EX224" s="29"/>
      <c r="EY224" s="29"/>
      <c r="EZ224" s="29"/>
      <c r="FA224" s="29"/>
      <c r="FB224" s="29"/>
      <c r="FC224" s="29" t="s">
        <v>184</v>
      </c>
      <c r="FD224" s="29"/>
      <c r="FE224" s="29"/>
      <c r="FF224" s="29"/>
      <c r="FG224" s="29"/>
      <c r="FH224" s="29"/>
      <c r="FI224" s="29"/>
      <c r="FJ224" s="29"/>
      <c r="FK224" s="29"/>
      <c r="FL224" s="29" t="s">
        <v>184</v>
      </c>
      <c r="FM224" s="29"/>
      <c r="FN224" s="29"/>
      <c r="FO224" s="29"/>
      <c r="FP224" s="29"/>
      <c r="FQ224" s="29"/>
      <c r="FR224" s="29"/>
      <c r="FS224" s="29"/>
      <c r="FT224" s="29" t="n">
        <f aca="false">SUM(N224:FS224)</f>
        <v>0</v>
      </c>
      <c r="FU224" s="27" t="n">
        <f aca="false">SUM(L224-FT224)</f>
        <v>624000</v>
      </c>
      <c r="FV224" s="31" t="n">
        <f aca="false">SUM( H224/5)</f>
        <v>0</v>
      </c>
      <c r="FW224" s="31" t="n">
        <f aca="false">SUM( I224/5)</f>
        <v>40</v>
      </c>
      <c r="FX224" s="32" t="n">
        <f aca="false">SUM(FV224/4)</f>
        <v>0</v>
      </c>
      <c r="FY224" s="32" t="n">
        <f aca="false">SUM(FW224/4)</f>
        <v>10</v>
      </c>
    </row>
    <row r="225" customFormat="false" ht="43.5" hidden="false" customHeight="true" outlineLevel="0" collapsed="false">
      <c r="A225" s="24" t="n">
        <v>2814</v>
      </c>
      <c r="B225" s="21" t="s">
        <v>549</v>
      </c>
      <c r="C225" s="21" t="s">
        <v>550</v>
      </c>
      <c r="D225" s="22"/>
      <c r="E225" s="23" t="n">
        <v>45553</v>
      </c>
      <c r="F225" s="23" t="n">
        <f aca="false">WORKDAY(E225,G225)</f>
        <v>45721</v>
      </c>
      <c r="G225" s="24" t="n">
        <v>120</v>
      </c>
      <c r="H225" s="25" t="n">
        <f aca="false">(FT225* 5)/M225</f>
        <v>44.3939393939394</v>
      </c>
      <c r="I225" s="25" t="n">
        <f aca="false">G225-H225</f>
        <v>75.6060606060606</v>
      </c>
      <c r="J225" s="26" t="s">
        <v>551</v>
      </c>
      <c r="K225" s="27" t="n">
        <v>300000</v>
      </c>
      <c r="L225" s="27" t="n">
        <v>792000</v>
      </c>
      <c r="M225" s="45" t="n">
        <f aca="false">(L225/G225)*5</f>
        <v>33000</v>
      </c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  <c r="CF225" s="29"/>
      <c r="CG225" s="29"/>
      <c r="CH225" s="29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  <c r="CZ225" s="29"/>
      <c r="DA225" s="29"/>
      <c r="DB225" s="29"/>
      <c r="DC225" s="29"/>
      <c r="DD225" s="29"/>
      <c r="DE225" s="29"/>
      <c r="DF225" s="29"/>
      <c r="DG225" s="29"/>
      <c r="DH225" s="29"/>
      <c r="DI225" s="29"/>
      <c r="DJ225" s="29"/>
      <c r="DK225" s="29"/>
      <c r="DL225" s="29"/>
      <c r="DM225" s="29"/>
      <c r="DN225" s="29"/>
      <c r="DO225" s="29" t="n">
        <v>133000</v>
      </c>
      <c r="DP225" s="29"/>
      <c r="DQ225" s="29"/>
      <c r="DR225" s="29" t="n">
        <v>100000</v>
      </c>
      <c r="DS225" s="29"/>
      <c r="DT225" s="29"/>
      <c r="DU225" s="29"/>
      <c r="DV225" s="29"/>
      <c r="DW225" s="29"/>
      <c r="DX225" s="29"/>
      <c r="DY225" s="29"/>
      <c r="DZ225" s="29"/>
      <c r="EA225" s="29"/>
      <c r="EB225" s="29"/>
      <c r="EC225" s="29"/>
      <c r="ED225" s="29"/>
      <c r="EE225" s="29"/>
      <c r="EF225" s="29"/>
      <c r="EG225" s="29"/>
      <c r="EH225" s="29"/>
      <c r="EI225" s="29"/>
      <c r="EJ225" s="29"/>
      <c r="EK225" s="29"/>
      <c r="EL225" s="29"/>
      <c r="EM225" s="29"/>
      <c r="EN225" s="29"/>
      <c r="EO225" s="29" t="n">
        <v>30000</v>
      </c>
      <c r="EP225" s="29"/>
      <c r="EQ225" s="29" t="n">
        <v>30000</v>
      </c>
      <c r="ER225" s="29"/>
      <c r="ES225" s="29"/>
      <c r="ET225" s="29"/>
      <c r="EU225" s="29"/>
      <c r="EV225" s="29"/>
      <c r="EW225" s="29"/>
      <c r="EX225" s="29"/>
      <c r="EY225" s="29"/>
      <c r="EZ225" s="29"/>
      <c r="FA225" s="29"/>
      <c r="FB225" s="29"/>
      <c r="FC225" s="29"/>
      <c r="FD225" s="29"/>
      <c r="FE225" s="29"/>
      <c r="FF225" s="29"/>
      <c r="FG225" s="29"/>
      <c r="FH225" s="29"/>
      <c r="FI225" s="29"/>
      <c r="FJ225" s="29"/>
      <c r="FK225" s="29"/>
      <c r="FL225" s="29"/>
      <c r="FM225" s="29"/>
      <c r="FN225" s="29"/>
      <c r="FO225" s="29"/>
      <c r="FP225" s="29"/>
      <c r="FQ225" s="29"/>
      <c r="FR225" s="29"/>
      <c r="FS225" s="29"/>
      <c r="FT225" s="29" t="n">
        <f aca="false">SUM(N225:FS225)</f>
        <v>293000</v>
      </c>
      <c r="FU225" s="27" t="n">
        <f aca="false">SUM(L225-FT225)</f>
        <v>499000</v>
      </c>
      <c r="FV225" s="31" t="n">
        <f aca="false">SUM( H225/5)</f>
        <v>8.87878787878788</v>
      </c>
      <c r="FW225" s="31" t="n">
        <f aca="false">SUM( I225/5)</f>
        <v>15.1212121212121</v>
      </c>
      <c r="FX225" s="32" t="n">
        <f aca="false">SUM(FV225/4)</f>
        <v>2.21969696969697</v>
      </c>
      <c r="FY225" s="32" t="n">
        <f aca="false">SUM(FW225/4)</f>
        <v>3.78030303030303</v>
      </c>
    </row>
    <row r="226" customFormat="false" ht="43.5" hidden="false" customHeight="true" outlineLevel="0" collapsed="false">
      <c r="A226" s="24" t="n">
        <v>3313</v>
      </c>
      <c r="B226" s="21" t="s">
        <v>552</v>
      </c>
      <c r="C226" s="21" t="s">
        <v>553</v>
      </c>
      <c r="D226" s="22" t="n">
        <v>20284723342</v>
      </c>
      <c r="E226" s="23" t="n">
        <v>45862</v>
      </c>
      <c r="F226" s="23" t="n">
        <f aca="false">WORKDAY(E226,G226)</f>
        <v>45964</v>
      </c>
      <c r="G226" s="24" t="n">
        <v>72</v>
      </c>
      <c r="H226" s="25" t="n">
        <f aca="false">(FT226* 5)/M226</f>
        <v>70</v>
      </c>
      <c r="I226" s="25" t="n">
        <f aca="false">G226-H226</f>
        <v>2</v>
      </c>
      <c r="J226" s="34" t="s">
        <v>554</v>
      </c>
      <c r="K226" s="27" t="n">
        <v>150000</v>
      </c>
      <c r="L226" s="27" t="n">
        <v>324000</v>
      </c>
      <c r="M226" s="45" t="n">
        <f aca="false">(L226/G226)*5</f>
        <v>22500</v>
      </c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  <c r="CF226" s="29"/>
      <c r="CG226" s="29"/>
      <c r="CH226" s="29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  <c r="CZ226" s="29"/>
      <c r="DA226" s="29"/>
      <c r="DB226" s="29"/>
      <c r="DC226" s="29"/>
      <c r="DD226" s="29"/>
      <c r="DE226" s="29"/>
      <c r="DF226" s="29"/>
      <c r="DG226" s="29"/>
      <c r="DH226" s="29"/>
      <c r="DI226" s="29"/>
      <c r="DJ226" s="29"/>
      <c r="DK226" s="29"/>
      <c r="DL226" s="29"/>
      <c r="DM226" s="29"/>
      <c r="DN226" s="29"/>
      <c r="DO226" s="29"/>
      <c r="DP226" s="29"/>
      <c r="DQ226" s="29"/>
      <c r="DR226" s="29"/>
      <c r="DS226" s="29"/>
      <c r="DT226" s="29"/>
      <c r="DU226" s="29"/>
      <c r="DV226" s="29"/>
      <c r="DW226" s="29"/>
      <c r="DX226" s="29"/>
      <c r="DY226" s="29"/>
      <c r="DZ226" s="29"/>
      <c r="EA226" s="29"/>
      <c r="EB226" s="29"/>
      <c r="EC226" s="29"/>
      <c r="ED226" s="29"/>
      <c r="EE226" s="29"/>
      <c r="EF226" s="29"/>
      <c r="EG226" s="29"/>
      <c r="EH226" s="29"/>
      <c r="EI226" s="29"/>
      <c r="EJ226" s="29"/>
      <c r="EK226" s="29" t="s">
        <v>184</v>
      </c>
      <c r="EL226" s="29"/>
      <c r="EM226" s="29" t="s">
        <v>184</v>
      </c>
      <c r="EN226" s="29" t="s">
        <v>184</v>
      </c>
      <c r="EO226" s="29"/>
      <c r="EP226" s="29"/>
      <c r="EQ226" s="29"/>
      <c r="ER226" s="29"/>
      <c r="ES226" s="29" t="s">
        <v>184</v>
      </c>
      <c r="ET226" s="29"/>
      <c r="EU226" s="29"/>
      <c r="EV226" s="29" t="s">
        <v>184</v>
      </c>
      <c r="EW226" s="29"/>
      <c r="EX226" s="29"/>
      <c r="EY226" s="29"/>
      <c r="EZ226" s="29"/>
      <c r="FA226" s="29" t="n">
        <v>22500</v>
      </c>
      <c r="FB226" s="29" t="n">
        <v>22500</v>
      </c>
      <c r="FC226" s="29"/>
      <c r="FD226" s="29" t="n">
        <v>22500</v>
      </c>
      <c r="FE226" s="29" t="n">
        <v>22500</v>
      </c>
      <c r="FF226" s="29" t="n">
        <v>45000</v>
      </c>
      <c r="FG226" s="29" t="n">
        <v>22500</v>
      </c>
      <c r="FH226" s="29"/>
      <c r="FI226" s="29" t="n">
        <v>45000</v>
      </c>
      <c r="FJ226" s="29"/>
      <c r="FK226" s="29" t="n">
        <v>22500</v>
      </c>
      <c r="FL226" s="29"/>
      <c r="FM226" s="29" t="n">
        <v>22500</v>
      </c>
      <c r="FN226" s="29" t="n">
        <v>22500</v>
      </c>
      <c r="FO226" s="29"/>
      <c r="FP226" s="29" t="n">
        <v>22500</v>
      </c>
      <c r="FQ226" s="29" t="n">
        <v>22500</v>
      </c>
      <c r="FR226" s="29"/>
      <c r="FS226" s="29"/>
      <c r="FT226" s="29" t="n">
        <f aca="false">SUM(N226:FS226)</f>
        <v>315000</v>
      </c>
      <c r="FU226" s="27" t="n">
        <f aca="false">SUM(L226-FT226)</f>
        <v>9000</v>
      </c>
      <c r="FV226" s="31" t="n">
        <f aca="false">SUM( H226/5)</f>
        <v>14</v>
      </c>
      <c r="FW226" s="31" t="n">
        <f aca="false">SUM( I226/5)</f>
        <v>0.4</v>
      </c>
      <c r="FX226" s="32" t="n">
        <f aca="false">SUM(FV226/4)</f>
        <v>3.5</v>
      </c>
      <c r="FY226" s="32" t="n">
        <f aca="false">SUM(FW226/4)</f>
        <v>0.1</v>
      </c>
    </row>
    <row r="227" customFormat="false" ht="43.5" hidden="false" customHeight="true" outlineLevel="0" collapsed="false">
      <c r="A227" s="24" t="n">
        <v>3417</v>
      </c>
      <c r="B227" s="21" t="s">
        <v>552</v>
      </c>
      <c r="C227" s="21" t="s">
        <v>553</v>
      </c>
      <c r="D227" s="22" t="n">
        <v>20284723342</v>
      </c>
      <c r="E227" s="23" t="n">
        <v>45862</v>
      </c>
      <c r="F227" s="23" t="n">
        <f aca="false">WORKDAY(E227,G227)</f>
        <v>45964</v>
      </c>
      <c r="G227" s="24" t="n">
        <v>72</v>
      </c>
      <c r="H227" s="25" t="n">
        <f aca="false">(FT227* 5)/M227</f>
        <v>25</v>
      </c>
      <c r="I227" s="25" t="n">
        <f aca="false">G227-H227</f>
        <v>47</v>
      </c>
      <c r="J227" s="34" t="s">
        <v>518</v>
      </c>
      <c r="K227" s="27" t="n">
        <v>150000</v>
      </c>
      <c r="L227" s="27" t="n">
        <v>540000</v>
      </c>
      <c r="M227" s="45" t="n">
        <f aca="false">(L227/G227)*5</f>
        <v>37500</v>
      </c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  <c r="CF227" s="29"/>
      <c r="CG227" s="29"/>
      <c r="CH227" s="29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  <c r="CZ227" s="29"/>
      <c r="DA227" s="29"/>
      <c r="DB227" s="29"/>
      <c r="DC227" s="29"/>
      <c r="DD227" s="29"/>
      <c r="DE227" s="29"/>
      <c r="DF227" s="29"/>
      <c r="DG227" s="29"/>
      <c r="DH227" s="29"/>
      <c r="DI227" s="29"/>
      <c r="DJ227" s="29"/>
      <c r="DK227" s="29"/>
      <c r="DL227" s="29"/>
      <c r="DM227" s="29"/>
      <c r="DN227" s="29"/>
      <c r="DO227" s="29"/>
      <c r="DP227" s="29"/>
      <c r="DQ227" s="29"/>
      <c r="DR227" s="29"/>
      <c r="DS227" s="29"/>
      <c r="DT227" s="29"/>
      <c r="DU227" s="29"/>
      <c r="DV227" s="29"/>
      <c r="DW227" s="29"/>
      <c r="DX227" s="29"/>
      <c r="DY227" s="29"/>
      <c r="DZ227" s="29"/>
      <c r="EA227" s="29"/>
      <c r="EB227" s="29"/>
      <c r="EC227" s="29"/>
      <c r="ED227" s="29"/>
      <c r="EE227" s="29"/>
      <c r="EF227" s="29"/>
      <c r="EG227" s="29"/>
      <c r="EH227" s="29"/>
      <c r="EI227" s="29"/>
      <c r="EJ227" s="29"/>
      <c r="EK227" s="29" t="s">
        <v>184</v>
      </c>
      <c r="EL227" s="29"/>
      <c r="EM227" s="29" t="s">
        <v>184</v>
      </c>
      <c r="EN227" s="29" t="s">
        <v>184</v>
      </c>
      <c r="EO227" s="29"/>
      <c r="EP227" s="29"/>
      <c r="EQ227" s="29"/>
      <c r="ER227" s="29"/>
      <c r="ES227" s="29" t="s">
        <v>184</v>
      </c>
      <c r="ET227" s="29"/>
      <c r="EU227" s="29"/>
      <c r="EV227" s="29" t="s">
        <v>184</v>
      </c>
      <c r="EW227" s="29"/>
      <c r="EX227" s="29"/>
      <c r="EY227" s="29"/>
      <c r="EZ227" s="29"/>
      <c r="FA227" s="29"/>
      <c r="FB227" s="29"/>
      <c r="FC227" s="29" t="s">
        <v>184</v>
      </c>
      <c r="FD227" s="29"/>
      <c r="FE227" s="29"/>
      <c r="FF227" s="29"/>
      <c r="FG227" s="29"/>
      <c r="FH227" s="29"/>
      <c r="FI227" s="29"/>
      <c r="FJ227" s="29"/>
      <c r="FK227" s="29" t="n">
        <v>37500</v>
      </c>
      <c r="FL227" s="29"/>
      <c r="FM227" s="29" t="n">
        <v>37500</v>
      </c>
      <c r="FN227" s="29" t="n">
        <v>37500</v>
      </c>
      <c r="FO227" s="29"/>
      <c r="FP227" s="29" t="n">
        <v>37500</v>
      </c>
      <c r="FQ227" s="29" t="n">
        <v>37500</v>
      </c>
      <c r="FR227" s="29"/>
      <c r="FS227" s="29"/>
      <c r="FT227" s="29" t="n">
        <f aca="false">SUM(N227:FS227)</f>
        <v>187500</v>
      </c>
      <c r="FU227" s="27" t="n">
        <f aca="false">SUM(L227-FT227)</f>
        <v>352500</v>
      </c>
      <c r="FV227" s="31" t="n">
        <f aca="false">SUM( H227/5)</f>
        <v>5</v>
      </c>
      <c r="FW227" s="31" t="n">
        <f aca="false">SUM( I227/5)</f>
        <v>9.4</v>
      </c>
      <c r="FX227" s="32" t="n">
        <f aca="false">SUM(FV227/4)</f>
        <v>1.25</v>
      </c>
      <c r="FY227" s="32" t="n">
        <f aca="false">SUM(FW227/4)</f>
        <v>2.35</v>
      </c>
    </row>
    <row r="228" customFormat="false" ht="43.5" hidden="false" customHeight="true" outlineLevel="0" collapsed="false">
      <c r="A228" s="24" t="n">
        <v>3212</v>
      </c>
      <c r="B228" s="21" t="s">
        <v>555</v>
      </c>
      <c r="C228" s="21" t="s">
        <v>556</v>
      </c>
      <c r="D228" s="22"/>
      <c r="E228" s="23" t="n">
        <v>45801</v>
      </c>
      <c r="F228" s="23" t="n">
        <f aca="false">WORKDAY(E228,G228)</f>
        <v>46024</v>
      </c>
      <c r="G228" s="24" t="n">
        <v>160</v>
      </c>
      <c r="H228" s="25" t="n">
        <f aca="false">(FT228* 5)/M228</f>
        <v>79.9619047619048</v>
      </c>
      <c r="I228" s="25" t="n">
        <f aca="false">G228-H228</f>
        <v>80.0380952380952</v>
      </c>
      <c r="J228" s="26" t="s">
        <v>557</v>
      </c>
      <c r="K228" s="27" t="n">
        <v>700000</v>
      </c>
      <c r="L228" s="27" t="n">
        <v>2100000</v>
      </c>
      <c r="M228" s="47" t="n">
        <f aca="false">(L228/G228)*5</f>
        <v>65625</v>
      </c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  <c r="CF228" s="29"/>
      <c r="CG228" s="29"/>
      <c r="CH228" s="29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  <c r="CZ228" s="29"/>
      <c r="DA228" s="29"/>
      <c r="DB228" s="29"/>
      <c r="DC228" s="29"/>
      <c r="DD228" s="29"/>
      <c r="DE228" s="29"/>
      <c r="DF228" s="29"/>
      <c r="DG228" s="29"/>
      <c r="DH228" s="29"/>
      <c r="DI228" s="29"/>
      <c r="DJ228" s="29"/>
      <c r="DK228" s="29"/>
      <c r="DL228" s="29"/>
      <c r="DM228" s="29"/>
      <c r="DN228" s="29"/>
      <c r="DO228" s="29"/>
      <c r="DP228" s="29"/>
      <c r="DQ228" s="29"/>
      <c r="DR228" s="29"/>
      <c r="DS228" s="29"/>
      <c r="DT228" s="29"/>
      <c r="DU228" s="29"/>
      <c r="DV228" s="29"/>
      <c r="DW228" s="29"/>
      <c r="DX228" s="29"/>
      <c r="DY228" s="29"/>
      <c r="DZ228" s="29"/>
      <c r="EA228" s="29"/>
      <c r="EB228" s="29"/>
      <c r="EC228" s="29"/>
      <c r="ED228" s="29"/>
      <c r="EE228" s="29"/>
      <c r="EF228" s="29"/>
      <c r="EG228" s="29"/>
      <c r="EH228" s="29"/>
      <c r="EI228" s="29"/>
      <c r="EJ228" s="29"/>
      <c r="EK228" s="29" t="s">
        <v>184</v>
      </c>
      <c r="EL228" s="29"/>
      <c r="EM228" s="29" t="s">
        <v>184</v>
      </c>
      <c r="EN228" s="29" t="s">
        <v>184</v>
      </c>
      <c r="EO228" s="29"/>
      <c r="EP228" s="29"/>
      <c r="EQ228" s="29"/>
      <c r="ER228" s="29"/>
      <c r="ES228" s="29" t="n">
        <v>262000</v>
      </c>
      <c r="ET228" s="29"/>
      <c r="EU228" s="29"/>
      <c r="EV228" s="29"/>
      <c r="EW228" s="29"/>
      <c r="EX228" s="29" t="n">
        <v>262500</v>
      </c>
      <c r="EY228" s="29"/>
      <c r="EZ228" s="29"/>
      <c r="FA228" s="29"/>
      <c r="FB228" s="29"/>
      <c r="FC228" s="29" t="n">
        <v>262500</v>
      </c>
      <c r="FD228" s="29"/>
      <c r="FE228" s="29"/>
      <c r="FF228" s="29"/>
      <c r="FG228" s="29"/>
      <c r="FH228" s="29"/>
      <c r="FI228" s="29"/>
      <c r="FJ228" s="29"/>
      <c r="FK228" s="29" t="n">
        <v>262500</v>
      </c>
      <c r="FL228" s="29"/>
      <c r="FM228" s="29"/>
      <c r="FN228" s="29"/>
      <c r="FO228" s="29"/>
      <c r="FP228" s="29"/>
      <c r="FQ228" s="29"/>
      <c r="FR228" s="29"/>
      <c r="FS228" s="29"/>
      <c r="FT228" s="29" t="n">
        <f aca="false">SUM(N228:FS228)</f>
        <v>1049500</v>
      </c>
      <c r="FU228" s="27" t="n">
        <f aca="false">SUM(L228-FT228)</f>
        <v>1050500</v>
      </c>
      <c r="FV228" s="31" t="n">
        <f aca="false">SUM( H228/5)</f>
        <v>15.992380952381</v>
      </c>
      <c r="FW228" s="31" t="n">
        <f aca="false">SUM( I228/5)</f>
        <v>16.0076190476191</v>
      </c>
      <c r="FX228" s="32" t="n">
        <f aca="false">SUM(FV228/4)</f>
        <v>3.99809523809524</v>
      </c>
      <c r="FY228" s="32" t="n">
        <f aca="false">SUM(FW228/4)</f>
        <v>4.00190476190476</v>
      </c>
    </row>
    <row r="229" customFormat="false" ht="43.5" hidden="false" customHeight="true" outlineLevel="0" collapsed="false">
      <c r="A229" s="24" t="n">
        <v>3295</v>
      </c>
      <c r="B229" s="21" t="s">
        <v>558</v>
      </c>
      <c r="C229" s="21" t="s">
        <v>556</v>
      </c>
      <c r="D229" s="22"/>
      <c r="E229" s="23" t="n">
        <v>45856</v>
      </c>
      <c r="F229" s="23" t="n">
        <f aca="false">WORKDAY(E229,G229)</f>
        <v>46024</v>
      </c>
      <c r="G229" s="24" t="n">
        <v>120</v>
      </c>
      <c r="H229" s="25" t="n">
        <f aca="false">(FT229* 5)/M229</f>
        <v>20</v>
      </c>
      <c r="I229" s="25" t="n">
        <f aca="false">G229-H229</f>
        <v>100</v>
      </c>
      <c r="J229" s="26" t="s">
        <v>224</v>
      </c>
      <c r="K229" s="50" t="n">
        <v>400000</v>
      </c>
      <c r="L229" s="27" t="n">
        <v>1056000</v>
      </c>
      <c r="M229" s="28" t="n">
        <f aca="false">(L229/G229)*5</f>
        <v>44000</v>
      </c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  <c r="CF229" s="29"/>
      <c r="CG229" s="29"/>
      <c r="CH229" s="29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  <c r="CZ229" s="29"/>
      <c r="DA229" s="29"/>
      <c r="DB229" s="29"/>
      <c r="DC229" s="29"/>
      <c r="DD229" s="29"/>
      <c r="DE229" s="29"/>
      <c r="DF229" s="29"/>
      <c r="DG229" s="29"/>
      <c r="DH229" s="29"/>
      <c r="DI229" s="29"/>
      <c r="DJ229" s="29"/>
      <c r="DK229" s="29"/>
      <c r="DL229" s="29"/>
      <c r="DM229" s="29"/>
      <c r="DN229" s="29"/>
      <c r="DO229" s="29"/>
      <c r="DP229" s="29"/>
      <c r="DQ229" s="29"/>
      <c r="DR229" s="29"/>
      <c r="DS229" s="29"/>
      <c r="DT229" s="29"/>
      <c r="DU229" s="29"/>
      <c r="DV229" s="29"/>
      <c r="DW229" s="29"/>
      <c r="DX229" s="29"/>
      <c r="DY229" s="29"/>
      <c r="DZ229" s="29"/>
      <c r="EA229" s="29"/>
      <c r="EB229" s="29"/>
      <c r="EC229" s="29"/>
      <c r="ED229" s="29"/>
      <c r="EE229" s="29"/>
      <c r="EF229" s="29"/>
      <c r="EG229" s="29"/>
      <c r="EH229" s="29"/>
      <c r="EI229" s="29"/>
      <c r="EJ229" s="29"/>
      <c r="EK229" s="29" t="s">
        <v>184</v>
      </c>
      <c r="EL229" s="29"/>
      <c r="EM229" s="29" t="s">
        <v>184</v>
      </c>
      <c r="EN229" s="29" t="s">
        <v>184</v>
      </c>
      <c r="EO229" s="29"/>
      <c r="EP229" s="29"/>
      <c r="EQ229" s="29"/>
      <c r="ER229" s="29"/>
      <c r="ES229" s="29" t="s">
        <v>184</v>
      </c>
      <c r="ET229" s="29"/>
      <c r="EU229" s="29"/>
      <c r="EV229" s="29" t="s">
        <v>184</v>
      </c>
      <c r="EW229" s="29"/>
      <c r="EX229" s="29"/>
      <c r="EY229" s="29"/>
      <c r="EZ229" s="29"/>
      <c r="FA229" s="29"/>
      <c r="FB229" s="29"/>
      <c r="FC229" s="29"/>
      <c r="FD229" s="29"/>
      <c r="FE229" s="29"/>
      <c r="FF229" s="29"/>
      <c r="FG229" s="29" t="n">
        <v>176000</v>
      </c>
      <c r="FH229" s="29"/>
      <c r="FI229" s="29"/>
      <c r="FJ229" s="29"/>
      <c r="FK229" s="29"/>
      <c r="FL229" s="29"/>
      <c r="FM229" s="29"/>
      <c r="FN229" s="29"/>
      <c r="FO229" s="29"/>
      <c r="FP229" s="29"/>
      <c r="FQ229" s="29"/>
      <c r="FR229" s="29"/>
      <c r="FS229" s="29"/>
      <c r="FT229" s="29" t="n">
        <f aca="false">SUM(N229:FS229)</f>
        <v>176000</v>
      </c>
      <c r="FU229" s="27" t="n">
        <f aca="false">SUM(L229-FT229)</f>
        <v>880000</v>
      </c>
      <c r="FV229" s="31" t="n">
        <f aca="false">SUM( H229/5)</f>
        <v>4</v>
      </c>
      <c r="FW229" s="31" t="n">
        <f aca="false">SUM( I229/5)</f>
        <v>20</v>
      </c>
      <c r="FX229" s="32" t="n">
        <f aca="false">SUM(FV229/4)</f>
        <v>1</v>
      </c>
      <c r="FY229" s="32" t="n">
        <f aca="false">SUM(FW229/4)</f>
        <v>5</v>
      </c>
    </row>
    <row r="230" customFormat="false" ht="43.5" hidden="false" customHeight="true" outlineLevel="0" collapsed="false">
      <c r="A230" s="24" t="n">
        <v>3493</v>
      </c>
      <c r="B230" s="22" t="s">
        <v>559</v>
      </c>
      <c r="C230" s="22" t="s">
        <v>556</v>
      </c>
      <c r="D230" s="22"/>
      <c r="E230" s="23" t="n">
        <v>45975</v>
      </c>
      <c r="F230" s="23" t="n">
        <f aca="false">WORKDAY(E230,G230)</f>
        <v>46077</v>
      </c>
      <c r="G230" s="24" t="n">
        <v>72</v>
      </c>
      <c r="H230" s="25" t="n">
        <f aca="false">(FT230* 5)/M230</f>
        <v>10.8333333333333</v>
      </c>
      <c r="I230" s="25" t="n">
        <f aca="false">G230-H230</f>
        <v>61.1666666666667</v>
      </c>
      <c r="J230" s="22" t="s">
        <v>560</v>
      </c>
      <c r="K230" s="27" t="n">
        <v>40000</v>
      </c>
      <c r="L230" s="27" t="n">
        <v>86400</v>
      </c>
      <c r="M230" s="45" t="n">
        <f aca="false">(L230/G230)*5</f>
        <v>6000</v>
      </c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  <c r="CF230" s="29"/>
      <c r="CG230" s="29"/>
      <c r="CH230" s="29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  <c r="DC230" s="29"/>
      <c r="DD230" s="29"/>
      <c r="DE230" s="29"/>
      <c r="DF230" s="29"/>
      <c r="DG230" s="29"/>
      <c r="DH230" s="29"/>
      <c r="DI230" s="29"/>
      <c r="DJ230" s="29"/>
      <c r="DK230" s="29"/>
      <c r="DL230" s="29"/>
      <c r="DM230" s="29"/>
      <c r="DN230" s="29"/>
      <c r="DO230" s="29"/>
      <c r="DP230" s="29"/>
      <c r="DQ230" s="29"/>
      <c r="DR230" s="29"/>
      <c r="DS230" s="29"/>
      <c r="DT230" s="29"/>
      <c r="DU230" s="29"/>
      <c r="DV230" s="29"/>
      <c r="DW230" s="29"/>
      <c r="DX230" s="29"/>
      <c r="DY230" s="29"/>
      <c r="DZ230" s="29"/>
      <c r="EA230" s="29"/>
      <c r="EB230" s="29"/>
      <c r="EC230" s="29"/>
      <c r="ED230" s="29"/>
      <c r="EE230" s="29"/>
      <c r="EF230" s="29"/>
      <c r="EG230" s="29"/>
      <c r="EH230" s="29"/>
      <c r="EI230" s="29"/>
      <c r="EJ230" s="29"/>
      <c r="EK230" s="29" t="s">
        <v>184</v>
      </c>
      <c r="EL230" s="29"/>
      <c r="EM230" s="29" t="s">
        <v>184</v>
      </c>
      <c r="EN230" s="29" t="s">
        <v>184</v>
      </c>
      <c r="EO230" s="29"/>
      <c r="EP230" s="29"/>
      <c r="EQ230" s="29"/>
      <c r="ER230" s="29"/>
      <c r="ES230" s="29" t="s">
        <v>184</v>
      </c>
      <c r="ET230" s="29"/>
      <c r="EU230" s="29"/>
      <c r="EV230" s="29" t="s">
        <v>184</v>
      </c>
      <c r="EW230" s="29"/>
      <c r="EX230" s="29"/>
      <c r="EY230" s="29"/>
      <c r="EZ230" s="29"/>
      <c r="FA230" s="29"/>
      <c r="FB230" s="29"/>
      <c r="FC230" s="29" t="s">
        <v>184</v>
      </c>
      <c r="FD230" s="29"/>
      <c r="FE230" s="29"/>
      <c r="FF230" s="29"/>
      <c r="FG230" s="29"/>
      <c r="FH230" s="29"/>
      <c r="FI230" s="29"/>
      <c r="FJ230" s="29"/>
      <c r="FK230" s="29"/>
      <c r="FL230" s="29" t="s">
        <v>184</v>
      </c>
      <c r="FM230" s="29"/>
      <c r="FN230" s="29"/>
      <c r="FO230" s="29"/>
      <c r="FP230" s="29"/>
      <c r="FQ230" s="29" t="n">
        <v>7000</v>
      </c>
      <c r="FR230" s="29" t="n">
        <v>6000</v>
      </c>
      <c r="FS230" s="29"/>
      <c r="FT230" s="29" t="n">
        <f aca="false">SUM(N230:FS230)</f>
        <v>13000</v>
      </c>
      <c r="FU230" s="27" t="n">
        <f aca="false">SUM(L230-FT230)</f>
        <v>73400</v>
      </c>
      <c r="FV230" s="31" t="n">
        <f aca="false">SUM( H230/5)</f>
        <v>2.16666666666667</v>
      </c>
      <c r="FW230" s="31" t="n">
        <f aca="false">SUM( I230/5)</f>
        <v>12.2333333333333</v>
      </c>
      <c r="FX230" s="32" t="n">
        <f aca="false">SUM(FV230/4)</f>
        <v>0.541666666666667</v>
      </c>
      <c r="FY230" s="32" t="n">
        <f aca="false">SUM(FW230/4)</f>
        <v>3.05833333333333</v>
      </c>
    </row>
    <row r="231" customFormat="false" ht="43.5" hidden="false" customHeight="true" outlineLevel="0" collapsed="false">
      <c r="A231" s="24" t="n">
        <v>3214</v>
      </c>
      <c r="B231" s="21" t="s">
        <v>561</v>
      </c>
      <c r="C231" s="21" t="s">
        <v>562</v>
      </c>
      <c r="D231" s="56"/>
      <c r="E231" s="23" t="n">
        <v>45803</v>
      </c>
      <c r="F231" s="23" t="n">
        <f aca="false">WORKDAY(E231,G231)</f>
        <v>46027</v>
      </c>
      <c r="G231" s="24" t="n">
        <v>160</v>
      </c>
      <c r="H231" s="25" t="n">
        <f aca="false">(FT231* 5)/M231</f>
        <v>100</v>
      </c>
      <c r="I231" s="25" t="n">
        <f aca="false">G231-H231</f>
        <v>60</v>
      </c>
      <c r="J231" s="26" t="s">
        <v>563</v>
      </c>
      <c r="K231" s="27" t="n">
        <v>400000</v>
      </c>
      <c r="L231" s="27" t="n">
        <v>1200000</v>
      </c>
      <c r="M231" s="45" t="n">
        <f aca="false">(L231/G231)*5</f>
        <v>37500</v>
      </c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  <c r="CF231" s="29"/>
      <c r="CG231" s="29"/>
      <c r="CH231" s="29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  <c r="CZ231" s="29"/>
      <c r="DA231" s="29"/>
      <c r="DB231" s="29"/>
      <c r="DC231" s="29"/>
      <c r="DD231" s="29"/>
      <c r="DE231" s="29"/>
      <c r="DF231" s="29"/>
      <c r="DG231" s="29"/>
      <c r="DH231" s="29"/>
      <c r="DI231" s="29"/>
      <c r="DJ231" s="29"/>
      <c r="DK231" s="29"/>
      <c r="DL231" s="29"/>
      <c r="DM231" s="29"/>
      <c r="DN231" s="29"/>
      <c r="DO231" s="29"/>
      <c r="DP231" s="29"/>
      <c r="DQ231" s="29"/>
      <c r="DR231" s="29"/>
      <c r="DS231" s="29"/>
      <c r="DT231" s="29"/>
      <c r="DU231" s="29"/>
      <c r="DV231" s="29"/>
      <c r="DW231" s="29"/>
      <c r="DX231" s="29"/>
      <c r="DY231" s="29"/>
      <c r="DZ231" s="29"/>
      <c r="EA231" s="29"/>
      <c r="EB231" s="29"/>
      <c r="EC231" s="29"/>
      <c r="ED231" s="29"/>
      <c r="EE231" s="29"/>
      <c r="EF231" s="29"/>
      <c r="EG231" s="29"/>
      <c r="EH231" s="29"/>
      <c r="EI231" s="29"/>
      <c r="EJ231" s="29"/>
      <c r="EK231" s="29" t="s">
        <v>184</v>
      </c>
      <c r="EL231" s="29"/>
      <c r="EM231" s="29" t="s">
        <v>184</v>
      </c>
      <c r="EN231" s="29" t="s">
        <v>184</v>
      </c>
      <c r="EO231" s="29"/>
      <c r="EP231" s="29"/>
      <c r="EQ231" s="29"/>
      <c r="ER231" s="29"/>
      <c r="ES231" s="29"/>
      <c r="ET231" s="29"/>
      <c r="EU231" s="29"/>
      <c r="EV231" s="29" t="n">
        <v>150000</v>
      </c>
      <c r="EW231" s="29"/>
      <c r="EX231" s="29"/>
      <c r="EY231" s="29"/>
      <c r="EZ231" s="29" t="n">
        <v>150000</v>
      </c>
      <c r="FA231" s="29"/>
      <c r="FB231" s="29"/>
      <c r="FC231" s="29"/>
      <c r="FD231" s="29" t="n">
        <v>150000</v>
      </c>
      <c r="FE231" s="29"/>
      <c r="FF231" s="29"/>
      <c r="FG231" s="29"/>
      <c r="FH231" s="29"/>
      <c r="FI231" s="29"/>
      <c r="FJ231" s="29" t="n">
        <v>150000</v>
      </c>
      <c r="FK231" s="29"/>
      <c r="FL231" s="29"/>
      <c r="FM231" s="29"/>
      <c r="FN231" s="29" t="n">
        <v>150000</v>
      </c>
      <c r="FO231" s="29"/>
      <c r="FP231" s="29"/>
      <c r="FQ231" s="29"/>
      <c r="FR231" s="29"/>
      <c r="FS231" s="29"/>
      <c r="FT231" s="29" t="n">
        <f aca="false">SUM(N231:FS231)</f>
        <v>750000</v>
      </c>
      <c r="FU231" s="27" t="n">
        <f aca="false">SUM(L231-FT231)</f>
        <v>450000</v>
      </c>
      <c r="FV231" s="31" t="n">
        <f aca="false">SUM( H231/5)</f>
        <v>20</v>
      </c>
      <c r="FW231" s="31" t="n">
        <f aca="false">SUM( I231/5)</f>
        <v>12</v>
      </c>
      <c r="FX231" s="32" t="n">
        <f aca="false">SUM(FV231/4)</f>
        <v>5</v>
      </c>
      <c r="FY231" s="32" t="n">
        <f aca="false">SUM(FW231/4)</f>
        <v>3</v>
      </c>
    </row>
    <row r="232" customFormat="false" ht="43.5" hidden="false" customHeight="true" outlineLevel="0" collapsed="false">
      <c r="A232" s="24" t="n">
        <v>3340</v>
      </c>
      <c r="B232" s="21" t="s">
        <v>561</v>
      </c>
      <c r="C232" s="21" t="s">
        <v>562</v>
      </c>
      <c r="D232" s="56"/>
      <c r="E232" s="23" t="n">
        <v>45877</v>
      </c>
      <c r="F232" s="23" t="n">
        <f aca="false">WORKDAY(E232,G232)</f>
        <v>46101</v>
      </c>
      <c r="G232" s="24" t="n">
        <v>160</v>
      </c>
      <c r="H232" s="25" t="n">
        <f aca="false">(FT232* 5)/M232</f>
        <v>60</v>
      </c>
      <c r="I232" s="25" t="n">
        <f aca="false">G232-H232</f>
        <v>100</v>
      </c>
      <c r="J232" s="26" t="s">
        <v>563</v>
      </c>
      <c r="K232" s="27" t="n">
        <v>400000</v>
      </c>
      <c r="L232" s="27" t="n">
        <v>1200000</v>
      </c>
      <c r="M232" s="45" t="n">
        <f aca="false">(L232/G232)*5</f>
        <v>37500</v>
      </c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  <c r="CF232" s="29"/>
      <c r="CG232" s="29"/>
      <c r="CH232" s="29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  <c r="CZ232" s="29"/>
      <c r="DA232" s="29"/>
      <c r="DB232" s="29"/>
      <c r="DC232" s="29"/>
      <c r="DD232" s="29"/>
      <c r="DE232" s="29"/>
      <c r="DF232" s="29"/>
      <c r="DG232" s="29"/>
      <c r="DH232" s="29"/>
      <c r="DI232" s="29"/>
      <c r="DJ232" s="29"/>
      <c r="DK232" s="29"/>
      <c r="DL232" s="29"/>
      <c r="DM232" s="29"/>
      <c r="DN232" s="29"/>
      <c r="DO232" s="29"/>
      <c r="DP232" s="29"/>
      <c r="DQ232" s="29"/>
      <c r="DR232" s="29"/>
      <c r="DS232" s="29"/>
      <c r="DT232" s="29"/>
      <c r="DU232" s="29"/>
      <c r="DV232" s="29"/>
      <c r="DW232" s="29"/>
      <c r="DX232" s="29"/>
      <c r="DY232" s="29"/>
      <c r="DZ232" s="29"/>
      <c r="EA232" s="29"/>
      <c r="EB232" s="29"/>
      <c r="EC232" s="29"/>
      <c r="ED232" s="29"/>
      <c r="EE232" s="29"/>
      <c r="EF232" s="29"/>
      <c r="EG232" s="29"/>
      <c r="EH232" s="29"/>
      <c r="EI232" s="29"/>
      <c r="EJ232" s="29"/>
      <c r="EK232" s="29" t="s">
        <v>184</v>
      </c>
      <c r="EL232" s="29"/>
      <c r="EM232" s="29" t="s">
        <v>184</v>
      </c>
      <c r="EN232" s="29" t="s">
        <v>184</v>
      </c>
      <c r="EO232" s="29"/>
      <c r="EP232" s="29"/>
      <c r="EQ232" s="29"/>
      <c r="ER232" s="29"/>
      <c r="ES232" s="29" t="s">
        <v>184</v>
      </c>
      <c r="ET232" s="29"/>
      <c r="EU232" s="29"/>
      <c r="EV232" s="29" t="s">
        <v>184</v>
      </c>
      <c r="EW232" s="29"/>
      <c r="EX232" s="29"/>
      <c r="EY232" s="29"/>
      <c r="EZ232" s="29"/>
      <c r="FA232" s="29"/>
      <c r="FB232" s="29"/>
      <c r="FC232" s="29"/>
      <c r="FD232" s="29" t="n">
        <v>150000</v>
      </c>
      <c r="FE232" s="29"/>
      <c r="FF232" s="29"/>
      <c r="FG232" s="29"/>
      <c r="FH232" s="29"/>
      <c r="FI232" s="29"/>
      <c r="FJ232" s="29" t="n">
        <v>150000</v>
      </c>
      <c r="FK232" s="29"/>
      <c r="FL232" s="29"/>
      <c r="FM232" s="29"/>
      <c r="FN232" s="29" t="n">
        <v>150000</v>
      </c>
      <c r="FO232" s="29"/>
      <c r="FP232" s="29"/>
      <c r="FQ232" s="29"/>
      <c r="FR232" s="29"/>
      <c r="FS232" s="29"/>
      <c r="FT232" s="29" t="n">
        <f aca="false">SUM(N232:FS232)</f>
        <v>450000</v>
      </c>
      <c r="FU232" s="27" t="n">
        <f aca="false">SUM(L232-FT232)</f>
        <v>750000</v>
      </c>
      <c r="FV232" s="31" t="n">
        <f aca="false">SUM( H232/5)</f>
        <v>12</v>
      </c>
      <c r="FW232" s="31" t="n">
        <f aca="false">SUM( I232/5)</f>
        <v>20</v>
      </c>
      <c r="FX232" s="32" t="n">
        <f aca="false">SUM(FV232/4)</f>
        <v>3</v>
      </c>
      <c r="FY232" s="32" t="n">
        <f aca="false">SUM(FW232/4)</f>
        <v>5</v>
      </c>
    </row>
    <row r="233" customFormat="false" ht="43.5" hidden="false" customHeight="true" outlineLevel="0" collapsed="false">
      <c r="A233" s="24" t="n">
        <v>3475</v>
      </c>
      <c r="B233" s="21" t="s">
        <v>561</v>
      </c>
      <c r="C233" s="21" t="s">
        <v>562</v>
      </c>
      <c r="D233" s="22"/>
      <c r="E233" s="23" t="n">
        <v>45962</v>
      </c>
      <c r="F233" s="23" t="n">
        <f aca="false">WORKDAY(E233,G233)</f>
        <v>46157</v>
      </c>
      <c r="G233" s="24" t="n">
        <v>140</v>
      </c>
      <c r="H233" s="25" t="n">
        <f aca="false">(FT233* 5)/M233</f>
        <v>20</v>
      </c>
      <c r="I233" s="25" t="n">
        <f aca="false">G233-H233</f>
        <v>120</v>
      </c>
      <c r="J233" s="26" t="s">
        <v>564</v>
      </c>
      <c r="K233" s="27" t="n">
        <v>300000</v>
      </c>
      <c r="L233" s="27" t="n">
        <v>756000</v>
      </c>
      <c r="M233" s="45" t="n">
        <f aca="false">(L233/G233)*5</f>
        <v>27000</v>
      </c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  <c r="CF233" s="29"/>
      <c r="CG233" s="29"/>
      <c r="CH233" s="29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  <c r="CZ233" s="29"/>
      <c r="DA233" s="29"/>
      <c r="DB233" s="29"/>
      <c r="DC233" s="29"/>
      <c r="DD233" s="29"/>
      <c r="DE233" s="29"/>
      <c r="DF233" s="29"/>
      <c r="DG233" s="29"/>
      <c r="DH233" s="29"/>
      <c r="DI233" s="29"/>
      <c r="DJ233" s="29"/>
      <c r="DK233" s="29"/>
      <c r="DL233" s="29"/>
      <c r="DM233" s="29"/>
      <c r="DN233" s="29"/>
      <c r="DO233" s="29"/>
      <c r="DP233" s="29"/>
      <c r="DQ233" s="29"/>
      <c r="DR233" s="29"/>
      <c r="DS233" s="29"/>
      <c r="DT233" s="29"/>
      <c r="DU233" s="29"/>
      <c r="DV233" s="29"/>
      <c r="DW233" s="29"/>
      <c r="DX233" s="29"/>
      <c r="DY233" s="29"/>
      <c r="DZ233" s="29"/>
      <c r="EA233" s="29"/>
      <c r="EB233" s="29"/>
      <c r="EC233" s="29"/>
      <c r="ED233" s="29"/>
      <c r="EE233" s="29"/>
      <c r="EF233" s="29"/>
      <c r="EG233" s="29"/>
      <c r="EH233" s="29"/>
      <c r="EI233" s="29"/>
      <c r="EJ233" s="29"/>
      <c r="EK233" s="29" t="s">
        <v>184</v>
      </c>
      <c r="EL233" s="29"/>
      <c r="EM233" s="29" t="s">
        <v>184</v>
      </c>
      <c r="EN233" s="29" t="s">
        <v>184</v>
      </c>
      <c r="EO233" s="29"/>
      <c r="EP233" s="29"/>
      <c r="EQ233" s="29"/>
      <c r="ER233" s="29"/>
      <c r="ES233" s="29" t="s">
        <v>184</v>
      </c>
      <c r="ET233" s="29"/>
      <c r="EU233" s="29"/>
      <c r="EV233" s="29" t="s">
        <v>184</v>
      </c>
      <c r="EW233" s="29"/>
      <c r="EX233" s="29"/>
      <c r="EY233" s="29"/>
      <c r="EZ233" s="29"/>
      <c r="FA233" s="29"/>
      <c r="FB233" s="29"/>
      <c r="FC233" s="29" t="s">
        <v>184</v>
      </c>
      <c r="FD233" s="29"/>
      <c r="FE233" s="29"/>
      <c r="FF233" s="29"/>
      <c r="FG233" s="29"/>
      <c r="FH233" s="29"/>
      <c r="FI233" s="29"/>
      <c r="FJ233" s="29"/>
      <c r="FK233" s="29"/>
      <c r="FL233" s="29" t="s">
        <v>184</v>
      </c>
      <c r="FM233" s="29"/>
      <c r="FN233" s="29"/>
      <c r="FO233" s="29"/>
      <c r="FP233" s="29" t="n">
        <v>54000</v>
      </c>
      <c r="FQ233" s="29"/>
      <c r="FR233" s="29" t="n">
        <v>54000</v>
      </c>
      <c r="FS233" s="29"/>
      <c r="FT233" s="29" t="n">
        <f aca="false">SUM(N233:FS233)</f>
        <v>108000</v>
      </c>
      <c r="FU233" s="27" t="n">
        <f aca="false">SUM(L233-FT233)</f>
        <v>648000</v>
      </c>
      <c r="FV233" s="31" t="n">
        <f aca="false">SUM( H233/5)</f>
        <v>4</v>
      </c>
      <c r="FW233" s="31" t="n">
        <f aca="false">SUM( I233/5)</f>
        <v>24</v>
      </c>
      <c r="FX233" s="32" t="n">
        <f aca="false">SUM(FV233/4)</f>
        <v>1</v>
      </c>
      <c r="FY233" s="32" t="n">
        <f aca="false">SUM(FW233/4)</f>
        <v>6</v>
      </c>
    </row>
    <row r="234" customFormat="false" ht="43.5" hidden="false" customHeight="true" outlineLevel="0" collapsed="false">
      <c r="A234" s="24" t="n">
        <v>3442</v>
      </c>
      <c r="B234" s="21" t="s">
        <v>565</v>
      </c>
      <c r="C234" s="21" t="s">
        <v>566</v>
      </c>
      <c r="D234" s="22"/>
      <c r="E234" s="23" t="n">
        <v>45944</v>
      </c>
      <c r="F234" s="23" t="n">
        <f aca="false">WORKDAY(E234,G234)</f>
        <v>46084</v>
      </c>
      <c r="G234" s="24" t="n">
        <v>100</v>
      </c>
      <c r="H234" s="25" t="n">
        <f aca="false">(FT234* 5)/M234</f>
        <v>18.5185185185185</v>
      </c>
      <c r="I234" s="25" t="n">
        <f aca="false">G234-H234</f>
        <v>81.4814814814815</v>
      </c>
      <c r="J234" s="26" t="s">
        <v>567</v>
      </c>
      <c r="K234" s="27" t="n">
        <v>1000000</v>
      </c>
      <c r="L234" s="27" t="n">
        <v>2160000</v>
      </c>
      <c r="M234" s="45" t="n">
        <f aca="false">(L234/G234)*5</f>
        <v>108000</v>
      </c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  <c r="CF234" s="29"/>
      <c r="CG234" s="29"/>
      <c r="CH234" s="29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  <c r="CZ234" s="29"/>
      <c r="DA234" s="29"/>
      <c r="DB234" s="29"/>
      <c r="DC234" s="29"/>
      <c r="DD234" s="29"/>
      <c r="DE234" s="29"/>
      <c r="DF234" s="29"/>
      <c r="DG234" s="29"/>
      <c r="DH234" s="29"/>
      <c r="DI234" s="29"/>
      <c r="DJ234" s="29"/>
      <c r="DK234" s="29"/>
      <c r="DL234" s="29"/>
      <c r="DM234" s="29"/>
      <c r="DN234" s="29"/>
      <c r="DO234" s="29"/>
      <c r="DP234" s="29"/>
      <c r="DQ234" s="29"/>
      <c r="DR234" s="29"/>
      <c r="DS234" s="29"/>
      <c r="DT234" s="29"/>
      <c r="DU234" s="29"/>
      <c r="DV234" s="29"/>
      <c r="DW234" s="29"/>
      <c r="DX234" s="29"/>
      <c r="DY234" s="29"/>
      <c r="DZ234" s="29"/>
      <c r="EA234" s="29"/>
      <c r="EB234" s="29"/>
      <c r="EC234" s="29"/>
      <c r="ED234" s="29"/>
      <c r="EE234" s="29"/>
      <c r="EF234" s="29"/>
      <c r="EG234" s="29"/>
      <c r="EH234" s="29"/>
      <c r="EI234" s="29"/>
      <c r="EJ234" s="29"/>
      <c r="EK234" s="29" t="s">
        <v>184</v>
      </c>
      <c r="EL234" s="29"/>
      <c r="EM234" s="29" t="s">
        <v>184</v>
      </c>
      <c r="EN234" s="29" t="s">
        <v>184</v>
      </c>
      <c r="EO234" s="29"/>
      <c r="EP234" s="29"/>
      <c r="EQ234" s="29"/>
      <c r="ER234" s="29"/>
      <c r="ES234" s="29" t="s">
        <v>184</v>
      </c>
      <c r="ET234" s="29"/>
      <c r="EU234" s="29"/>
      <c r="EV234" s="29" t="s">
        <v>184</v>
      </c>
      <c r="EW234" s="29"/>
      <c r="EX234" s="29"/>
      <c r="EY234" s="29"/>
      <c r="EZ234" s="29"/>
      <c r="FA234" s="29"/>
      <c r="FB234" s="29"/>
      <c r="FC234" s="29" t="s">
        <v>184</v>
      </c>
      <c r="FD234" s="29"/>
      <c r="FE234" s="29"/>
      <c r="FF234" s="29"/>
      <c r="FG234" s="29"/>
      <c r="FH234" s="29"/>
      <c r="FI234" s="29"/>
      <c r="FJ234" s="29"/>
      <c r="FK234" s="29"/>
      <c r="FL234" s="29"/>
      <c r="FM234" s="29"/>
      <c r="FN234" s="29"/>
      <c r="FO234" s="29" t="n">
        <v>400000</v>
      </c>
      <c r="FP234" s="29"/>
      <c r="FQ234" s="29"/>
      <c r="FR234" s="29"/>
      <c r="FS234" s="29"/>
      <c r="FT234" s="29" t="n">
        <f aca="false">SUM(N234:FS234)</f>
        <v>400000</v>
      </c>
      <c r="FU234" s="27" t="n">
        <f aca="false">SUM(L234-FT234)</f>
        <v>1760000</v>
      </c>
      <c r="FV234" s="31" t="n">
        <f aca="false">SUM( H234/5)</f>
        <v>3.7037037037037</v>
      </c>
      <c r="FW234" s="31" t="n">
        <f aca="false">SUM( I234/5)</f>
        <v>16.2962962962963</v>
      </c>
      <c r="FX234" s="32" t="n">
        <f aca="false">SUM(FV234/4)</f>
        <v>0.925925925925926</v>
      </c>
      <c r="FY234" s="32" t="n">
        <f aca="false">SUM(FW234/4)</f>
        <v>4.07407407407407</v>
      </c>
    </row>
    <row r="235" customFormat="false" ht="43.5" hidden="false" customHeight="true" outlineLevel="0" collapsed="false">
      <c r="A235" s="24" t="n">
        <v>3304</v>
      </c>
      <c r="B235" s="21" t="s">
        <v>568</v>
      </c>
      <c r="C235" s="21" t="s">
        <v>569</v>
      </c>
      <c r="D235" s="22"/>
      <c r="E235" s="23" t="n">
        <v>45860</v>
      </c>
      <c r="F235" s="23" t="n">
        <v>45770</v>
      </c>
      <c r="G235" s="24" t="n">
        <v>80</v>
      </c>
      <c r="H235" s="25" t="n">
        <f aca="false">(FT235* 5)/M235</f>
        <v>53.8271604938272</v>
      </c>
      <c r="I235" s="25" t="n">
        <f aca="false">G235-H235</f>
        <v>26.1728395061728</v>
      </c>
      <c r="J235" s="26" t="s">
        <v>570</v>
      </c>
      <c r="K235" s="27" t="n">
        <v>300000</v>
      </c>
      <c r="L235" s="27" t="n">
        <v>648000</v>
      </c>
      <c r="M235" s="45" t="n">
        <f aca="false">(L235/G235)*5</f>
        <v>40500</v>
      </c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  <c r="CF235" s="29"/>
      <c r="CG235" s="29"/>
      <c r="CH235" s="29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  <c r="CZ235" s="29"/>
      <c r="DA235" s="29"/>
      <c r="DB235" s="29"/>
      <c r="DC235" s="29"/>
      <c r="DD235" s="29"/>
      <c r="DE235" s="29"/>
      <c r="DF235" s="29"/>
      <c r="DG235" s="29"/>
      <c r="DH235" s="29"/>
      <c r="DI235" s="29"/>
      <c r="DJ235" s="29"/>
      <c r="DK235" s="29"/>
      <c r="DL235" s="29"/>
      <c r="DM235" s="29"/>
      <c r="DN235" s="29"/>
      <c r="DO235" s="29"/>
      <c r="DP235" s="29"/>
      <c r="DQ235" s="29"/>
      <c r="DR235" s="29"/>
      <c r="DS235" s="29"/>
      <c r="DT235" s="29"/>
      <c r="DU235" s="29"/>
      <c r="DV235" s="29"/>
      <c r="DW235" s="29"/>
      <c r="DX235" s="29"/>
      <c r="DY235" s="29"/>
      <c r="DZ235" s="29"/>
      <c r="EA235" s="29"/>
      <c r="EB235" s="29"/>
      <c r="EC235" s="29"/>
      <c r="ED235" s="29"/>
      <c r="EE235" s="29"/>
      <c r="EF235" s="29"/>
      <c r="EG235" s="29"/>
      <c r="EH235" s="29"/>
      <c r="EI235" s="29"/>
      <c r="EJ235" s="29"/>
      <c r="EK235" s="29" t="s">
        <v>184</v>
      </c>
      <c r="EL235" s="29"/>
      <c r="EM235" s="29" t="s">
        <v>184</v>
      </c>
      <c r="EN235" s="29" t="s">
        <v>184</v>
      </c>
      <c r="EO235" s="29"/>
      <c r="EP235" s="29"/>
      <c r="EQ235" s="29"/>
      <c r="ER235" s="29"/>
      <c r="ES235" s="29" t="s">
        <v>184</v>
      </c>
      <c r="ET235" s="29"/>
      <c r="EU235" s="29"/>
      <c r="EV235" s="29" t="s">
        <v>184</v>
      </c>
      <c r="EW235" s="29"/>
      <c r="EX235" s="29"/>
      <c r="EY235" s="29"/>
      <c r="EZ235" s="29"/>
      <c r="FA235" s="29"/>
      <c r="FB235" s="29"/>
      <c r="FC235" s="29"/>
      <c r="FD235" s="29" t="n">
        <v>112000</v>
      </c>
      <c r="FE235" s="29" t="n">
        <v>50000</v>
      </c>
      <c r="FF235" s="29"/>
      <c r="FG235" s="29"/>
      <c r="FH235" s="29"/>
      <c r="FI235" s="29" t="n">
        <v>162000</v>
      </c>
      <c r="FJ235" s="29"/>
      <c r="FK235" s="29"/>
      <c r="FL235" s="29"/>
      <c r="FM235" s="29" t="n">
        <v>50000</v>
      </c>
      <c r="FN235" s="29" t="n">
        <v>62000</v>
      </c>
      <c r="FO235" s="29"/>
      <c r="FP235" s="29"/>
      <c r="FQ235" s="29"/>
      <c r="FR235" s="29"/>
      <c r="FS235" s="29"/>
      <c r="FT235" s="29" t="n">
        <f aca="false">SUM(N235:FS235)</f>
        <v>436000</v>
      </c>
      <c r="FU235" s="27" t="n">
        <f aca="false">SUM(L235-FT235)</f>
        <v>212000</v>
      </c>
      <c r="FV235" s="31" t="n">
        <f aca="false">SUM( H235/5)</f>
        <v>10.7654320987654</v>
      </c>
      <c r="FW235" s="31" t="n">
        <f aca="false">SUM( I235/5)</f>
        <v>5.23456790123457</v>
      </c>
      <c r="FX235" s="32" t="n">
        <f aca="false">SUM(FV235/4)</f>
        <v>2.69135802469136</v>
      </c>
      <c r="FY235" s="32" t="n">
        <f aca="false">SUM(FW235/4)</f>
        <v>1.30864197530864</v>
      </c>
    </row>
    <row r="236" customFormat="false" ht="43.5" hidden="false" customHeight="true" outlineLevel="0" collapsed="false">
      <c r="A236" s="24" t="n">
        <v>3480</v>
      </c>
      <c r="B236" s="22" t="s">
        <v>571</v>
      </c>
      <c r="C236" s="22" t="s">
        <v>572</v>
      </c>
      <c r="D236" s="22"/>
      <c r="E236" s="23" t="n">
        <v>45969</v>
      </c>
      <c r="F236" s="23" t="n">
        <f aca="false">WORKDAY(E236,G236)</f>
        <v>46122</v>
      </c>
      <c r="G236" s="24" t="n">
        <v>110</v>
      </c>
      <c r="H236" s="25" t="n">
        <f aca="false">(FT236* 5)/M236</f>
        <v>11</v>
      </c>
      <c r="I236" s="25" t="n">
        <f aca="false">G236-H236</f>
        <v>99</v>
      </c>
      <c r="J236" s="34" t="s">
        <v>254</v>
      </c>
      <c r="K236" s="27" t="n">
        <v>100000</v>
      </c>
      <c r="L236" s="27" t="n">
        <v>264000</v>
      </c>
      <c r="M236" s="45" t="n">
        <f aca="false">(L236/G236)*5</f>
        <v>12000</v>
      </c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  <c r="CF236" s="29"/>
      <c r="CG236" s="29"/>
      <c r="CH236" s="29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  <c r="CZ236" s="29"/>
      <c r="DA236" s="29"/>
      <c r="DB236" s="29"/>
      <c r="DC236" s="29"/>
      <c r="DD236" s="29"/>
      <c r="DE236" s="29"/>
      <c r="DF236" s="29"/>
      <c r="DG236" s="29"/>
      <c r="DH236" s="29"/>
      <c r="DI236" s="29"/>
      <c r="DJ236" s="29"/>
      <c r="DK236" s="29"/>
      <c r="DL236" s="29"/>
      <c r="DM236" s="29"/>
      <c r="DN236" s="29"/>
      <c r="DO236" s="29"/>
      <c r="DP236" s="29"/>
      <c r="DQ236" s="29"/>
      <c r="DR236" s="29"/>
      <c r="DS236" s="29"/>
      <c r="DT236" s="29"/>
      <c r="DU236" s="29"/>
      <c r="DV236" s="29"/>
      <c r="DW236" s="29"/>
      <c r="DX236" s="29"/>
      <c r="DY236" s="29"/>
      <c r="DZ236" s="29"/>
      <c r="EA236" s="29"/>
      <c r="EB236" s="29"/>
      <c r="EC236" s="29"/>
      <c r="ED236" s="29"/>
      <c r="EE236" s="29"/>
      <c r="EF236" s="29"/>
      <c r="EG236" s="29"/>
      <c r="EH236" s="29"/>
      <c r="EI236" s="29"/>
      <c r="EJ236" s="29"/>
      <c r="EK236" s="29" t="s">
        <v>184</v>
      </c>
      <c r="EL236" s="29"/>
      <c r="EM236" s="29" t="s">
        <v>184</v>
      </c>
      <c r="EN236" s="29" t="s">
        <v>184</v>
      </c>
      <c r="EO236" s="29"/>
      <c r="EP236" s="29"/>
      <c r="EQ236" s="29"/>
      <c r="ER236" s="29"/>
      <c r="ES236" s="29" t="s">
        <v>184</v>
      </c>
      <c r="ET236" s="29"/>
      <c r="EU236" s="29"/>
      <c r="EV236" s="29" t="s">
        <v>184</v>
      </c>
      <c r="EW236" s="29"/>
      <c r="EX236" s="29"/>
      <c r="EY236" s="29"/>
      <c r="EZ236" s="29"/>
      <c r="FA236" s="29"/>
      <c r="FB236" s="29"/>
      <c r="FC236" s="29" t="s">
        <v>184</v>
      </c>
      <c r="FD236" s="29"/>
      <c r="FE236" s="29"/>
      <c r="FF236" s="29"/>
      <c r="FG236" s="29"/>
      <c r="FH236" s="29"/>
      <c r="FI236" s="29"/>
      <c r="FJ236" s="29"/>
      <c r="FK236" s="29"/>
      <c r="FL236" s="29" t="s">
        <v>184</v>
      </c>
      <c r="FM236" s="29"/>
      <c r="FN236" s="29"/>
      <c r="FO236" s="29"/>
      <c r="FP236" s="29" t="n">
        <v>12000</v>
      </c>
      <c r="FQ236" s="29" t="n">
        <v>14400</v>
      </c>
      <c r="FR236" s="29"/>
      <c r="FS236" s="29"/>
      <c r="FT236" s="29" t="n">
        <f aca="false">SUM(N236:FS236)</f>
        <v>26400</v>
      </c>
      <c r="FU236" s="27" t="n">
        <f aca="false">SUM(L236-FT236)</f>
        <v>237600</v>
      </c>
      <c r="FV236" s="31" t="n">
        <f aca="false">SUM( H236/5)</f>
        <v>2.2</v>
      </c>
      <c r="FW236" s="31" t="n">
        <f aca="false">SUM( I236/5)</f>
        <v>19.8</v>
      </c>
      <c r="FX236" s="32" t="n">
        <f aca="false">SUM(FV236/4)</f>
        <v>0.55</v>
      </c>
      <c r="FY236" s="32" t="n">
        <f aca="false">SUM(FW236/4)</f>
        <v>4.95</v>
      </c>
    </row>
    <row r="237" customFormat="false" ht="43.5" hidden="false" customHeight="true" outlineLevel="0" collapsed="false">
      <c r="A237" s="24" t="n">
        <v>3066</v>
      </c>
      <c r="B237" s="21" t="s">
        <v>573</v>
      </c>
      <c r="C237" s="21" t="s">
        <v>463</v>
      </c>
      <c r="D237" s="22" t="n">
        <v>2034839888</v>
      </c>
      <c r="E237" s="23" t="n">
        <v>45705</v>
      </c>
      <c r="F237" s="23" t="n">
        <f aca="false">WORKDAY(E237,G237)</f>
        <v>45873</v>
      </c>
      <c r="G237" s="24" t="n">
        <v>120</v>
      </c>
      <c r="H237" s="25" t="n">
        <f aca="false">(FT237* 5)/M237</f>
        <v>86.5151515151515</v>
      </c>
      <c r="I237" s="25" t="n">
        <f aca="false">G237-H237</f>
        <v>33.4848484848485</v>
      </c>
      <c r="J237" s="26" t="s">
        <v>574</v>
      </c>
      <c r="K237" s="27" t="n">
        <v>150000</v>
      </c>
      <c r="L237" s="27" t="n">
        <v>396000</v>
      </c>
      <c r="M237" s="45" t="n">
        <f aca="false">(L237/G237)*5</f>
        <v>16500</v>
      </c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  <c r="CF237" s="29"/>
      <c r="CG237" s="29"/>
      <c r="CH237" s="29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  <c r="CZ237" s="29"/>
      <c r="DA237" s="29"/>
      <c r="DB237" s="29"/>
      <c r="DC237" s="29"/>
      <c r="DD237" s="29"/>
      <c r="DE237" s="29"/>
      <c r="DF237" s="29"/>
      <c r="DG237" s="29"/>
      <c r="DH237" s="29"/>
      <c r="DI237" s="29"/>
      <c r="DJ237" s="29"/>
      <c r="DK237" s="29"/>
      <c r="DL237" s="29"/>
      <c r="DM237" s="29"/>
      <c r="DN237" s="29"/>
      <c r="DO237" s="29"/>
      <c r="DP237" s="29"/>
      <c r="DQ237" s="29"/>
      <c r="DR237" s="29"/>
      <c r="DS237" s="29"/>
      <c r="DT237" s="29"/>
      <c r="DU237" s="29"/>
      <c r="DV237" s="29"/>
      <c r="DW237" s="29"/>
      <c r="DX237" s="29"/>
      <c r="DY237" s="29"/>
      <c r="DZ237" s="29"/>
      <c r="EA237" s="29"/>
      <c r="EB237" s="29"/>
      <c r="EC237" s="29"/>
      <c r="ED237" s="29"/>
      <c r="EE237" s="29"/>
      <c r="EF237" s="29"/>
      <c r="EG237" s="29"/>
      <c r="EH237" s="29" t="n">
        <v>66000</v>
      </c>
      <c r="EI237" s="29"/>
      <c r="EJ237" s="29"/>
      <c r="EK237" s="29"/>
      <c r="EL237" s="29" t="n">
        <v>66000</v>
      </c>
      <c r="EM237" s="29"/>
      <c r="EN237" s="29"/>
      <c r="EO237" s="29" t="s">
        <v>184</v>
      </c>
      <c r="EP237" s="29" t="n">
        <v>20750</v>
      </c>
      <c r="EQ237" s="29" t="n">
        <v>45250</v>
      </c>
      <c r="ER237" s="29"/>
      <c r="ES237" s="29"/>
      <c r="ET237" s="29"/>
      <c r="EU237" s="29"/>
      <c r="EV237" s="29"/>
      <c r="EW237" s="29" t="n">
        <v>66000</v>
      </c>
      <c r="EX237" s="29"/>
      <c r="EY237" s="29"/>
      <c r="EZ237" s="29"/>
      <c r="FA237" s="29"/>
      <c r="FB237" s="29"/>
      <c r="FC237" s="29"/>
      <c r="FD237" s="29"/>
      <c r="FE237" s="29"/>
      <c r="FF237" s="29"/>
      <c r="FG237" s="29" t="n">
        <v>21500</v>
      </c>
      <c r="FH237" s="29"/>
      <c r="FI237" s="29"/>
      <c r="FJ237" s="29" t="n">
        <v>0</v>
      </c>
      <c r="FK237" s="29"/>
      <c r="FL237" s="29"/>
      <c r="FM237" s="29"/>
      <c r="FN237" s="29"/>
      <c r="FO237" s="29"/>
      <c r="FP237" s="29"/>
      <c r="FQ237" s="29"/>
      <c r="FR237" s="29"/>
      <c r="FS237" s="29"/>
      <c r="FT237" s="29" t="n">
        <f aca="false">SUM(N237:FS237)</f>
        <v>285500</v>
      </c>
      <c r="FU237" s="27" t="n">
        <f aca="false">SUM(L237-FT237)</f>
        <v>110500</v>
      </c>
      <c r="FV237" s="31" t="n">
        <f aca="false">SUM( H237/5)</f>
        <v>17.3030303030303</v>
      </c>
      <c r="FW237" s="31" t="n">
        <f aca="false">SUM( I237/5)</f>
        <v>6.6969696969697</v>
      </c>
      <c r="FX237" s="32" t="n">
        <f aca="false">SUM(FV237/4)</f>
        <v>4.32575757575758</v>
      </c>
      <c r="FY237" s="32" t="n">
        <f aca="false">SUM(FW237/4)</f>
        <v>1.67424242424242</v>
      </c>
    </row>
    <row r="238" customFormat="false" ht="43.5" hidden="false" customHeight="true" outlineLevel="0" collapsed="false">
      <c r="A238" s="24" t="n">
        <v>3080</v>
      </c>
      <c r="B238" s="21" t="s">
        <v>573</v>
      </c>
      <c r="C238" s="21" t="s">
        <v>463</v>
      </c>
      <c r="D238" s="22" t="n">
        <v>2034839888</v>
      </c>
      <c r="E238" s="23" t="n">
        <v>45713</v>
      </c>
      <c r="F238" s="23" t="n">
        <f aca="false">WORKDAY(E238,G238)</f>
        <v>45881</v>
      </c>
      <c r="G238" s="24" t="n">
        <v>120</v>
      </c>
      <c r="H238" s="25" t="n">
        <f aca="false">(FT238* 5)/M238</f>
        <v>79.8484848484848</v>
      </c>
      <c r="I238" s="25" t="n">
        <f aca="false">G238-H238</f>
        <v>40.1515151515152</v>
      </c>
      <c r="J238" s="26" t="s">
        <v>575</v>
      </c>
      <c r="K238" s="30" t="n">
        <v>75000</v>
      </c>
      <c r="L238" s="30" t="n">
        <v>198000</v>
      </c>
      <c r="M238" s="45" t="n">
        <f aca="false">(L238/G238)*5</f>
        <v>8250</v>
      </c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  <c r="CF238" s="29"/>
      <c r="CG238" s="29"/>
      <c r="CH238" s="29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  <c r="CZ238" s="29"/>
      <c r="DA238" s="29"/>
      <c r="DB238" s="29"/>
      <c r="DC238" s="29"/>
      <c r="DD238" s="29"/>
      <c r="DE238" s="29"/>
      <c r="DF238" s="29"/>
      <c r="DG238" s="29"/>
      <c r="DH238" s="29"/>
      <c r="DI238" s="29"/>
      <c r="DJ238" s="29"/>
      <c r="DK238" s="29"/>
      <c r="DL238" s="29"/>
      <c r="DM238" s="29"/>
      <c r="DN238" s="29"/>
      <c r="DO238" s="29"/>
      <c r="DP238" s="29"/>
      <c r="DQ238" s="29"/>
      <c r="DR238" s="29"/>
      <c r="DS238" s="29"/>
      <c r="DT238" s="29"/>
      <c r="DU238" s="29"/>
      <c r="DV238" s="29"/>
      <c r="DW238" s="29"/>
      <c r="DX238" s="29"/>
      <c r="DY238" s="29"/>
      <c r="DZ238" s="29"/>
      <c r="EA238" s="29"/>
      <c r="EB238" s="29"/>
      <c r="EC238" s="29"/>
      <c r="ED238" s="29"/>
      <c r="EE238" s="29"/>
      <c r="EF238" s="29"/>
      <c r="EG238" s="29"/>
      <c r="EH238" s="29" t="n">
        <v>32750</v>
      </c>
      <c r="EI238" s="29"/>
      <c r="EJ238" s="29"/>
      <c r="EK238" s="29"/>
      <c r="EL238" s="29" t="n">
        <v>4750</v>
      </c>
      <c r="EM238" s="29" t="n">
        <v>28250</v>
      </c>
      <c r="EN238" s="29"/>
      <c r="EO238" s="29" t="s">
        <v>184</v>
      </c>
      <c r="EP238" s="29"/>
      <c r="EQ238" s="29" t="n">
        <v>24750</v>
      </c>
      <c r="ER238" s="29" t="n">
        <v>8250</v>
      </c>
      <c r="ES238" s="29"/>
      <c r="ET238" s="29"/>
      <c r="EU238" s="29"/>
      <c r="EV238" s="29"/>
      <c r="EW238" s="29" t="n">
        <v>33000</v>
      </c>
      <c r="EX238" s="29"/>
      <c r="EY238" s="29"/>
      <c r="EZ238" s="29"/>
      <c r="FA238" s="29"/>
      <c r="FB238" s="29"/>
      <c r="FC238" s="29"/>
      <c r="FD238" s="29"/>
      <c r="FE238" s="29"/>
      <c r="FF238" s="29"/>
      <c r="FG238" s="29"/>
      <c r="FH238" s="29"/>
      <c r="FI238" s="29"/>
      <c r="FJ238" s="29"/>
      <c r="FK238" s="29"/>
      <c r="FL238" s="29"/>
      <c r="FM238" s="29"/>
      <c r="FN238" s="29"/>
      <c r="FO238" s="29"/>
      <c r="FP238" s="29"/>
      <c r="FQ238" s="29"/>
      <c r="FR238" s="29"/>
      <c r="FS238" s="29"/>
      <c r="FT238" s="29" t="n">
        <f aca="false">SUM(N238:FS238)</f>
        <v>131750</v>
      </c>
      <c r="FU238" s="27" t="n">
        <f aca="false">SUM(L238-FT238)</f>
        <v>66250</v>
      </c>
      <c r="FV238" s="31" t="n">
        <f aca="false">SUM( H238/5)</f>
        <v>15.969696969697</v>
      </c>
      <c r="FW238" s="31" t="n">
        <f aca="false">SUM( I238/5)</f>
        <v>8.03030303030303</v>
      </c>
      <c r="FX238" s="32" t="n">
        <f aca="false">SUM(FV238/4)</f>
        <v>3.99242424242424</v>
      </c>
      <c r="FY238" s="32" t="n">
        <f aca="false">SUM(FW238/4)</f>
        <v>2.00757575757576</v>
      </c>
    </row>
    <row r="239" customFormat="false" ht="43.5" hidden="false" customHeight="true" outlineLevel="0" collapsed="false">
      <c r="A239" s="24" t="n">
        <v>3120</v>
      </c>
      <c r="B239" s="21" t="s">
        <v>573</v>
      </c>
      <c r="C239" s="21" t="s">
        <v>463</v>
      </c>
      <c r="D239" s="22" t="n">
        <v>2034839888</v>
      </c>
      <c r="E239" s="23" t="n">
        <v>45736</v>
      </c>
      <c r="F239" s="23" t="n">
        <f aca="false">WORKDAY(E239,G239)</f>
        <v>45904</v>
      </c>
      <c r="G239" s="24" t="n">
        <v>120</v>
      </c>
      <c r="H239" s="25" t="n">
        <f aca="false">(FT239* 5)/M239</f>
        <v>57.9545454545455</v>
      </c>
      <c r="I239" s="25" t="n">
        <f aca="false">G239-H239</f>
        <v>62.0454545454546</v>
      </c>
      <c r="J239" s="26" t="s">
        <v>576</v>
      </c>
      <c r="K239" s="30" t="n">
        <v>50000</v>
      </c>
      <c r="L239" s="30" t="n">
        <v>132000</v>
      </c>
      <c r="M239" s="45" t="n">
        <f aca="false">(L239/G239)*5</f>
        <v>5500</v>
      </c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  <c r="CF239" s="29"/>
      <c r="CG239" s="29"/>
      <c r="CH239" s="29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  <c r="CZ239" s="29"/>
      <c r="DA239" s="29"/>
      <c r="DB239" s="29"/>
      <c r="DC239" s="29"/>
      <c r="DD239" s="29"/>
      <c r="DE239" s="29"/>
      <c r="DF239" s="29"/>
      <c r="DG239" s="29"/>
      <c r="DH239" s="29"/>
      <c r="DI239" s="29"/>
      <c r="DJ239" s="29"/>
      <c r="DK239" s="29"/>
      <c r="DL239" s="29"/>
      <c r="DM239" s="29"/>
      <c r="DN239" s="29"/>
      <c r="DO239" s="29"/>
      <c r="DP239" s="29"/>
      <c r="DQ239" s="29"/>
      <c r="DR239" s="29"/>
      <c r="DS239" s="29"/>
      <c r="DT239" s="29"/>
      <c r="DU239" s="29"/>
      <c r="DV239" s="29"/>
      <c r="DW239" s="29"/>
      <c r="DX239" s="29"/>
      <c r="DY239" s="29"/>
      <c r="DZ239" s="29"/>
      <c r="EA239" s="29"/>
      <c r="EB239" s="29"/>
      <c r="EC239" s="29"/>
      <c r="ED239" s="29"/>
      <c r="EE239" s="29"/>
      <c r="EF239" s="29"/>
      <c r="EG239" s="29"/>
      <c r="EH239" s="29"/>
      <c r="EI239" s="29"/>
      <c r="EJ239" s="29"/>
      <c r="EK239" s="29"/>
      <c r="EL239" s="29"/>
      <c r="EM239" s="29" t="n">
        <v>19750</v>
      </c>
      <c r="EN239" s="29"/>
      <c r="EO239" s="29" t="s">
        <v>184</v>
      </c>
      <c r="EP239" s="29"/>
      <c r="EQ239" s="29"/>
      <c r="ER239" s="29" t="n">
        <v>22000</v>
      </c>
      <c r="ES239" s="29"/>
      <c r="ET239" s="29"/>
      <c r="EU239" s="29"/>
      <c r="EV239" s="29"/>
      <c r="EW239" s="29" t="n">
        <v>22000</v>
      </c>
      <c r="EX239" s="29"/>
      <c r="EY239" s="29"/>
      <c r="EZ239" s="29"/>
      <c r="FA239" s="29"/>
      <c r="FB239" s="29"/>
      <c r="FC239" s="29"/>
      <c r="FD239" s="29"/>
      <c r="FE239" s="29"/>
      <c r="FF239" s="29"/>
      <c r="FG239" s="29"/>
      <c r="FH239" s="29"/>
      <c r="FI239" s="29"/>
      <c r="FJ239" s="29"/>
      <c r="FK239" s="29"/>
      <c r="FL239" s="29"/>
      <c r="FM239" s="29"/>
      <c r="FN239" s="29"/>
      <c r="FO239" s="29"/>
      <c r="FP239" s="29"/>
      <c r="FQ239" s="29"/>
      <c r="FR239" s="29"/>
      <c r="FS239" s="29"/>
      <c r="FT239" s="29" t="n">
        <f aca="false">SUM(N239:FS239)</f>
        <v>63750</v>
      </c>
      <c r="FU239" s="27" t="n">
        <f aca="false">SUM(L239-FT239)</f>
        <v>68250</v>
      </c>
      <c r="FV239" s="31" t="n">
        <f aca="false">SUM( H239/5)</f>
        <v>11.5909090909091</v>
      </c>
      <c r="FW239" s="31" t="n">
        <f aca="false">SUM( I239/5)</f>
        <v>12.4090909090909</v>
      </c>
      <c r="FX239" s="32" t="n">
        <f aca="false">SUM(FV239/4)</f>
        <v>2.89772727272727</v>
      </c>
      <c r="FY239" s="32" t="n">
        <f aca="false">SUM(FW239/4)</f>
        <v>3.10227272727273</v>
      </c>
    </row>
    <row r="240" customFormat="false" ht="43.5" hidden="false" customHeight="true" outlineLevel="0" collapsed="false">
      <c r="A240" s="24" t="n">
        <v>3172</v>
      </c>
      <c r="B240" s="21" t="s">
        <v>573</v>
      </c>
      <c r="C240" s="21" t="s">
        <v>463</v>
      </c>
      <c r="D240" s="22" t="n">
        <v>2034839888</v>
      </c>
      <c r="E240" s="23" t="n">
        <v>45775</v>
      </c>
      <c r="F240" s="23" t="n">
        <f aca="false">WORKDAY(E240,G240)</f>
        <v>45887</v>
      </c>
      <c r="G240" s="24" t="n">
        <v>80</v>
      </c>
      <c r="H240" s="25" t="n">
        <f aca="false">(FT240* 5)/M240</f>
        <v>27.2222222222222</v>
      </c>
      <c r="I240" s="25" t="n">
        <f aca="false">G240-H240</f>
        <v>52.7777777777778</v>
      </c>
      <c r="J240" s="26" t="s">
        <v>577</v>
      </c>
      <c r="K240" s="30" t="n">
        <v>50000</v>
      </c>
      <c r="L240" s="30" t="n">
        <v>108000</v>
      </c>
      <c r="M240" s="45" t="n">
        <f aca="false">(L240/G240)*5</f>
        <v>6750</v>
      </c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  <c r="CF240" s="29"/>
      <c r="CG240" s="29"/>
      <c r="CH240" s="29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  <c r="CZ240" s="29"/>
      <c r="DA240" s="29"/>
      <c r="DB240" s="29"/>
      <c r="DC240" s="29"/>
      <c r="DD240" s="29"/>
      <c r="DE240" s="29"/>
      <c r="DF240" s="29"/>
      <c r="DG240" s="29"/>
      <c r="DH240" s="29"/>
      <c r="DI240" s="29"/>
      <c r="DJ240" s="29"/>
      <c r="DK240" s="29"/>
      <c r="DL240" s="29"/>
      <c r="DM240" s="29"/>
      <c r="DN240" s="29"/>
      <c r="DO240" s="29"/>
      <c r="DP240" s="29"/>
      <c r="DQ240" s="29"/>
      <c r="DR240" s="29"/>
      <c r="DS240" s="29"/>
      <c r="DT240" s="29"/>
      <c r="DU240" s="29"/>
      <c r="DV240" s="29"/>
      <c r="DW240" s="29"/>
      <c r="DX240" s="29"/>
      <c r="DY240" s="29"/>
      <c r="DZ240" s="29"/>
      <c r="EA240" s="29"/>
      <c r="EB240" s="29"/>
      <c r="EC240" s="29"/>
      <c r="ED240" s="29"/>
      <c r="EE240" s="29"/>
      <c r="EF240" s="29"/>
      <c r="EG240" s="29"/>
      <c r="EH240" s="29"/>
      <c r="EI240" s="29"/>
      <c r="EJ240" s="29"/>
      <c r="EK240" s="29"/>
      <c r="EL240" s="29"/>
      <c r="EM240" s="29"/>
      <c r="EN240" s="29"/>
      <c r="EO240" s="29" t="s">
        <v>184</v>
      </c>
      <c r="EP240" s="29"/>
      <c r="EQ240" s="29"/>
      <c r="ER240" s="29" t="n">
        <v>9750</v>
      </c>
      <c r="ES240" s="29"/>
      <c r="ET240" s="29"/>
      <c r="EU240" s="29"/>
      <c r="EV240" s="29"/>
      <c r="EW240" s="29" t="n">
        <v>27000</v>
      </c>
      <c r="EX240" s="29"/>
      <c r="EY240" s="29"/>
      <c r="EZ240" s="29"/>
      <c r="FA240" s="29"/>
      <c r="FB240" s="29"/>
      <c r="FC240" s="29"/>
      <c r="FD240" s="29"/>
      <c r="FE240" s="29"/>
      <c r="FF240" s="29"/>
      <c r="FG240" s="29"/>
      <c r="FH240" s="29"/>
      <c r="FI240" s="29"/>
      <c r="FJ240" s="29"/>
      <c r="FK240" s="29"/>
      <c r="FL240" s="29"/>
      <c r="FM240" s="29"/>
      <c r="FN240" s="29"/>
      <c r="FO240" s="29"/>
      <c r="FP240" s="29"/>
      <c r="FQ240" s="29"/>
      <c r="FR240" s="29"/>
      <c r="FS240" s="29"/>
      <c r="FT240" s="29" t="n">
        <f aca="false">SUM(N240:FS240)</f>
        <v>36750</v>
      </c>
      <c r="FU240" s="27" t="n">
        <f aca="false">SUM(L240-FT240)</f>
        <v>71250</v>
      </c>
      <c r="FV240" s="31" t="n">
        <f aca="false">SUM( H240/5)</f>
        <v>5.44444444444445</v>
      </c>
      <c r="FW240" s="31" t="n">
        <f aca="false">SUM( I240/5)</f>
        <v>10.5555555555556</v>
      </c>
      <c r="FX240" s="32" t="n">
        <f aca="false">SUM(FV240/4)</f>
        <v>1.36111111111111</v>
      </c>
      <c r="FY240" s="32" t="n">
        <f aca="false">SUM(FW240/4)</f>
        <v>2.63888888888889</v>
      </c>
    </row>
    <row r="241" customFormat="false" ht="43.5" hidden="false" customHeight="true" outlineLevel="0" collapsed="false">
      <c r="A241" s="61" t="n">
        <v>3512</v>
      </c>
      <c r="B241" s="22" t="s">
        <v>316</v>
      </c>
      <c r="C241" s="22" t="s">
        <v>317</v>
      </c>
      <c r="D241" s="23" t="n">
        <v>45329</v>
      </c>
      <c r="E241" s="23" t="n">
        <v>45985</v>
      </c>
      <c r="F241" s="23" t="n">
        <v>45429</v>
      </c>
      <c r="G241" s="53" t="n">
        <v>110</v>
      </c>
      <c r="H241" s="25" t="n">
        <f aca="false">(FT241* 5)/M241</f>
        <v>0</v>
      </c>
      <c r="I241" s="25" t="n">
        <f aca="false">G241-H241</f>
        <v>110</v>
      </c>
      <c r="J241" s="22" t="s">
        <v>254</v>
      </c>
      <c r="K241" s="75" t="n">
        <v>100000</v>
      </c>
      <c r="L241" s="27" t="n">
        <v>264000</v>
      </c>
      <c r="M241" s="45" t="n">
        <f aca="false">(L241/G241)*5</f>
        <v>12000</v>
      </c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  <c r="CF241" s="29"/>
      <c r="CG241" s="29"/>
      <c r="CH241" s="29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  <c r="CZ241" s="29"/>
      <c r="DA241" s="29"/>
      <c r="DB241" s="29"/>
      <c r="DC241" s="29"/>
      <c r="DD241" s="29"/>
      <c r="DE241" s="29"/>
      <c r="DF241" s="29"/>
      <c r="DG241" s="29"/>
      <c r="DH241" s="29"/>
      <c r="DI241" s="29"/>
      <c r="DJ241" s="29"/>
      <c r="DK241" s="29"/>
      <c r="DL241" s="29"/>
      <c r="DM241" s="29"/>
      <c r="DN241" s="29"/>
      <c r="DO241" s="29"/>
      <c r="DP241" s="29"/>
      <c r="DQ241" s="29"/>
      <c r="DR241" s="29"/>
      <c r="DS241" s="29"/>
      <c r="DT241" s="29"/>
      <c r="DU241" s="29"/>
      <c r="DV241" s="29"/>
      <c r="DW241" s="29"/>
      <c r="DX241" s="29"/>
      <c r="DY241" s="29"/>
      <c r="DZ241" s="29"/>
      <c r="EA241" s="29"/>
      <c r="EB241" s="29"/>
      <c r="EC241" s="29"/>
      <c r="ED241" s="29"/>
      <c r="EE241" s="29"/>
      <c r="EF241" s="29"/>
      <c r="EG241" s="29"/>
      <c r="EH241" s="29"/>
      <c r="EI241" s="29"/>
      <c r="EJ241" s="29"/>
      <c r="EK241" s="29" t="s">
        <v>184</v>
      </c>
      <c r="EL241" s="29"/>
      <c r="EM241" s="29" t="s">
        <v>184</v>
      </c>
      <c r="EN241" s="29" t="s">
        <v>184</v>
      </c>
      <c r="EO241" s="29"/>
      <c r="EP241" s="29"/>
      <c r="EQ241" s="29"/>
      <c r="ER241" s="29"/>
      <c r="ES241" s="29" t="s">
        <v>184</v>
      </c>
      <c r="ET241" s="29"/>
      <c r="EU241" s="29"/>
      <c r="EV241" s="29" t="s">
        <v>184</v>
      </c>
      <c r="EW241" s="29"/>
      <c r="EX241" s="29"/>
      <c r="EY241" s="29"/>
      <c r="EZ241" s="29"/>
      <c r="FA241" s="29"/>
      <c r="FB241" s="29"/>
      <c r="FC241" s="29" t="s">
        <v>184</v>
      </c>
      <c r="FD241" s="29"/>
      <c r="FE241" s="29"/>
      <c r="FF241" s="29"/>
      <c r="FG241" s="29"/>
      <c r="FH241" s="29"/>
      <c r="FI241" s="29"/>
      <c r="FJ241" s="29"/>
      <c r="FK241" s="29"/>
      <c r="FL241" s="29" t="s">
        <v>184</v>
      </c>
      <c r="FM241" s="29"/>
      <c r="FN241" s="29"/>
      <c r="FO241" s="29"/>
      <c r="FP241" s="29"/>
      <c r="FQ241" s="29"/>
      <c r="FR241" s="29"/>
      <c r="FS241" s="29"/>
      <c r="FT241" s="29" t="n">
        <f aca="false">SUM(N241:FS241)</f>
        <v>0</v>
      </c>
      <c r="FU241" s="27" t="n">
        <f aca="false">SUM(L241-FT241)</f>
        <v>264000</v>
      </c>
      <c r="FV241" s="31" t="n">
        <f aca="false">SUM( H241/5)</f>
        <v>0</v>
      </c>
      <c r="FW241" s="31" t="n">
        <f aca="false">SUM( I241/5)</f>
        <v>22</v>
      </c>
      <c r="FX241" s="32" t="n">
        <f aca="false">SUM(FV241/4)</f>
        <v>0</v>
      </c>
      <c r="FY241" s="32" t="n">
        <f aca="false">SUM(FW241/4)</f>
        <v>5.5</v>
      </c>
    </row>
    <row r="242" customFormat="false" ht="43.5" hidden="false" customHeight="true" outlineLevel="0" collapsed="false">
      <c r="A242" s="61" t="n">
        <v>3513</v>
      </c>
      <c r="B242" s="21" t="s">
        <v>578</v>
      </c>
      <c r="C242" s="76" t="s">
        <v>579</v>
      </c>
      <c r="D242" s="22"/>
      <c r="E242" s="23" t="n">
        <v>45985</v>
      </c>
      <c r="F242" s="23" t="n">
        <f aca="false">WORKDAY(E242,G242)</f>
        <v>46139</v>
      </c>
      <c r="G242" s="24" t="n">
        <v>110</v>
      </c>
      <c r="H242" s="25" t="n">
        <f aca="false">(FT242* 5)/M242</f>
        <v>0</v>
      </c>
      <c r="I242" s="49"/>
      <c r="J242" s="34" t="s">
        <v>580</v>
      </c>
      <c r="K242" s="27" t="n">
        <v>100000</v>
      </c>
      <c r="L242" s="27" t="n">
        <v>264000</v>
      </c>
      <c r="M242" s="45" t="n">
        <f aca="false">(L242/G242)*5</f>
        <v>12000</v>
      </c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  <c r="CF242" s="29"/>
      <c r="CG242" s="29"/>
      <c r="CH242" s="29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  <c r="CZ242" s="29"/>
      <c r="DA242" s="29"/>
      <c r="DB242" s="29"/>
      <c r="DC242" s="29"/>
      <c r="DD242" s="29"/>
      <c r="DE242" s="29"/>
      <c r="DF242" s="29"/>
      <c r="DG242" s="29"/>
      <c r="DH242" s="29"/>
      <c r="DI242" s="29"/>
      <c r="DJ242" s="29"/>
      <c r="DK242" s="29"/>
      <c r="DL242" s="29"/>
      <c r="DM242" s="29"/>
      <c r="DN242" s="29"/>
      <c r="DO242" s="29"/>
      <c r="DP242" s="29"/>
      <c r="DQ242" s="29"/>
      <c r="DR242" s="29"/>
      <c r="DS242" s="29"/>
      <c r="DT242" s="29"/>
      <c r="DU242" s="29"/>
      <c r="DV242" s="29"/>
      <c r="DW242" s="29"/>
      <c r="DX242" s="29"/>
      <c r="DY242" s="29"/>
      <c r="DZ242" s="29"/>
      <c r="EA242" s="29"/>
      <c r="EB242" s="29"/>
      <c r="EC242" s="29"/>
      <c r="ED242" s="29"/>
      <c r="EE242" s="29"/>
      <c r="EF242" s="29"/>
      <c r="EG242" s="29"/>
      <c r="EH242" s="29"/>
      <c r="EI242" s="29"/>
      <c r="EJ242" s="29"/>
      <c r="EK242" s="29" t="s">
        <v>184</v>
      </c>
      <c r="EL242" s="29"/>
      <c r="EM242" s="29" t="s">
        <v>184</v>
      </c>
      <c r="EN242" s="29" t="s">
        <v>184</v>
      </c>
      <c r="EO242" s="29"/>
      <c r="EP242" s="29"/>
      <c r="EQ242" s="29"/>
      <c r="ER242" s="29"/>
      <c r="ES242" s="29" t="s">
        <v>184</v>
      </c>
      <c r="ET242" s="29"/>
      <c r="EU242" s="29"/>
      <c r="EV242" s="29" t="s">
        <v>184</v>
      </c>
      <c r="EW242" s="29"/>
      <c r="EX242" s="29"/>
      <c r="EY242" s="29"/>
      <c r="EZ242" s="29"/>
      <c r="FA242" s="29"/>
      <c r="FB242" s="29"/>
      <c r="FC242" s="29" t="s">
        <v>184</v>
      </c>
      <c r="FD242" s="29"/>
      <c r="FE242" s="29"/>
      <c r="FF242" s="29"/>
      <c r="FG242" s="29"/>
      <c r="FH242" s="29"/>
      <c r="FI242" s="29"/>
      <c r="FJ242" s="29"/>
      <c r="FK242" s="29"/>
      <c r="FL242" s="29" t="s">
        <v>184</v>
      </c>
      <c r="FM242" s="29"/>
      <c r="FN242" s="29"/>
      <c r="FO242" s="29"/>
      <c r="FP242" s="29"/>
      <c r="FQ242" s="29"/>
      <c r="FR242" s="29"/>
      <c r="FS242" s="29"/>
      <c r="FT242" s="29" t="n">
        <f aca="false">SUM(N242:FS242)</f>
        <v>0</v>
      </c>
      <c r="FU242" s="27" t="n">
        <f aca="false">SUM(L242-FT242)</f>
        <v>264000</v>
      </c>
      <c r="FV242" s="31" t="n">
        <f aca="false">SUM( H242/5)</f>
        <v>0</v>
      </c>
      <c r="FW242" s="31" t="n">
        <f aca="false">SUM( I242/5)</f>
        <v>0</v>
      </c>
      <c r="FX242" s="32" t="n">
        <f aca="false">SUM(FV242/4)</f>
        <v>0</v>
      </c>
      <c r="FY242" s="32" t="n">
        <f aca="false">SUM(FW242/4)</f>
        <v>0</v>
      </c>
    </row>
    <row r="243" customFormat="false" ht="43.5" hidden="false" customHeight="true" outlineLevel="0" collapsed="false">
      <c r="A243" s="61" t="n">
        <v>3514</v>
      </c>
      <c r="B243" s="22" t="s">
        <v>481</v>
      </c>
      <c r="C243" s="21"/>
      <c r="D243" s="22"/>
      <c r="E243" s="23" t="n">
        <v>45985</v>
      </c>
      <c r="F243" s="23" t="n">
        <f aca="false">WORKDAY(E243,G243)</f>
        <v>46013</v>
      </c>
      <c r="G243" s="24" t="n">
        <v>20</v>
      </c>
      <c r="H243" s="25" t="e">
        <f aca="false">(FT243* 5)/M243</f>
        <v>#DIV/0!</v>
      </c>
      <c r="I243" s="25" t="e">
        <f aca="false">G243-H243</f>
        <v>#DIV/0!</v>
      </c>
      <c r="J243" s="26" t="s">
        <v>444</v>
      </c>
      <c r="K243" s="27" t="n">
        <v>20000</v>
      </c>
      <c r="L243" s="27" t="n">
        <v>32000</v>
      </c>
      <c r="M243" s="45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  <c r="CF243" s="29"/>
      <c r="CG243" s="29"/>
      <c r="CH243" s="29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  <c r="CZ243" s="29"/>
      <c r="DA243" s="29"/>
      <c r="DB243" s="29"/>
      <c r="DC243" s="29"/>
      <c r="DD243" s="29"/>
      <c r="DE243" s="29"/>
      <c r="DF243" s="29"/>
      <c r="DG243" s="29"/>
      <c r="DH243" s="29"/>
      <c r="DI243" s="29"/>
      <c r="DJ243" s="29"/>
      <c r="DK243" s="29"/>
      <c r="DL243" s="29"/>
      <c r="DM243" s="29"/>
      <c r="DN243" s="29"/>
      <c r="DO243" s="29"/>
      <c r="DP243" s="29"/>
      <c r="DQ243" s="29"/>
      <c r="DR243" s="29"/>
      <c r="DS243" s="29"/>
      <c r="DT243" s="29"/>
      <c r="DU243" s="29"/>
      <c r="DV243" s="29"/>
      <c r="DW243" s="29"/>
      <c r="DX243" s="29"/>
      <c r="DY243" s="29"/>
      <c r="DZ243" s="29"/>
      <c r="EA243" s="29"/>
      <c r="EB243" s="29"/>
      <c r="EC243" s="29"/>
      <c r="ED243" s="29"/>
      <c r="EE243" s="29"/>
      <c r="EF243" s="29"/>
      <c r="EG243" s="29"/>
      <c r="EH243" s="29"/>
      <c r="EI243" s="29"/>
      <c r="EJ243" s="29"/>
      <c r="EK243" s="29" t="s">
        <v>184</v>
      </c>
      <c r="EL243" s="29"/>
      <c r="EM243" s="29" t="s">
        <v>184</v>
      </c>
      <c r="EN243" s="29" t="s">
        <v>184</v>
      </c>
      <c r="EO243" s="29"/>
      <c r="EP243" s="29"/>
      <c r="EQ243" s="29"/>
      <c r="ER243" s="29"/>
      <c r="ES243" s="29" t="s">
        <v>184</v>
      </c>
      <c r="ET243" s="29"/>
      <c r="EU243" s="29"/>
      <c r="EV243" s="29" t="s">
        <v>184</v>
      </c>
      <c r="EW243" s="29"/>
      <c r="EX243" s="29"/>
      <c r="EY243" s="29"/>
      <c r="EZ243" s="29"/>
      <c r="FA243" s="29"/>
      <c r="FB243" s="29"/>
      <c r="FC243" s="29" t="s">
        <v>184</v>
      </c>
      <c r="FD243" s="29"/>
      <c r="FE243" s="29"/>
      <c r="FF243" s="29"/>
      <c r="FG243" s="29"/>
      <c r="FH243" s="29"/>
      <c r="FI243" s="29"/>
      <c r="FJ243" s="29"/>
      <c r="FK243" s="29"/>
      <c r="FL243" s="29" t="s">
        <v>184</v>
      </c>
      <c r="FM243" s="29"/>
      <c r="FN243" s="29"/>
      <c r="FO243" s="29"/>
      <c r="FP243" s="29"/>
      <c r="FQ243" s="29"/>
      <c r="FR243" s="29"/>
      <c r="FS243" s="29"/>
      <c r="FT243" s="29" t="n">
        <f aca="false">SUM(N243:FS243)</f>
        <v>0</v>
      </c>
      <c r="FU243" s="27" t="n">
        <f aca="false">SUM(L243-FT243)</f>
        <v>32000</v>
      </c>
      <c r="FV243" s="31" t="e">
        <f aca="false">SUM( H243/5)</f>
        <v>#DIV/0!</v>
      </c>
      <c r="FW243" s="31" t="e">
        <f aca="false">SUM( I243/5)</f>
        <v>#DIV/0!</v>
      </c>
      <c r="FX243" s="32" t="e">
        <f aca="false">SUM(FV243/4)</f>
        <v>#DIV/0!</v>
      </c>
      <c r="FY243" s="32" t="e">
        <f aca="false">SUM(FW243/4)</f>
        <v>#DIV/0!</v>
      </c>
    </row>
    <row r="244" customFormat="false" ht="43.5" hidden="false" customHeight="true" outlineLevel="0" collapsed="false">
      <c r="A244" s="61" t="n">
        <v>3515</v>
      </c>
      <c r="B244" s="21" t="s">
        <v>425</v>
      </c>
      <c r="C244" s="21" t="s">
        <v>426</v>
      </c>
      <c r="D244" s="22"/>
      <c r="E244" s="23" t="n">
        <v>45985</v>
      </c>
      <c r="F244" s="23" t="n">
        <f aca="false">WORKDAY(E244,G244)</f>
        <v>46013</v>
      </c>
      <c r="G244" s="24" t="n">
        <v>20</v>
      </c>
      <c r="H244" s="25" t="e">
        <f aca="false">(FT244* 5)/M244</f>
        <v>#DIV/0!</v>
      </c>
      <c r="I244" s="25" t="e">
        <f aca="false">G244-H244</f>
        <v>#DIV/0!</v>
      </c>
      <c r="J244" s="26" t="s">
        <v>199</v>
      </c>
      <c r="K244" s="27" t="n">
        <v>70000</v>
      </c>
      <c r="L244" s="27" t="n">
        <v>75000</v>
      </c>
      <c r="M244" s="45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  <c r="CF244" s="29"/>
      <c r="CG244" s="29"/>
      <c r="CH244" s="29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  <c r="CZ244" s="29"/>
      <c r="DA244" s="29"/>
      <c r="DB244" s="29"/>
      <c r="DC244" s="29"/>
      <c r="DD244" s="29"/>
      <c r="DE244" s="29"/>
      <c r="DF244" s="29"/>
      <c r="DG244" s="29"/>
      <c r="DH244" s="29"/>
      <c r="DI244" s="29"/>
      <c r="DJ244" s="29"/>
      <c r="DK244" s="29"/>
      <c r="DL244" s="29"/>
      <c r="DM244" s="29"/>
      <c r="DN244" s="29"/>
      <c r="DO244" s="29"/>
      <c r="DP244" s="29"/>
      <c r="DQ244" s="29"/>
      <c r="DR244" s="29"/>
      <c r="DS244" s="29"/>
      <c r="DT244" s="29"/>
      <c r="DU244" s="29"/>
      <c r="DV244" s="29"/>
      <c r="DW244" s="29"/>
      <c r="DX244" s="29"/>
      <c r="DY244" s="29"/>
      <c r="DZ244" s="29"/>
      <c r="EA244" s="29"/>
      <c r="EB244" s="29"/>
      <c r="EC244" s="29"/>
      <c r="ED244" s="29"/>
      <c r="EE244" s="29"/>
      <c r="EF244" s="29"/>
      <c r="EG244" s="29"/>
      <c r="EH244" s="29"/>
      <c r="EI244" s="29"/>
      <c r="EJ244" s="29"/>
      <c r="EK244" s="29" t="s">
        <v>184</v>
      </c>
      <c r="EL244" s="29"/>
      <c r="EM244" s="29" t="s">
        <v>184</v>
      </c>
      <c r="EN244" s="29" t="s">
        <v>184</v>
      </c>
      <c r="EO244" s="29"/>
      <c r="EP244" s="29"/>
      <c r="EQ244" s="29"/>
      <c r="ER244" s="29"/>
      <c r="ES244" s="29" t="s">
        <v>184</v>
      </c>
      <c r="ET244" s="29"/>
      <c r="EU244" s="29"/>
      <c r="EV244" s="29" t="s">
        <v>184</v>
      </c>
      <c r="EW244" s="29"/>
      <c r="EX244" s="29"/>
      <c r="EY244" s="29"/>
      <c r="EZ244" s="29"/>
      <c r="FA244" s="29"/>
      <c r="FB244" s="29"/>
      <c r="FC244" s="29" t="s">
        <v>184</v>
      </c>
      <c r="FD244" s="29"/>
      <c r="FE244" s="29"/>
      <c r="FF244" s="29"/>
      <c r="FG244" s="29"/>
      <c r="FH244" s="29"/>
      <c r="FI244" s="29"/>
      <c r="FJ244" s="29"/>
      <c r="FK244" s="29"/>
      <c r="FL244" s="29" t="s">
        <v>184</v>
      </c>
      <c r="FM244" s="29"/>
      <c r="FN244" s="29"/>
      <c r="FO244" s="29"/>
      <c r="FP244" s="29"/>
      <c r="FQ244" s="29"/>
      <c r="FR244" s="29"/>
      <c r="FS244" s="29"/>
      <c r="FT244" s="29" t="n">
        <f aca="false">SUM(N244:FS244)</f>
        <v>0</v>
      </c>
      <c r="FU244" s="27" t="n">
        <f aca="false">SUM(L244-FT244)</f>
        <v>75000</v>
      </c>
      <c r="FV244" s="31" t="e">
        <f aca="false">SUM( H244/5)</f>
        <v>#DIV/0!</v>
      </c>
      <c r="FW244" s="31" t="e">
        <f aca="false">SUM( I244/5)</f>
        <v>#DIV/0!</v>
      </c>
      <c r="FX244" s="32" t="e">
        <f aca="false">SUM(FV244/4)</f>
        <v>#DIV/0!</v>
      </c>
      <c r="FY244" s="32" t="e">
        <f aca="false">SUM(FW244/4)</f>
        <v>#DIV/0!</v>
      </c>
    </row>
    <row r="245" customFormat="false" ht="43.5" hidden="false" customHeight="true" outlineLevel="0" collapsed="false">
      <c r="A245" s="61" t="n">
        <v>3516</v>
      </c>
      <c r="B245" s="22" t="s">
        <v>581</v>
      </c>
      <c r="C245" s="22" t="s">
        <v>351</v>
      </c>
      <c r="D245" s="22"/>
      <c r="E245" s="23" t="n">
        <v>45985</v>
      </c>
      <c r="F245" s="23" t="n">
        <v>45275</v>
      </c>
      <c r="G245" s="24" t="n">
        <v>40</v>
      </c>
      <c r="H245" s="77" t="n">
        <v>160</v>
      </c>
      <c r="I245" s="25" t="n">
        <f aca="false">G245-H245</f>
        <v>-120</v>
      </c>
      <c r="J245" s="26" t="s">
        <v>582</v>
      </c>
      <c r="K245" s="27" t="n">
        <v>200000</v>
      </c>
      <c r="L245" s="27" t="n">
        <v>270000</v>
      </c>
      <c r="M245" s="45" t="n">
        <f aca="false">(L245/G245)*5</f>
        <v>33750</v>
      </c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  <c r="CF245" s="29"/>
      <c r="CG245" s="29"/>
      <c r="CH245" s="29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  <c r="CZ245" s="29"/>
      <c r="DA245" s="29"/>
      <c r="DB245" s="29"/>
      <c r="DC245" s="29"/>
      <c r="DD245" s="29"/>
      <c r="DE245" s="29"/>
      <c r="DF245" s="29"/>
      <c r="DG245" s="29"/>
      <c r="DH245" s="29"/>
      <c r="DI245" s="29"/>
      <c r="DJ245" s="29"/>
      <c r="DK245" s="29"/>
      <c r="DL245" s="29"/>
      <c r="DM245" s="29"/>
      <c r="DN245" s="29"/>
      <c r="DO245" s="29"/>
      <c r="DP245" s="29"/>
      <c r="DQ245" s="29"/>
      <c r="DR245" s="29"/>
      <c r="DS245" s="29"/>
      <c r="DT245" s="29"/>
      <c r="DU245" s="29"/>
      <c r="DV245" s="29"/>
      <c r="DW245" s="29"/>
      <c r="DX245" s="29"/>
      <c r="DY245" s="29"/>
      <c r="DZ245" s="29"/>
      <c r="EA245" s="29"/>
      <c r="EB245" s="29"/>
      <c r="EC245" s="29"/>
      <c r="ED245" s="29"/>
      <c r="EE245" s="29"/>
      <c r="EF245" s="29"/>
      <c r="EG245" s="29"/>
      <c r="EH245" s="29"/>
      <c r="EI245" s="29"/>
      <c r="EJ245" s="29"/>
      <c r="EK245" s="29" t="s">
        <v>184</v>
      </c>
      <c r="EL245" s="29"/>
      <c r="EM245" s="29" t="s">
        <v>184</v>
      </c>
      <c r="EN245" s="29" t="s">
        <v>184</v>
      </c>
      <c r="EO245" s="29"/>
      <c r="EP245" s="29"/>
      <c r="EQ245" s="29"/>
      <c r="ER245" s="29"/>
      <c r="ES245" s="29" t="s">
        <v>184</v>
      </c>
      <c r="ET245" s="29"/>
      <c r="EU245" s="29"/>
      <c r="EV245" s="29" t="s">
        <v>184</v>
      </c>
      <c r="EW245" s="29"/>
      <c r="EX245" s="29"/>
      <c r="EY245" s="29"/>
      <c r="EZ245" s="29"/>
      <c r="FA245" s="29"/>
      <c r="FB245" s="29"/>
      <c r="FC245" s="29" t="s">
        <v>184</v>
      </c>
      <c r="FD245" s="29"/>
      <c r="FE245" s="29"/>
      <c r="FF245" s="29"/>
      <c r="FG245" s="29"/>
      <c r="FH245" s="29"/>
      <c r="FI245" s="29"/>
      <c r="FJ245" s="29"/>
      <c r="FK245" s="29"/>
      <c r="FL245" s="29" t="s">
        <v>184</v>
      </c>
      <c r="FM245" s="29"/>
      <c r="FN245" s="29"/>
      <c r="FO245" s="29"/>
      <c r="FP245" s="29"/>
      <c r="FQ245" s="29"/>
      <c r="FR245" s="29"/>
      <c r="FS245" s="29"/>
      <c r="FT245" s="29" t="n">
        <f aca="false">SUM(N245:FS245)</f>
        <v>0</v>
      </c>
      <c r="FU245" s="27" t="n">
        <f aca="false">SUM(L245-FT245)</f>
        <v>270000</v>
      </c>
      <c r="FV245" s="31" t="n">
        <f aca="false">SUM( H245/5)</f>
        <v>32</v>
      </c>
      <c r="FW245" s="31" t="n">
        <f aca="false">SUM( I245/5)</f>
        <v>-24</v>
      </c>
      <c r="FX245" s="32" t="n">
        <f aca="false">SUM(FV245/4)</f>
        <v>8</v>
      </c>
      <c r="FY245" s="32" t="n">
        <f aca="false">SUM(FW245/4)</f>
        <v>-6</v>
      </c>
    </row>
    <row r="246" customFormat="false" ht="43.5" hidden="false" customHeight="true" outlineLevel="0" collapsed="false">
      <c r="A246" s="61" t="n">
        <v>3517</v>
      </c>
      <c r="B246" s="21" t="s">
        <v>237</v>
      </c>
      <c r="C246" s="21" t="s">
        <v>238</v>
      </c>
      <c r="D246" s="22"/>
      <c r="E246" s="23" t="n">
        <v>45909</v>
      </c>
      <c r="F246" s="23" t="n">
        <f aca="false">WORKDAY(E246,G246)</f>
        <v>46077</v>
      </c>
      <c r="G246" s="24" t="n">
        <v>120</v>
      </c>
      <c r="H246" s="25" t="n">
        <f aca="false">(FT246* 5)/M246</f>
        <v>0</v>
      </c>
      <c r="I246" s="25" t="n">
        <f aca="false">G246-H246</f>
        <v>120</v>
      </c>
      <c r="J246" s="51" t="s">
        <v>583</v>
      </c>
      <c r="K246" s="45" t="n">
        <v>300000</v>
      </c>
      <c r="L246" s="27" t="n">
        <v>792000</v>
      </c>
      <c r="M246" s="28" t="n">
        <f aca="false">(L246/G246)*5</f>
        <v>33000</v>
      </c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  <c r="CF246" s="29"/>
      <c r="CG246" s="29"/>
      <c r="CH246" s="29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  <c r="CZ246" s="29"/>
      <c r="DA246" s="29"/>
      <c r="DB246" s="29"/>
      <c r="DC246" s="29"/>
      <c r="DD246" s="29"/>
      <c r="DE246" s="29"/>
      <c r="DF246" s="29"/>
      <c r="DG246" s="29"/>
      <c r="DH246" s="29"/>
      <c r="DI246" s="29"/>
      <c r="DJ246" s="29"/>
      <c r="DK246" s="29"/>
      <c r="DL246" s="29"/>
      <c r="DM246" s="29"/>
      <c r="DN246" s="29"/>
      <c r="DO246" s="29"/>
      <c r="DP246" s="29"/>
      <c r="DQ246" s="29"/>
      <c r="DR246" s="29"/>
      <c r="DS246" s="29"/>
      <c r="DT246" s="29"/>
      <c r="DU246" s="29"/>
      <c r="DV246" s="29"/>
      <c r="DW246" s="29"/>
      <c r="DX246" s="29"/>
      <c r="DY246" s="29"/>
      <c r="DZ246" s="29"/>
      <c r="EA246" s="29"/>
      <c r="EB246" s="29"/>
      <c r="EC246" s="29"/>
      <c r="ED246" s="29"/>
      <c r="EE246" s="29"/>
      <c r="EF246" s="29"/>
      <c r="EG246" s="29"/>
      <c r="EH246" s="29"/>
      <c r="EI246" s="29"/>
      <c r="EJ246" s="29"/>
      <c r="EK246" s="29" t="s">
        <v>184</v>
      </c>
      <c r="EL246" s="29"/>
      <c r="EM246" s="29" t="s">
        <v>184</v>
      </c>
      <c r="EN246" s="29" t="s">
        <v>184</v>
      </c>
      <c r="EO246" s="29"/>
      <c r="EP246" s="29"/>
      <c r="EQ246" s="29"/>
      <c r="ER246" s="29"/>
      <c r="ES246" s="29" t="s">
        <v>184</v>
      </c>
      <c r="ET246" s="29"/>
      <c r="EU246" s="29"/>
      <c r="EV246" s="29" t="s">
        <v>184</v>
      </c>
      <c r="EW246" s="29"/>
      <c r="EX246" s="29"/>
      <c r="EY246" s="29"/>
      <c r="EZ246" s="29"/>
      <c r="FA246" s="29"/>
      <c r="FB246" s="29"/>
      <c r="FC246" s="29" t="s">
        <v>184</v>
      </c>
      <c r="FD246" s="29"/>
      <c r="FE246" s="29"/>
      <c r="FF246" s="29"/>
      <c r="FG246" s="29"/>
      <c r="FH246" s="29"/>
      <c r="FI246" s="29"/>
      <c r="FJ246" s="29"/>
      <c r="FK246" s="29"/>
      <c r="FL246" s="29" t="s">
        <v>184</v>
      </c>
      <c r="FM246" s="29"/>
      <c r="FN246" s="29"/>
      <c r="FO246" s="29"/>
      <c r="FP246" s="29"/>
      <c r="FQ246" s="29"/>
      <c r="FR246" s="29"/>
      <c r="FS246" s="29"/>
      <c r="FT246" s="29" t="n">
        <f aca="false">SUM(N246:FS246)</f>
        <v>0</v>
      </c>
      <c r="FU246" s="27" t="n">
        <f aca="false">SUM(L246-FT246)</f>
        <v>792000</v>
      </c>
      <c r="FV246" s="31" t="n">
        <f aca="false">SUM( H246/5)</f>
        <v>0</v>
      </c>
      <c r="FW246" s="31" t="n">
        <f aca="false">SUM( I246/5)</f>
        <v>24</v>
      </c>
      <c r="FX246" s="32" t="n">
        <f aca="false">SUM(FV246/4)</f>
        <v>0</v>
      </c>
      <c r="FY246" s="32" t="n">
        <f aca="false">SUM(FW246/4)</f>
        <v>6</v>
      </c>
    </row>
    <row r="247" customFormat="false" ht="43.5" hidden="false" customHeight="true" outlineLevel="0" collapsed="false">
      <c r="A247" s="61" t="n">
        <v>3518</v>
      </c>
      <c r="B247" s="21" t="s">
        <v>584</v>
      </c>
      <c r="C247" s="21" t="s">
        <v>585</v>
      </c>
      <c r="D247" s="22"/>
      <c r="E247" s="23" t="n">
        <v>45987</v>
      </c>
      <c r="F247" s="23" t="n">
        <f aca="false">WORKDAY(E247,G247)</f>
        <v>46015</v>
      </c>
      <c r="G247" s="24" t="n">
        <v>20</v>
      </c>
      <c r="H247" s="25" t="n">
        <f aca="false">(FT247* 5)/M247</f>
        <v>0</v>
      </c>
      <c r="I247" s="49"/>
      <c r="J247" s="34" t="s">
        <v>586</v>
      </c>
      <c r="K247" s="27" t="n">
        <v>200000</v>
      </c>
      <c r="L247" s="27" t="n">
        <v>280000</v>
      </c>
      <c r="M247" s="28" t="n">
        <f aca="false">(L247/G247)*5</f>
        <v>70000</v>
      </c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  <c r="CF247" s="29"/>
      <c r="CG247" s="29"/>
      <c r="CH247" s="29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  <c r="CZ247" s="29"/>
      <c r="DA247" s="29"/>
      <c r="DB247" s="29"/>
      <c r="DC247" s="29"/>
      <c r="DD247" s="29"/>
      <c r="DE247" s="29"/>
      <c r="DF247" s="29"/>
      <c r="DG247" s="29"/>
      <c r="DH247" s="29"/>
      <c r="DI247" s="29"/>
      <c r="DJ247" s="29"/>
      <c r="DK247" s="29"/>
      <c r="DL247" s="29"/>
      <c r="DM247" s="29"/>
      <c r="DN247" s="29"/>
      <c r="DO247" s="29"/>
      <c r="DP247" s="29"/>
      <c r="DQ247" s="29"/>
      <c r="DR247" s="29"/>
      <c r="DS247" s="29"/>
      <c r="DT247" s="29"/>
      <c r="DU247" s="29"/>
      <c r="DV247" s="29"/>
      <c r="DW247" s="29"/>
      <c r="DX247" s="29"/>
      <c r="DY247" s="29"/>
      <c r="DZ247" s="29"/>
      <c r="EA247" s="29"/>
      <c r="EB247" s="29"/>
      <c r="EC247" s="29"/>
      <c r="ED247" s="29"/>
      <c r="EE247" s="29"/>
      <c r="EF247" s="29"/>
      <c r="EG247" s="29"/>
      <c r="EH247" s="29"/>
      <c r="EI247" s="29"/>
      <c r="EJ247" s="29"/>
      <c r="EK247" s="29" t="s">
        <v>184</v>
      </c>
      <c r="EL247" s="29"/>
      <c r="EM247" s="29" t="s">
        <v>184</v>
      </c>
      <c r="EN247" s="29" t="s">
        <v>184</v>
      </c>
      <c r="EO247" s="29"/>
      <c r="EP247" s="29"/>
      <c r="EQ247" s="29"/>
      <c r="ER247" s="29"/>
      <c r="ES247" s="29" t="s">
        <v>184</v>
      </c>
      <c r="ET247" s="29"/>
      <c r="EU247" s="29"/>
      <c r="EV247" s="29" t="s">
        <v>184</v>
      </c>
      <c r="EW247" s="29"/>
      <c r="EX247" s="29"/>
      <c r="EY247" s="29"/>
      <c r="EZ247" s="29"/>
      <c r="FA247" s="29"/>
      <c r="FB247" s="29"/>
      <c r="FC247" s="29" t="s">
        <v>184</v>
      </c>
      <c r="FD247" s="29"/>
      <c r="FE247" s="29"/>
      <c r="FF247" s="29"/>
      <c r="FG247" s="29"/>
      <c r="FH247" s="29"/>
      <c r="FI247" s="29"/>
      <c r="FJ247" s="29"/>
      <c r="FK247" s="29"/>
      <c r="FL247" s="29" t="s">
        <v>184</v>
      </c>
      <c r="FM247" s="29"/>
      <c r="FN247" s="29"/>
      <c r="FO247" s="29"/>
      <c r="FP247" s="29"/>
      <c r="FQ247" s="29"/>
      <c r="FR247" s="29"/>
      <c r="FS247" s="29"/>
      <c r="FT247" s="29" t="n">
        <f aca="false">SUM(N247:FS247)</f>
        <v>0</v>
      </c>
      <c r="FU247" s="27" t="n">
        <f aca="false">SUM(L247-FT247)</f>
        <v>280000</v>
      </c>
      <c r="FV247" s="31" t="n">
        <f aca="false">SUM( H247/5)</f>
        <v>0</v>
      </c>
      <c r="FW247" s="31" t="n">
        <f aca="false">SUM( I247/5)</f>
        <v>0</v>
      </c>
      <c r="FX247" s="32" t="n">
        <f aca="false">SUM(FV247/4)</f>
        <v>0</v>
      </c>
      <c r="FY247" s="32" t="n">
        <f aca="false">SUM(FW247/4)</f>
        <v>0</v>
      </c>
    </row>
    <row r="248" customFormat="false" ht="43.5" hidden="false" customHeight="true" outlineLevel="0" collapsed="false">
      <c r="A248" s="61" t="n">
        <v>3519</v>
      </c>
      <c r="B248" s="34" t="s">
        <v>360</v>
      </c>
      <c r="C248" s="34" t="s">
        <v>361</v>
      </c>
      <c r="D248" s="34"/>
      <c r="E248" s="23" t="n">
        <v>45987</v>
      </c>
      <c r="F248" s="23" t="n">
        <f aca="false">WORKDAY(E248,G248)</f>
        <v>46099</v>
      </c>
      <c r="G248" s="37" t="n">
        <v>80</v>
      </c>
      <c r="H248" s="25" t="n">
        <f aca="false">(FT248* 5)/M248</f>
        <v>0</v>
      </c>
      <c r="I248" s="25" t="n">
        <f aca="false">G248-H248</f>
        <v>80</v>
      </c>
      <c r="J248" s="35" t="s">
        <v>587</v>
      </c>
      <c r="K248" s="60" t="n">
        <v>100000</v>
      </c>
      <c r="L248" s="27" t="n">
        <v>216000</v>
      </c>
      <c r="M248" s="28" t="n">
        <f aca="false">(L248/G248)*5</f>
        <v>13500</v>
      </c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  <c r="CF248" s="29"/>
      <c r="CG248" s="29"/>
      <c r="CH248" s="29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  <c r="CZ248" s="29"/>
      <c r="DA248" s="29"/>
      <c r="DB248" s="29"/>
      <c r="DC248" s="29"/>
      <c r="DD248" s="29"/>
      <c r="DE248" s="29"/>
      <c r="DF248" s="29"/>
      <c r="DG248" s="29"/>
      <c r="DH248" s="29"/>
      <c r="DI248" s="29"/>
      <c r="DJ248" s="29"/>
      <c r="DK248" s="29"/>
      <c r="DL248" s="29"/>
      <c r="DM248" s="29"/>
      <c r="DN248" s="29"/>
      <c r="DO248" s="29"/>
      <c r="DP248" s="29"/>
      <c r="DQ248" s="29"/>
      <c r="DR248" s="29"/>
      <c r="DS248" s="29"/>
      <c r="DT248" s="29"/>
      <c r="DU248" s="29"/>
      <c r="DV248" s="29"/>
      <c r="DW248" s="29"/>
      <c r="DX248" s="29"/>
      <c r="DY248" s="29"/>
      <c r="DZ248" s="29"/>
      <c r="EA248" s="29"/>
      <c r="EB248" s="29"/>
      <c r="EC248" s="29"/>
      <c r="ED248" s="29"/>
      <c r="EE248" s="29"/>
      <c r="EF248" s="29"/>
      <c r="EG248" s="29"/>
      <c r="EH248" s="29"/>
      <c r="EI248" s="29"/>
      <c r="EJ248" s="29"/>
      <c r="EK248" s="29" t="s">
        <v>184</v>
      </c>
      <c r="EL248" s="29"/>
      <c r="EM248" s="29" t="s">
        <v>184</v>
      </c>
      <c r="EN248" s="29" t="s">
        <v>184</v>
      </c>
      <c r="EO248" s="29"/>
      <c r="EP248" s="29"/>
      <c r="EQ248" s="29"/>
      <c r="ER248" s="29"/>
      <c r="ES248" s="29" t="s">
        <v>184</v>
      </c>
      <c r="ET248" s="29"/>
      <c r="EU248" s="29"/>
      <c r="EV248" s="29" t="s">
        <v>184</v>
      </c>
      <c r="EW248" s="29"/>
      <c r="EX248" s="29"/>
      <c r="EY248" s="29"/>
      <c r="EZ248" s="29"/>
      <c r="FA248" s="29"/>
      <c r="FB248" s="29"/>
      <c r="FC248" s="29" t="s">
        <v>184</v>
      </c>
      <c r="FD248" s="29"/>
      <c r="FE248" s="29"/>
      <c r="FF248" s="29"/>
      <c r="FG248" s="29"/>
      <c r="FH248" s="29"/>
      <c r="FI248" s="29"/>
      <c r="FJ248" s="29"/>
      <c r="FK248" s="29"/>
      <c r="FL248" s="29" t="s">
        <v>184</v>
      </c>
      <c r="FM248" s="29"/>
      <c r="FN248" s="29"/>
      <c r="FO248" s="29"/>
      <c r="FP248" s="29"/>
      <c r="FQ248" s="29"/>
      <c r="FR248" s="29"/>
      <c r="FS248" s="29"/>
      <c r="FT248" s="29" t="n">
        <f aca="false">SUM(N248:FS248)</f>
        <v>0</v>
      </c>
      <c r="FU248" s="27" t="n">
        <f aca="false">SUM(L248-FT248)</f>
        <v>216000</v>
      </c>
      <c r="FV248" s="31" t="n">
        <f aca="false">SUM( H248/5)</f>
        <v>0</v>
      </c>
      <c r="FW248" s="31" t="n">
        <f aca="false">SUM( I248/5)</f>
        <v>16</v>
      </c>
      <c r="FX248" s="32" t="n">
        <f aca="false">SUM(FV248/4)</f>
        <v>0</v>
      </c>
      <c r="FY248" s="32" t="n">
        <f aca="false">SUM(FW248/4)</f>
        <v>4</v>
      </c>
    </row>
    <row r="249" customFormat="false" ht="43.5" hidden="false" customHeight="true" outlineLevel="0" collapsed="false">
      <c r="A249" s="61" t="n">
        <v>3520</v>
      </c>
      <c r="B249" s="21" t="s">
        <v>448</v>
      </c>
      <c r="C249" s="21" t="s">
        <v>449</v>
      </c>
      <c r="D249" s="22"/>
      <c r="E249" s="23" t="n">
        <v>45987</v>
      </c>
      <c r="F249" s="23" t="n">
        <f aca="false">WORKDAY(E249,G249)</f>
        <v>46155</v>
      </c>
      <c r="G249" s="24" t="n">
        <v>120</v>
      </c>
      <c r="H249" s="25" t="n">
        <f aca="false">(FT249* 5)/M249</f>
        <v>0</v>
      </c>
      <c r="I249" s="25" t="n">
        <f aca="false">G249-H249</f>
        <v>120</v>
      </c>
      <c r="J249" s="26" t="s">
        <v>588</v>
      </c>
      <c r="K249" s="27" t="n">
        <v>150000</v>
      </c>
      <c r="L249" s="27" t="n">
        <v>396000</v>
      </c>
      <c r="M249" s="28" t="n">
        <f aca="false">(L249/G249)*5</f>
        <v>16500</v>
      </c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  <c r="CF249" s="29"/>
      <c r="CG249" s="29"/>
      <c r="CH249" s="29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  <c r="CZ249" s="29"/>
      <c r="DA249" s="29"/>
      <c r="DB249" s="29"/>
      <c r="DC249" s="29"/>
      <c r="DD249" s="29"/>
      <c r="DE249" s="29"/>
      <c r="DF249" s="29"/>
      <c r="DG249" s="29"/>
      <c r="DH249" s="29"/>
      <c r="DI249" s="29"/>
      <c r="DJ249" s="29"/>
      <c r="DK249" s="29"/>
      <c r="DL249" s="29"/>
      <c r="DM249" s="29"/>
      <c r="DN249" s="29"/>
      <c r="DO249" s="29"/>
      <c r="DP249" s="29"/>
      <c r="DQ249" s="29"/>
      <c r="DR249" s="29"/>
      <c r="DS249" s="29"/>
      <c r="DT249" s="29"/>
      <c r="DU249" s="29"/>
      <c r="DV249" s="29"/>
      <c r="DW249" s="29"/>
      <c r="DX249" s="29"/>
      <c r="DY249" s="29"/>
      <c r="DZ249" s="29"/>
      <c r="EA249" s="29"/>
      <c r="EB249" s="29"/>
      <c r="EC249" s="29"/>
      <c r="ED249" s="29"/>
      <c r="EE249" s="29"/>
      <c r="EF249" s="29"/>
      <c r="EG249" s="29"/>
      <c r="EH249" s="29"/>
      <c r="EI249" s="29"/>
      <c r="EJ249" s="29"/>
      <c r="EK249" s="29" t="s">
        <v>184</v>
      </c>
      <c r="EL249" s="29"/>
      <c r="EM249" s="29" t="s">
        <v>184</v>
      </c>
      <c r="EN249" s="29" t="s">
        <v>184</v>
      </c>
      <c r="EO249" s="29"/>
      <c r="EP249" s="29"/>
      <c r="EQ249" s="29"/>
      <c r="ER249" s="29"/>
      <c r="ES249" s="29" t="s">
        <v>184</v>
      </c>
      <c r="ET249" s="29"/>
      <c r="EU249" s="29"/>
      <c r="EV249" s="29" t="s">
        <v>184</v>
      </c>
      <c r="EW249" s="29"/>
      <c r="EX249" s="29"/>
      <c r="EY249" s="29"/>
      <c r="EZ249" s="29"/>
      <c r="FA249" s="29"/>
      <c r="FB249" s="29"/>
      <c r="FC249" s="29" t="s">
        <v>184</v>
      </c>
      <c r="FD249" s="29"/>
      <c r="FE249" s="29"/>
      <c r="FF249" s="29"/>
      <c r="FG249" s="29"/>
      <c r="FH249" s="29"/>
      <c r="FI249" s="29"/>
      <c r="FJ249" s="29"/>
      <c r="FK249" s="29"/>
      <c r="FL249" s="29" t="s">
        <v>184</v>
      </c>
      <c r="FM249" s="29"/>
      <c r="FN249" s="29"/>
      <c r="FO249" s="29"/>
      <c r="FP249" s="29"/>
      <c r="FQ249" s="29"/>
      <c r="FR249" s="29"/>
      <c r="FS249" s="29"/>
      <c r="FT249" s="29" t="n">
        <f aca="false">SUM(N249:FS249)</f>
        <v>0</v>
      </c>
      <c r="FU249" s="27" t="n">
        <f aca="false">SUM(L249-FT249)</f>
        <v>396000</v>
      </c>
      <c r="FV249" s="31" t="n">
        <f aca="false">SUM( H249/5)</f>
        <v>0</v>
      </c>
      <c r="FW249" s="31" t="n">
        <f aca="false">SUM( I249/5)</f>
        <v>24</v>
      </c>
      <c r="FX249" s="32" t="n">
        <f aca="false">SUM(FV249/4)</f>
        <v>0</v>
      </c>
      <c r="FY249" s="32" t="n">
        <f aca="false">SUM(FW249/4)</f>
        <v>6</v>
      </c>
    </row>
    <row r="250" customFormat="false" ht="43.5" hidden="false" customHeight="true" outlineLevel="0" collapsed="false">
      <c r="A250" s="61" t="n">
        <v>3521</v>
      </c>
      <c r="B250" s="21" t="s">
        <v>589</v>
      </c>
      <c r="C250" s="21" t="s">
        <v>590</v>
      </c>
      <c r="D250" s="22" t="s">
        <v>311</v>
      </c>
      <c r="E250" s="23" t="n">
        <v>45989</v>
      </c>
      <c r="F250" s="23" t="n">
        <v>45565</v>
      </c>
      <c r="G250" s="24" t="n">
        <v>70</v>
      </c>
      <c r="H250" s="25" t="n">
        <f aca="false">(FT250* 5)/M250</f>
        <v>0</v>
      </c>
      <c r="I250" s="25" t="n">
        <f aca="false">G250-H250</f>
        <v>70</v>
      </c>
      <c r="J250" s="26" t="s">
        <v>591</v>
      </c>
      <c r="K250" s="27" t="n">
        <v>100000</v>
      </c>
      <c r="L250" s="27" t="n">
        <v>216000</v>
      </c>
      <c r="M250" s="28" t="n">
        <f aca="false">(L250/G250)*5</f>
        <v>15428.5714285714</v>
      </c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  <c r="CF250" s="29"/>
      <c r="CG250" s="29"/>
      <c r="CH250" s="29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  <c r="CZ250" s="29"/>
      <c r="DA250" s="29"/>
      <c r="DB250" s="29"/>
      <c r="DC250" s="29"/>
      <c r="DD250" s="29"/>
      <c r="DE250" s="29"/>
      <c r="DF250" s="29"/>
      <c r="DG250" s="29"/>
      <c r="DH250" s="29"/>
      <c r="DI250" s="29"/>
      <c r="DJ250" s="29"/>
      <c r="DK250" s="29"/>
      <c r="DL250" s="29"/>
      <c r="DM250" s="29"/>
      <c r="DN250" s="29"/>
      <c r="DO250" s="29"/>
      <c r="DP250" s="29"/>
      <c r="DQ250" s="29"/>
      <c r="DR250" s="29"/>
      <c r="DS250" s="29"/>
      <c r="DT250" s="29"/>
      <c r="DU250" s="29"/>
      <c r="DV250" s="29"/>
      <c r="DW250" s="29"/>
      <c r="DX250" s="29"/>
      <c r="DY250" s="29"/>
      <c r="DZ250" s="29"/>
      <c r="EA250" s="29"/>
      <c r="EB250" s="29"/>
      <c r="EC250" s="29"/>
      <c r="ED250" s="29"/>
      <c r="EE250" s="29"/>
      <c r="EF250" s="29"/>
      <c r="EG250" s="29"/>
      <c r="EH250" s="29"/>
      <c r="EI250" s="29"/>
      <c r="EJ250" s="29"/>
      <c r="EK250" s="29" t="s">
        <v>184</v>
      </c>
      <c r="EL250" s="29"/>
      <c r="EM250" s="29" t="s">
        <v>184</v>
      </c>
      <c r="EN250" s="29" t="s">
        <v>184</v>
      </c>
      <c r="EO250" s="29"/>
      <c r="EP250" s="29"/>
      <c r="EQ250" s="29"/>
      <c r="ER250" s="29"/>
      <c r="ES250" s="29" t="s">
        <v>184</v>
      </c>
      <c r="ET250" s="29"/>
      <c r="EU250" s="29"/>
      <c r="EV250" s="29" t="s">
        <v>184</v>
      </c>
      <c r="EW250" s="29"/>
      <c r="EX250" s="29"/>
      <c r="EY250" s="29"/>
      <c r="EZ250" s="29"/>
      <c r="FA250" s="29"/>
      <c r="FB250" s="29"/>
      <c r="FC250" s="29" t="s">
        <v>184</v>
      </c>
      <c r="FD250" s="29"/>
      <c r="FE250" s="29"/>
      <c r="FF250" s="29"/>
      <c r="FG250" s="29"/>
      <c r="FH250" s="29"/>
      <c r="FI250" s="29"/>
      <c r="FJ250" s="29"/>
      <c r="FK250" s="29"/>
      <c r="FL250" s="29" t="s">
        <v>184</v>
      </c>
      <c r="FM250" s="29"/>
      <c r="FN250" s="29"/>
      <c r="FO250" s="29"/>
      <c r="FP250" s="29"/>
      <c r="FQ250" s="29"/>
      <c r="FR250" s="29"/>
      <c r="FS250" s="29"/>
      <c r="FT250" s="29" t="n">
        <f aca="false">SUM(N250:FS250)</f>
        <v>0</v>
      </c>
      <c r="FU250" s="27" t="n">
        <f aca="false">SUM(L250-FT250)</f>
        <v>216000</v>
      </c>
      <c r="FV250" s="31" t="n">
        <f aca="false">SUM( H250/5)</f>
        <v>0</v>
      </c>
      <c r="FW250" s="31" t="n">
        <f aca="false">SUM( I250/5)</f>
        <v>14</v>
      </c>
      <c r="FX250" s="32" t="n">
        <f aca="false">SUM(FV250/4)</f>
        <v>0</v>
      </c>
      <c r="FY250" s="32" t="n">
        <f aca="false">SUM(FW250/4)</f>
        <v>3.5</v>
      </c>
    </row>
    <row r="251" customFormat="false" ht="43.5" hidden="false" customHeight="true" outlineLevel="0" collapsed="false">
      <c r="A251" s="61" t="n">
        <v>3522</v>
      </c>
      <c r="B251" s="21" t="s">
        <v>206</v>
      </c>
      <c r="C251" s="21" t="s">
        <v>207</v>
      </c>
      <c r="D251" s="22"/>
      <c r="E251" s="23" t="n">
        <v>45990</v>
      </c>
      <c r="F251" s="23" t="n">
        <f aca="false">WORKDAY(E251,G251)</f>
        <v>46091</v>
      </c>
      <c r="G251" s="24" t="n">
        <v>72</v>
      </c>
      <c r="H251" s="25" t="n">
        <f aca="false">(FT251* 5)/M251</f>
        <v>0</v>
      </c>
      <c r="I251" s="25" t="n">
        <f aca="false">G251-H251</f>
        <v>72</v>
      </c>
      <c r="J251" s="34" t="s">
        <v>333</v>
      </c>
      <c r="K251" s="27" t="n">
        <v>50000</v>
      </c>
      <c r="L251" s="27" t="n">
        <v>108000</v>
      </c>
      <c r="M251" s="28" t="n">
        <f aca="false">(L251/G251)*5</f>
        <v>7500</v>
      </c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  <c r="CF251" s="29"/>
      <c r="CG251" s="29"/>
      <c r="CH251" s="29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  <c r="CZ251" s="29"/>
      <c r="DA251" s="29"/>
      <c r="DB251" s="29"/>
      <c r="DC251" s="29"/>
      <c r="DD251" s="29"/>
      <c r="DE251" s="29"/>
      <c r="DF251" s="29"/>
      <c r="DG251" s="29"/>
      <c r="DH251" s="29"/>
      <c r="DI251" s="29"/>
      <c r="DJ251" s="29"/>
      <c r="DK251" s="29"/>
      <c r="DL251" s="29"/>
      <c r="DM251" s="29"/>
      <c r="DN251" s="29"/>
      <c r="DO251" s="29"/>
      <c r="DP251" s="29"/>
      <c r="DQ251" s="29"/>
      <c r="DR251" s="29"/>
      <c r="DS251" s="29"/>
      <c r="DT251" s="29"/>
      <c r="DU251" s="29"/>
      <c r="DV251" s="29"/>
      <c r="DW251" s="29"/>
      <c r="DX251" s="29"/>
      <c r="DY251" s="29"/>
      <c r="DZ251" s="29"/>
      <c r="EA251" s="29"/>
      <c r="EB251" s="29"/>
      <c r="EC251" s="29"/>
      <c r="ED251" s="29"/>
      <c r="EE251" s="29"/>
      <c r="EF251" s="29"/>
      <c r="EG251" s="29"/>
      <c r="EH251" s="29"/>
      <c r="EI251" s="29"/>
      <c r="EJ251" s="29"/>
      <c r="EK251" s="29" t="s">
        <v>184</v>
      </c>
      <c r="EL251" s="29"/>
      <c r="EM251" s="29" t="s">
        <v>184</v>
      </c>
      <c r="EN251" s="29" t="s">
        <v>184</v>
      </c>
      <c r="EO251" s="29"/>
      <c r="EP251" s="29"/>
      <c r="EQ251" s="29"/>
      <c r="ER251" s="29"/>
      <c r="ES251" s="29" t="s">
        <v>184</v>
      </c>
      <c r="ET251" s="29"/>
      <c r="EU251" s="29"/>
      <c r="EV251" s="29" t="s">
        <v>184</v>
      </c>
      <c r="EW251" s="29"/>
      <c r="EX251" s="29"/>
      <c r="EY251" s="29"/>
      <c r="EZ251" s="29"/>
      <c r="FA251" s="29"/>
      <c r="FB251" s="29"/>
      <c r="FC251" s="29" t="s">
        <v>184</v>
      </c>
      <c r="FD251" s="29"/>
      <c r="FE251" s="29"/>
      <c r="FF251" s="29"/>
      <c r="FG251" s="29"/>
      <c r="FH251" s="29"/>
      <c r="FI251" s="29"/>
      <c r="FJ251" s="29"/>
      <c r="FK251" s="29"/>
      <c r="FL251" s="29" t="s">
        <v>184</v>
      </c>
      <c r="FM251" s="29"/>
      <c r="FN251" s="29"/>
      <c r="FO251" s="29"/>
      <c r="FP251" s="29"/>
      <c r="FQ251" s="29"/>
      <c r="FR251" s="29"/>
      <c r="FS251" s="29"/>
      <c r="FT251" s="29" t="n">
        <f aca="false">SUM(N251:FS251)</f>
        <v>0</v>
      </c>
      <c r="FU251" s="27" t="n">
        <f aca="false">SUM(L251-FT251)</f>
        <v>108000</v>
      </c>
      <c r="FV251" s="31" t="n">
        <f aca="false">SUM( H251/5)</f>
        <v>0</v>
      </c>
      <c r="FW251" s="31" t="n">
        <f aca="false">SUM( I251/5)</f>
        <v>14.4</v>
      </c>
      <c r="FX251" s="32" t="n">
        <f aca="false">SUM(FV251/4)</f>
        <v>0</v>
      </c>
      <c r="FY251" s="32" t="n">
        <f aca="false">SUM(FW251/4)</f>
        <v>3.6</v>
      </c>
    </row>
    <row r="252" customFormat="false" ht="43.5" hidden="false" customHeight="true" outlineLevel="0" collapsed="false">
      <c r="A252" s="61" t="n">
        <v>3523</v>
      </c>
      <c r="B252" s="21" t="s">
        <v>364</v>
      </c>
      <c r="C252" s="21" t="s">
        <v>365</v>
      </c>
      <c r="D252" s="22"/>
      <c r="E252" s="23" t="n">
        <v>45992</v>
      </c>
      <c r="F252" s="23" t="n">
        <f aca="false">WORKDAY(E252,G252)</f>
        <v>46160</v>
      </c>
      <c r="G252" s="24" t="n">
        <v>120</v>
      </c>
      <c r="H252" s="25" t="n">
        <f aca="false">(FT252* 5)/M252</f>
        <v>0</v>
      </c>
      <c r="I252" s="25" t="n">
        <f aca="false">G252-H252</f>
        <v>120</v>
      </c>
      <c r="J252" s="62" t="s">
        <v>592</v>
      </c>
      <c r="K252" s="30" t="n">
        <v>120000</v>
      </c>
      <c r="L252" s="30" t="n">
        <v>396000</v>
      </c>
      <c r="M252" s="28" t="n">
        <f aca="false">(L252/G252)*5</f>
        <v>16500</v>
      </c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  <c r="CF252" s="29"/>
      <c r="CG252" s="29"/>
      <c r="CH252" s="29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  <c r="CZ252" s="29"/>
      <c r="DA252" s="29"/>
      <c r="DB252" s="29"/>
      <c r="DC252" s="29"/>
      <c r="DD252" s="29"/>
      <c r="DE252" s="29"/>
      <c r="DF252" s="29"/>
      <c r="DG252" s="29"/>
      <c r="DH252" s="29"/>
      <c r="DI252" s="29"/>
      <c r="DJ252" s="29"/>
      <c r="DK252" s="29"/>
      <c r="DL252" s="29"/>
      <c r="DM252" s="29"/>
      <c r="DN252" s="29"/>
      <c r="DO252" s="29"/>
      <c r="DP252" s="29"/>
      <c r="DQ252" s="29"/>
      <c r="DR252" s="29"/>
      <c r="DS252" s="29"/>
      <c r="DT252" s="29"/>
      <c r="DU252" s="29"/>
      <c r="DV252" s="29"/>
      <c r="DW252" s="29"/>
      <c r="DX252" s="29"/>
      <c r="DY252" s="29"/>
      <c r="DZ252" s="29"/>
      <c r="EA252" s="29"/>
      <c r="EB252" s="29"/>
      <c r="EC252" s="29"/>
      <c r="ED252" s="29"/>
      <c r="EE252" s="29"/>
      <c r="EF252" s="29"/>
      <c r="EG252" s="29"/>
      <c r="EH252" s="29"/>
      <c r="EI252" s="29"/>
      <c r="EJ252" s="29"/>
      <c r="EK252" s="29" t="s">
        <v>184</v>
      </c>
      <c r="EL252" s="29"/>
      <c r="EM252" s="29" t="s">
        <v>184</v>
      </c>
      <c r="EN252" s="29" t="s">
        <v>184</v>
      </c>
      <c r="EO252" s="29"/>
      <c r="EP252" s="29"/>
      <c r="EQ252" s="29"/>
      <c r="ER252" s="29"/>
      <c r="ES252" s="29" t="s">
        <v>184</v>
      </c>
      <c r="ET252" s="29"/>
      <c r="EU252" s="29"/>
      <c r="EV252" s="29" t="s">
        <v>184</v>
      </c>
      <c r="EW252" s="29"/>
      <c r="EX252" s="29"/>
      <c r="EY252" s="29"/>
      <c r="EZ252" s="29"/>
      <c r="FA252" s="29"/>
      <c r="FB252" s="29"/>
      <c r="FC252" s="29" t="s">
        <v>184</v>
      </c>
      <c r="FD252" s="29"/>
      <c r="FE252" s="29"/>
      <c r="FF252" s="29"/>
      <c r="FG252" s="29"/>
      <c r="FH252" s="29"/>
      <c r="FI252" s="29"/>
      <c r="FJ252" s="29"/>
      <c r="FK252" s="29"/>
      <c r="FL252" s="29" t="s">
        <v>184</v>
      </c>
      <c r="FM252" s="29"/>
      <c r="FN252" s="29"/>
      <c r="FO252" s="29"/>
      <c r="FP252" s="29"/>
      <c r="FQ252" s="29"/>
      <c r="FR252" s="29"/>
      <c r="FS252" s="29"/>
      <c r="FT252" s="29" t="n">
        <f aca="false">SUM(N252:FS252)</f>
        <v>0</v>
      </c>
      <c r="FU252" s="27" t="n">
        <f aca="false">SUM(L252-FT252)</f>
        <v>396000</v>
      </c>
      <c r="FV252" s="31" t="n">
        <f aca="false">SUM( H252/5)</f>
        <v>0</v>
      </c>
      <c r="FW252" s="31" t="n">
        <f aca="false">SUM( I252/5)</f>
        <v>24</v>
      </c>
      <c r="FX252" s="32" t="n">
        <f aca="false">SUM(FV252/4)</f>
        <v>0</v>
      </c>
      <c r="FY252" s="32" t="n">
        <f aca="false">SUM(FW252/4)</f>
        <v>6</v>
      </c>
    </row>
    <row r="253" customFormat="false" ht="43.5" hidden="false" customHeight="true" outlineLevel="0" collapsed="false">
      <c r="A253" s="24"/>
      <c r="B253" s="21"/>
      <c r="C253" s="21"/>
      <c r="D253" s="22"/>
      <c r="E253" s="23"/>
      <c r="F253" s="23"/>
      <c r="G253" s="24"/>
      <c r="H253" s="49"/>
      <c r="I253" s="49"/>
      <c r="J253" s="34"/>
      <c r="K253" s="27"/>
      <c r="L253" s="27"/>
      <c r="M253" s="45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  <c r="CF253" s="29"/>
      <c r="CG253" s="29"/>
      <c r="CH253" s="29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  <c r="CZ253" s="29"/>
      <c r="DA253" s="29"/>
      <c r="DB253" s="29"/>
      <c r="DC253" s="29"/>
      <c r="DD253" s="29"/>
      <c r="DE253" s="29"/>
      <c r="DF253" s="29"/>
      <c r="DG253" s="29"/>
      <c r="DH253" s="29"/>
      <c r="DI253" s="29"/>
      <c r="DJ253" s="29"/>
      <c r="DK253" s="29"/>
      <c r="DL253" s="29"/>
      <c r="DM253" s="29"/>
      <c r="DN253" s="29"/>
      <c r="DO253" s="29"/>
      <c r="DP253" s="29"/>
      <c r="DQ253" s="29"/>
      <c r="DR253" s="29"/>
      <c r="DS253" s="29"/>
      <c r="DT253" s="29"/>
      <c r="DU253" s="29"/>
      <c r="DV253" s="29"/>
      <c r="DW253" s="29"/>
      <c r="DX253" s="29"/>
      <c r="DY253" s="29"/>
      <c r="DZ253" s="29"/>
      <c r="EA253" s="29"/>
      <c r="EB253" s="29"/>
      <c r="EC253" s="29"/>
      <c r="ED253" s="29"/>
      <c r="EE253" s="29"/>
      <c r="EF253" s="29"/>
      <c r="EG253" s="29"/>
      <c r="EH253" s="29"/>
      <c r="EI253" s="29"/>
      <c r="EJ253" s="29"/>
      <c r="EK253" s="29" t="s">
        <v>184</v>
      </c>
      <c r="EL253" s="29"/>
      <c r="EM253" s="29" t="s">
        <v>184</v>
      </c>
      <c r="EN253" s="29" t="s">
        <v>184</v>
      </c>
      <c r="EO253" s="29"/>
      <c r="EP253" s="29"/>
      <c r="EQ253" s="29"/>
      <c r="ER253" s="29"/>
      <c r="ES253" s="29" t="s">
        <v>184</v>
      </c>
      <c r="ET253" s="29"/>
      <c r="EU253" s="29"/>
      <c r="EV253" s="29" t="s">
        <v>184</v>
      </c>
      <c r="EW253" s="29"/>
      <c r="EX253" s="29"/>
      <c r="EY253" s="29"/>
      <c r="EZ253" s="29"/>
      <c r="FA253" s="29"/>
      <c r="FB253" s="29"/>
      <c r="FC253" s="29" t="s">
        <v>184</v>
      </c>
      <c r="FD253" s="29"/>
      <c r="FE253" s="29"/>
      <c r="FF253" s="29"/>
      <c r="FG253" s="29"/>
      <c r="FH253" s="29"/>
      <c r="FI253" s="29"/>
      <c r="FJ253" s="29"/>
      <c r="FK253" s="29"/>
      <c r="FL253" s="29" t="s">
        <v>184</v>
      </c>
      <c r="FM253" s="29"/>
      <c r="FN253" s="29"/>
      <c r="FO253" s="29"/>
      <c r="FP253" s="29"/>
      <c r="FQ253" s="29"/>
      <c r="FR253" s="29"/>
      <c r="FS253" s="29"/>
      <c r="FT253" s="29" t="n">
        <f aca="false">SUM(N253:FS253)</f>
        <v>0</v>
      </c>
      <c r="FU253" s="27" t="n">
        <f aca="false">SUM(L253-FT253)</f>
        <v>0</v>
      </c>
      <c r="FV253" s="31" t="n">
        <f aca="false">SUM( H253/5)</f>
        <v>0</v>
      </c>
      <c r="FW253" s="31" t="n">
        <f aca="false">SUM( I253/5)</f>
        <v>0</v>
      </c>
      <c r="FX253" s="32" t="n">
        <f aca="false">SUM(FV253/4)</f>
        <v>0</v>
      </c>
      <c r="FY253" s="32" t="n">
        <f aca="false">SUM(FW253/4)</f>
        <v>0</v>
      </c>
    </row>
    <row r="254" s="3" customFormat="true" ht="43.5" hidden="false" customHeight="true" outlineLevel="0" collapsed="false">
      <c r="A254" s="78"/>
      <c r="B254" s="79"/>
      <c r="C254" s="79" t="s">
        <v>184</v>
      </c>
      <c r="D254" s="80"/>
      <c r="E254" s="81"/>
      <c r="F254" s="82"/>
      <c r="G254" s="82"/>
      <c r="H254" s="83"/>
      <c r="I254" s="83"/>
      <c r="J254" s="84"/>
      <c r="K254" s="85" t="n">
        <f aca="false">SUM(K2:K253)</f>
        <v>66978400</v>
      </c>
      <c r="L254" s="85" t="n">
        <f aca="false">SUM(L2:L253)</f>
        <v>178070468</v>
      </c>
      <c r="M254" s="85" t="n">
        <f aca="false">SUM(M2:M253)</f>
        <v>6673361.37330357</v>
      </c>
      <c r="N254" s="85" t="n">
        <f aca="false">SUM(N2:N253)</f>
        <v>0</v>
      </c>
      <c r="O254" s="85" t="n">
        <f aca="false">SUM(O2:O253)</f>
        <v>0</v>
      </c>
      <c r="P254" s="85" t="n">
        <f aca="false">SUM(P2:P253)</f>
        <v>0</v>
      </c>
      <c r="Q254" s="85" t="n">
        <f aca="false">SUM(Q2:Q253)</f>
        <v>0</v>
      </c>
      <c r="R254" s="85" t="n">
        <f aca="false">SUM(R2:R253)</f>
        <v>0</v>
      </c>
      <c r="S254" s="85" t="n">
        <f aca="false">SUM(S2:S253)</f>
        <v>0</v>
      </c>
      <c r="T254" s="85" t="n">
        <f aca="false">SUM(T2:T253)</f>
        <v>0</v>
      </c>
      <c r="U254" s="85" t="n">
        <f aca="false">SUM(U2:U253)</f>
        <v>0</v>
      </c>
      <c r="V254" s="85" t="n">
        <f aca="false">SUM(V2:V253)</f>
        <v>0</v>
      </c>
      <c r="W254" s="85" t="n">
        <f aca="false">SUM(W2:W253)</f>
        <v>0</v>
      </c>
      <c r="X254" s="85" t="n">
        <f aca="false">SUM(X2:X253)</f>
        <v>0</v>
      </c>
      <c r="Y254" s="85" t="n">
        <f aca="false">SUM(Y2:Y253)</f>
        <v>0</v>
      </c>
      <c r="Z254" s="85" t="n">
        <f aca="false">SUM(Z2:Z253)</f>
        <v>0</v>
      </c>
      <c r="AA254" s="85" t="n">
        <f aca="false">SUM(AA2:AA253)</f>
        <v>14290</v>
      </c>
      <c r="AB254" s="85" t="n">
        <f aca="false">SUM(AB2:AB253)</f>
        <v>0</v>
      </c>
      <c r="AC254" s="85" t="n">
        <f aca="false">SUM(AC2:AC253)</f>
        <v>0</v>
      </c>
      <c r="AD254" s="85" t="n">
        <f aca="false">SUM(AD2:AD253)</f>
        <v>0</v>
      </c>
      <c r="AE254" s="85" t="n">
        <f aca="false">SUM(AE2:AE253)</f>
        <v>0</v>
      </c>
      <c r="AF254" s="85" t="n">
        <f aca="false">SUM(AF2:AF253)</f>
        <v>0</v>
      </c>
      <c r="AG254" s="85" t="n">
        <f aca="false">SUM(AG2:AG253)</f>
        <v>0</v>
      </c>
      <c r="AH254" s="85" t="n">
        <f aca="false">SUM(AH2:AH253)</f>
        <v>0</v>
      </c>
      <c r="AI254" s="85" t="n">
        <f aca="false">SUM(AI2:AI253)</f>
        <v>30640</v>
      </c>
      <c r="AJ254" s="85" t="n">
        <f aca="false">SUM(AJ2:AJ253)</f>
        <v>0</v>
      </c>
      <c r="AK254" s="85" t="n">
        <f aca="false">SUM(AK2:AK253)</f>
        <v>0</v>
      </c>
      <c r="AL254" s="85" t="n">
        <f aca="false">SUM(AL2:AL253)</f>
        <v>0</v>
      </c>
      <c r="AM254" s="85" t="n">
        <f aca="false">SUM(AM2:AM253)</f>
        <v>39440</v>
      </c>
      <c r="AN254" s="85" t="n">
        <f aca="false">SUM(AN2:AN253)</f>
        <v>0</v>
      </c>
      <c r="AO254" s="85" t="n">
        <f aca="false">SUM(AO2:AO253)</f>
        <v>0</v>
      </c>
      <c r="AP254" s="85" t="n">
        <f aca="false">SUM(AP2:AP253)</f>
        <v>0</v>
      </c>
      <c r="AQ254" s="85" t="n">
        <f aca="false">SUM(AQ2:AQ253)</f>
        <v>0</v>
      </c>
      <c r="AR254" s="85" t="n">
        <f aca="false">SUM(AR2:AR253)</f>
        <v>39440</v>
      </c>
      <c r="AS254" s="85" t="n">
        <f aca="false">SUM(AS2:AS253)</f>
        <v>0</v>
      </c>
      <c r="AT254" s="85" t="n">
        <f aca="false">SUM(AT2:AT253)</f>
        <v>0</v>
      </c>
      <c r="AU254" s="85" t="n">
        <f aca="false">SUM(AU2:AU253)</f>
        <v>0</v>
      </c>
      <c r="AV254" s="85" t="n">
        <f aca="false">SUM(AV2:AV253)</f>
        <v>0</v>
      </c>
      <c r="AW254" s="85" t="n">
        <f aca="false">SUM(AW2:AW253)</f>
        <v>0</v>
      </c>
      <c r="AX254" s="85" t="n">
        <f aca="false">SUM(AX2:AX253)</f>
        <v>0</v>
      </c>
      <c r="AY254" s="85" t="n">
        <f aca="false">SUM(AY2:AY253)</f>
        <v>0</v>
      </c>
      <c r="AZ254" s="85" t="n">
        <f aca="false">SUM(AZ2:AZ253)</f>
        <v>0</v>
      </c>
      <c r="BA254" s="85" t="n">
        <f aca="false">SUM(BA2:BA253)</f>
        <v>0</v>
      </c>
      <c r="BB254" s="85" t="n">
        <f aca="false">SUM(BB2:BB253)</f>
        <v>0</v>
      </c>
      <c r="BC254" s="85" t="n">
        <f aca="false">SUM(BC2:BC253)</f>
        <v>0</v>
      </c>
      <c r="BD254" s="85" t="n">
        <f aca="false">SUM(BD2:BD253)</f>
        <v>0</v>
      </c>
      <c r="BE254" s="85" t="n">
        <f aca="false">SUM(BE2:BE253)</f>
        <v>39440</v>
      </c>
      <c r="BF254" s="85" t="n">
        <f aca="false">SUM(BF2:BF253)</f>
        <v>20000</v>
      </c>
      <c r="BG254" s="85" t="n">
        <f aca="false">SUM(BG2:BG253)</f>
        <v>0</v>
      </c>
      <c r="BH254" s="85" t="n">
        <f aca="false">SUM(BH2:BH253)</f>
        <v>0</v>
      </c>
      <c r="BI254" s="85" t="n">
        <f aca="false">SUM(BI2:BI253)</f>
        <v>39440</v>
      </c>
      <c r="BJ254" s="85" t="n">
        <f aca="false">SUM(BJ2:BJ253)</f>
        <v>20000</v>
      </c>
      <c r="BK254" s="85" t="n">
        <f aca="false">SUM(BK2:BK253)</f>
        <v>0</v>
      </c>
      <c r="BL254" s="85" t="n">
        <f aca="false">SUM(BL2:BL253)</f>
        <v>0</v>
      </c>
      <c r="BM254" s="85" t="n">
        <f aca="false">SUM(BM2:BM253)</f>
        <v>50000</v>
      </c>
      <c r="BN254" s="85" t="n">
        <f aca="false">SUM(BN2:BN253)</f>
        <v>39440</v>
      </c>
      <c r="BO254" s="85" t="n">
        <f aca="false">SUM(BO2:BO253)</f>
        <v>20000</v>
      </c>
      <c r="BP254" s="85" t="n">
        <f aca="false">SUM(BP2:BP253)</f>
        <v>0</v>
      </c>
      <c r="BQ254" s="85" t="n">
        <f aca="false">SUM(BQ2:BQ253)</f>
        <v>0</v>
      </c>
      <c r="BR254" s="85" t="n">
        <f aca="false">SUM(BR2:BR253)</f>
        <v>0</v>
      </c>
      <c r="BS254" s="85" t="n">
        <f aca="false">SUM(BS2:BS253)</f>
        <v>20000</v>
      </c>
      <c r="BT254" s="85" t="n">
        <f aca="false">SUM(BT2:BT253)</f>
        <v>0</v>
      </c>
      <c r="BU254" s="85" t="n">
        <f aca="false">SUM(BU2:BU253)</f>
        <v>0</v>
      </c>
      <c r="BV254" s="85" t="n">
        <f aca="false">SUM(BV2:BV253)</f>
        <v>0</v>
      </c>
      <c r="BW254" s="85" t="n">
        <f aca="false">SUM(BW2:BW253)</f>
        <v>0</v>
      </c>
      <c r="BX254" s="85" t="n">
        <f aca="false">SUM(BX2:BX253)</f>
        <v>20000</v>
      </c>
      <c r="BY254" s="85" t="n">
        <f aca="false">SUM(BY2:BY253)</f>
        <v>0</v>
      </c>
      <c r="BZ254" s="85" t="n">
        <f aca="false">SUM(BZ2:BZ253)</f>
        <v>0</v>
      </c>
      <c r="CA254" s="85" t="n">
        <f aca="false">SUM(CA2:CA253)</f>
        <v>0</v>
      </c>
      <c r="CB254" s="85" t="n">
        <f aca="false">SUM(CB2:CB253)</f>
        <v>74500</v>
      </c>
      <c r="CC254" s="85" t="n">
        <f aca="false">SUM(CC2:CC253)</f>
        <v>0</v>
      </c>
      <c r="CD254" s="85" t="n">
        <f aca="false">SUM(CD2:CD253)</f>
        <v>0</v>
      </c>
      <c r="CE254" s="85" t="n">
        <f aca="false">SUM(CE2:CE253)</f>
        <v>0</v>
      </c>
      <c r="CF254" s="85" t="n">
        <f aca="false">SUM(CF2:CF253)</f>
        <v>91500</v>
      </c>
      <c r="CG254" s="85" t="n">
        <f aca="false">SUM(CG2:CG253)</f>
        <v>37500</v>
      </c>
      <c r="CH254" s="85" t="n">
        <f aca="false">SUM(CH2:CH253)</f>
        <v>20000</v>
      </c>
      <c r="CI254" s="85" t="n">
        <f aca="false">SUM(CI2:CI253)</f>
        <v>0</v>
      </c>
      <c r="CJ254" s="85" t="n">
        <f aca="false">SUM(CJ2:CJ253)</f>
        <v>0</v>
      </c>
      <c r="CK254" s="85" t="n">
        <f aca="false">SUM(CK2:CK253)</f>
        <v>0</v>
      </c>
      <c r="CL254" s="85" t="n">
        <f aca="false">SUM(CL2:CL253)</f>
        <v>0</v>
      </c>
      <c r="CM254" s="85" t="n">
        <f aca="false">SUM(CM2:CM253)</f>
        <v>10000</v>
      </c>
      <c r="CN254" s="85" t="n">
        <f aca="false">SUM(CN2:CN253)</f>
        <v>0</v>
      </c>
      <c r="CO254" s="85" t="n">
        <f aca="false">SUM(CO2:CO253)</f>
        <v>0</v>
      </c>
      <c r="CP254" s="85" t="n">
        <f aca="false">SUM(CP2:CP253)</f>
        <v>30000</v>
      </c>
      <c r="CQ254" s="85" t="n">
        <f aca="false">SUM(CQ2:CQ253)</f>
        <v>0</v>
      </c>
      <c r="CR254" s="85" t="n">
        <f aca="false">SUM(CR2:CR253)</f>
        <v>30000</v>
      </c>
      <c r="CS254" s="85" t="n">
        <f aca="false">SUM(CS2:CS253)</f>
        <v>50000</v>
      </c>
      <c r="CT254" s="85" t="n">
        <f aca="false">SUM(CT2:CT253)</f>
        <v>0</v>
      </c>
      <c r="CU254" s="85" t="n">
        <f aca="false">SUM(CU2:CU253)</f>
        <v>0</v>
      </c>
      <c r="CV254" s="85" t="n">
        <f aca="false">SUM(CV2:CV253)</f>
        <v>0</v>
      </c>
      <c r="CW254" s="85" t="n">
        <f aca="false">SUM(CW2:CW253)</f>
        <v>30000</v>
      </c>
      <c r="CX254" s="85" t="n">
        <f aca="false">SUM(CX2:CX253)</f>
        <v>120000</v>
      </c>
      <c r="CY254" s="85" t="n">
        <f aca="false">SUM(CY2:CY253)</f>
        <v>0</v>
      </c>
      <c r="CZ254" s="85" t="n">
        <f aca="false">SUM(CZ2:CZ253)</f>
        <v>47000</v>
      </c>
      <c r="DA254" s="85" t="n">
        <f aca="false">SUM(DA2:DA253)</f>
        <v>40500</v>
      </c>
      <c r="DB254" s="85" t="n">
        <f aca="false">SUM(DB2:DB253)</f>
        <v>19000</v>
      </c>
      <c r="DC254" s="85" t="n">
        <f aca="false">SUM(DC2:DC253)</f>
        <v>0</v>
      </c>
      <c r="DD254" s="85" t="n">
        <f aca="false">SUM(DD2:DD253)</f>
        <v>20000</v>
      </c>
      <c r="DE254" s="85" t="n">
        <f aca="false">SUM(DE2:DE253)</f>
        <v>0</v>
      </c>
      <c r="DF254" s="85" t="n">
        <f aca="false">SUM(DF2:DF253)</f>
        <v>0</v>
      </c>
      <c r="DG254" s="85" t="n">
        <f aca="false">SUM(DG2:DG253)</f>
        <v>0</v>
      </c>
      <c r="DH254" s="85" t="n">
        <f aca="false">SUM(DH2:DH253)</f>
        <v>124500</v>
      </c>
      <c r="DI254" s="85" t="n">
        <f aca="false">SUM(DI2:DI253)</f>
        <v>30000</v>
      </c>
      <c r="DJ254" s="85" t="n">
        <f aca="false">SUM(DJ2:DJ253)</f>
        <v>58500</v>
      </c>
      <c r="DK254" s="85" t="n">
        <f aca="false">SUM(DK2:DK253)</f>
        <v>0</v>
      </c>
      <c r="DL254" s="85" t="n">
        <f aca="false">SUM(DL2:DL253)</f>
        <v>34000</v>
      </c>
      <c r="DM254" s="85" t="n">
        <f aca="false">SUM(DM2:DM253)</f>
        <v>120000</v>
      </c>
      <c r="DN254" s="85" t="n">
        <f aca="false">SUM(DN2:DN253)</f>
        <v>68000</v>
      </c>
      <c r="DO254" s="85" t="n">
        <f aca="false">SUM(DO2:DO253)</f>
        <v>972000</v>
      </c>
      <c r="DP254" s="85" t="n">
        <f aca="false">SUM(DP2:DP253)</f>
        <v>0</v>
      </c>
      <c r="DQ254" s="85" t="n">
        <f aca="false">SUM(DQ2:DQ253)</f>
        <v>255000</v>
      </c>
      <c r="DR254" s="85" t="n">
        <f aca="false">SUM(DR2:DR253)</f>
        <v>145000</v>
      </c>
      <c r="DS254" s="85" t="n">
        <f aca="false">SUM(DS2:DS253)</f>
        <v>186800</v>
      </c>
      <c r="DT254" s="85" t="n">
        <f aca="false">SUM(DT2:DT253)</f>
        <v>750000</v>
      </c>
      <c r="DU254" s="85" t="n">
        <f aca="false">SUM(DU2:DU253)</f>
        <v>149800</v>
      </c>
      <c r="DV254" s="85" t="n">
        <f aca="false">SUM(DV2:DV253)</f>
        <v>306800</v>
      </c>
      <c r="DW254" s="85" t="n">
        <f aca="false">SUM(DW2:DW253)</f>
        <v>60000</v>
      </c>
      <c r="DX254" s="85" t="n">
        <f aca="false">SUM(DX2:DX253)</f>
        <v>163300</v>
      </c>
      <c r="DY254" s="85" t="n">
        <f aca="false">SUM(DY2:DY253)</f>
        <v>770000</v>
      </c>
      <c r="DZ254" s="85" t="n">
        <f aca="false">SUM(DZ2:DZ253)</f>
        <v>171800</v>
      </c>
      <c r="EA254" s="85" t="n">
        <f aca="false">SUM(EA2:EA253)</f>
        <v>253500</v>
      </c>
      <c r="EB254" s="85" t="n">
        <f aca="false">SUM(EB2:EB253)</f>
        <v>204000</v>
      </c>
      <c r="EC254" s="85" t="n">
        <f aca="false">SUM(EC2:EC253)</f>
        <v>232800</v>
      </c>
      <c r="ED254" s="85" t="n">
        <f aca="false">SUM(ED2:ED253)</f>
        <v>507000</v>
      </c>
      <c r="EE254" s="85" t="n">
        <f aca="false">SUM(EE2:EE253)</f>
        <v>291000</v>
      </c>
      <c r="EF254" s="85" t="n">
        <f aca="false">SUM(EF2:EF253)</f>
        <v>151600</v>
      </c>
      <c r="EG254" s="85" t="n">
        <f aca="false">SUM(EG2:EG253)</f>
        <v>288400</v>
      </c>
      <c r="EH254" s="85" t="n">
        <f aca="false">SUM(EH2:EH253)</f>
        <v>300350</v>
      </c>
      <c r="EI254" s="85" t="n">
        <f aca="false">SUM(EI2:EI253)</f>
        <v>534500</v>
      </c>
      <c r="EJ254" s="85" t="n">
        <f aca="false">SUM(EJ2:EJ253)</f>
        <v>15200</v>
      </c>
      <c r="EK254" s="85" t="n">
        <f aca="false">SUM(EK2:EK253)</f>
        <v>804400</v>
      </c>
      <c r="EL254" s="85" t="n">
        <f aca="false">SUM(EL2:EL253)</f>
        <v>492150</v>
      </c>
      <c r="EM254" s="85" t="n">
        <f aca="false">SUM(EM2:EM253)</f>
        <v>411100</v>
      </c>
      <c r="EN254" s="85" t="n">
        <f aca="false">SUM(EN2:EN253)</f>
        <v>162500</v>
      </c>
      <c r="EO254" s="85" t="n">
        <f aca="false">SUM(EO2:EO253)</f>
        <v>857270</v>
      </c>
      <c r="EP254" s="85" t="n">
        <f aca="false">SUM(EP2:EP253)</f>
        <v>1322650</v>
      </c>
      <c r="EQ254" s="85" t="n">
        <f aca="false">SUM(EQ2:EQ253)</f>
        <v>502000</v>
      </c>
      <c r="ER254" s="85" t="n">
        <f aca="false">SUM(ER2:ER253)</f>
        <v>587250</v>
      </c>
      <c r="ES254" s="85" t="n">
        <f aca="false">SUM(ES2:ES253)</f>
        <v>1197358</v>
      </c>
      <c r="ET254" s="85" t="n">
        <f aca="false">SUM(ET2:ET253)</f>
        <v>775250</v>
      </c>
      <c r="EU254" s="85" t="n">
        <f aca="false">SUM(EU2:EU253)</f>
        <v>461250</v>
      </c>
      <c r="EV254" s="85" t="n">
        <f aca="false">SUM(EV2:EV253)</f>
        <v>467300</v>
      </c>
      <c r="EW254" s="85" t="n">
        <f aca="false">SUM(EW2:EW253)</f>
        <v>983920</v>
      </c>
      <c r="EX254" s="85" t="n">
        <f aca="false">SUM(EX2:EX253)</f>
        <v>1558800</v>
      </c>
      <c r="EY254" s="85" t="n">
        <f aca="false">SUM(EY2:EY253)</f>
        <v>1114958</v>
      </c>
      <c r="EZ254" s="85" t="n">
        <f aca="false">SUM(EZ2:EZ253)</f>
        <v>1004000</v>
      </c>
      <c r="FA254" s="85" t="n">
        <f aca="false">SUM(FA2:FA253)</f>
        <v>696842</v>
      </c>
      <c r="FB254" s="85" t="n">
        <f aca="false">SUM(FB2:FB253)</f>
        <v>2441500</v>
      </c>
      <c r="FC254" s="85" t="n">
        <f aca="false">SUM(FC2:FC253)</f>
        <v>823600</v>
      </c>
      <c r="FD254" s="85" t="n">
        <f aca="false">SUM(FD2:FD253)</f>
        <v>1496200</v>
      </c>
      <c r="FE254" s="85" t="n">
        <f aca="false">SUM(FE2:FE253)</f>
        <v>1062900</v>
      </c>
      <c r="FF254" s="85" t="n">
        <f aca="false">SUM(FF2:FF253)</f>
        <v>2408349</v>
      </c>
      <c r="FG254" s="85" t="n">
        <f aca="false">SUM(FG2:FG253)</f>
        <v>1703300</v>
      </c>
      <c r="FH254" s="85" t="n">
        <f aca="false">SUM(FH2:FH253)</f>
        <v>3164168</v>
      </c>
      <c r="FI254" s="85" t="n">
        <f aca="false">SUM(FI2:FI253)</f>
        <v>1607500</v>
      </c>
      <c r="FJ254" s="85" t="n">
        <f aca="false">SUM(FJ2:FJ253)</f>
        <v>2668000</v>
      </c>
      <c r="FK254" s="85" t="n">
        <f aca="false">SUM(FK2:FK253)</f>
        <v>3151100</v>
      </c>
      <c r="FL254" s="85" t="n">
        <f aca="false">SUM(FL2:FL253)</f>
        <v>2160550</v>
      </c>
      <c r="FM254" s="85" t="n">
        <f aca="false">SUM(FM2:FM253)</f>
        <v>2600300</v>
      </c>
      <c r="FN254" s="85" t="n">
        <f aca="false">SUM(FN2:FN253)</f>
        <v>3038800</v>
      </c>
      <c r="FO254" s="85" t="n">
        <f aca="false">SUM(FO2:FO253)</f>
        <v>4845250</v>
      </c>
      <c r="FP254" s="85" t="n">
        <f aca="false">SUM(FP2:FP253)</f>
        <v>4865350</v>
      </c>
      <c r="FQ254" s="85" t="n">
        <f aca="false">SUM(FQ2:FQ253)</f>
        <v>2412300</v>
      </c>
      <c r="FR254" s="85" t="n">
        <f aca="false">SUM(FR2:FR253)</f>
        <v>3172450</v>
      </c>
      <c r="FS254" s="85" t="n">
        <f aca="false">SUM(FS2:FS253)</f>
        <v>128000</v>
      </c>
      <c r="FT254" s="85" t="n">
        <f aca="false">SUM(FT2:FT253)</f>
        <v>65304595</v>
      </c>
      <c r="FU254" s="85" t="n">
        <f aca="false">SUM(FU2:FU253)</f>
        <v>112765873</v>
      </c>
    </row>
    <row r="255" customFormat="false" ht="43.5" hidden="false" customHeight="true" outlineLevel="0" collapsed="false">
      <c r="B255" s="86"/>
      <c r="C255" s="86"/>
      <c r="K255" s="87"/>
      <c r="L255" s="87"/>
      <c r="FJ255" s="1" t="s">
        <v>184</v>
      </c>
    </row>
    <row r="256" customFormat="false" ht="18.75" hidden="false" customHeight="true" outlineLevel="0" collapsed="false">
      <c r="A256" s="88"/>
      <c r="B256" s="89"/>
      <c r="C256" s="89"/>
      <c r="D256" s="90"/>
      <c r="E256" s="90"/>
      <c r="F256" s="90"/>
      <c r="G256" s="91"/>
      <c r="H256" s="92"/>
      <c r="I256" s="92" t="s">
        <v>184</v>
      </c>
      <c r="J256" s="93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  <c r="AA256" s="90"/>
      <c r="AB256" s="90"/>
      <c r="AC256" s="90"/>
      <c r="AD256" s="90"/>
      <c r="AE256" s="90"/>
      <c r="AF256" s="90"/>
      <c r="AG256" s="90"/>
      <c r="AH256" s="90"/>
      <c r="AI256" s="90"/>
      <c r="AJ256" s="90"/>
      <c r="AK256" s="90"/>
      <c r="AL256" s="90"/>
      <c r="AM256" s="90"/>
      <c r="AN256" s="90"/>
      <c r="AO256" s="90"/>
      <c r="AP256" s="90"/>
      <c r="AQ256" s="90"/>
      <c r="AR256" s="90"/>
      <c r="AS256" s="90"/>
      <c r="AT256" s="90"/>
      <c r="AU256" s="90"/>
      <c r="AV256" s="90"/>
      <c r="AW256" s="90"/>
      <c r="AX256" s="90"/>
      <c r="AY256" s="90"/>
      <c r="AZ256" s="90"/>
      <c r="BA256" s="90"/>
      <c r="BB256" s="90"/>
      <c r="BC256" s="90"/>
      <c r="BD256" s="90"/>
      <c r="BE256" s="90"/>
      <c r="BF256" s="90"/>
      <c r="BG256" s="90"/>
      <c r="BH256" s="90"/>
      <c r="BI256" s="90"/>
      <c r="BJ256" s="90"/>
      <c r="BK256" s="90"/>
      <c r="BL256" s="90"/>
      <c r="BM256" s="90"/>
      <c r="BN256" s="90"/>
      <c r="BO256" s="90"/>
      <c r="BP256" s="90"/>
      <c r="BQ256" s="90"/>
      <c r="BR256" s="90"/>
      <c r="BS256" s="90"/>
      <c r="BT256" s="90"/>
      <c r="BU256" s="90"/>
      <c r="BV256" s="90"/>
      <c r="BW256" s="90"/>
      <c r="BX256" s="90"/>
      <c r="BY256" s="90"/>
      <c r="BZ256" s="90"/>
      <c r="CA256" s="90"/>
      <c r="CB256" s="90"/>
      <c r="CC256" s="90"/>
      <c r="CD256" s="90"/>
      <c r="CE256" s="90"/>
      <c r="CF256" s="90"/>
      <c r="CG256" s="90"/>
      <c r="CH256" s="90"/>
      <c r="CI256" s="90"/>
      <c r="CJ256" s="90"/>
      <c r="CK256" s="90"/>
      <c r="CL256" s="90"/>
      <c r="CM256" s="90"/>
      <c r="CN256" s="90"/>
      <c r="CO256" s="90"/>
      <c r="CP256" s="90"/>
      <c r="CQ256" s="90"/>
      <c r="CR256" s="90"/>
      <c r="CS256" s="90"/>
      <c r="CT256" s="90"/>
      <c r="CU256" s="90"/>
      <c r="CV256" s="90"/>
      <c r="CW256" s="90"/>
      <c r="CX256" s="90"/>
      <c r="CY256" s="90"/>
      <c r="CZ256" s="90"/>
      <c r="DA256" s="90"/>
      <c r="DB256" s="90"/>
      <c r="DC256" s="90"/>
      <c r="DD256" s="90"/>
      <c r="DE256" s="90"/>
      <c r="DF256" s="90"/>
      <c r="DG256" s="90"/>
      <c r="DH256" s="90"/>
      <c r="DI256" s="90"/>
      <c r="DJ256" s="90"/>
      <c r="DK256" s="90"/>
      <c r="DL256" s="90"/>
      <c r="DM256" s="90"/>
      <c r="DN256" s="90"/>
      <c r="DO256" s="90"/>
      <c r="DP256" s="90"/>
      <c r="DQ256" s="90"/>
      <c r="DR256" s="90"/>
      <c r="DS256" s="90"/>
      <c r="DT256" s="90"/>
      <c r="DU256" s="90"/>
      <c r="DV256" s="90"/>
      <c r="DW256" s="90"/>
      <c r="DX256" s="90"/>
      <c r="DY256" s="90"/>
      <c r="DZ256" s="90"/>
      <c r="EA256" s="90"/>
      <c r="EB256" s="90"/>
      <c r="EC256" s="90"/>
      <c r="ED256" s="90"/>
      <c r="EE256" s="90"/>
      <c r="EF256" s="90"/>
      <c r="EG256" s="90"/>
      <c r="EH256" s="90"/>
      <c r="EI256" s="90"/>
      <c r="EJ256" s="90"/>
      <c r="EK256" s="90"/>
      <c r="EL256" s="90"/>
      <c r="EM256" s="90"/>
      <c r="EN256" s="90"/>
      <c r="EO256" s="90"/>
      <c r="EP256" s="90"/>
      <c r="EQ256" s="90"/>
      <c r="ER256" s="90"/>
      <c r="ES256" s="90"/>
      <c r="ET256" s="90"/>
      <c r="EU256" s="90"/>
      <c r="EV256" s="90"/>
      <c r="EW256" s="90"/>
      <c r="EX256" s="90"/>
      <c r="EY256" s="90"/>
      <c r="EZ256" s="90"/>
      <c r="FA256" s="90"/>
      <c r="FB256" s="90"/>
      <c r="FC256" s="90"/>
      <c r="FD256" s="90"/>
      <c r="FE256" s="90"/>
      <c r="FF256" s="90"/>
      <c r="FG256" s="90"/>
      <c r="FH256" s="90"/>
      <c r="FI256" s="90"/>
      <c r="FJ256" s="90"/>
      <c r="FK256" s="90"/>
      <c r="FL256" s="90"/>
      <c r="FM256" s="90"/>
      <c r="FN256" s="90"/>
      <c r="FO256" s="90"/>
      <c r="FP256" s="90"/>
      <c r="FQ256" s="90"/>
      <c r="FR256" s="90"/>
      <c r="FS256" s="90"/>
      <c r="FT256" s="90"/>
      <c r="FU256" s="90"/>
      <c r="FV256" s="90"/>
      <c r="FW256" s="90"/>
      <c r="FX256" s="90"/>
      <c r="FY256" s="94"/>
    </row>
    <row r="257" s="100" customFormat="true" ht="18.75" hidden="false" customHeight="true" outlineLevel="0" collapsed="false">
      <c r="A257" s="95"/>
      <c r="B257" s="96"/>
      <c r="C257" s="96"/>
      <c r="D257" s="95"/>
      <c r="E257" s="95"/>
      <c r="F257" s="95"/>
      <c r="G257" s="97"/>
      <c r="H257" s="98"/>
      <c r="I257" s="98"/>
      <c r="J257" s="99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/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</row>
    <row r="258" customFormat="false" ht="43.5" hidden="false" customHeight="true" outlineLevel="0" collapsed="false">
      <c r="A258" s="87"/>
      <c r="B258" s="101" t="s">
        <v>593</v>
      </c>
      <c r="C258" s="101" t="n">
        <v>20000</v>
      </c>
      <c r="D258" s="87"/>
      <c r="E258" s="87"/>
      <c r="F258" s="87"/>
      <c r="G258" s="102"/>
      <c r="H258" s="103"/>
      <c r="I258" s="103" t="s">
        <v>184</v>
      </c>
      <c r="J258" s="104"/>
      <c r="K258" s="105" t="s">
        <v>594</v>
      </c>
      <c r="L258" s="106" t="n">
        <f aca="false">SUM(L254-K254)</f>
        <v>111092068</v>
      </c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87"/>
      <c r="BM258" s="87"/>
      <c r="BN258" s="87"/>
      <c r="BO258" s="87"/>
      <c r="BP258" s="87"/>
      <c r="BQ258" s="87"/>
      <c r="BR258" s="87"/>
      <c r="BS258" s="87"/>
      <c r="BT258" s="87"/>
      <c r="BU258" s="87"/>
      <c r="BV258" s="87"/>
      <c r="BW258" s="87"/>
      <c r="BX258" s="87"/>
      <c r="BY258" s="87"/>
      <c r="BZ258" s="87"/>
      <c r="CA258" s="87"/>
      <c r="CB258" s="87"/>
      <c r="CC258" s="87"/>
      <c r="CD258" s="87"/>
      <c r="CE258" s="87"/>
      <c r="CF258" s="87"/>
      <c r="CG258" s="87"/>
      <c r="CH258" s="87"/>
      <c r="CI258" s="87"/>
      <c r="CJ258" s="87"/>
      <c r="CK258" s="87"/>
      <c r="CL258" s="87"/>
      <c r="CM258" s="87"/>
      <c r="CN258" s="87"/>
      <c r="CO258" s="87"/>
      <c r="CP258" s="87"/>
      <c r="CQ258" s="87"/>
      <c r="CR258" s="87"/>
      <c r="CS258" s="87"/>
      <c r="CT258" s="87"/>
      <c r="CU258" s="87"/>
      <c r="CV258" s="87"/>
      <c r="CW258" s="87"/>
      <c r="CX258" s="87"/>
      <c r="CY258" s="87"/>
      <c r="CZ258" s="87"/>
      <c r="DA258" s="87"/>
      <c r="DB258" s="87"/>
      <c r="DC258" s="87"/>
      <c r="DD258" s="87"/>
      <c r="DE258" s="87"/>
      <c r="DF258" s="87"/>
      <c r="DG258" s="87"/>
      <c r="DH258" s="87"/>
      <c r="DI258" s="87"/>
      <c r="DJ258" s="87"/>
      <c r="DK258" s="87"/>
      <c r="DL258" s="87"/>
      <c r="DM258" s="87"/>
      <c r="DN258" s="87"/>
      <c r="DO258" s="87"/>
      <c r="DP258" s="87"/>
      <c r="DQ258" s="87"/>
      <c r="DR258" s="87"/>
      <c r="DS258" s="87"/>
      <c r="DT258" s="87"/>
      <c r="DU258" s="87"/>
      <c r="DV258" s="87"/>
      <c r="DW258" s="87"/>
      <c r="DX258" s="87"/>
      <c r="DY258" s="87"/>
      <c r="DZ258" s="87"/>
      <c r="EA258" s="87"/>
      <c r="EB258" s="87"/>
      <c r="EC258" s="87"/>
      <c r="ED258" s="87"/>
      <c r="EE258" s="87"/>
      <c r="EF258" s="87"/>
      <c r="EG258" s="87"/>
      <c r="EH258" s="87"/>
      <c r="EI258" s="87"/>
      <c r="EJ258" s="87"/>
      <c r="EK258" s="87"/>
      <c r="EL258" s="87"/>
      <c r="EM258" s="87"/>
      <c r="EN258" s="87"/>
      <c r="EO258" s="87"/>
      <c r="EP258" s="87"/>
      <c r="EQ258" s="87"/>
      <c r="ER258" s="87"/>
      <c r="ES258" s="87"/>
      <c r="ET258" s="87"/>
      <c r="EU258" s="87"/>
      <c r="EV258" s="87"/>
      <c r="EW258" s="87"/>
      <c r="EX258" s="87"/>
      <c r="EY258" s="87"/>
      <c r="EZ258" s="87"/>
      <c r="FA258" s="87"/>
      <c r="FB258" s="87"/>
      <c r="FC258" s="87"/>
      <c r="FD258" s="87"/>
      <c r="FE258" s="87"/>
      <c r="FF258" s="87"/>
      <c r="FG258" s="87"/>
      <c r="FH258" s="87"/>
      <c r="FI258" s="87"/>
      <c r="FJ258" s="87"/>
      <c r="FK258" s="87"/>
      <c r="FL258" s="87"/>
      <c r="FM258" s="87"/>
      <c r="FN258" s="87"/>
      <c r="FO258" s="87"/>
      <c r="FP258" s="87"/>
      <c r="FQ258" s="87"/>
      <c r="FR258" s="87"/>
      <c r="FS258" s="87"/>
      <c r="FT258" s="87" t="s">
        <v>184</v>
      </c>
      <c r="FU258" s="87"/>
      <c r="FV258" s="87"/>
      <c r="FW258" s="87"/>
      <c r="FX258" s="87"/>
      <c r="FY258" s="87"/>
    </row>
    <row r="259" customFormat="false" ht="43.5" hidden="false" customHeight="true" outlineLevel="0" collapsed="false">
      <c r="A259" s="87"/>
      <c r="B259" s="101" t="s">
        <v>595</v>
      </c>
      <c r="C259" s="101" t="n">
        <v>30000</v>
      </c>
      <c r="D259" s="87"/>
      <c r="E259" s="87"/>
      <c r="F259" s="87"/>
      <c r="G259" s="102"/>
      <c r="H259" s="103"/>
      <c r="I259" s="103"/>
      <c r="J259" s="104"/>
      <c r="K259" s="107" t="s">
        <v>596</v>
      </c>
      <c r="L259" s="108" t="n">
        <f aca="false">FS254*100/M254/100</f>
        <v>0.0191807385873118</v>
      </c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87"/>
      <c r="BM259" s="87"/>
      <c r="BN259" s="87"/>
      <c r="BO259" s="87"/>
      <c r="BP259" s="87"/>
      <c r="BQ259" s="87"/>
      <c r="BR259" s="87"/>
      <c r="BS259" s="87"/>
      <c r="BT259" s="87"/>
      <c r="BU259" s="87"/>
      <c r="BV259" s="87"/>
      <c r="BW259" s="87"/>
      <c r="BX259" s="87"/>
      <c r="BY259" s="87"/>
      <c r="BZ259" s="87"/>
      <c r="CA259" s="87"/>
      <c r="CB259" s="87"/>
      <c r="CC259" s="87"/>
      <c r="CD259" s="87"/>
      <c r="CE259" s="87"/>
      <c r="CF259" s="87"/>
      <c r="CG259" s="87"/>
      <c r="CH259" s="87"/>
      <c r="CI259" s="87"/>
      <c r="CJ259" s="87"/>
      <c r="CK259" s="87"/>
      <c r="CL259" s="87"/>
      <c r="CM259" s="87"/>
      <c r="CN259" s="87"/>
      <c r="CO259" s="87"/>
      <c r="CP259" s="87"/>
      <c r="CQ259" s="87"/>
      <c r="CR259" s="87"/>
      <c r="CS259" s="87"/>
      <c r="CT259" s="87"/>
      <c r="CU259" s="87"/>
      <c r="CV259" s="87"/>
      <c r="CW259" s="87"/>
      <c r="CX259" s="87"/>
      <c r="CY259" s="87"/>
      <c r="CZ259" s="87"/>
      <c r="DA259" s="87"/>
      <c r="DB259" s="87"/>
      <c r="DC259" s="87"/>
      <c r="DD259" s="87"/>
      <c r="DE259" s="87"/>
      <c r="DF259" s="87"/>
      <c r="DG259" s="87"/>
      <c r="DH259" s="87"/>
      <c r="DI259" s="87"/>
      <c r="DJ259" s="87"/>
      <c r="DK259" s="87"/>
      <c r="DL259" s="87"/>
      <c r="DM259" s="87"/>
      <c r="DN259" s="87"/>
      <c r="DO259" s="87"/>
      <c r="DP259" s="87"/>
      <c r="DQ259" s="87"/>
      <c r="DR259" s="87"/>
      <c r="DS259" s="87"/>
      <c r="DT259" s="87"/>
      <c r="DU259" s="87"/>
      <c r="DV259" s="87"/>
      <c r="DW259" s="87"/>
      <c r="DX259" s="87"/>
      <c r="DY259" s="87"/>
      <c r="DZ259" s="87"/>
      <c r="EA259" s="87"/>
      <c r="EB259" s="87"/>
      <c r="EC259" s="87"/>
      <c r="ED259" s="87"/>
      <c r="EE259" s="87"/>
      <c r="EF259" s="87"/>
      <c r="EG259" s="87"/>
      <c r="EH259" s="87"/>
      <c r="EI259" s="87"/>
      <c r="EJ259" s="87"/>
      <c r="EK259" s="87"/>
      <c r="EL259" s="87"/>
      <c r="EM259" s="87"/>
      <c r="EN259" s="87"/>
      <c r="EO259" s="87"/>
      <c r="EP259" s="87"/>
      <c r="EQ259" s="87"/>
      <c r="ER259" s="87"/>
      <c r="ES259" s="87"/>
      <c r="ET259" s="87"/>
      <c r="EU259" s="87"/>
      <c r="EV259" s="87"/>
      <c r="EW259" s="87"/>
      <c r="EX259" s="87"/>
      <c r="EY259" s="87"/>
      <c r="EZ259" s="87"/>
      <c r="FA259" s="87"/>
      <c r="FB259" s="87"/>
      <c r="FC259" s="87"/>
      <c r="FD259" s="87"/>
      <c r="FE259" s="87"/>
      <c r="FF259" s="87"/>
      <c r="FG259" s="87"/>
      <c r="FH259" s="87"/>
      <c r="FI259" s="87"/>
      <c r="FJ259" s="87"/>
      <c r="FK259" s="87"/>
      <c r="FL259" s="87"/>
      <c r="FM259" s="87"/>
      <c r="FN259" s="87"/>
      <c r="FO259" s="87"/>
      <c r="FP259" s="87"/>
      <c r="FQ259" s="87"/>
      <c r="FR259" s="87"/>
      <c r="FS259" s="87"/>
      <c r="FT259" s="87"/>
      <c r="FU259" s="87"/>
      <c r="FV259" s="87"/>
      <c r="FW259" s="87"/>
      <c r="FX259" s="87"/>
      <c r="FY259" s="87"/>
    </row>
    <row r="260" customFormat="false" ht="43.5" hidden="false" customHeight="true" outlineLevel="0" collapsed="false">
      <c r="A260" s="87"/>
      <c r="B260" s="101" t="s">
        <v>597</v>
      </c>
      <c r="C260" s="101" t="n">
        <v>22000</v>
      </c>
      <c r="D260" s="87"/>
      <c r="E260" s="87"/>
      <c r="F260" s="87"/>
      <c r="G260" s="102"/>
      <c r="H260" s="103"/>
      <c r="I260" s="103"/>
      <c r="J260" s="104"/>
      <c r="K260" s="109" t="s">
        <v>598</v>
      </c>
      <c r="L260" s="109" t="n">
        <f aca="false">SUM(FU254-FT254)</f>
        <v>47461278</v>
      </c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87"/>
      <c r="BM260" s="87"/>
      <c r="BN260" s="87"/>
      <c r="BO260" s="87"/>
      <c r="BP260" s="87"/>
      <c r="BQ260" s="87"/>
      <c r="BR260" s="87"/>
      <c r="BS260" s="87"/>
      <c r="BT260" s="87"/>
      <c r="BU260" s="87"/>
      <c r="BV260" s="87"/>
      <c r="BW260" s="87"/>
      <c r="BX260" s="87"/>
      <c r="BY260" s="87"/>
      <c r="BZ260" s="87"/>
      <c r="CA260" s="87"/>
      <c r="CB260" s="87"/>
      <c r="CC260" s="87"/>
      <c r="CD260" s="87"/>
      <c r="CE260" s="87"/>
      <c r="CF260" s="87"/>
      <c r="CG260" s="87"/>
      <c r="CH260" s="87"/>
      <c r="CI260" s="87"/>
      <c r="CJ260" s="87"/>
      <c r="CK260" s="87"/>
      <c r="CL260" s="87"/>
      <c r="CM260" s="87"/>
      <c r="CN260" s="87"/>
      <c r="CO260" s="87"/>
      <c r="CP260" s="87"/>
      <c r="CQ260" s="87"/>
      <c r="CR260" s="87"/>
      <c r="CS260" s="87"/>
      <c r="CT260" s="87"/>
      <c r="CU260" s="87"/>
      <c r="CV260" s="87"/>
      <c r="CW260" s="87"/>
      <c r="CX260" s="87"/>
      <c r="CY260" s="87"/>
      <c r="CZ260" s="87"/>
      <c r="DA260" s="87"/>
      <c r="DB260" s="87"/>
      <c r="DC260" s="87"/>
      <c r="DD260" s="87"/>
      <c r="DE260" s="87"/>
      <c r="DF260" s="87"/>
      <c r="DG260" s="87"/>
      <c r="DH260" s="87"/>
      <c r="DI260" s="87"/>
      <c r="DJ260" s="87"/>
      <c r="DK260" s="87"/>
      <c r="DL260" s="87"/>
      <c r="DM260" s="87"/>
      <c r="DN260" s="87"/>
      <c r="DO260" s="87"/>
      <c r="DP260" s="87"/>
      <c r="DQ260" s="87"/>
      <c r="DR260" s="87"/>
      <c r="DS260" s="87"/>
      <c r="DT260" s="87"/>
      <c r="DU260" s="87"/>
      <c r="DV260" s="87"/>
      <c r="DW260" s="87"/>
      <c r="DX260" s="87"/>
      <c r="DY260" s="87"/>
      <c r="DZ260" s="87"/>
      <c r="EA260" s="87"/>
      <c r="EB260" s="87"/>
      <c r="EC260" s="87"/>
      <c r="ED260" s="87"/>
      <c r="EE260" s="87"/>
      <c r="EF260" s="87"/>
      <c r="EG260" s="87"/>
      <c r="EH260" s="87"/>
      <c r="EI260" s="87"/>
      <c r="EJ260" s="87"/>
      <c r="EK260" s="87"/>
      <c r="EL260" s="87"/>
      <c r="EM260" s="87"/>
      <c r="EN260" s="87"/>
      <c r="EO260" s="87"/>
      <c r="EP260" s="87"/>
      <c r="EQ260" s="87"/>
      <c r="ER260" s="87"/>
      <c r="ES260" s="87"/>
      <c r="ET260" s="87"/>
      <c r="EU260" s="87"/>
      <c r="EV260" s="87"/>
      <c r="EW260" s="87"/>
      <c r="EX260" s="87"/>
      <c r="EY260" s="87"/>
      <c r="EZ260" s="87"/>
      <c r="FA260" s="87"/>
      <c r="FB260" s="87"/>
      <c r="FC260" s="87"/>
      <c r="FD260" s="87"/>
      <c r="FE260" s="87"/>
      <c r="FF260" s="87"/>
      <c r="FG260" s="87"/>
      <c r="FH260" s="87"/>
      <c r="FI260" s="87"/>
      <c r="FJ260" s="87"/>
      <c r="FK260" s="87"/>
      <c r="FL260" s="87"/>
      <c r="FM260" s="87"/>
      <c r="FN260" s="87"/>
      <c r="FO260" s="87"/>
      <c r="FP260" s="87"/>
      <c r="FQ260" s="87"/>
      <c r="FR260" s="87"/>
      <c r="FS260" s="87"/>
      <c r="FT260" s="87"/>
      <c r="FU260" s="87"/>
      <c r="FV260" s="87"/>
      <c r="FW260" s="87"/>
      <c r="FX260" s="87"/>
      <c r="FY260" s="87"/>
    </row>
    <row r="261" customFormat="false" ht="43.5" hidden="false" customHeight="true" outlineLevel="0" collapsed="false">
      <c r="A261" s="87"/>
      <c r="B261" s="101" t="s">
        <v>599</v>
      </c>
      <c r="C261" s="101" t="n">
        <v>10000</v>
      </c>
      <c r="D261" s="87"/>
      <c r="E261" s="87"/>
      <c r="F261" s="87"/>
      <c r="G261" s="102"/>
      <c r="H261" s="103"/>
      <c r="I261" s="103"/>
      <c r="J261" s="104"/>
      <c r="K261" s="110" t="s">
        <v>600</v>
      </c>
      <c r="L261" s="110" t="n">
        <f aca="false">COUNT(  FS2:FS253)</f>
        <v>6</v>
      </c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87"/>
      <c r="BM261" s="87"/>
      <c r="BN261" s="87"/>
      <c r="BO261" s="87"/>
      <c r="BP261" s="87"/>
      <c r="BQ261" s="87"/>
      <c r="BR261" s="87"/>
      <c r="BS261" s="87"/>
      <c r="BT261" s="87"/>
      <c r="BU261" s="87"/>
      <c r="BV261" s="87"/>
      <c r="BW261" s="87"/>
      <c r="BX261" s="87"/>
      <c r="BY261" s="87"/>
      <c r="BZ261" s="87"/>
      <c r="CA261" s="87"/>
      <c r="CB261" s="87"/>
      <c r="CC261" s="87"/>
      <c r="CD261" s="87"/>
      <c r="CE261" s="87"/>
      <c r="CF261" s="87"/>
      <c r="CG261" s="87"/>
      <c r="CH261" s="87"/>
      <c r="CI261" s="87"/>
      <c r="CJ261" s="87"/>
      <c r="CK261" s="87"/>
      <c r="CL261" s="87"/>
      <c r="CM261" s="87"/>
      <c r="CN261" s="87"/>
      <c r="CO261" s="87"/>
      <c r="CP261" s="87"/>
      <c r="CQ261" s="87"/>
      <c r="CR261" s="87"/>
      <c r="CS261" s="87"/>
      <c r="CT261" s="87"/>
      <c r="CU261" s="87"/>
      <c r="CV261" s="87"/>
      <c r="CW261" s="87"/>
      <c r="CX261" s="87"/>
      <c r="CY261" s="87"/>
      <c r="CZ261" s="87"/>
      <c r="DA261" s="87"/>
      <c r="DB261" s="87"/>
      <c r="DC261" s="87"/>
      <c r="DD261" s="87"/>
      <c r="DE261" s="87"/>
      <c r="DF261" s="87"/>
      <c r="DG261" s="87"/>
      <c r="DH261" s="87"/>
      <c r="DI261" s="87"/>
      <c r="DJ261" s="87"/>
      <c r="DK261" s="87"/>
      <c r="DL261" s="87"/>
      <c r="DM261" s="87"/>
      <c r="DN261" s="87"/>
      <c r="DO261" s="87"/>
      <c r="DP261" s="87"/>
      <c r="DQ261" s="87"/>
      <c r="DR261" s="87"/>
      <c r="DS261" s="87"/>
      <c r="DT261" s="87"/>
      <c r="DU261" s="87"/>
      <c r="DV261" s="87"/>
      <c r="DW261" s="87"/>
      <c r="DX261" s="87"/>
      <c r="DY261" s="87"/>
      <c r="DZ261" s="87"/>
      <c r="EA261" s="87"/>
      <c r="EB261" s="87"/>
      <c r="EC261" s="87"/>
      <c r="ED261" s="87"/>
      <c r="EE261" s="87"/>
      <c r="EF261" s="87"/>
      <c r="EG261" s="87"/>
      <c r="EH261" s="87"/>
      <c r="EI261" s="87"/>
      <c r="EJ261" s="87"/>
      <c r="EK261" s="87"/>
      <c r="EL261" s="87"/>
      <c r="EM261" s="87"/>
      <c r="EN261" s="87"/>
      <c r="EO261" s="87"/>
      <c r="EP261" s="87"/>
      <c r="EQ261" s="87"/>
      <c r="ER261" s="87"/>
      <c r="ES261" s="87"/>
      <c r="ET261" s="87"/>
      <c r="EU261" s="87"/>
      <c r="EV261" s="87"/>
      <c r="EW261" s="87"/>
      <c r="EX261" s="87"/>
      <c r="EY261" s="87"/>
      <c r="EZ261" s="87"/>
      <c r="FA261" s="87"/>
      <c r="FB261" s="87"/>
      <c r="FC261" s="87"/>
      <c r="FD261" s="87"/>
      <c r="FE261" s="87"/>
      <c r="FF261" s="87"/>
      <c r="FG261" s="87"/>
      <c r="FH261" s="87"/>
      <c r="FI261" s="87"/>
      <c r="FJ261" s="87"/>
      <c r="FK261" s="87"/>
      <c r="FL261" s="87"/>
      <c r="FM261" s="87"/>
      <c r="FN261" s="87"/>
      <c r="FO261" s="87"/>
      <c r="FP261" s="87"/>
      <c r="FQ261" s="87"/>
      <c r="FR261" s="87"/>
      <c r="FS261" s="87"/>
      <c r="FT261" s="87"/>
      <c r="FU261" s="87"/>
      <c r="FV261" s="87"/>
      <c r="FW261" s="87"/>
      <c r="FX261" s="87"/>
      <c r="FY261" s="87"/>
    </row>
    <row r="262" customFormat="false" ht="43.5" hidden="false" customHeight="true" outlineLevel="0" collapsed="false">
      <c r="A262" s="87"/>
      <c r="C262" s="101" t="n">
        <f aca="false">SUM(C258:C261)</f>
        <v>82000</v>
      </c>
      <c r="D262" s="87"/>
      <c r="E262" s="87"/>
      <c r="F262" s="87"/>
      <c r="G262" s="102"/>
      <c r="H262" s="103"/>
      <c r="I262" s="103"/>
      <c r="J262" s="104"/>
      <c r="K262" s="111" t="s">
        <v>601</v>
      </c>
      <c r="L262" s="112" t="n">
        <f aca="false">SUM(FS254-L263)</f>
        <v>-22000</v>
      </c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87"/>
      <c r="BM262" s="87"/>
      <c r="BN262" s="87"/>
      <c r="BO262" s="87"/>
      <c r="BP262" s="87"/>
      <c r="BQ262" s="87"/>
      <c r="BR262" s="87"/>
      <c r="BS262" s="87"/>
      <c r="BT262" s="87"/>
      <c r="BU262" s="87"/>
      <c r="BV262" s="87"/>
      <c r="BW262" s="87"/>
      <c r="BX262" s="87"/>
      <c r="BY262" s="87"/>
      <c r="BZ262" s="87"/>
      <c r="CA262" s="87"/>
      <c r="CB262" s="87"/>
      <c r="CC262" s="87"/>
      <c r="CD262" s="87"/>
      <c r="CE262" s="87"/>
      <c r="CF262" s="87"/>
      <c r="CG262" s="87"/>
      <c r="CH262" s="87"/>
      <c r="CI262" s="87"/>
      <c r="CJ262" s="87"/>
      <c r="CK262" s="87"/>
      <c r="CL262" s="87"/>
      <c r="CM262" s="87"/>
      <c r="CN262" s="87"/>
      <c r="CO262" s="87"/>
      <c r="CP262" s="87"/>
      <c r="CQ262" s="87"/>
      <c r="CR262" s="87"/>
      <c r="CS262" s="87"/>
      <c r="CT262" s="87"/>
      <c r="CU262" s="87"/>
      <c r="CV262" s="87"/>
      <c r="CW262" s="87"/>
      <c r="CX262" s="87"/>
      <c r="CY262" s="87"/>
      <c r="CZ262" s="87"/>
      <c r="DA262" s="87"/>
      <c r="DB262" s="87"/>
      <c r="DC262" s="87"/>
      <c r="DD262" s="87"/>
      <c r="DE262" s="87"/>
      <c r="DF262" s="87"/>
      <c r="DG262" s="87"/>
      <c r="DH262" s="87"/>
      <c r="DI262" s="87"/>
      <c r="DJ262" s="87"/>
      <c r="DK262" s="87"/>
      <c r="DL262" s="87"/>
      <c r="DM262" s="87"/>
      <c r="DN262" s="87"/>
      <c r="DO262" s="87"/>
      <c r="DP262" s="87"/>
      <c r="DQ262" s="87"/>
      <c r="DR262" s="87"/>
      <c r="DS262" s="87"/>
      <c r="DT262" s="87"/>
      <c r="DU262" s="87"/>
      <c r="DV262" s="87"/>
      <c r="DW262" s="87"/>
      <c r="DX262" s="87"/>
      <c r="DY262" s="87"/>
      <c r="DZ262" s="87"/>
      <c r="EA262" s="87"/>
      <c r="EB262" s="87"/>
      <c r="EC262" s="87"/>
      <c r="ED262" s="87"/>
      <c r="EE262" s="87"/>
      <c r="EF262" s="87"/>
      <c r="EG262" s="87"/>
      <c r="EH262" s="87"/>
      <c r="EI262" s="87"/>
      <c r="EJ262" s="87"/>
      <c r="EK262" s="87"/>
      <c r="EL262" s="87"/>
      <c r="EM262" s="87"/>
      <c r="EN262" s="87"/>
      <c r="EO262" s="87"/>
      <c r="EP262" s="87"/>
      <c r="EQ262" s="87"/>
      <c r="ER262" s="87"/>
      <c r="ES262" s="87"/>
      <c r="ET262" s="87"/>
      <c r="EU262" s="87"/>
      <c r="EV262" s="87"/>
      <c r="EW262" s="87"/>
      <c r="EX262" s="87"/>
      <c r="EY262" s="87"/>
      <c r="EZ262" s="87"/>
      <c r="FA262" s="87"/>
      <c r="FB262" s="87"/>
      <c r="FC262" s="87"/>
      <c r="FD262" s="87"/>
      <c r="FE262" s="87"/>
      <c r="FF262" s="87"/>
      <c r="FG262" s="87"/>
      <c r="FH262" s="87"/>
      <c r="FI262" s="87"/>
      <c r="FJ262" s="87"/>
      <c r="FK262" s="87"/>
      <c r="FL262" s="87"/>
      <c r="FM262" s="87"/>
      <c r="FN262" s="87"/>
      <c r="FO262" s="87"/>
      <c r="FP262" s="87"/>
      <c r="FQ262" s="87"/>
      <c r="FR262" s="87"/>
      <c r="FS262" s="87"/>
      <c r="FT262" s="87"/>
      <c r="FU262" s="87"/>
      <c r="FV262" s="87"/>
      <c r="FW262" s="87"/>
      <c r="FX262" s="87"/>
      <c r="FY262" s="87"/>
    </row>
    <row r="263" customFormat="false" ht="43.5" hidden="false" customHeight="true" outlineLevel="0" collapsed="false">
      <c r="A263" s="87"/>
      <c r="D263" s="87"/>
      <c r="E263" s="87" t="s">
        <v>184</v>
      </c>
      <c r="F263" s="87"/>
      <c r="G263" s="102"/>
      <c r="H263" s="103"/>
      <c r="I263" s="103"/>
      <c r="J263" s="104"/>
      <c r="K263" s="113" t="s">
        <v>602</v>
      </c>
      <c r="L263" s="114" t="n">
        <v>150000</v>
      </c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87"/>
      <c r="BM263" s="87"/>
      <c r="BN263" s="87"/>
      <c r="BO263" s="87"/>
      <c r="BP263" s="87"/>
      <c r="BQ263" s="87"/>
      <c r="BR263" s="87"/>
      <c r="BS263" s="87"/>
      <c r="BT263" s="87"/>
      <c r="BU263" s="87"/>
      <c r="BV263" s="87"/>
      <c r="BW263" s="87"/>
      <c r="BX263" s="87"/>
      <c r="BY263" s="87"/>
      <c r="BZ263" s="87"/>
      <c r="CA263" s="87"/>
      <c r="CB263" s="87"/>
      <c r="CC263" s="87"/>
      <c r="CD263" s="87"/>
      <c r="CE263" s="87"/>
      <c r="CF263" s="87"/>
      <c r="CG263" s="87"/>
      <c r="CH263" s="87"/>
      <c r="CI263" s="87"/>
      <c r="CJ263" s="87"/>
      <c r="CK263" s="87"/>
      <c r="CL263" s="87"/>
      <c r="CM263" s="87"/>
      <c r="CN263" s="87"/>
      <c r="CO263" s="87"/>
      <c r="CP263" s="87"/>
      <c r="CQ263" s="87"/>
      <c r="CR263" s="87"/>
      <c r="CS263" s="87"/>
      <c r="CT263" s="87"/>
      <c r="CU263" s="87"/>
      <c r="CV263" s="87"/>
      <c r="CW263" s="87"/>
      <c r="CX263" s="87"/>
      <c r="CY263" s="87"/>
      <c r="CZ263" s="87"/>
      <c r="DA263" s="87"/>
      <c r="DB263" s="87"/>
      <c r="DC263" s="87"/>
      <c r="DD263" s="87"/>
      <c r="DE263" s="87"/>
      <c r="DF263" s="87"/>
      <c r="DG263" s="87"/>
      <c r="DH263" s="87"/>
      <c r="DI263" s="87"/>
      <c r="DJ263" s="87"/>
      <c r="DK263" s="87"/>
      <c r="DL263" s="87"/>
      <c r="DM263" s="87"/>
      <c r="DN263" s="87"/>
      <c r="DO263" s="87"/>
      <c r="DP263" s="87"/>
      <c r="DQ263" s="87"/>
      <c r="DR263" s="87"/>
      <c r="DS263" s="87"/>
      <c r="DT263" s="87"/>
      <c r="DU263" s="87"/>
      <c r="DV263" s="87"/>
      <c r="DW263" s="87"/>
      <c r="DX263" s="87"/>
      <c r="DY263" s="87"/>
      <c r="DZ263" s="87"/>
      <c r="EA263" s="87"/>
      <c r="EB263" s="87"/>
      <c r="EC263" s="87"/>
      <c r="ED263" s="87"/>
      <c r="EE263" s="87"/>
      <c r="EF263" s="87"/>
      <c r="EG263" s="87"/>
      <c r="EH263" s="87"/>
      <c r="EI263" s="87"/>
      <c r="EJ263" s="87"/>
      <c r="EK263" s="87"/>
      <c r="EL263" s="87"/>
      <c r="EM263" s="87"/>
      <c r="EN263" s="87"/>
      <c r="EO263" s="87"/>
      <c r="EP263" s="87"/>
      <c r="EQ263" s="87"/>
      <c r="ER263" s="87"/>
      <c r="ES263" s="87"/>
      <c r="ET263" s="87"/>
      <c r="EU263" s="87"/>
      <c r="EV263" s="87"/>
      <c r="EW263" s="87"/>
      <c r="EX263" s="87"/>
      <c r="EY263" s="87"/>
      <c r="EZ263" s="87"/>
      <c r="FA263" s="87"/>
      <c r="FB263" s="87"/>
      <c r="FC263" s="87"/>
      <c r="FD263" s="87"/>
      <c r="FE263" s="87"/>
      <c r="FF263" s="87"/>
      <c r="FG263" s="87"/>
      <c r="FH263" s="87"/>
      <c r="FI263" s="87"/>
      <c r="FJ263" s="87"/>
      <c r="FK263" s="87"/>
      <c r="FL263" s="87"/>
      <c r="FM263" s="87"/>
      <c r="FN263" s="87"/>
      <c r="FO263" s="87"/>
      <c r="FP263" s="87"/>
      <c r="FQ263" s="87"/>
      <c r="FR263" s="87"/>
      <c r="FS263" s="87"/>
      <c r="FT263" s="87" t="s">
        <v>184</v>
      </c>
      <c r="FU263" s="87"/>
      <c r="FV263" s="87"/>
      <c r="FW263" s="87"/>
      <c r="FX263" s="87"/>
      <c r="FY263" s="87"/>
    </row>
    <row r="264" customFormat="false" ht="43.5" hidden="false" customHeight="true" outlineLevel="0" collapsed="false">
      <c r="A264" s="87"/>
      <c r="F264" s="87"/>
      <c r="G264" s="102"/>
      <c r="H264" s="103"/>
      <c r="I264" s="103"/>
      <c r="J264" s="104"/>
      <c r="K264" s="115"/>
      <c r="L264" s="116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87"/>
      <c r="BM264" s="87"/>
      <c r="BN264" s="87"/>
      <c r="BO264" s="87"/>
      <c r="BP264" s="87"/>
      <c r="BQ264" s="87"/>
      <c r="BR264" s="87"/>
      <c r="BS264" s="87"/>
      <c r="BT264" s="87"/>
      <c r="BU264" s="87"/>
      <c r="BV264" s="87"/>
      <c r="BW264" s="87"/>
      <c r="BX264" s="87"/>
      <c r="BY264" s="87"/>
      <c r="BZ264" s="87"/>
      <c r="CA264" s="87"/>
      <c r="CB264" s="87"/>
      <c r="CC264" s="87"/>
      <c r="CD264" s="87"/>
      <c r="CE264" s="87"/>
      <c r="CF264" s="87"/>
      <c r="CG264" s="87"/>
      <c r="CH264" s="87"/>
      <c r="CI264" s="87"/>
      <c r="CJ264" s="87"/>
      <c r="CK264" s="87"/>
      <c r="CL264" s="87"/>
      <c r="CM264" s="87"/>
      <c r="CN264" s="87"/>
      <c r="CO264" s="87"/>
      <c r="CP264" s="87"/>
      <c r="CQ264" s="87"/>
      <c r="CR264" s="87"/>
      <c r="CS264" s="87"/>
      <c r="CT264" s="87"/>
      <c r="CU264" s="87"/>
      <c r="CV264" s="87"/>
      <c r="CW264" s="87"/>
      <c r="CX264" s="87"/>
      <c r="CY264" s="87"/>
      <c r="CZ264" s="87"/>
      <c r="DA264" s="87"/>
      <c r="DB264" s="87"/>
      <c r="DC264" s="87"/>
      <c r="DD264" s="87"/>
      <c r="DE264" s="87"/>
      <c r="DF264" s="87"/>
      <c r="DG264" s="87"/>
      <c r="DH264" s="87"/>
      <c r="DI264" s="87"/>
      <c r="DJ264" s="87"/>
      <c r="DK264" s="87"/>
      <c r="DL264" s="87"/>
      <c r="DM264" s="87"/>
      <c r="DN264" s="87"/>
      <c r="DO264" s="87"/>
      <c r="DP264" s="87"/>
      <c r="DQ264" s="87"/>
      <c r="DR264" s="87"/>
      <c r="DS264" s="87"/>
      <c r="DT264" s="87"/>
      <c r="DU264" s="87"/>
      <c r="DV264" s="87"/>
      <c r="DW264" s="87"/>
      <c r="DX264" s="87"/>
      <c r="DY264" s="87"/>
      <c r="DZ264" s="87"/>
      <c r="EA264" s="87"/>
      <c r="EB264" s="87"/>
      <c r="EC264" s="87"/>
      <c r="ED264" s="87"/>
      <c r="EE264" s="87"/>
      <c r="EF264" s="87"/>
      <c r="EG264" s="87"/>
      <c r="EH264" s="87"/>
      <c r="EI264" s="87"/>
      <c r="EJ264" s="87"/>
      <c r="EK264" s="87"/>
      <c r="EL264" s="87"/>
      <c r="EM264" s="87"/>
      <c r="EN264" s="87"/>
      <c r="EO264" s="87"/>
      <c r="EP264" s="87"/>
      <c r="EQ264" s="87"/>
      <c r="ER264" s="87"/>
      <c r="ES264" s="87"/>
      <c r="ET264" s="87"/>
      <c r="EU264" s="87"/>
      <c r="EV264" s="87"/>
      <c r="EW264" s="87"/>
      <c r="EX264" s="87"/>
      <c r="EY264" s="87"/>
      <c r="EZ264" s="87"/>
      <c r="FA264" s="87"/>
      <c r="FB264" s="87"/>
      <c r="FC264" s="87"/>
      <c r="FD264" s="87"/>
      <c r="FE264" s="87"/>
      <c r="FF264" s="87"/>
      <c r="FG264" s="87"/>
      <c r="FH264" s="87"/>
      <c r="FI264" s="87"/>
      <c r="FJ264" s="87"/>
      <c r="FK264" s="87"/>
      <c r="FL264" s="87"/>
      <c r="FM264" s="87"/>
      <c r="FN264" s="87"/>
      <c r="FO264" s="87"/>
      <c r="FP264" s="87"/>
      <c r="FQ264" s="87"/>
      <c r="FR264" s="87"/>
      <c r="FS264" s="87"/>
      <c r="FT264" s="87"/>
      <c r="FU264" s="87"/>
      <c r="FV264" s="87"/>
      <c r="FW264" s="87"/>
      <c r="FX264" s="87"/>
      <c r="FY264" s="87"/>
    </row>
    <row r="265" customFormat="false" ht="43.5" hidden="false" customHeight="true" outlineLevel="0" collapsed="false">
      <c r="A265" s="87"/>
      <c r="C265" s="2" t="s">
        <v>184</v>
      </c>
      <c r="F265" s="87"/>
      <c r="G265" s="102"/>
      <c r="H265" s="103"/>
      <c r="I265" s="103"/>
      <c r="J265" s="104"/>
      <c r="K265" s="87"/>
      <c r="L265" s="87" t="s">
        <v>184</v>
      </c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87"/>
      <c r="BM265" s="87"/>
      <c r="BN265" s="87"/>
      <c r="BO265" s="87"/>
      <c r="BP265" s="87"/>
      <c r="BQ265" s="87"/>
      <c r="BR265" s="87"/>
      <c r="BS265" s="87"/>
      <c r="BT265" s="87"/>
      <c r="BU265" s="87"/>
      <c r="BV265" s="87"/>
      <c r="BW265" s="87"/>
      <c r="BX265" s="87"/>
      <c r="BY265" s="87"/>
      <c r="BZ265" s="87"/>
      <c r="CA265" s="87"/>
      <c r="CB265" s="87"/>
      <c r="CC265" s="87"/>
      <c r="CD265" s="87"/>
      <c r="CE265" s="87"/>
      <c r="CF265" s="87"/>
      <c r="CG265" s="87"/>
      <c r="CH265" s="87"/>
      <c r="CI265" s="87"/>
      <c r="CJ265" s="87"/>
      <c r="CK265" s="87"/>
      <c r="CL265" s="87"/>
      <c r="CM265" s="87"/>
      <c r="CN265" s="87"/>
      <c r="CO265" s="87"/>
      <c r="CP265" s="87"/>
      <c r="CQ265" s="87"/>
      <c r="CR265" s="87"/>
      <c r="CS265" s="87"/>
      <c r="CT265" s="87"/>
      <c r="CU265" s="87"/>
      <c r="CV265" s="87"/>
      <c r="CW265" s="87"/>
      <c r="CX265" s="87"/>
      <c r="CY265" s="87"/>
      <c r="CZ265" s="87"/>
      <c r="DA265" s="87"/>
      <c r="DB265" s="87"/>
      <c r="DC265" s="87"/>
      <c r="DD265" s="87"/>
      <c r="DE265" s="87"/>
      <c r="DF265" s="87"/>
      <c r="DG265" s="87"/>
      <c r="DH265" s="87"/>
      <c r="DI265" s="87"/>
      <c r="DJ265" s="87"/>
      <c r="DK265" s="87"/>
      <c r="DL265" s="87"/>
      <c r="DM265" s="87"/>
      <c r="DN265" s="87"/>
      <c r="DO265" s="87"/>
      <c r="DP265" s="87"/>
      <c r="DQ265" s="87"/>
      <c r="DR265" s="87"/>
      <c r="DS265" s="87"/>
      <c r="DT265" s="87"/>
      <c r="DU265" s="87"/>
      <c r="DV265" s="87"/>
      <c r="DW265" s="87"/>
      <c r="DX265" s="87"/>
      <c r="DY265" s="87"/>
      <c r="DZ265" s="87"/>
      <c r="EA265" s="87"/>
      <c r="EB265" s="87"/>
      <c r="EC265" s="87"/>
      <c r="ED265" s="87"/>
      <c r="EE265" s="87"/>
      <c r="EF265" s="87"/>
      <c r="EG265" s="87"/>
      <c r="EH265" s="87"/>
      <c r="EI265" s="87"/>
      <c r="EJ265" s="87"/>
      <c r="EK265" s="87"/>
      <c r="EL265" s="87"/>
      <c r="EM265" s="87"/>
      <c r="EN265" s="87"/>
      <c r="EO265" s="87"/>
      <c r="EP265" s="87"/>
      <c r="EQ265" s="87"/>
      <c r="ER265" s="87"/>
      <c r="ES265" s="87"/>
      <c r="ET265" s="87"/>
      <c r="EU265" s="87"/>
      <c r="EV265" s="87"/>
      <c r="EW265" s="87"/>
      <c r="EX265" s="87"/>
      <c r="EY265" s="87"/>
      <c r="EZ265" s="87"/>
      <c r="FA265" s="87"/>
      <c r="FB265" s="87"/>
      <c r="FC265" s="87"/>
      <c r="FD265" s="87"/>
      <c r="FE265" s="87"/>
      <c r="FF265" s="87"/>
      <c r="FG265" s="87"/>
      <c r="FH265" s="87"/>
      <c r="FI265" s="87"/>
      <c r="FJ265" s="87"/>
      <c r="FK265" s="87"/>
      <c r="FL265" s="87"/>
      <c r="FM265" s="87"/>
      <c r="FN265" s="87"/>
      <c r="FO265" s="87"/>
      <c r="FP265" s="87"/>
      <c r="FQ265" s="87"/>
      <c r="FR265" s="87"/>
      <c r="FS265" s="87"/>
      <c r="FT265" s="87"/>
      <c r="FU265" s="87"/>
      <c r="FV265" s="87"/>
      <c r="FW265" s="87"/>
      <c r="FX265" s="87"/>
      <c r="FY265" s="87"/>
    </row>
    <row r="266" customFormat="false" ht="43.5" hidden="false" customHeight="true" outlineLevel="0" collapsed="false">
      <c r="FW266" s="1" t="s">
        <v>184</v>
      </c>
    </row>
    <row r="269" customFormat="false" ht="43.5" hidden="false" customHeight="true" outlineLevel="0" collapsed="false">
      <c r="K269" s="1" t="s">
        <v>184</v>
      </c>
    </row>
    <row r="270" customFormat="false" ht="43.5" hidden="false" customHeight="true" outlineLevel="0" collapsed="false">
      <c r="J270" s="5" t="s">
        <v>184</v>
      </c>
    </row>
    <row r="274" customFormat="false" ht="43.5" hidden="false" customHeight="true" outlineLevel="0" collapsed="false">
      <c r="B274" s="2" t="s">
        <v>184</v>
      </c>
    </row>
    <row r="285" customFormat="false" ht="43.5" hidden="false" customHeight="true" outlineLevel="0" collapsed="false">
      <c r="B285" s="2" t="s">
        <v>184</v>
      </c>
    </row>
  </sheetData>
  <printOptions headings="false" gridLines="false" gridLinesSet="true" horizontalCentered="false" verticalCentered="false"/>
  <pageMargins left="0.118055555555556" right="0.118055555555556" top="0.747916666666667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1" sqref="A1:FY1 C8"/>
    </sheetView>
  </sheetViews>
  <sheetFormatPr defaultColWidth="17.42578125" defaultRowHeight="15" customHeight="true" zeroHeight="false" outlineLevelRow="0" outlineLevelCol="0"/>
  <sheetData>
    <row r="1" customFormat="false" ht="30.75" hidden="false" customHeight="true" outlineLevel="0" collapsed="false">
      <c r="A1" s="117" t="s">
        <v>603</v>
      </c>
      <c r="B1" s="118" t="s">
        <v>299</v>
      </c>
      <c r="C1" s="118"/>
      <c r="D1" s="119" t="s">
        <v>604</v>
      </c>
      <c r="E1" s="120"/>
      <c r="F1" s="121" t="s">
        <v>605</v>
      </c>
    </row>
    <row r="2" customFormat="false" ht="17.35" hidden="false" customHeight="false" outlineLevel="0" collapsed="false">
      <c r="A2" s="117" t="s">
        <v>606</v>
      </c>
      <c r="B2" s="122" t="n">
        <v>3388</v>
      </c>
      <c r="C2" s="123" t="s">
        <v>184</v>
      </c>
      <c r="D2" s="117" t="s">
        <v>607</v>
      </c>
      <c r="E2" s="124" t="n">
        <v>45861</v>
      </c>
      <c r="F2" s="125" t="s">
        <v>608</v>
      </c>
    </row>
    <row r="3" customFormat="false" ht="17.35" hidden="false" customHeight="false" outlineLevel="0" collapsed="false">
      <c r="A3" s="117" t="s">
        <v>609</v>
      </c>
      <c r="B3" s="126" t="n">
        <v>3823</v>
      </c>
      <c r="C3" s="127" t="s">
        <v>184</v>
      </c>
      <c r="D3" s="128" t="s">
        <v>610</v>
      </c>
      <c r="E3" s="129" t="n">
        <v>45938</v>
      </c>
      <c r="F3" s="130" t="s">
        <v>611</v>
      </c>
    </row>
    <row r="4" customFormat="false" ht="17.35" hidden="false" customHeight="false" outlineLevel="0" collapsed="false">
      <c r="A4" s="131" t="s">
        <v>612</v>
      </c>
      <c r="B4" s="132" t="s">
        <v>613</v>
      </c>
      <c r="C4" s="133" t="s">
        <v>614</v>
      </c>
      <c r="D4" s="131" t="s">
        <v>612</v>
      </c>
      <c r="E4" s="132" t="s">
        <v>613</v>
      </c>
      <c r="F4" s="133" t="s">
        <v>614</v>
      </c>
    </row>
    <row r="5" customFormat="false" ht="26.25" hidden="false" customHeight="true" outlineLevel="0" collapsed="false">
      <c r="A5" s="134" t="s">
        <v>184</v>
      </c>
      <c r="B5" s="135"/>
      <c r="C5" s="136" t="n">
        <v>1</v>
      </c>
      <c r="D5" s="134" t="s">
        <v>184</v>
      </c>
      <c r="E5" s="137"/>
      <c r="F5" s="138" t="n">
        <v>29</v>
      </c>
    </row>
    <row r="6" customFormat="false" ht="26.25" hidden="false" customHeight="true" outlineLevel="0" collapsed="false">
      <c r="A6" s="139" t="s">
        <v>184</v>
      </c>
      <c r="B6" s="140"/>
      <c r="C6" s="141" t="n">
        <v>2</v>
      </c>
      <c r="D6" s="139" t="s">
        <v>184</v>
      </c>
      <c r="E6" s="142"/>
      <c r="F6" s="143" t="n">
        <v>30</v>
      </c>
    </row>
    <row r="7" customFormat="false" ht="26.25" hidden="false" customHeight="true" outlineLevel="0" collapsed="false">
      <c r="A7" s="139" t="s">
        <v>184</v>
      </c>
      <c r="B7" s="144"/>
      <c r="C7" s="141" t="n">
        <v>3</v>
      </c>
      <c r="D7" s="139" t="s">
        <v>184</v>
      </c>
      <c r="E7" s="142"/>
      <c r="F7" s="143" t="n">
        <v>31</v>
      </c>
    </row>
    <row r="8" customFormat="false" ht="26.25" hidden="false" customHeight="true" outlineLevel="0" collapsed="false">
      <c r="A8" s="139" t="s">
        <v>184</v>
      </c>
      <c r="B8" s="144"/>
      <c r="C8" s="141" t="n">
        <v>4</v>
      </c>
      <c r="D8" s="139" t="s">
        <v>184</v>
      </c>
      <c r="E8" s="142"/>
      <c r="F8" s="143" t="n">
        <v>32</v>
      </c>
    </row>
    <row r="9" customFormat="false" ht="26.25" hidden="false" customHeight="true" outlineLevel="0" collapsed="false">
      <c r="A9" s="145" t="s">
        <v>184</v>
      </c>
      <c r="B9" s="144" t="s">
        <v>184</v>
      </c>
      <c r="C9" s="141" t="n">
        <v>5</v>
      </c>
      <c r="D9" s="139" t="s">
        <v>184</v>
      </c>
      <c r="E9" s="142"/>
      <c r="F9" s="143" t="n">
        <v>33</v>
      </c>
    </row>
    <row r="10" customFormat="false" ht="26.25" hidden="false" customHeight="true" outlineLevel="0" collapsed="false">
      <c r="A10" s="139" t="s">
        <v>184</v>
      </c>
      <c r="B10" s="144"/>
      <c r="C10" s="141" t="n">
        <v>6</v>
      </c>
      <c r="D10" s="139" t="s">
        <v>184</v>
      </c>
      <c r="E10" s="142"/>
      <c r="F10" s="143" t="n">
        <v>34</v>
      </c>
    </row>
    <row r="11" customFormat="false" ht="26.25" hidden="false" customHeight="true" outlineLevel="0" collapsed="false">
      <c r="A11" s="139" t="s">
        <v>184</v>
      </c>
      <c r="B11" s="144"/>
      <c r="C11" s="141" t="n">
        <v>7</v>
      </c>
      <c r="D11" s="139" t="s">
        <v>184</v>
      </c>
      <c r="E11" s="142"/>
      <c r="F11" s="143" t="n">
        <v>35</v>
      </c>
    </row>
    <row r="12" customFormat="false" ht="26.25" hidden="false" customHeight="true" outlineLevel="0" collapsed="false">
      <c r="A12" s="139" t="s">
        <v>184</v>
      </c>
      <c r="B12" s="144"/>
      <c r="C12" s="141" t="n">
        <v>8</v>
      </c>
      <c r="D12" s="139" t="s">
        <v>184</v>
      </c>
      <c r="E12" s="142"/>
      <c r="F12" s="143" t="n">
        <v>36</v>
      </c>
    </row>
    <row r="13" customFormat="false" ht="26.25" hidden="false" customHeight="true" outlineLevel="0" collapsed="false">
      <c r="A13" s="139" t="s">
        <v>184</v>
      </c>
      <c r="B13" s="144" t="s">
        <v>184</v>
      </c>
      <c r="C13" s="141" t="n">
        <v>9</v>
      </c>
      <c r="D13" s="139"/>
      <c r="E13" s="142"/>
      <c r="F13" s="143" t="n">
        <v>37</v>
      </c>
    </row>
    <row r="14" customFormat="false" ht="26.25" hidden="false" customHeight="true" outlineLevel="0" collapsed="false">
      <c r="A14" s="139" t="s">
        <v>184</v>
      </c>
      <c r="B14" s="144"/>
      <c r="C14" s="146" t="n">
        <v>10</v>
      </c>
      <c r="D14" s="139"/>
      <c r="E14" s="142"/>
      <c r="F14" s="143" t="n">
        <v>38</v>
      </c>
    </row>
    <row r="15" customFormat="false" ht="26.25" hidden="false" customHeight="true" outlineLevel="0" collapsed="false">
      <c r="A15" s="139" t="s">
        <v>184</v>
      </c>
      <c r="B15" s="144"/>
      <c r="C15" s="141" t="n">
        <v>11</v>
      </c>
      <c r="D15" s="139"/>
      <c r="E15" s="142"/>
      <c r="F15" s="143" t="n">
        <v>39</v>
      </c>
    </row>
    <row r="16" customFormat="false" ht="26.25" hidden="false" customHeight="true" outlineLevel="0" collapsed="false">
      <c r="A16" s="139" t="s">
        <v>184</v>
      </c>
      <c r="B16" s="144"/>
      <c r="C16" s="141" t="n">
        <v>12</v>
      </c>
      <c r="D16" s="139"/>
      <c r="E16" s="142"/>
      <c r="F16" s="143" t="n">
        <v>40</v>
      </c>
    </row>
    <row r="17" customFormat="false" ht="26.25" hidden="false" customHeight="true" outlineLevel="0" collapsed="false">
      <c r="A17" s="139" t="s">
        <v>184</v>
      </c>
      <c r="B17" s="144"/>
      <c r="C17" s="141" t="n">
        <v>13</v>
      </c>
      <c r="D17" s="139"/>
      <c r="E17" s="142"/>
      <c r="F17" s="143" t="n">
        <v>41</v>
      </c>
    </row>
    <row r="18" customFormat="false" ht="26.25" hidden="false" customHeight="true" outlineLevel="0" collapsed="false">
      <c r="A18" s="139" t="s">
        <v>184</v>
      </c>
      <c r="B18" s="144"/>
      <c r="C18" s="141" t="n">
        <v>14</v>
      </c>
      <c r="D18" s="139"/>
      <c r="E18" s="142"/>
      <c r="F18" s="143" t="n">
        <v>42</v>
      </c>
    </row>
    <row r="19" customFormat="false" ht="26.25" hidden="false" customHeight="true" outlineLevel="0" collapsed="false">
      <c r="A19" s="139" t="s">
        <v>184</v>
      </c>
      <c r="B19" s="144"/>
      <c r="C19" s="141" t="n">
        <v>15</v>
      </c>
      <c r="D19" s="139"/>
      <c r="E19" s="142"/>
      <c r="F19" s="143" t="n">
        <v>43</v>
      </c>
    </row>
    <row r="20" customFormat="false" ht="26.25" hidden="false" customHeight="true" outlineLevel="0" collapsed="false">
      <c r="A20" s="139" t="s">
        <v>184</v>
      </c>
      <c r="B20" s="144"/>
      <c r="C20" s="141" t="n">
        <v>16</v>
      </c>
      <c r="D20" s="139" t="s">
        <v>184</v>
      </c>
      <c r="E20" s="142"/>
      <c r="F20" s="143" t="n">
        <v>44</v>
      </c>
    </row>
    <row r="21" customFormat="false" ht="26.25" hidden="false" customHeight="true" outlineLevel="0" collapsed="false">
      <c r="A21" s="139" t="s">
        <v>184</v>
      </c>
      <c r="B21" s="144"/>
      <c r="C21" s="141" t="n">
        <v>17</v>
      </c>
      <c r="D21" s="139"/>
      <c r="E21" s="142"/>
      <c r="F21" s="143" t="n">
        <v>45</v>
      </c>
    </row>
    <row r="22" customFormat="false" ht="26.25" hidden="false" customHeight="true" outlineLevel="0" collapsed="false">
      <c r="A22" s="139" t="s">
        <v>184</v>
      </c>
      <c r="B22" s="144"/>
      <c r="C22" s="141" t="n">
        <v>18</v>
      </c>
      <c r="D22" s="139"/>
      <c r="E22" s="142"/>
      <c r="F22" s="143" t="n">
        <v>46</v>
      </c>
    </row>
    <row r="23" customFormat="false" ht="26.25" hidden="false" customHeight="true" outlineLevel="0" collapsed="false">
      <c r="A23" s="139" t="s">
        <v>184</v>
      </c>
      <c r="B23" s="144"/>
      <c r="C23" s="141" t="n">
        <v>19</v>
      </c>
      <c r="D23" s="139"/>
      <c r="E23" s="142"/>
      <c r="F23" s="143" t="n">
        <v>47</v>
      </c>
    </row>
    <row r="24" customFormat="false" ht="26.25" hidden="false" customHeight="true" outlineLevel="0" collapsed="false">
      <c r="A24" s="139" t="s">
        <v>184</v>
      </c>
      <c r="B24" s="144"/>
      <c r="C24" s="146" t="n">
        <v>20</v>
      </c>
      <c r="D24" s="139"/>
      <c r="E24" s="142"/>
      <c r="F24" s="143" t="n">
        <v>48</v>
      </c>
    </row>
    <row r="25" customFormat="false" ht="26.25" hidden="false" customHeight="true" outlineLevel="0" collapsed="false">
      <c r="A25" s="139" t="s">
        <v>184</v>
      </c>
      <c r="B25" s="144"/>
      <c r="C25" s="141" t="n">
        <v>21</v>
      </c>
      <c r="D25" s="139"/>
      <c r="E25" s="142"/>
      <c r="F25" s="143" t="n">
        <v>49</v>
      </c>
    </row>
    <row r="26" customFormat="false" ht="26.25" hidden="false" customHeight="true" outlineLevel="0" collapsed="false">
      <c r="A26" s="139" t="s">
        <v>184</v>
      </c>
      <c r="B26" s="144"/>
      <c r="C26" s="141" t="n">
        <v>22</v>
      </c>
      <c r="D26" s="139"/>
      <c r="E26" s="142"/>
      <c r="F26" s="143" t="n">
        <v>50</v>
      </c>
    </row>
    <row r="27" customFormat="false" ht="26.25" hidden="false" customHeight="true" outlineLevel="0" collapsed="false">
      <c r="A27" s="139"/>
      <c r="B27" s="144"/>
      <c r="C27" s="141" t="n">
        <v>23</v>
      </c>
      <c r="D27" s="139" t="s">
        <v>184</v>
      </c>
      <c r="E27" s="142"/>
      <c r="F27" s="143" t="n">
        <v>51</v>
      </c>
    </row>
    <row r="28" customFormat="false" ht="26.25" hidden="false" customHeight="true" outlineLevel="0" collapsed="false">
      <c r="A28" s="139"/>
      <c r="B28" s="144"/>
      <c r="C28" s="141" t="n">
        <v>24</v>
      </c>
      <c r="D28" s="139" t="s">
        <v>184</v>
      </c>
      <c r="E28" s="142"/>
      <c r="F28" s="143" t="n">
        <v>52</v>
      </c>
    </row>
    <row r="29" customFormat="false" ht="26.25" hidden="false" customHeight="true" outlineLevel="0" collapsed="false">
      <c r="A29" s="139"/>
      <c r="B29" s="144"/>
      <c r="C29" s="141" t="n">
        <v>25</v>
      </c>
      <c r="D29" s="139" t="s">
        <v>184</v>
      </c>
      <c r="E29" s="142"/>
      <c r="F29" s="143" t="n">
        <v>53</v>
      </c>
    </row>
    <row r="30" customFormat="false" ht="26.25" hidden="false" customHeight="true" outlineLevel="0" collapsed="false">
      <c r="A30" s="139" t="s">
        <v>184</v>
      </c>
      <c r="B30" s="144"/>
      <c r="C30" s="141" t="n">
        <v>26</v>
      </c>
      <c r="D30" s="139" t="s">
        <v>184</v>
      </c>
      <c r="E30" s="142"/>
      <c r="F30" s="143" t="n">
        <v>54</v>
      </c>
    </row>
    <row r="31" customFormat="false" ht="26.25" hidden="false" customHeight="true" outlineLevel="0" collapsed="false">
      <c r="A31" s="139" t="s">
        <v>184</v>
      </c>
      <c r="B31" s="144"/>
      <c r="C31" s="141" t="n">
        <v>27</v>
      </c>
      <c r="D31" s="139" t="s">
        <v>184</v>
      </c>
      <c r="E31" s="142"/>
      <c r="F31" s="143" t="n">
        <v>55</v>
      </c>
    </row>
    <row r="32" customFormat="false" ht="26.25" hidden="false" customHeight="true" outlineLevel="0" collapsed="false">
      <c r="A32" s="147" t="s">
        <v>184</v>
      </c>
      <c r="B32" s="148"/>
      <c r="C32" s="149" t="n">
        <v>28</v>
      </c>
      <c r="D32" s="150" t="s">
        <v>184</v>
      </c>
      <c r="E32" s="151"/>
      <c r="F32" s="152" t="n">
        <v>56</v>
      </c>
    </row>
    <row r="33" customFormat="false" ht="17.35" hidden="false" customHeight="false" outlineLevel="0" collapsed="false">
      <c r="E33" s="128" t="s">
        <v>615</v>
      </c>
      <c r="F33" s="153" t="s">
        <v>611</v>
      </c>
    </row>
  </sheetData>
  <mergeCells count="1">
    <mergeCell ref="B1:C1"/>
  </mergeCells>
  <printOptions headings="false" gridLines="false" gridLinesSet="true" horizontalCentered="false" verticalCentered="false"/>
  <pageMargins left="0.315277777777778" right="0.118055555555556" top="0.354166666666667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1" sqref="A1:FY1 B11"/>
    </sheetView>
  </sheetViews>
  <sheetFormatPr defaultColWidth="17.00390625" defaultRowHeight="21" customHeight="true" zeroHeight="false" outlineLevelRow="0" outlineLevelCol="0"/>
  <cols>
    <col collapsed="false" customWidth="false" hidden="false" outlineLevel="0" max="16384" min="1" style="154" width="17"/>
  </cols>
  <sheetData>
    <row r="1" customFormat="false" ht="21" hidden="false" customHeight="true" outlineLevel="0" collapsed="false">
      <c r="A1" s="117"/>
      <c r="B1" s="155" t="s">
        <v>332</v>
      </c>
      <c r="C1" s="155"/>
      <c r="D1" s="156" t="s">
        <v>616</v>
      </c>
      <c r="E1" s="157" t="s">
        <v>184</v>
      </c>
      <c r="F1" s="158" t="s">
        <v>617</v>
      </c>
    </row>
    <row r="2" customFormat="false" ht="20.25" hidden="false" customHeight="true" outlineLevel="0" collapsed="false">
      <c r="A2" s="117" t="s">
        <v>606</v>
      </c>
      <c r="B2" s="159" t="n">
        <v>3488</v>
      </c>
      <c r="C2" s="160" t="s">
        <v>184</v>
      </c>
      <c r="D2" s="117" t="s">
        <v>607</v>
      </c>
      <c r="E2" s="161" t="n">
        <v>45973</v>
      </c>
      <c r="F2" s="162" t="s">
        <v>618</v>
      </c>
    </row>
    <row r="3" customFormat="false" ht="17.25" hidden="false" customHeight="true" outlineLevel="0" collapsed="false">
      <c r="A3" s="117" t="s">
        <v>609</v>
      </c>
      <c r="B3" s="163" t="s">
        <v>619</v>
      </c>
      <c r="C3" s="127" t="s">
        <v>184</v>
      </c>
      <c r="D3" s="117" t="s">
        <v>620</v>
      </c>
      <c r="E3" s="161" t="n">
        <v>46073</v>
      </c>
      <c r="F3" s="164" t="s">
        <v>611</v>
      </c>
    </row>
    <row r="4" customFormat="false" ht="21" hidden="false" customHeight="true" outlineLevel="0" collapsed="false">
      <c r="A4" s="165" t="s">
        <v>612</v>
      </c>
      <c r="B4" s="166" t="s">
        <v>613</v>
      </c>
      <c r="C4" s="167" t="s">
        <v>614</v>
      </c>
      <c r="D4" s="165" t="s">
        <v>612</v>
      </c>
      <c r="E4" s="166" t="s">
        <v>613</v>
      </c>
      <c r="F4" s="167" t="s">
        <v>614</v>
      </c>
    </row>
    <row r="5" customFormat="false" ht="21" hidden="false" customHeight="true" outlineLevel="0" collapsed="false">
      <c r="A5" s="168" t="s">
        <v>184</v>
      </c>
      <c r="B5" s="169"/>
      <c r="C5" s="170" t="n">
        <v>1</v>
      </c>
      <c r="D5" s="134" t="s">
        <v>184</v>
      </c>
      <c r="E5" s="171"/>
      <c r="F5" s="136" t="n">
        <v>37</v>
      </c>
    </row>
    <row r="6" customFormat="false" ht="21" hidden="false" customHeight="true" outlineLevel="0" collapsed="false">
      <c r="A6" s="139" t="s">
        <v>184</v>
      </c>
      <c r="B6" s="140"/>
      <c r="C6" s="141" t="n">
        <v>2</v>
      </c>
      <c r="D6" s="139" t="s">
        <v>184</v>
      </c>
      <c r="E6" s="172"/>
      <c r="F6" s="141" t="n">
        <v>38</v>
      </c>
    </row>
    <row r="7" customFormat="false" ht="21" hidden="false" customHeight="true" outlineLevel="0" collapsed="false">
      <c r="A7" s="145" t="s">
        <v>184</v>
      </c>
      <c r="B7" s="144" t="s">
        <v>184</v>
      </c>
      <c r="C7" s="173" t="n">
        <v>3</v>
      </c>
      <c r="D7" s="139" t="s">
        <v>184</v>
      </c>
      <c r="E7" s="172"/>
      <c r="F7" s="141" t="n">
        <v>39</v>
      </c>
    </row>
    <row r="8" customFormat="false" ht="21" hidden="false" customHeight="true" outlineLevel="0" collapsed="false">
      <c r="A8" s="139" t="s">
        <v>184</v>
      </c>
      <c r="B8" s="144"/>
      <c r="C8" s="141" t="n">
        <v>4</v>
      </c>
      <c r="D8" s="139"/>
      <c r="E8" s="172" t="s">
        <v>184</v>
      </c>
      <c r="F8" s="141" t="n">
        <v>40</v>
      </c>
    </row>
    <row r="9" customFormat="false" ht="21" hidden="false" customHeight="true" outlineLevel="0" collapsed="false">
      <c r="A9" s="174" t="s">
        <v>184</v>
      </c>
      <c r="B9" s="175" t="s">
        <v>184</v>
      </c>
      <c r="C9" s="141" t="n">
        <v>5</v>
      </c>
      <c r="D9" s="139" t="s">
        <v>184</v>
      </c>
      <c r="E9" s="172"/>
      <c r="F9" s="141" t="n">
        <v>41</v>
      </c>
    </row>
    <row r="10" customFormat="false" ht="21" hidden="false" customHeight="true" outlineLevel="0" collapsed="false">
      <c r="A10" s="139" t="s">
        <v>184</v>
      </c>
      <c r="B10" s="144" t="s">
        <v>184</v>
      </c>
      <c r="C10" s="141" t="n">
        <v>6</v>
      </c>
      <c r="D10" s="139" t="s">
        <v>184</v>
      </c>
      <c r="E10" s="172" t="s">
        <v>184</v>
      </c>
      <c r="F10" s="141" t="n">
        <v>42</v>
      </c>
    </row>
    <row r="11" customFormat="false" ht="21" hidden="false" customHeight="true" outlineLevel="0" collapsed="false">
      <c r="A11" s="139" t="s">
        <v>184</v>
      </c>
      <c r="B11" s="144" t="s">
        <v>184</v>
      </c>
      <c r="C11" s="141" t="n">
        <v>7</v>
      </c>
      <c r="D11" s="139" t="s">
        <v>184</v>
      </c>
      <c r="E11" s="172"/>
      <c r="F11" s="141" t="n">
        <v>43</v>
      </c>
    </row>
    <row r="12" customFormat="false" ht="21" hidden="false" customHeight="true" outlineLevel="0" collapsed="false">
      <c r="A12" s="139" t="s">
        <v>184</v>
      </c>
      <c r="B12" s="144"/>
      <c r="C12" s="141" t="n">
        <v>8</v>
      </c>
      <c r="D12" s="139"/>
      <c r="E12" s="144"/>
      <c r="F12" s="141" t="n">
        <v>44</v>
      </c>
    </row>
    <row r="13" customFormat="false" ht="21" hidden="false" customHeight="true" outlineLevel="0" collapsed="false">
      <c r="A13" s="139" t="s">
        <v>184</v>
      </c>
      <c r="B13" s="144" t="s">
        <v>184</v>
      </c>
      <c r="C13" s="141" t="n">
        <v>9</v>
      </c>
      <c r="D13" s="176" t="s">
        <v>184</v>
      </c>
      <c r="E13" s="144" t="s">
        <v>184</v>
      </c>
      <c r="F13" s="141" t="n">
        <v>45</v>
      </c>
    </row>
    <row r="14" customFormat="false" ht="21" hidden="false" customHeight="true" outlineLevel="0" collapsed="false">
      <c r="A14" s="174" t="s">
        <v>184</v>
      </c>
      <c r="B14" s="177" t="s">
        <v>184</v>
      </c>
      <c r="C14" s="141" t="n">
        <v>10</v>
      </c>
      <c r="D14" s="139"/>
      <c r="E14" s="144"/>
      <c r="F14" s="141" t="n">
        <v>46</v>
      </c>
    </row>
    <row r="15" customFormat="false" ht="21" hidden="false" customHeight="true" outlineLevel="0" collapsed="false">
      <c r="A15" s="139" t="s">
        <v>184</v>
      </c>
      <c r="B15" s="144"/>
      <c r="C15" s="141" t="n">
        <v>11</v>
      </c>
      <c r="D15" s="139" t="s">
        <v>184</v>
      </c>
      <c r="E15" s="144"/>
      <c r="F15" s="141" t="n">
        <v>47</v>
      </c>
    </row>
    <row r="16" customFormat="false" ht="21" hidden="false" customHeight="true" outlineLevel="0" collapsed="false">
      <c r="A16" s="139" t="s">
        <v>184</v>
      </c>
      <c r="B16" s="144" t="s">
        <v>184</v>
      </c>
      <c r="C16" s="141" t="n">
        <v>12</v>
      </c>
      <c r="D16" s="139" t="s">
        <v>184</v>
      </c>
      <c r="E16" s="144"/>
      <c r="F16" s="141" t="n">
        <v>48</v>
      </c>
    </row>
    <row r="17" customFormat="false" ht="21" hidden="false" customHeight="true" outlineLevel="0" collapsed="false">
      <c r="A17" s="139" t="s">
        <v>184</v>
      </c>
      <c r="B17" s="178" t="s">
        <v>184</v>
      </c>
      <c r="C17" s="141" t="n">
        <v>13</v>
      </c>
      <c r="D17" s="179" t="s">
        <v>184</v>
      </c>
      <c r="E17" s="180" t="s">
        <v>184</v>
      </c>
      <c r="F17" s="141" t="n">
        <v>49</v>
      </c>
    </row>
    <row r="18" customFormat="false" ht="21" hidden="false" customHeight="true" outlineLevel="0" collapsed="false">
      <c r="A18" s="181" t="s">
        <v>184</v>
      </c>
      <c r="B18" s="182" t="s">
        <v>184</v>
      </c>
      <c r="C18" s="141" t="n">
        <v>14</v>
      </c>
      <c r="D18" s="139" t="s">
        <v>184</v>
      </c>
      <c r="E18" s="144"/>
      <c r="F18" s="141" t="n">
        <v>50</v>
      </c>
    </row>
    <row r="19" customFormat="false" ht="21" hidden="false" customHeight="true" outlineLevel="0" collapsed="false">
      <c r="A19" s="179" t="s">
        <v>184</v>
      </c>
      <c r="B19" s="144" t="s">
        <v>184</v>
      </c>
      <c r="C19" s="141" t="n">
        <v>15</v>
      </c>
      <c r="D19" s="139" t="s">
        <v>184</v>
      </c>
      <c r="E19" s="172"/>
      <c r="F19" s="141" t="n">
        <v>51</v>
      </c>
    </row>
    <row r="20" customFormat="false" ht="21" hidden="false" customHeight="true" outlineLevel="0" collapsed="false">
      <c r="A20" s="139" t="s">
        <v>184</v>
      </c>
      <c r="B20" s="144"/>
      <c r="C20" s="141" t="n">
        <v>16</v>
      </c>
      <c r="D20" s="139" t="s">
        <v>184</v>
      </c>
      <c r="E20" s="172"/>
      <c r="F20" s="141" t="n">
        <v>52</v>
      </c>
    </row>
    <row r="21" customFormat="false" ht="21" hidden="false" customHeight="true" outlineLevel="0" collapsed="false">
      <c r="A21" s="139" t="s">
        <v>184</v>
      </c>
      <c r="B21" s="144"/>
      <c r="C21" s="141" t="n">
        <v>17</v>
      </c>
      <c r="D21" s="139" t="s">
        <v>184</v>
      </c>
      <c r="E21" s="183" t="s">
        <v>184</v>
      </c>
      <c r="F21" s="141" t="n">
        <v>53</v>
      </c>
    </row>
    <row r="22" customFormat="false" ht="21" hidden="false" customHeight="true" outlineLevel="0" collapsed="false">
      <c r="A22" s="139" t="s">
        <v>184</v>
      </c>
      <c r="B22" s="144"/>
      <c r="C22" s="141" t="n">
        <v>18</v>
      </c>
      <c r="D22" s="139" t="s">
        <v>184</v>
      </c>
      <c r="E22" s="172"/>
      <c r="F22" s="141" t="n">
        <v>54</v>
      </c>
    </row>
    <row r="23" customFormat="false" ht="21" hidden="false" customHeight="true" outlineLevel="0" collapsed="false">
      <c r="A23" s="139" t="s">
        <v>184</v>
      </c>
      <c r="B23" s="144"/>
      <c r="C23" s="141" t="n">
        <v>19</v>
      </c>
      <c r="D23" s="139" t="s">
        <v>184</v>
      </c>
      <c r="E23" s="172"/>
      <c r="F23" s="141" t="n">
        <v>55</v>
      </c>
    </row>
    <row r="24" customFormat="false" ht="21" hidden="false" customHeight="true" outlineLevel="0" collapsed="false">
      <c r="A24" s="184" t="s">
        <v>184</v>
      </c>
      <c r="B24" s="144" t="s">
        <v>184</v>
      </c>
      <c r="C24" s="141" t="n">
        <v>20</v>
      </c>
      <c r="D24" s="139" t="s">
        <v>184</v>
      </c>
      <c r="E24" s="172"/>
      <c r="F24" s="141" t="n">
        <v>56</v>
      </c>
    </row>
    <row r="25" customFormat="false" ht="21" hidden="false" customHeight="true" outlineLevel="0" collapsed="false">
      <c r="A25" s="139" t="s">
        <v>184</v>
      </c>
      <c r="B25" s="185" t="s">
        <v>184</v>
      </c>
      <c r="C25" s="141" t="n">
        <v>21</v>
      </c>
      <c r="D25" s="139" t="s">
        <v>184</v>
      </c>
      <c r="E25" s="172"/>
      <c r="F25" s="141" t="n">
        <v>57</v>
      </c>
    </row>
    <row r="26" customFormat="false" ht="21" hidden="false" customHeight="true" outlineLevel="0" collapsed="false">
      <c r="A26" s="139" t="s">
        <v>184</v>
      </c>
      <c r="B26" s="144"/>
      <c r="C26" s="141" t="n">
        <v>22</v>
      </c>
      <c r="D26" s="139"/>
      <c r="E26" s="144"/>
      <c r="F26" s="141" t="n">
        <v>58</v>
      </c>
    </row>
    <row r="27" customFormat="false" ht="21" hidden="false" customHeight="true" outlineLevel="0" collapsed="false">
      <c r="A27" s="139" t="s">
        <v>184</v>
      </c>
      <c r="B27" s="144"/>
      <c r="C27" s="141" t="n">
        <v>23</v>
      </c>
      <c r="D27" s="139" t="s">
        <v>184</v>
      </c>
      <c r="E27" s="144"/>
      <c r="F27" s="141" t="n">
        <v>59</v>
      </c>
    </row>
    <row r="28" customFormat="false" ht="21" hidden="false" customHeight="true" outlineLevel="0" collapsed="false">
      <c r="A28" s="139" t="s">
        <v>184</v>
      </c>
      <c r="B28" s="144"/>
      <c r="C28" s="141" t="n">
        <v>24</v>
      </c>
      <c r="D28" s="139"/>
      <c r="E28" s="144"/>
      <c r="F28" s="141" t="n">
        <v>60</v>
      </c>
    </row>
    <row r="29" customFormat="false" ht="21" hidden="false" customHeight="true" outlineLevel="0" collapsed="false">
      <c r="A29" s="139" t="s">
        <v>184</v>
      </c>
      <c r="B29" s="144"/>
      <c r="C29" s="141" t="n">
        <v>25</v>
      </c>
      <c r="D29" s="139" t="s">
        <v>184</v>
      </c>
      <c r="E29" s="144"/>
      <c r="F29" s="141" t="n">
        <v>61</v>
      </c>
    </row>
    <row r="30" customFormat="false" ht="21" hidden="false" customHeight="true" outlineLevel="0" collapsed="false">
      <c r="A30" s="139" t="s">
        <v>184</v>
      </c>
      <c r="B30" s="144"/>
      <c r="C30" s="141" t="n">
        <v>26</v>
      </c>
      <c r="D30" s="139" t="s">
        <v>184</v>
      </c>
      <c r="E30" s="144"/>
      <c r="F30" s="141" t="n">
        <v>62</v>
      </c>
    </row>
    <row r="31" customFormat="false" ht="21" hidden="false" customHeight="true" outlineLevel="0" collapsed="false">
      <c r="A31" s="139" t="s">
        <v>184</v>
      </c>
      <c r="B31" s="144" t="s">
        <v>184</v>
      </c>
      <c r="C31" s="141" t="n">
        <v>27</v>
      </c>
      <c r="D31" s="186"/>
      <c r="E31" s="144"/>
      <c r="F31" s="141" t="n">
        <v>63</v>
      </c>
    </row>
    <row r="32" customFormat="false" ht="21" hidden="false" customHeight="true" outlineLevel="0" collapsed="false">
      <c r="A32" s="139" t="s">
        <v>184</v>
      </c>
      <c r="B32" s="144"/>
      <c r="C32" s="141" t="n">
        <v>28</v>
      </c>
      <c r="D32" s="186"/>
      <c r="E32" s="144"/>
      <c r="F32" s="141" t="n">
        <v>64</v>
      </c>
    </row>
    <row r="33" customFormat="false" ht="21" hidden="false" customHeight="true" outlineLevel="0" collapsed="false">
      <c r="A33" s="139" t="s">
        <v>184</v>
      </c>
      <c r="B33" s="144"/>
      <c r="C33" s="141" t="n">
        <v>29</v>
      </c>
      <c r="D33" s="186"/>
      <c r="E33" s="144"/>
      <c r="F33" s="141" t="n">
        <v>65</v>
      </c>
    </row>
    <row r="34" customFormat="false" ht="21" hidden="false" customHeight="true" outlineLevel="0" collapsed="false">
      <c r="A34" s="179" t="s">
        <v>184</v>
      </c>
      <c r="B34" s="144" t="s">
        <v>184</v>
      </c>
      <c r="C34" s="141" t="n">
        <v>30</v>
      </c>
      <c r="D34" s="186"/>
      <c r="E34" s="144"/>
      <c r="F34" s="141" t="n">
        <v>66</v>
      </c>
    </row>
    <row r="35" customFormat="false" ht="21" hidden="false" customHeight="true" outlineLevel="0" collapsed="false">
      <c r="A35" s="139" t="s">
        <v>184</v>
      </c>
      <c r="B35" s="144"/>
      <c r="C35" s="141" t="n">
        <v>31</v>
      </c>
      <c r="D35" s="186"/>
      <c r="E35" s="144"/>
      <c r="F35" s="141" t="n">
        <v>67</v>
      </c>
    </row>
    <row r="36" customFormat="false" ht="21" hidden="false" customHeight="true" outlineLevel="0" collapsed="false">
      <c r="A36" s="139" t="s">
        <v>184</v>
      </c>
      <c r="B36" s="144"/>
      <c r="C36" s="141" t="n">
        <v>32</v>
      </c>
      <c r="D36" s="186"/>
      <c r="E36" s="144"/>
      <c r="F36" s="141" t="n">
        <v>68</v>
      </c>
    </row>
    <row r="37" customFormat="false" ht="21" hidden="false" customHeight="true" outlineLevel="0" collapsed="false">
      <c r="A37" s="179" t="s">
        <v>184</v>
      </c>
      <c r="B37" s="187" t="s">
        <v>184</v>
      </c>
      <c r="C37" s="141" t="n">
        <v>33</v>
      </c>
      <c r="D37" s="186"/>
      <c r="E37" s="144"/>
      <c r="F37" s="141" t="n">
        <v>69</v>
      </c>
    </row>
    <row r="38" customFormat="false" ht="21" hidden="false" customHeight="true" outlineLevel="0" collapsed="false">
      <c r="A38" s="139" t="s">
        <v>184</v>
      </c>
      <c r="B38" s="144"/>
      <c r="C38" s="141" t="n">
        <v>34</v>
      </c>
      <c r="D38" s="188"/>
      <c r="E38" s="189"/>
      <c r="F38" s="190" t="n">
        <v>70</v>
      </c>
    </row>
    <row r="39" customFormat="false" ht="21" hidden="false" customHeight="true" outlineLevel="0" collapsed="false">
      <c r="A39" s="139" t="s">
        <v>184</v>
      </c>
      <c r="B39" s="144"/>
      <c r="C39" s="191" t="n">
        <v>35</v>
      </c>
      <c r="D39" s="186"/>
      <c r="E39" s="144"/>
      <c r="F39" s="141" t="n">
        <v>71</v>
      </c>
    </row>
    <row r="40" customFormat="false" ht="21" hidden="false" customHeight="true" outlineLevel="0" collapsed="false">
      <c r="A40" s="147" t="s">
        <v>184</v>
      </c>
      <c r="B40" s="148"/>
      <c r="C40" s="192" t="n">
        <v>36</v>
      </c>
      <c r="D40" s="193" t="s">
        <v>184</v>
      </c>
      <c r="E40" s="148" t="s">
        <v>184</v>
      </c>
      <c r="F40" s="149" t="n">
        <v>72</v>
      </c>
    </row>
    <row r="41" customFormat="false" ht="21" hidden="false" customHeight="true" outlineLevel="0" collapsed="false">
      <c r="A41" s="194"/>
      <c r="B41" s="194"/>
      <c r="C41" s="194"/>
      <c r="D41" s="194" t="s">
        <v>184</v>
      </c>
      <c r="E41" s="156" t="s">
        <v>621</v>
      </c>
      <c r="F41" s="195" t="s">
        <v>611</v>
      </c>
    </row>
  </sheetData>
  <mergeCells count="1">
    <mergeCell ref="B1:C1"/>
  </mergeCells>
  <printOptions headings="false" gridLines="false" gridLinesSet="true" horizontalCentered="false" verticalCentered="false"/>
  <pageMargins left="0.118055555555556" right="0.118055555555556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1" sqref="A1:FY1 E11"/>
    </sheetView>
  </sheetViews>
  <sheetFormatPr defaultColWidth="11.00390625" defaultRowHeight="15" customHeight="true" zeroHeight="false" outlineLevelRow="0" outlineLevelCol="0"/>
  <cols>
    <col collapsed="false" customWidth="false" hidden="false" outlineLevel="0" max="2" min="1" style="196" width="11"/>
    <col collapsed="false" customWidth="true" hidden="false" outlineLevel="0" max="3" min="3" style="196" width="10.71"/>
    <col collapsed="false" customWidth="false" hidden="false" outlineLevel="0" max="4" min="4" style="196" width="11"/>
    <col collapsed="false" customWidth="true" hidden="false" outlineLevel="0" max="5" min="5" style="196" width="13"/>
    <col collapsed="false" customWidth="false" hidden="false" outlineLevel="0" max="16384" min="6" style="196" width="11"/>
  </cols>
  <sheetData>
    <row r="1" customFormat="false" ht="18" hidden="false" customHeight="true" outlineLevel="0" collapsed="false">
      <c r="A1" s="117" t="s">
        <v>603</v>
      </c>
      <c r="B1" s="197" t="s">
        <v>622</v>
      </c>
      <c r="C1" s="197"/>
      <c r="D1" s="198" t="s">
        <v>623</v>
      </c>
      <c r="E1" s="117"/>
      <c r="F1" s="199" t="s">
        <v>184</v>
      </c>
      <c r="G1" s="200" t="s">
        <v>184</v>
      </c>
      <c r="I1" s="201" t="s">
        <v>624</v>
      </c>
    </row>
    <row r="2" customFormat="false" ht="18" hidden="false" customHeight="true" outlineLevel="0" collapsed="false">
      <c r="A2" s="117" t="s">
        <v>606</v>
      </c>
      <c r="B2" s="159" t="n">
        <v>3480</v>
      </c>
      <c r="C2" s="202" t="s">
        <v>184</v>
      </c>
      <c r="D2" s="117" t="s">
        <v>607</v>
      </c>
      <c r="E2" s="203" t="n">
        <v>45969</v>
      </c>
      <c r="G2" s="202" t="s">
        <v>184</v>
      </c>
      <c r="I2" s="204"/>
    </row>
    <row r="3" customFormat="false" ht="18" hidden="false" customHeight="true" outlineLevel="0" collapsed="false">
      <c r="A3" s="117" t="s">
        <v>609</v>
      </c>
      <c r="B3" s="163" t="s">
        <v>625</v>
      </c>
      <c r="C3" s="127" t="s">
        <v>184</v>
      </c>
      <c r="D3" s="205" t="s">
        <v>626</v>
      </c>
      <c r="E3" s="203" t="n">
        <v>46122</v>
      </c>
      <c r="G3" s="206" t="s">
        <v>627</v>
      </c>
      <c r="H3" s="207" t="s">
        <v>611</v>
      </c>
      <c r="I3" s="207"/>
    </row>
    <row r="4" customFormat="false" ht="18" hidden="false" customHeight="true" outlineLevel="0" collapsed="false">
      <c r="A4" s="208" t="s">
        <v>612</v>
      </c>
      <c r="B4" s="209" t="s">
        <v>613</v>
      </c>
      <c r="C4" s="210" t="s">
        <v>614</v>
      </c>
      <c r="D4" s="131" t="s">
        <v>612</v>
      </c>
      <c r="E4" s="132" t="s">
        <v>613</v>
      </c>
      <c r="F4" s="133" t="s">
        <v>614</v>
      </c>
      <c r="G4" s="208" t="s">
        <v>612</v>
      </c>
      <c r="H4" s="209" t="s">
        <v>613</v>
      </c>
      <c r="I4" s="210" t="s">
        <v>614</v>
      </c>
    </row>
    <row r="5" customFormat="false" ht="18" hidden="false" customHeight="true" outlineLevel="0" collapsed="false">
      <c r="A5" s="211" t="s">
        <v>184</v>
      </c>
      <c r="B5" s="144"/>
      <c r="C5" s="212" t="n">
        <v>1</v>
      </c>
      <c r="D5" s="213" t="s">
        <v>184</v>
      </c>
      <c r="E5" s="171"/>
      <c r="F5" s="136" t="n">
        <v>43</v>
      </c>
      <c r="G5" s="214" t="s">
        <v>184</v>
      </c>
      <c r="H5" s="215" t="s">
        <v>184</v>
      </c>
      <c r="I5" s="136" t="n">
        <v>85</v>
      </c>
    </row>
    <row r="6" customFormat="false" ht="18" hidden="false" customHeight="true" outlineLevel="0" collapsed="false">
      <c r="A6" s="211"/>
      <c r="B6" s="144"/>
      <c r="C6" s="212" t="n">
        <v>2</v>
      </c>
      <c r="D6" s="216"/>
      <c r="E6" s="172"/>
      <c r="F6" s="141" t="n">
        <v>44</v>
      </c>
      <c r="G6" s="217"/>
      <c r="H6" s="218"/>
      <c r="I6" s="141" t="n">
        <v>86</v>
      </c>
    </row>
    <row r="7" customFormat="false" ht="18" hidden="false" customHeight="true" outlineLevel="0" collapsed="false">
      <c r="A7" s="211"/>
      <c r="B7" s="144"/>
      <c r="C7" s="212" t="n">
        <v>3</v>
      </c>
      <c r="D7" s="216"/>
      <c r="E7" s="178" t="s">
        <v>184</v>
      </c>
      <c r="F7" s="141" t="n">
        <v>45</v>
      </c>
      <c r="G7" s="217"/>
      <c r="H7" s="218"/>
      <c r="I7" s="141" t="n">
        <v>87</v>
      </c>
    </row>
    <row r="8" customFormat="false" ht="18" hidden="false" customHeight="true" outlineLevel="0" collapsed="false">
      <c r="A8" s="211"/>
      <c r="B8" s="144"/>
      <c r="C8" s="212" t="n">
        <v>4</v>
      </c>
      <c r="D8" s="216"/>
      <c r="E8" s="172"/>
      <c r="F8" s="141" t="n">
        <v>46</v>
      </c>
      <c r="G8" s="217"/>
      <c r="H8" s="218"/>
      <c r="I8" s="141" t="n">
        <v>88</v>
      </c>
    </row>
    <row r="9" customFormat="false" ht="18" hidden="false" customHeight="true" outlineLevel="0" collapsed="false">
      <c r="A9" s="211" t="s">
        <v>184</v>
      </c>
      <c r="B9" s="183" t="s">
        <v>184</v>
      </c>
      <c r="C9" s="212" t="n">
        <v>5</v>
      </c>
      <c r="D9" s="216" t="s">
        <v>184</v>
      </c>
      <c r="E9" s="172"/>
      <c r="F9" s="141" t="n">
        <v>47</v>
      </c>
      <c r="G9" s="217"/>
      <c r="H9" s="218"/>
      <c r="I9" s="141" t="n">
        <v>89</v>
      </c>
    </row>
    <row r="10" customFormat="false" ht="18" hidden="false" customHeight="true" outlineLevel="0" collapsed="false">
      <c r="A10" s="211" t="s">
        <v>184</v>
      </c>
      <c r="B10" s="144"/>
      <c r="C10" s="212" t="n">
        <v>6</v>
      </c>
      <c r="D10" s="216" t="s">
        <v>184</v>
      </c>
      <c r="E10" s="172"/>
      <c r="F10" s="141" t="n">
        <v>48</v>
      </c>
      <c r="G10" s="217"/>
      <c r="H10" s="218"/>
      <c r="I10" s="141" t="n">
        <v>90</v>
      </c>
    </row>
    <row r="11" customFormat="false" ht="18" hidden="false" customHeight="true" outlineLevel="0" collapsed="false">
      <c r="A11" s="211" t="s">
        <v>184</v>
      </c>
      <c r="B11" s="144"/>
      <c r="C11" s="212" t="n">
        <v>7</v>
      </c>
      <c r="D11" s="216" t="s">
        <v>184</v>
      </c>
      <c r="E11" s="172"/>
      <c r="F11" s="141" t="n">
        <v>49</v>
      </c>
      <c r="G11" s="217"/>
      <c r="H11" s="218"/>
      <c r="I11" s="141" t="n">
        <v>91</v>
      </c>
    </row>
    <row r="12" customFormat="false" ht="18" hidden="false" customHeight="true" outlineLevel="0" collapsed="false">
      <c r="A12" s="211" t="s">
        <v>184</v>
      </c>
      <c r="B12" s="144" t="s">
        <v>184</v>
      </c>
      <c r="C12" s="212" t="n">
        <v>8</v>
      </c>
      <c r="D12" s="216" t="s">
        <v>184</v>
      </c>
      <c r="E12" s="172"/>
      <c r="F12" s="141" t="n">
        <v>50</v>
      </c>
      <c r="G12" s="217"/>
      <c r="H12" s="218"/>
      <c r="I12" s="141" t="n">
        <v>92</v>
      </c>
    </row>
    <row r="13" customFormat="false" ht="18" hidden="false" customHeight="true" outlineLevel="0" collapsed="false">
      <c r="A13" s="211" t="s">
        <v>184</v>
      </c>
      <c r="B13" s="144"/>
      <c r="C13" s="212" t="n">
        <v>9</v>
      </c>
      <c r="D13" s="216" t="s">
        <v>184</v>
      </c>
      <c r="E13" s="172"/>
      <c r="F13" s="141" t="n">
        <v>51</v>
      </c>
      <c r="G13" s="217"/>
      <c r="H13" s="218"/>
      <c r="I13" s="141" t="n">
        <v>93</v>
      </c>
    </row>
    <row r="14" customFormat="false" ht="18" hidden="false" customHeight="true" outlineLevel="0" collapsed="false">
      <c r="A14" s="211" t="s">
        <v>184</v>
      </c>
      <c r="B14" s="180" t="s">
        <v>184</v>
      </c>
      <c r="C14" s="212" t="n">
        <v>10</v>
      </c>
      <c r="D14" s="216" t="s">
        <v>184</v>
      </c>
      <c r="E14" s="219"/>
      <c r="F14" s="141" t="n">
        <v>52</v>
      </c>
      <c r="G14" s="217"/>
      <c r="H14" s="218"/>
      <c r="I14" s="141" t="n">
        <v>94</v>
      </c>
    </row>
    <row r="15" customFormat="false" ht="18" hidden="false" customHeight="true" outlineLevel="0" collapsed="false">
      <c r="A15" s="211" t="s">
        <v>184</v>
      </c>
      <c r="B15" s="144"/>
      <c r="C15" s="212" t="n">
        <v>11</v>
      </c>
      <c r="D15" s="216"/>
      <c r="E15" s="144"/>
      <c r="F15" s="141" t="n">
        <v>53</v>
      </c>
      <c r="G15" s="217"/>
      <c r="H15" s="218"/>
      <c r="I15" s="141" t="n">
        <v>95</v>
      </c>
    </row>
    <row r="16" customFormat="false" ht="18" hidden="false" customHeight="true" outlineLevel="0" collapsed="false">
      <c r="A16" s="220" t="s">
        <v>184</v>
      </c>
      <c r="B16" s="144" t="s">
        <v>184</v>
      </c>
      <c r="C16" s="212" t="n">
        <v>12</v>
      </c>
      <c r="D16" s="216" t="s">
        <v>184</v>
      </c>
      <c r="E16" s="172"/>
      <c r="F16" s="141" t="n">
        <v>54</v>
      </c>
      <c r="G16" s="217"/>
      <c r="H16" s="218"/>
      <c r="I16" s="141" t="n">
        <v>96</v>
      </c>
    </row>
    <row r="17" customFormat="false" ht="18" hidden="false" customHeight="true" outlineLevel="0" collapsed="false">
      <c r="A17" s="211" t="s">
        <v>184</v>
      </c>
      <c r="B17" s="144"/>
      <c r="C17" s="212" t="n">
        <v>13</v>
      </c>
      <c r="D17" s="221" t="s">
        <v>184</v>
      </c>
      <c r="E17" s="222" t="s">
        <v>184</v>
      </c>
      <c r="F17" s="141" t="n">
        <v>55</v>
      </c>
      <c r="G17" s="217"/>
      <c r="H17" s="218"/>
      <c r="I17" s="141" t="n">
        <v>97</v>
      </c>
    </row>
    <row r="18" customFormat="false" ht="18" hidden="false" customHeight="true" outlineLevel="0" collapsed="false">
      <c r="A18" s="211" t="s">
        <v>184</v>
      </c>
      <c r="B18" s="144"/>
      <c r="C18" s="212" t="n">
        <v>14</v>
      </c>
      <c r="D18" s="216" t="s">
        <v>184</v>
      </c>
      <c r="E18" s="172"/>
      <c r="F18" s="141" t="n">
        <v>56</v>
      </c>
      <c r="G18" s="217"/>
      <c r="H18" s="218"/>
      <c r="I18" s="141" t="n">
        <v>98</v>
      </c>
    </row>
    <row r="19" customFormat="false" ht="18" hidden="false" customHeight="true" outlineLevel="0" collapsed="false">
      <c r="A19" s="211" t="s">
        <v>184</v>
      </c>
      <c r="B19" s="144"/>
      <c r="C19" s="212" t="n">
        <v>15</v>
      </c>
      <c r="D19" s="216" t="s">
        <v>184</v>
      </c>
      <c r="E19" s="172"/>
      <c r="F19" s="141" t="n">
        <v>57</v>
      </c>
      <c r="G19" s="217"/>
      <c r="H19" s="218"/>
      <c r="I19" s="141" t="n">
        <v>99</v>
      </c>
    </row>
    <row r="20" customFormat="false" ht="18" hidden="false" customHeight="true" outlineLevel="0" collapsed="false">
      <c r="A20" s="211" t="s">
        <v>184</v>
      </c>
      <c r="B20" s="144"/>
      <c r="C20" s="212" t="n">
        <v>16</v>
      </c>
      <c r="D20" s="216" t="s">
        <v>184</v>
      </c>
      <c r="E20" s="172"/>
      <c r="F20" s="141" t="n">
        <v>58</v>
      </c>
      <c r="G20" s="217"/>
      <c r="H20" s="218"/>
      <c r="I20" s="141" t="n">
        <v>100</v>
      </c>
    </row>
    <row r="21" customFormat="false" ht="18" hidden="false" customHeight="true" outlineLevel="0" collapsed="false">
      <c r="A21" s="211" t="s">
        <v>184</v>
      </c>
      <c r="B21" s="144"/>
      <c r="C21" s="212" t="n">
        <v>17</v>
      </c>
      <c r="D21" s="216" t="s">
        <v>184</v>
      </c>
      <c r="E21" s="172"/>
      <c r="F21" s="141" t="n">
        <v>59</v>
      </c>
      <c r="G21" s="217"/>
      <c r="H21" s="218" t="s">
        <v>184</v>
      </c>
      <c r="I21" s="141" t="n">
        <v>101</v>
      </c>
    </row>
    <row r="22" customFormat="false" ht="18" hidden="false" customHeight="true" outlineLevel="0" collapsed="false">
      <c r="A22" s="211" t="s">
        <v>184</v>
      </c>
      <c r="B22" s="144"/>
      <c r="C22" s="212" t="n">
        <v>18</v>
      </c>
      <c r="D22" s="223" t="s">
        <v>184</v>
      </c>
      <c r="E22" s="224" t="s">
        <v>184</v>
      </c>
      <c r="F22" s="141" t="n">
        <v>60</v>
      </c>
      <c r="G22" s="217"/>
      <c r="H22" s="218"/>
      <c r="I22" s="141" t="n">
        <v>102</v>
      </c>
    </row>
    <row r="23" customFormat="false" ht="18" hidden="false" customHeight="true" outlineLevel="0" collapsed="false">
      <c r="A23" s="211" t="s">
        <v>184</v>
      </c>
      <c r="B23" s="144"/>
      <c r="C23" s="212" t="n">
        <v>19</v>
      </c>
      <c r="D23" s="216"/>
      <c r="E23" s="144"/>
      <c r="F23" s="141" t="n">
        <v>61</v>
      </c>
      <c r="G23" s="217"/>
      <c r="H23" s="218"/>
      <c r="I23" s="141" t="n">
        <v>103</v>
      </c>
    </row>
    <row r="24" customFormat="false" ht="18" hidden="false" customHeight="true" outlineLevel="0" collapsed="false">
      <c r="A24" s="211" t="s">
        <v>184</v>
      </c>
      <c r="B24" s="144"/>
      <c r="C24" s="212" t="n">
        <v>20</v>
      </c>
      <c r="D24" s="216" t="s">
        <v>184</v>
      </c>
      <c r="E24" s="172"/>
      <c r="F24" s="141" t="n">
        <v>62</v>
      </c>
      <c r="G24" s="217"/>
      <c r="H24" s="218"/>
      <c r="I24" s="141" t="n">
        <v>104</v>
      </c>
    </row>
    <row r="25" customFormat="false" ht="18" hidden="false" customHeight="true" outlineLevel="0" collapsed="false">
      <c r="A25" s="211" t="s">
        <v>184</v>
      </c>
      <c r="B25" s="144"/>
      <c r="C25" s="212" t="n">
        <v>21</v>
      </c>
      <c r="D25" s="216" t="s">
        <v>184</v>
      </c>
      <c r="E25" s="172"/>
      <c r="F25" s="141" t="n">
        <v>63</v>
      </c>
      <c r="G25" s="217"/>
      <c r="H25" s="218"/>
      <c r="I25" s="141" t="n">
        <v>105</v>
      </c>
    </row>
    <row r="26" customFormat="false" ht="18" hidden="false" customHeight="true" outlineLevel="0" collapsed="false">
      <c r="A26" s="211" t="s">
        <v>184</v>
      </c>
      <c r="B26" s="144"/>
      <c r="C26" s="212" t="n">
        <v>22</v>
      </c>
      <c r="D26" s="216" t="s">
        <v>184</v>
      </c>
      <c r="E26" s="172"/>
      <c r="F26" s="141" t="n">
        <v>64</v>
      </c>
      <c r="G26" s="217"/>
      <c r="H26" s="218"/>
      <c r="I26" s="141" t="n">
        <v>106</v>
      </c>
    </row>
    <row r="27" customFormat="false" ht="18" hidden="false" customHeight="true" outlineLevel="0" collapsed="false">
      <c r="A27" s="211" t="s">
        <v>184</v>
      </c>
      <c r="B27" s="144"/>
      <c r="C27" s="212" t="n">
        <v>23</v>
      </c>
      <c r="D27" s="216" t="s">
        <v>184</v>
      </c>
      <c r="E27" s="172"/>
      <c r="F27" s="141" t="n">
        <v>65</v>
      </c>
      <c r="G27" s="217"/>
      <c r="H27" s="218"/>
      <c r="I27" s="141" t="n">
        <v>107</v>
      </c>
    </row>
    <row r="28" customFormat="false" ht="18" hidden="false" customHeight="true" outlineLevel="0" collapsed="false">
      <c r="A28" s="211" t="s">
        <v>184</v>
      </c>
      <c r="B28" s="144"/>
      <c r="C28" s="212" t="n">
        <v>24</v>
      </c>
      <c r="D28" s="216" t="s">
        <v>184</v>
      </c>
      <c r="E28" s="172"/>
      <c r="F28" s="141" t="n">
        <v>66</v>
      </c>
      <c r="G28" s="217"/>
      <c r="H28" s="218"/>
      <c r="I28" s="141" t="n">
        <v>108</v>
      </c>
    </row>
    <row r="29" customFormat="false" ht="18" hidden="false" customHeight="true" outlineLevel="0" collapsed="false">
      <c r="A29" s="211" t="s">
        <v>184</v>
      </c>
      <c r="B29" s="144"/>
      <c r="C29" s="212" t="n">
        <v>25</v>
      </c>
      <c r="D29" s="216" t="s">
        <v>184</v>
      </c>
      <c r="E29" s="172"/>
      <c r="F29" s="141" t="n">
        <v>67</v>
      </c>
      <c r="G29" s="217"/>
      <c r="H29" s="218"/>
      <c r="I29" s="141" t="n">
        <v>109</v>
      </c>
    </row>
    <row r="30" customFormat="false" ht="18" hidden="false" customHeight="true" outlineLevel="0" collapsed="false">
      <c r="A30" s="211" t="s">
        <v>184</v>
      </c>
      <c r="B30" s="144"/>
      <c r="C30" s="212" t="n">
        <v>26</v>
      </c>
      <c r="D30" s="216" t="s">
        <v>184</v>
      </c>
      <c r="E30" s="172"/>
      <c r="F30" s="141" t="n">
        <v>68</v>
      </c>
      <c r="G30" s="225"/>
      <c r="H30" s="226"/>
      <c r="I30" s="149" t="n">
        <v>110</v>
      </c>
    </row>
    <row r="31" customFormat="false" ht="18" hidden="false" customHeight="true" outlineLevel="0" collapsed="false">
      <c r="A31" s="211" t="s">
        <v>184</v>
      </c>
      <c r="B31" s="144"/>
      <c r="C31" s="212" t="n">
        <v>27</v>
      </c>
      <c r="D31" s="216"/>
      <c r="E31" s="144"/>
      <c r="F31" s="141" t="n">
        <v>69</v>
      </c>
    </row>
    <row r="32" customFormat="false" ht="18" hidden="false" customHeight="true" outlineLevel="0" collapsed="false">
      <c r="A32" s="211" t="s">
        <v>184</v>
      </c>
      <c r="B32" s="144"/>
      <c r="C32" s="212" t="n">
        <v>28</v>
      </c>
      <c r="D32" s="216" t="s">
        <v>184</v>
      </c>
      <c r="E32" s="172"/>
      <c r="F32" s="141" t="n">
        <v>70</v>
      </c>
      <c r="G32" s="196" t="s">
        <v>184</v>
      </c>
    </row>
    <row r="33" customFormat="false" ht="18" hidden="false" customHeight="true" outlineLevel="0" collapsed="false">
      <c r="A33" s="211" t="s">
        <v>184</v>
      </c>
      <c r="B33" s="144"/>
      <c r="C33" s="212" t="n">
        <v>29</v>
      </c>
      <c r="D33" s="216" t="s">
        <v>184</v>
      </c>
      <c r="E33" s="172"/>
      <c r="F33" s="141" t="n">
        <v>71</v>
      </c>
      <c r="G33" s="196" t="s">
        <v>184</v>
      </c>
    </row>
    <row r="34" customFormat="false" ht="18" hidden="false" customHeight="true" outlineLevel="0" collapsed="false">
      <c r="A34" s="211" t="s">
        <v>184</v>
      </c>
      <c r="B34" s="144" t="s">
        <v>184</v>
      </c>
      <c r="C34" s="212" t="n">
        <v>30</v>
      </c>
      <c r="D34" s="216" t="s">
        <v>184</v>
      </c>
      <c r="E34" s="172"/>
      <c r="F34" s="141" t="n">
        <v>72</v>
      </c>
    </row>
    <row r="35" customFormat="false" ht="18" hidden="false" customHeight="true" outlineLevel="0" collapsed="false">
      <c r="A35" s="211" t="s">
        <v>184</v>
      </c>
      <c r="B35" s="144"/>
      <c r="C35" s="212" t="n">
        <v>31</v>
      </c>
      <c r="D35" s="216" t="s">
        <v>184</v>
      </c>
      <c r="E35" s="172"/>
      <c r="F35" s="141" t="n">
        <v>73</v>
      </c>
    </row>
    <row r="36" customFormat="false" ht="18" hidden="false" customHeight="true" outlineLevel="0" collapsed="false">
      <c r="A36" s="211" t="s">
        <v>184</v>
      </c>
      <c r="B36" s="144"/>
      <c r="C36" s="212" t="n">
        <v>32</v>
      </c>
      <c r="D36" s="216" t="s">
        <v>184</v>
      </c>
      <c r="E36" s="172"/>
      <c r="F36" s="141" t="n">
        <v>74</v>
      </c>
    </row>
    <row r="37" customFormat="false" ht="18" hidden="false" customHeight="true" outlineLevel="0" collapsed="false">
      <c r="A37" s="211" t="s">
        <v>184</v>
      </c>
      <c r="B37" s="144"/>
      <c r="C37" s="212" t="n">
        <v>33</v>
      </c>
      <c r="D37" s="216" t="s">
        <v>184</v>
      </c>
      <c r="E37" s="172"/>
      <c r="F37" s="141" t="n">
        <v>75</v>
      </c>
    </row>
    <row r="38" customFormat="false" ht="18" hidden="false" customHeight="true" outlineLevel="0" collapsed="false">
      <c r="A38" s="211" t="s">
        <v>184</v>
      </c>
      <c r="B38" s="144"/>
      <c r="C38" s="212" t="n">
        <v>34</v>
      </c>
      <c r="D38" s="216" t="s">
        <v>184</v>
      </c>
      <c r="E38" s="172"/>
      <c r="F38" s="141" t="n">
        <v>76</v>
      </c>
    </row>
    <row r="39" customFormat="false" ht="18" hidden="false" customHeight="true" outlineLevel="0" collapsed="false">
      <c r="A39" s="211" t="s">
        <v>184</v>
      </c>
      <c r="B39" s="144"/>
      <c r="C39" s="212" t="n">
        <v>35</v>
      </c>
      <c r="D39" s="216"/>
      <c r="E39" s="144"/>
      <c r="F39" s="141" t="n">
        <v>77</v>
      </c>
    </row>
    <row r="40" customFormat="false" ht="18" hidden="false" customHeight="true" outlineLevel="0" collapsed="false">
      <c r="A40" s="211" t="s">
        <v>184</v>
      </c>
      <c r="B40" s="144"/>
      <c r="C40" s="212" t="n">
        <v>36</v>
      </c>
      <c r="D40" s="216" t="s">
        <v>184</v>
      </c>
      <c r="E40" s="172"/>
      <c r="F40" s="141" t="n">
        <v>78</v>
      </c>
    </row>
    <row r="41" customFormat="false" ht="18" hidden="false" customHeight="true" outlineLevel="0" collapsed="false">
      <c r="A41" s="211"/>
      <c r="B41" s="144" t="s">
        <v>184</v>
      </c>
      <c r="C41" s="212" t="n">
        <v>37</v>
      </c>
      <c r="D41" s="216" t="s">
        <v>184</v>
      </c>
      <c r="E41" s="172"/>
      <c r="F41" s="141" t="n">
        <v>79</v>
      </c>
    </row>
    <row r="42" customFormat="false" ht="18" hidden="false" customHeight="true" outlineLevel="0" collapsed="false">
      <c r="A42" s="211"/>
      <c r="B42" s="144"/>
      <c r="C42" s="212" t="n">
        <v>38</v>
      </c>
      <c r="D42" s="216" t="s">
        <v>184</v>
      </c>
      <c r="E42" s="172"/>
      <c r="F42" s="141" t="n">
        <v>80</v>
      </c>
    </row>
    <row r="43" customFormat="false" ht="18" hidden="false" customHeight="true" outlineLevel="0" collapsed="false">
      <c r="A43" s="211" t="s">
        <v>184</v>
      </c>
      <c r="B43" s="144"/>
      <c r="C43" s="212" t="n">
        <v>39</v>
      </c>
      <c r="D43" s="216" t="s">
        <v>184</v>
      </c>
      <c r="E43" s="172"/>
      <c r="F43" s="141" t="n">
        <v>81</v>
      </c>
    </row>
    <row r="44" customFormat="false" ht="18" hidden="false" customHeight="true" outlineLevel="0" collapsed="false">
      <c r="A44" s="139" t="s">
        <v>184</v>
      </c>
      <c r="B44" s="178" t="s">
        <v>184</v>
      </c>
      <c r="C44" s="141" t="n">
        <v>40</v>
      </c>
      <c r="D44" s="139" t="s">
        <v>184</v>
      </c>
      <c r="E44" s="172"/>
      <c r="F44" s="141" t="n">
        <v>82</v>
      </c>
    </row>
    <row r="45" customFormat="false" ht="18" hidden="false" customHeight="true" outlineLevel="0" collapsed="false">
      <c r="A45" s="139" t="s">
        <v>184</v>
      </c>
      <c r="B45" s="144"/>
      <c r="C45" s="141" t="n">
        <v>41</v>
      </c>
      <c r="D45" s="227"/>
      <c r="E45" s="228"/>
      <c r="F45" s="141" t="n">
        <v>83</v>
      </c>
    </row>
    <row r="46" customFormat="false" ht="18" hidden="false" customHeight="true" outlineLevel="0" collapsed="false">
      <c r="A46" s="147" t="s">
        <v>184</v>
      </c>
      <c r="B46" s="148"/>
      <c r="C46" s="149" t="n">
        <v>42</v>
      </c>
      <c r="D46" s="229"/>
      <c r="E46" s="230"/>
      <c r="F46" s="149" t="n">
        <v>84</v>
      </c>
      <c r="G46" s="206" t="s">
        <v>627</v>
      </c>
      <c r="H46" s="207" t="s">
        <v>611</v>
      </c>
      <c r="I46" s="207"/>
    </row>
  </sheetData>
  <mergeCells count="3">
    <mergeCell ref="B1:C1"/>
    <mergeCell ref="H3:I3"/>
    <mergeCell ref="H46:I46"/>
  </mergeCells>
  <printOptions headings="false" gridLines="false" gridLinesSet="true" horizontalCentered="false" verticalCentered="false"/>
  <pageMargins left="0.118055555555556" right="0.118055555555556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1" sqref="A1:FY1 C7"/>
    </sheetView>
  </sheetViews>
  <sheetFormatPr defaultColWidth="23.5703125" defaultRowHeight="44.25" customHeight="true" zeroHeight="false" outlineLevelRow="0" outlineLevelCol="0"/>
  <sheetData>
    <row r="1" customFormat="false" ht="29.25" hidden="false" customHeight="true" outlineLevel="0" collapsed="false">
      <c r="A1" s="117" t="s">
        <v>603</v>
      </c>
      <c r="B1" s="231" t="s">
        <v>561</v>
      </c>
      <c r="C1" s="231"/>
      <c r="D1" s="156" t="s">
        <v>628</v>
      </c>
      <c r="E1" s="157" t="s">
        <v>184</v>
      </c>
      <c r="F1" s="232" t="s">
        <v>629</v>
      </c>
    </row>
    <row r="2" customFormat="false" ht="44.25" hidden="false" customHeight="false" outlineLevel="0" collapsed="false">
      <c r="A2" s="117" t="s">
        <v>606</v>
      </c>
      <c r="B2" s="159" t="n">
        <v>3475</v>
      </c>
      <c r="C2" s="233" t="s">
        <v>184</v>
      </c>
      <c r="D2" s="117" t="s">
        <v>607</v>
      </c>
      <c r="E2" s="161" t="n">
        <v>45962</v>
      </c>
      <c r="F2" s="234" t="s">
        <v>608</v>
      </c>
    </row>
    <row r="3" customFormat="false" ht="27" hidden="false" customHeight="true" outlineLevel="0" collapsed="false">
      <c r="A3" s="117" t="s">
        <v>609</v>
      </c>
      <c r="B3" s="163" t="s">
        <v>619</v>
      </c>
      <c r="C3" s="235"/>
      <c r="D3" s="194" t="s">
        <v>630</v>
      </c>
      <c r="E3" s="161" t="n">
        <v>46157</v>
      </c>
      <c r="F3" s="236" t="s">
        <v>611</v>
      </c>
    </row>
    <row r="4" customFormat="false" ht="44.25" hidden="false" customHeight="false" outlineLevel="0" collapsed="false">
      <c r="A4" s="237" t="s">
        <v>612</v>
      </c>
      <c r="B4" s="237" t="s">
        <v>613</v>
      </c>
      <c r="C4" s="237" t="s">
        <v>614</v>
      </c>
      <c r="D4" s="237" t="s">
        <v>612</v>
      </c>
      <c r="E4" s="237" t="s">
        <v>613</v>
      </c>
      <c r="F4" s="237" t="s">
        <v>614</v>
      </c>
    </row>
    <row r="5" customFormat="false" ht="39.75" hidden="false" customHeight="true" outlineLevel="0" collapsed="false">
      <c r="A5" s="238" t="s">
        <v>631</v>
      </c>
      <c r="B5" s="239" t="s">
        <v>184</v>
      </c>
      <c r="C5" s="240" t="n">
        <v>1</v>
      </c>
      <c r="D5" s="238" t="s">
        <v>632</v>
      </c>
      <c r="E5" s="241"/>
      <c r="F5" s="240" t="n">
        <v>8</v>
      </c>
    </row>
    <row r="6" customFormat="false" ht="39.75" hidden="false" customHeight="true" outlineLevel="0" collapsed="false">
      <c r="A6" s="238" t="s">
        <v>633</v>
      </c>
      <c r="B6" s="239" t="s">
        <v>184</v>
      </c>
      <c r="C6" s="240" t="n">
        <v>2</v>
      </c>
      <c r="D6" s="238" t="s">
        <v>634</v>
      </c>
      <c r="E6" s="241"/>
      <c r="F6" s="240" t="n">
        <v>9</v>
      </c>
    </row>
    <row r="7" customFormat="false" ht="40.5" hidden="false" customHeight="true" outlineLevel="0" collapsed="false">
      <c r="A7" s="238" t="s">
        <v>635</v>
      </c>
      <c r="B7" s="242" t="s">
        <v>184</v>
      </c>
      <c r="C7" s="240" t="n">
        <v>3</v>
      </c>
      <c r="D7" s="238" t="s">
        <v>636</v>
      </c>
      <c r="E7" s="241"/>
      <c r="F7" s="240" t="n">
        <v>10</v>
      </c>
    </row>
    <row r="8" customFormat="false" ht="39.75" hidden="false" customHeight="true" outlineLevel="0" collapsed="false">
      <c r="A8" s="238" t="s">
        <v>637</v>
      </c>
      <c r="B8" s="243"/>
      <c r="C8" s="240" t="n">
        <v>4</v>
      </c>
      <c r="D8" s="238" t="s">
        <v>638</v>
      </c>
      <c r="E8" s="241"/>
      <c r="F8" s="240" t="n">
        <v>11</v>
      </c>
    </row>
    <row r="9" customFormat="false" ht="39.75" hidden="false" customHeight="true" outlineLevel="0" collapsed="false">
      <c r="A9" s="238" t="s">
        <v>639</v>
      </c>
      <c r="B9" s="241"/>
      <c r="C9" s="240" t="n">
        <v>5</v>
      </c>
      <c r="D9" s="238" t="s">
        <v>640</v>
      </c>
      <c r="E9" s="241"/>
      <c r="F9" s="240" t="n">
        <v>12</v>
      </c>
    </row>
    <row r="10" customFormat="false" ht="39.75" hidden="false" customHeight="true" outlineLevel="0" collapsed="false">
      <c r="A10" s="238" t="s">
        <v>641</v>
      </c>
      <c r="B10" s="243"/>
      <c r="C10" s="240" t="n">
        <v>6</v>
      </c>
      <c r="D10" s="238" t="s">
        <v>642</v>
      </c>
      <c r="E10" s="241"/>
      <c r="F10" s="240" t="n">
        <v>13</v>
      </c>
    </row>
    <row r="11" customFormat="false" ht="39.75" hidden="false" customHeight="true" outlineLevel="0" collapsed="false">
      <c r="A11" s="238" t="s">
        <v>643</v>
      </c>
      <c r="B11" s="243"/>
      <c r="C11" s="240" t="n">
        <v>7</v>
      </c>
      <c r="D11" s="238" t="s">
        <v>644</v>
      </c>
      <c r="E11" s="244"/>
      <c r="F11" s="245" t="n">
        <v>14</v>
      </c>
    </row>
    <row r="12" customFormat="false" ht="39.75" hidden="false" customHeight="true" outlineLevel="0" collapsed="false">
      <c r="A12" s="238" t="s">
        <v>645</v>
      </c>
      <c r="B12" s="241"/>
      <c r="C12" s="240" t="n">
        <v>8</v>
      </c>
      <c r="D12" s="238" t="s">
        <v>646</v>
      </c>
      <c r="E12" s="244"/>
      <c r="F12" s="245" t="n">
        <v>15</v>
      </c>
    </row>
  </sheetData>
  <mergeCells count="1">
    <mergeCell ref="B1:C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1" sqref="A1:FY1 B9"/>
    </sheetView>
  </sheetViews>
  <sheetFormatPr defaultColWidth="24.859375" defaultRowHeight="50.25" customHeight="true" zeroHeight="false" outlineLevelRow="0" outlineLevelCol="0"/>
  <sheetData>
    <row r="1" customFormat="false" ht="50.25" hidden="false" customHeight="true" outlineLevel="0" collapsed="false">
      <c r="A1" s="117" t="s">
        <v>603</v>
      </c>
      <c r="B1" s="246" t="s">
        <v>441</v>
      </c>
      <c r="C1" s="246"/>
      <c r="D1" s="156" t="s">
        <v>647</v>
      </c>
      <c r="E1" s="157" t="s">
        <v>184</v>
      </c>
      <c r="F1" s="232" t="s">
        <v>629</v>
      </c>
    </row>
    <row r="2" customFormat="false" ht="50.25" hidden="false" customHeight="true" outlineLevel="0" collapsed="false">
      <c r="A2" s="117" t="s">
        <v>606</v>
      </c>
      <c r="B2" s="159" t="n">
        <v>3386</v>
      </c>
      <c r="C2" s="160" t="s">
        <v>184</v>
      </c>
      <c r="D2" s="117" t="s">
        <v>607</v>
      </c>
      <c r="E2" s="161" t="n">
        <v>45909</v>
      </c>
      <c r="F2" s="234" t="s">
        <v>608</v>
      </c>
    </row>
    <row r="3" customFormat="false" ht="50.25" hidden="false" customHeight="true" outlineLevel="0" collapsed="false">
      <c r="A3" s="117" t="s">
        <v>609</v>
      </c>
      <c r="B3" s="163"/>
      <c r="C3" s="127" t="s">
        <v>184</v>
      </c>
      <c r="D3" s="194" t="s">
        <v>620</v>
      </c>
      <c r="E3" s="161" t="n">
        <v>46021</v>
      </c>
      <c r="F3" s="236" t="s">
        <v>611</v>
      </c>
    </row>
    <row r="4" customFormat="false" ht="50.25" hidden="false" customHeight="true" outlineLevel="0" collapsed="false">
      <c r="A4" s="237" t="s">
        <v>612</v>
      </c>
      <c r="B4" s="237" t="s">
        <v>613</v>
      </c>
      <c r="C4" s="237" t="s">
        <v>614</v>
      </c>
      <c r="D4" s="237" t="s">
        <v>612</v>
      </c>
      <c r="E4" s="237" t="s">
        <v>613</v>
      </c>
      <c r="F4" s="237" t="s">
        <v>614</v>
      </c>
    </row>
    <row r="5" customFormat="false" ht="50.25" hidden="false" customHeight="true" outlineLevel="0" collapsed="false">
      <c r="A5" s="238" t="s">
        <v>648</v>
      </c>
      <c r="B5" s="247" t="s">
        <v>184</v>
      </c>
      <c r="C5" s="248" t="n">
        <v>1</v>
      </c>
      <c r="D5" s="238" t="s">
        <v>649</v>
      </c>
      <c r="E5" s="249"/>
      <c r="F5" s="250" t="n">
        <v>7</v>
      </c>
    </row>
    <row r="6" customFormat="false" ht="50.25" hidden="false" customHeight="true" outlineLevel="0" collapsed="false">
      <c r="A6" s="238" t="s">
        <v>650</v>
      </c>
      <c r="B6" s="251" t="s">
        <v>184</v>
      </c>
      <c r="C6" s="240" t="n">
        <v>2</v>
      </c>
      <c r="D6" s="238" t="s">
        <v>651</v>
      </c>
      <c r="E6" s="249"/>
      <c r="F6" s="250" t="n">
        <v>8</v>
      </c>
    </row>
    <row r="7" customFormat="false" ht="50.25" hidden="false" customHeight="true" outlineLevel="0" collapsed="false">
      <c r="A7" s="238" t="s">
        <v>652</v>
      </c>
      <c r="B7" s="241"/>
      <c r="C7" s="240" t="n">
        <v>3</v>
      </c>
      <c r="D7" s="238" t="s">
        <v>653</v>
      </c>
      <c r="E7" s="249"/>
      <c r="F7" s="250" t="n">
        <v>9</v>
      </c>
    </row>
    <row r="8" customFormat="false" ht="50.25" hidden="false" customHeight="true" outlineLevel="0" collapsed="false">
      <c r="A8" s="238" t="s">
        <v>654</v>
      </c>
      <c r="B8" s="241"/>
      <c r="C8" s="240" t="n">
        <v>4</v>
      </c>
      <c r="D8" s="238" t="s">
        <v>655</v>
      </c>
      <c r="E8" s="249"/>
      <c r="F8" s="250" t="n">
        <v>10</v>
      </c>
    </row>
    <row r="9" customFormat="false" ht="50.25" hidden="false" customHeight="true" outlineLevel="0" collapsed="false">
      <c r="A9" s="238" t="s">
        <v>656</v>
      </c>
      <c r="B9" s="249"/>
      <c r="C9" s="250"/>
      <c r="D9" s="238" t="s">
        <v>657</v>
      </c>
      <c r="E9" s="249"/>
      <c r="F9" s="250" t="n">
        <v>11</v>
      </c>
    </row>
    <row r="10" customFormat="false" ht="50.25" hidden="false" customHeight="true" outlineLevel="0" collapsed="false">
      <c r="A10" s="238" t="s">
        <v>658</v>
      </c>
      <c r="B10" s="249"/>
      <c r="C10" s="250"/>
      <c r="D10" s="238" t="s">
        <v>659</v>
      </c>
      <c r="E10" s="249"/>
      <c r="F10" s="250" t="n">
        <v>12</v>
      </c>
    </row>
    <row r="11" customFormat="false" ht="50.25" hidden="false" customHeight="true" outlineLevel="0" collapsed="false">
      <c r="E11" s="0" t="s">
        <v>660</v>
      </c>
      <c r="F11" s="236" t="s">
        <v>611</v>
      </c>
    </row>
  </sheetData>
  <mergeCells count="1">
    <mergeCell ref="B1:C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40" activePane="bottomLeft" state="frozen"/>
      <selection pane="topLeft" activeCell="A1" activeCellId="0" sqref="A1"/>
      <selection pane="bottomLeft" activeCell="P1148" activeCellId="1" sqref="A1:FY1 P1148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3" min="3" style="0" width="13.15"/>
    <col collapsed="false" customWidth="true" hidden="false" outlineLevel="0" max="4" min="4" style="0" width="4.57"/>
    <col collapsed="false" customWidth="true" hidden="false" outlineLevel="0" max="5" min="5" style="0" width="10.42"/>
    <col collapsed="false" customWidth="true" hidden="false" outlineLevel="0" max="6" min="6" style="0" width="9.42"/>
    <col collapsed="false" customWidth="true" hidden="false" outlineLevel="0" max="7" min="7" style="0" width="7.29"/>
    <col collapsed="false" customWidth="true" hidden="false" outlineLevel="0" max="14" min="14" style="0" width="12"/>
    <col collapsed="false" customWidth="true" hidden="false" outlineLevel="0" max="16" min="16" style="0" width="8.86"/>
  </cols>
  <sheetData>
    <row r="1" s="262" customFormat="true" ht="19.4" hidden="false" customHeight="false" outlineLevel="0" collapsed="false">
      <c r="A1" s="252" t="s">
        <v>661</v>
      </c>
      <c r="B1" s="253"/>
      <c r="C1" s="253" t="s">
        <v>662</v>
      </c>
      <c r="D1" s="253" t="s">
        <v>3</v>
      </c>
      <c r="E1" s="254" t="s">
        <v>663</v>
      </c>
      <c r="F1" s="254" t="s">
        <v>664</v>
      </c>
      <c r="G1" s="254" t="s">
        <v>665</v>
      </c>
      <c r="H1" s="253" t="s">
        <v>666</v>
      </c>
      <c r="I1" s="253" t="s">
        <v>667</v>
      </c>
      <c r="J1" s="255" t="s">
        <v>668</v>
      </c>
      <c r="K1" s="256" t="s">
        <v>10</v>
      </c>
      <c r="L1" s="256" t="s">
        <v>669</v>
      </c>
      <c r="M1" s="257" t="s">
        <v>670</v>
      </c>
      <c r="N1" s="258" t="s">
        <v>671</v>
      </c>
      <c r="O1" s="259" t="s">
        <v>672</v>
      </c>
      <c r="P1" s="260" t="s">
        <v>673</v>
      </c>
      <c r="Q1" s="261" t="s">
        <v>674</v>
      </c>
      <c r="XDB1" s="0"/>
      <c r="XDC1" s="0"/>
      <c r="XDD1" s="0"/>
      <c r="XDE1" s="0"/>
      <c r="XDF1" s="0"/>
      <c r="XDG1" s="0"/>
      <c r="XDH1" s="0"/>
      <c r="XDI1" s="0"/>
      <c r="XDJ1" s="0"/>
      <c r="XDK1" s="0"/>
      <c r="XDL1" s="0"/>
      <c r="XDM1" s="0"/>
      <c r="XDN1" s="0"/>
      <c r="XDO1" s="0"/>
      <c r="XDP1" s="0"/>
      <c r="XDQ1" s="0"/>
      <c r="XDR1" s="0"/>
      <c r="XDS1" s="0"/>
      <c r="XDT1" s="0"/>
      <c r="XDU1" s="0"/>
      <c r="XDV1" s="0"/>
      <c r="XDW1" s="0"/>
      <c r="XDX1" s="0"/>
      <c r="XDY1" s="0"/>
      <c r="XDZ1" s="0"/>
      <c r="XEA1" s="0"/>
      <c r="XEB1" s="0"/>
      <c r="XEC1" s="0"/>
      <c r="XED1" s="0"/>
      <c r="XEE1" s="0"/>
      <c r="XEF1" s="0"/>
      <c r="XEG1" s="0"/>
      <c r="XEH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35.05" hidden="false" customHeight="false" outlineLevel="0" collapsed="false">
      <c r="A2" s="20" t="n">
        <v>2968</v>
      </c>
      <c r="B2" s="21" t="s">
        <v>243</v>
      </c>
      <c r="C2" s="21" t="s">
        <v>244</v>
      </c>
      <c r="D2" s="22" t="n">
        <v>20386454729</v>
      </c>
      <c r="E2" s="23" t="n">
        <v>45649</v>
      </c>
      <c r="F2" s="23" t="n">
        <v>45817</v>
      </c>
      <c r="G2" s="24" t="n">
        <v>120</v>
      </c>
      <c r="H2" s="25" t="n">
        <v>120</v>
      </c>
      <c r="I2" s="25" t="n">
        <v>0</v>
      </c>
      <c r="J2" s="26" t="s">
        <v>344</v>
      </c>
      <c r="K2" s="58" t="n">
        <v>200000</v>
      </c>
      <c r="L2" s="30" t="n">
        <v>528000</v>
      </c>
      <c r="M2" s="28" t="n">
        <v>22000</v>
      </c>
      <c r="N2" s="29" t="n">
        <v>88000</v>
      </c>
      <c r="O2" s="29" t="n">
        <v>528000</v>
      </c>
      <c r="P2" s="30" t="n">
        <v>0</v>
      </c>
      <c r="Q2" s="263" t="n">
        <v>38533</v>
      </c>
    </row>
    <row r="3" customFormat="false" ht="46.25" hidden="false" customHeight="false" outlineLevel="0" collapsed="false">
      <c r="A3" s="264" t="n">
        <v>2079</v>
      </c>
      <c r="B3" s="34" t="s">
        <v>226</v>
      </c>
      <c r="C3" s="34" t="s">
        <v>227</v>
      </c>
      <c r="D3" s="34"/>
      <c r="E3" s="23" t="n">
        <v>45048</v>
      </c>
      <c r="F3" s="42" t="n">
        <v>45148</v>
      </c>
      <c r="G3" s="24" t="n">
        <v>72</v>
      </c>
      <c r="H3" s="265" t="n">
        <v>75.5555555555556</v>
      </c>
      <c r="I3" s="265" t="n">
        <v>-3.55555555555556</v>
      </c>
      <c r="J3" s="22" t="s">
        <v>675</v>
      </c>
      <c r="K3" s="44" t="n">
        <v>30000</v>
      </c>
      <c r="L3" s="44" t="n">
        <v>67800</v>
      </c>
      <c r="M3" s="266" t="n">
        <v>4500</v>
      </c>
      <c r="N3" s="267" t="n">
        <v>1500</v>
      </c>
      <c r="O3" s="267" t="n">
        <v>68000</v>
      </c>
      <c r="P3" s="44" t="n">
        <v>-200</v>
      </c>
      <c r="Q3" s="263" t="n">
        <v>45201</v>
      </c>
    </row>
    <row r="4" customFormat="false" ht="46.25" hidden="false" customHeight="false" outlineLevel="0" collapsed="false">
      <c r="A4" s="264" t="n">
        <v>2056</v>
      </c>
      <c r="B4" s="34" t="s">
        <v>350</v>
      </c>
      <c r="C4" s="34" t="s">
        <v>351</v>
      </c>
      <c r="D4" s="34"/>
      <c r="E4" s="23" t="n">
        <v>45028</v>
      </c>
      <c r="F4" s="42" t="n">
        <v>45182</v>
      </c>
      <c r="G4" s="24" t="n">
        <v>110</v>
      </c>
      <c r="H4" s="265" t="n">
        <v>110</v>
      </c>
      <c r="I4" s="265" t="n">
        <v>0</v>
      </c>
      <c r="J4" s="74" t="s">
        <v>676</v>
      </c>
      <c r="K4" s="44" t="n">
        <v>100000</v>
      </c>
      <c r="L4" s="44" t="n">
        <v>275000</v>
      </c>
      <c r="M4" s="266" t="n">
        <v>12500</v>
      </c>
      <c r="N4" s="267" t="n">
        <v>25000</v>
      </c>
      <c r="O4" s="267" t="n">
        <v>275000</v>
      </c>
      <c r="P4" s="44" t="n">
        <v>0</v>
      </c>
      <c r="Q4" s="268" t="n">
        <v>45201</v>
      </c>
    </row>
    <row r="5" customFormat="false" ht="37.3" hidden="false" customHeight="false" outlineLevel="0" collapsed="false">
      <c r="A5" s="264" t="n">
        <v>2132</v>
      </c>
      <c r="B5" s="34" t="s">
        <v>677</v>
      </c>
      <c r="C5" s="34" t="s">
        <v>678</v>
      </c>
      <c r="D5" s="34"/>
      <c r="E5" s="23" t="n">
        <v>45094</v>
      </c>
      <c r="F5" s="42" t="n">
        <v>45195</v>
      </c>
      <c r="G5" s="24" t="n">
        <v>72</v>
      </c>
      <c r="H5" s="265" t="n">
        <v>72</v>
      </c>
      <c r="I5" s="265" t="n">
        <v>0</v>
      </c>
      <c r="J5" s="22" t="s">
        <v>679</v>
      </c>
      <c r="K5" s="44" t="n">
        <v>20000</v>
      </c>
      <c r="L5" s="44" t="n">
        <v>43200</v>
      </c>
      <c r="M5" s="266" t="n">
        <v>3000</v>
      </c>
      <c r="N5" s="267" t="n">
        <v>1200</v>
      </c>
      <c r="O5" s="267" t="n">
        <v>43200</v>
      </c>
      <c r="P5" s="44" t="n">
        <v>0</v>
      </c>
      <c r="Q5" s="263" t="n">
        <v>45201</v>
      </c>
    </row>
    <row r="6" customFormat="false" ht="37.3" hidden="false" customHeight="false" outlineLevel="0" collapsed="false">
      <c r="A6" s="264" t="n">
        <v>2271</v>
      </c>
      <c r="B6" s="34" t="s">
        <v>677</v>
      </c>
      <c r="C6" s="34" t="s">
        <v>680</v>
      </c>
      <c r="D6" s="34"/>
      <c r="E6" s="23" t="n">
        <v>45198</v>
      </c>
      <c r="F6" s="42" t="n">
        <v>45205</v>
      </c>
      <c r="G6" s="24" t="n">
        <v>5</v>
      </c>
      <c r="H6" s="265" t="e">
        <f aca="false">#VALUE!</f>
        <v>#VALUE!</v>
      </c>
      <c r="I6" s="265" t="e">
        <f aca="false">#VALUE!</f>
        <v>#VALUE!</v>
      </c>
      <c r="J6" s="269" t="s">
        <v>681</v>
      </c>
      <c r="K6" s="44" t="n">
        <v>10000</v>
      </c>
      <c r="L6" s="44" t="n">
        <v>12250</v>
      </c>
      <c r="M6" s="266" t="s">
        <v>184</v>
      </c>
      <c r="N6" s="267" t="n">
        <v>12500</v>
      </c>
      <c r="O6" s="267" t="n">
        <v>12500</v>
      </c>
      <c r="P6" s="44" t="n">
        <v>-250</v>
      </c>
      <c r="Q6" s="268" t="n">
        <v>45201</v>
      </c>
    </row>
    <row r="7" customFormat="false" ht="28.35" hidden="false" customHeight="false" outlineLevel="0" collapsed="false">
      <c r="A7" s="264" t="n">
        <v>2131</v>
      </c>
      <c r="B7" s="34" t="s">
        <v>682</v>
      </c>
      <c r="C7" s="34" t="s">
        <v>683</v>
      </c>
      <c r="D7" s="34"/>
      <c r="E7" s="23" t="n">
        <v>45086</v>
      </c>
      <c r="F7" s="42" t="n">
        <v>45188</v>
      </c>
      <c r="G7" s="24" t="n">
        <v>72</v>
      </c>
      <c r="H7" s="265" t="n">
        <v>72</v>
      </c>
      <c r="I7" s="265" t="n">
        <v>0</v>
      </c>
      <c r="J7" s="22" t="s">
        <v>679</v>
      </c>
      <c r="K7" s="44" t="n">
        <v>20000</v>
      </c>
      <c r="L7" s="44" t="n">
        <v>43200</v>
      </c>
      <c r="M7" s="266" t="n">
        <v>3000</v>
      </c>
      <c r="N7" s="267" t="n">
        <v>1200</v>
      </c>
      <c r="O7" s="267" t="n">
        <v>43200</v>
      </c>
      <c r="P7" s="44" t="n">
        <v>0</v>
      </c>
      <c r="Q7" s="263" t="n">
        <v>45201</v>
      </c>
    </row>
    <row r="8" customFormat="false" ht="37.3" hidden="false" customHeight="false" outlineLevel="0" collapsed="false">
      <c r="A8" s="264" t="n">
        <v>2240</v>
      </c>
      <c r="B8" s="34" t="s">
        <v>684</v>
      </c>
      <c r="C8" s="34" t="s">
        <v>685</v>
      </c>
      <c r="D8" s="34"/>
      <c r="E8" s="42" t="n">
        <v>45176</v>
      </c>
      <c r="F8" s="42" t="n">
        <v>45204</v>
      </c>
      <c r="G8" s="43" t="n">
        <v>20</v>
      </c>
      <c r="H8" s="265" t="e">
        <f aca="false">#DIV/0!</f>
        <v>#DIV/0!</v>
      </c>
      <c r="I8" s="265" t="e">
        <f aca="false">#DIV/0!</f>
        <v>#DIV/0!</v>
      </c>
      <c r="J8" s="269" t="s">
        <v>681</v>
      </c>
      <c r="K8" s="59" t="n">
        <v>35000</v>
      </c>
      <c r="L8" s="59" t="n">
        <v>56000</v>
      </c>
      <c r="M8" s="270"/>
      <c r="N8" s="267" t="n">
        <v>56000</v>
      </c>
      <c r="O8" s="267" t="n">
        <v>56000</v>
      </c>
      <c r="P8" s="44" t="n">
        <v>0</v>
      </c>
      <c r="Q8" s="268" t="n">
        <v>45201</v>
      </c>
    </row>
    <row r="9" customFormat="false" ht="28.35" hidden="false" customHeight="false" outlineLevel="0" collapsed="false">
      <c r="A9" s="264" t="n">
        <v>2252</v>
      </c>
      <c r="B9" s="34" t="s">
        <v>686</v>
      </c>
      <c r="C9" s="34" t="s">
        <v>207</v>
      </c>
      <c r="D9" s="34"/>
      <c r="E9" s="23" t="n">
        <v>45183</v>
      </c>
      <c r="F9" s="42" t="n">
        <v>45208</v>
      </c>
      <c r="G9" s="24" t="n">
        <v>17</v>
      </c>
      <c r="H9" s="265" t="e">
        <f aca="false">#DIV/0!</f>
        <v>#DIV/0!</v>
      </c>
      <c r="I9" s="265" t="e">
        <f aca="false">#DIV/0!</f>
        <v>#DIV/0!</v>
      </c>
      <c r="J9" s="269" t="s">
        <v>681</v>
      </c>
      <c r="K9" s="59" t="n">
        <v>10000</v>
      </c>
      <c r="L9" s="59" t="n">
        <v>16000</v>
      </c>
      <c r="M9" s="266"/>
      <c r="N9" s="267" t="n">
        <v>16000</v>
      </c>
      <c r="O9" s="267" t="n">
        <v>16000</v>
      </c>
      <c r="P9" s="44" t="n">
        <v>0</v>
      </c>
      <c r="Q9" s="263" t="n">
        <v>45201</v>
      </c>
    </row>
    <row r="10" customFormat="false" ht="28.35" hidden="false" customHeight="false" outlineLevel="0" collapsed="false">
      <c r="A10" s="264" t="n">
        <v>2025</v>
      </c>
      <c r="B10" s="34" t="s">
        <v>448</v>
      </c>
      <c r="C10" s="34" t="s">
        <v>207</v>
      </c>
      <c r="D10" s="34"/>
      <c r="E10" s="23" t="n">
        <v>45004</v>
      </c>
      <c r="F10" s="42" t="n">
        <v>45209</v>
      </c>
      <c r="G10" s="24" t="n">
        <v>147</v>
      </c>
      <c r="H10" s="265" t="n">
        <v>140</v>
      </c>
      <c r="I10" s="265" t="n">
        <v>7</v>
      </c>
      <c r="J10" s="269" t="s">
        <v>687</v>
      </c>
      <c r="K10" s="59" t="n">
        <v>70000</v>
      </c>
      <c r="L10" s="59" t="n">
        <v>184800</v>
      </c>
      <c r="M10" s="270" t="n">
        <v>6600</v>
      </c>
      <c r="N10" s="267" t="n">
        <v>26400</v>
      </c>
      <c r="O10" s="267" t="n">
        <v>184800</v>
      </c>
      <c r="P10" s="44" t="n">
        <v>0</v>
      </c>
      <c r="Q10" s="268" t="n">
        <v>45201</v>
      </c>
    </row>
    <row r="11" customFormat="false" ht="28.35" hidden="false" customHeight="false" outlineLevel="0" collapsed="false">
      <c r="A11" s="264" t="n">
        <v>2245</v>
      </c>
      <c r="B11" s="34" t="s">
        <v>688</v>
      </c>
      <c r="C11" s="34" t="s">
        <v>689</v>
      </c>
      <c r="D11" s="34"/>
      <c r="E11" s="42" t="n">
        <v>45180</v>
      </c>
      <c r="F11" s="42" t="n">
        <v>45208</v>
      </c>
      <c r="G11" s="43" t="n">
        <v>20</v>
      </c>
      <c r="H11" s="265" t="e">
        <f aca="false">#DIV/0!</f>
        <v>#DIV/0!</v>
      </c>
      <c r="I11" s="265" t="e">
        <f aca="false">#DIV/0!</f>
        <v>#DIV/0!</v>
      </c>
      <c r="J11" s="269" t="s">
        <v>681</v>
      </c>
      <c r="K11" s="44" t="n">
        <v>15000</v>
      </c>
      <c r="L11" s="44" t="n">
        <v>23000</v>
      </c>
      <c r="M11" s="266"/>
      <c r="N11" s="267" t="n">
        <v>23000</v>
      </c>
      <c r="O11" s="267" t="n">
        <v>23000</v>
      </c>
      <c r="P11" s="44" t="n">
        <v>0</v>
      </c>
      <c r="Q11" s="263" t="n">
        <v>45201</v>
      </c>
    </row>
    <row r="12" customFormat="false" ht="28.35" hidden="false" customHeight="false" outlineLevel="0" collapsed="false">
      <c r="A12" s="264" t="n">
        <v>2256</v>
      </c>
      <c r="B12" s="34" t="s">
        <v>690</v>
      </c>
      <c r="C12" s="34" t="s">
        <v>689</v>
      </c>
      <c r="D12" s="34"/>
      <c r="E12" s="23" t="n">
        <v>45187</v>
      </c>
      <c r="F12" s="42" t="n">
        <v>45208</v>
      </c>
      <c r="G12" s="24" t="n">
        <v>15</v>
      </c>
      <c r="H12" s="265" t="e">
        <f aca="false">#DIV/0!</f>
        <v>#DIV/0!</v>
      </c>
      <c r="I12" s="265" t="e">
        <f aca="false">#DIV/0!</f>
        <v>#DIV/0!</v>
      </c>
      <c r="J12" s="269" t="s">
        <v>681</v>
      </c>
      <c r="K12" s="44" t="n">
        <v>10000</v>
      </c>
      <c r="L12" s="44" t="n">
        <v>16000</v>
      </c>
      <c r="M12" s="266"/>
      <c r="N12" s="267" t="n">
        <v>16000</v>
      </c>
      <c r="O12" s="267" t="n">
        <v>16000</v>
      </c>
      <c r="P12" s="44" t="n">
        <v>0</v>
      </c>
      <c r="Q12" s="268" t="n">
        <v>45201</v>
      </c>
    </row>
    <row r="13" customFormat="false" ht="64.15" hidden="false" customHeight="false" outlineLevel="0" collapsed="false">
      <c r="A13" s="264" t="n">
        <v>1861</v>
      </c>
      <c r="B13" s="34" t="s">
        <v>691</v>
      </c>
      <c r="C13" s="34" t="s">
        <v>523</v>
      </c>
      <c r="D13" s="34"/>
      <c r="E13" s="23" t="n">
        <v>44877</v>
      </c>
      <c r="F13" s="42" t="n">
        <v>45177</v>
      </c>
      <c r="G13" s="24" t="n">
        <v>215</v>
      </c>
      <c r="H13" s="265" t="n">
        <v>215</v>
      </c>
      <c r="I13" s="265" t="n">
        <v>0</v>
      </c>
      <c r="J13" s="22" t="s">
        <v>692</v>
      </c>
      <c r="K13" s="59" t="n">
        <v>50000</v>
      </c>
      <c r="L13" s="59" t="n">
        <v>129000</v>
      </c>
      <c r="M13" s="270" t="n">
        <v>3000</v>
      </c>
      <c r="N13" s="267" t="n">
        <v>36050</v>
      </c>
      <c r="O13" s="267" t="n">
        <v>129000</v>
      </c>
      <c r="P13" s="59" t="n">
        <v>0</v>
      </c>
      <c r="Q13" s="263" t="n">
        <v>45201</v>
      </c>
    </row>
    <row r="14" customFormat="false" ht="64.15" hidden="false" customHeight="false" outlineLevel="0" collapsed="false">
      <c r="A14" s="264" t="n">
        <v>2144</v>
      </c>
      <c r="B14" s="271" t="s">
        <v>693</v>
      </c>
      <c r="C14" s="34" t="s">
        <v>694</v>
      </c>
      <c r="D14" s="34"/>
      <c r="E14" s="23" t="n">
        <v>45179</v>
      </c>
      <c r="F14" s="42" t="n">
        <v>45205</v>
      </c>
      <c r="G14" s="24" t="n">
        <v>20</v>
      </c>
      <c r="H14" s="265" t="e">
        <f aca="false">#DIV/0!</f>
        <v>#DIV/0!</v>
      </c>
      <c r="I14" s="265" t="e">
        <f aca="false">#DIV/0!</f>
        <v>#DIV/0!</v>
      </c>
      <c r="J14" s="269" t="s">
        <v>681</v>
      </c>
      <c r="K14" s="59" t="n">
        <v>50000</v>
      </c>
      <c r="L14" s="59" t="n">
        <v>67000</v>
      </c>
      <c r="M14" s="270"/>
      <c r="N14" s="267" t="n">
        <v>67000</v>
      </c>
      <c r="O14" s="267" t="n">
        <v>67000</v>
      </c>
      <c r="P14" s="59" t="n">
        <v>0</v>
      </c>
      <c r="Q14" s="263" t="n">
        <v>45208</v>
      </c>
    </row>
    <row r="15" customFormat="false" ht="28.35" hidden="false" customHeight="false" outlineLevel="0" collapsed="false">
      <c r="A15" s="264" t="n">
        <v>2055</v>
      </c>
      <c r="B15" s="34" t="s">
        <v>695</v>
      </c>
      <c r="C15" s="34" t="s">
        <v>217</v>
      </c>
      <c r="D15" s="34" t="s">
        <v>218</v>
      </c>
      <c r="E15" s="23" t="n">
        <v>45028</v>
      </c>
      <c r="F15" s="42" t="n">
        <v>45210</v>
      </c>
      <c r="G15" s="43" t="n">
        <v>130</v>
      </c>
      <c r="H15" s="265" t="n">
        <v>120</v>
      </c>
      <c r="I15" s="265" t="n">
        <v>10</v>
      </c>
      <c r="J15" s="269" t="s">
        <v>696</v>
      </c>
      <c r="K15" s="59" t="n">
        <v>30000</v>
      </c>
      <c r="L15" s="59" t="n">
        <v>79200</v>
      </c>
      <c r="M15" s="270" t="n">
        <v>3300</v>
      </c>
      <c r="N15" s="267" t="n">
        <v>13200</v>
      </c>
      <c r="O15" s="267" t="n">
        <v>79200</v>
      </c>
      <c r="P15" s="59" t="n">
        <v>0</v>
      </c>
      <c r="Q15" s="263" t="n">
        <v>45208</v>
      </c>
    </row>
    <row r="16" customFormat="false" ht="37.3" hidden="false" customHeight="false" outlineLevel="0" collapsed="false">
      <c r="A16" s="264" t="n">
        <v>2118</v>
      </c>
      <c r="B16" s="34" t="s">
        <v>697</v>
      </c>
      <c r="C16" s="34" t="s">
        <v>698</v>
      </c>
      <c r="D16" s="34"/>
      <c r="E16" s="23" t="n">
        <v>45087</v>
      </c>
      <c r="F16" s="42" t="n">
        <v>45188</v>
      </c>
      <c r="G16" s="24" t="n">
        <v>72</v>
      </c>
      <c r="H16" s="265" t="n">
        <v>72</v>
      </c>
      <c r="I16" s="265" t="n">
        <v>0</v>
      </c>
      <c r="J16" s="22" t="s">
        <v>560</v>
      </c>
      <c r="K16" s="44" t="n">
        <v>10000</v>
      </c>
      <c r="L16" s="44" t="n">
        <v>21600</v>
      </c>
      <c r="M16" s="266" t="n">
        <v>1500</v>
      </c>
      <c r="N16" s="267" t="n">
        <v>3600</v>
      </c>
      <c r="O16" s="267" t="n">
        <v>21600</v>
      </c>
      <c r="P16" s="44" t="n">
        <v>0</v>
      </c>
      <c r="Q16" s="263" t="n">
        <v>45208</v>
      </c>
    </row>
    <row r="17" customFormat="false" ht="28.35" hidden="false" customHeight="false" outlineLevel="0" collapsed="false">
      <c r="A17" s="264" t="n">
        <v>2057</v>
      </c>
      <c r="B17" s="34" t="s">
        <v>280</v>
      </c>
      <c r="C17" s="34" t="s">
        <v>699</v>
      </c>
      <c r="D17" s="34"/>
      <c r="E17" s="23" t="n">
        <v>45029</v>
      </c>
      <c r="F17" s="42" t="n">
        <v>45197</v>
      </c>
      <c r="G17" s="24" t="n">
        <v>120</v>
      </c>
      <c r="H17" s="265" t="n">
        <v>120</v>
      </c>
      <c r="I17" s="265" t="n">
        <v>0</v>
      </c>
      <c r="J17" s="269" t="s">
        <v>700</v>
      </c>
      <c r="K17" s="59" t="n">
        <v>20000</v>
      </c>
      <c r="L17" s="59" t="n">
        <v>52800</v>
      </c>
      <c r="M17" s="266" t="n">
        <v>2200</v>
      </c>
      <c r="N17" s="267" t="n">
        <v>8800</v>
      </c>
      <c r="O17" s="267" t="n">
        <v>52800</v>
      </c>
      <c r="P17" s="44" t="n">
        <v>0</v>
      </c>
      <c r="Q17" s="263" t="n">
        <v>45208</v>
      </c>
    </row>
    <row r="18" customFormat="false" ht="19.4" hidden="false" customHeight="false" outlineLevel="0" collapsed="false">
      <c r="A18" s="264" t="n">
        <v>2140</v>
      </c>
      <c r="B18" s="34" t="s">
        <v>701</v>
      </c>
      <c r="C18" s="34" t="s">
        <v>702</v>
      </c>
      <c r="D18" s="34"/>
      <c r="E18" s="23" t="n">
        <v>45108</v>
      </c>
      <c r="F18" s="42" t="n">
        <v>45209</v>
      </c>
      <c r="G18" s="24" t="n">
        <v>72</v>
      </c>
      <c r="H18" s="265" t="n">
        <v>72</v>
      </c>
      <c r="I18" s="265" t="n">
        <v>0</v>
      </c>
      <c r="J18" s="22" t="s">
        <v>703</v>
      </c>
      <c r="K18" s="44" t="n">
        <v>25000</v>
      </c>
      <c r="L18" s="44" t="n">
        <v>54000</v>
      </c>
      <c r="M18" s="266" t="n">
        <v>3750</v>
      </c>
      <c r="N18" s="267" t="n">
        <v>16000</v>
      </c>
      <c r="O18" s="267" t="n">
        <v>54000</v>
      </c>
      <c r="P18" s="44" t="n">
        <v>0</v>
      </c>
      <c r="Q18" s="263" t="n">
        <v>45208</v>
      </c>
    </row>
    <row r="19" customFormat="false" ht="28.35" hidden="false" customHeight="false" outlineLevel="0" collapsed="false">
      <c r="A19" s="264" t="n">
        <v>2130</v>
      </c>
      <c r="B19" s="34" t="s">
        <v>360</v>
      </c>
      <c r="C19" s="34" t="s">
        <v>361</v>
      </c>
      <c r="D19" s="34"/>
      <c r="E19" s="23" t="n">
        <v>45093</v>
      </c>
      <c r="F19" s="42" t="n">
        <v>45209</v>
      </c>
      <c r="G19" s="24" t="n">
        <v>82</v>
      </c>
      <c r="H19" s="265" t="n">
        <v>80</v>
      </c>
      <c r="I19" s="265" t="n">
        <v>2</v>
      </c>
      <c r="J19" s="269" t="s">
        <v>704</v>
      </c>
      <c r="K19" s="59" t="n">
        <v>20000</v>
      </c>
      <c r="L19" s="59" t="n">
        <v>43200</v>
      </c>
      <c r="M19" s="270" t="n">
        <v>2700</v>
      </c>
      <c r="N19" s="267" t="n">
        <v>10800</v>
      </c>
      <c r="O19" s="267" t="n">
        <v>43200</v>
      </c>
      <c r="P19" s="44" t="n">
        <v>0</v>
      </c>
      <c r="Q19" s="263" t="n">
        <v>45208</v>
      </c>
    </row>
    <row r="20" customFormat="false" ht="46.25" hidden="false" customHeight="false" outlineLevel="0" collapsed="false">
      <c r="A20" s="264" t="n">
        <v>2135</v>
      </c>
      <c r="B20" s="34" t="s">
        <v>705</v>
      </c>
      <c r="C20" s="34" t="s">
        <v>380</v>
      </c>
      <c r="D20" s="34"/>
      <c r="E20" s="23" t="n">
        <v>45100</v>
      </c>
      <c r="F20" s="42" t="n">
        <v>45202</v>
      </c>
      <c r="G20" s="43" t="n">
        <v>72</v>
      </c>
      <c r="H20" s="265" t="n">
        <v>72</v>
      </c>
      <c r="I20" s="265" t="n">
        <v>0</v>
      </c>
      <c r="J20" s="22" t="s">
        <v>675</v>
      </c>
      <c r="K20" s="44" t="n">
        <v>30000</v>
      </c>
      <c r="L20" s="44" t="n">
        <v>64800</v>
      </c>
      <c r="M20" s="266" t="n">
        <v>4500</v>
      </c>
      <c r="N20" s="267" t="n">
        <v>1800</v>
      </c>
      <c r="O20" s="267" t="n">
        <v>64800</v>
      </c>
      <c r="P20" s="44" t="n">
        <v>0</v>
      </c>
      <c r="Q20" s="263" t="n">
        <v>45208</v>
      </c>
    </row>
    <row r="21" customFormat="false" ht="37.3" hidden="false" customHeight="false" outlineLevel="0" collapsed="false">
      <c r="A21" s="264" t="n">
        <v>2147</v>
      </c>
      <c r="B21" s="34" t="s">
        <v>706</v>
      </c>
      <c r="C21" s="34" t="s">
        <v>415</v>
      </c>
      <c r="D21" s="34"/>
      <c r="E21" s="23" t="n">
        <v>45112</v>
      </c>
      <c r="F21" s="42" t="n">
        <v>45210</v>
      </c>
      <c r="G21" s="24" t="n">
        <v>70</v>
      </c>
      <c r="H21" s="265" t="n">
        <v>70</v>
      </c>
      <c r="I21" s="265" t="n">
        <v>0</v>
      </c>
      <c r="J21" s="269" t="s">
        <v>707</v>
      </c>
      <c r="K21" s="44" t="n">
        <v>20000</v>
      </c>
      <c r="L21" s="44" t="n">
        <v>43400</v>
      </c>
      <c r="M21" s="266" t="n">
        <v>3100</v>
      </c>
      <c r="N21" s="267" t="n">
        <v>6200</v>
      </c>
      <c r="O21" s="267" t="n">
        <v>43400</v>
      </c>
      <c r="P21" s="44" t="n">
        <v>0</v>
      </c>
      <c r="Q21" s="263" t="n">
        <v>45208</v>
      </c>
    </row>
    <row r="22" customFormat="false" ht="37.3" hidden="false" customHeight="false" outlineLevel="0" collapsed="false">
      <c r="A22" s="264" t="n">
        <v>2061</v>
      </c>
      <c r="B22" s="34" t="s">
        <v>452</v>
      </c>
      <c r="C22" s="34"/>
      <c r="D22" s="34"/>
      <c r="E22" s="23" t="n">
        <v>45030</v>
      </c>
      <c r="F22" s="42" t="n">
        <v>45208</v>
      </c>
      <c r="G22" s="24" t="n">
        <v>126</v>
      </c>
      <c r="H22" s="265" t="n">
        <v>120</v>
      </c>
      <c r="I22" s="265" t="n">
        <v>6</v>
      </c>
      <c r="J22" s="269" t="s">
        <v>708</v>
      </c>
      <c r="K22" s="59" t="n">
        <v>30000</v>
      </c>
      <c r="L22" s="59" t="n">
        <v>60000</v>
      </c>
      <c r="M22" s="270" t="n">
        <v>2500</v>
      </c>
      <c r="N22" s="267" t="n">
        <v>10000</v>
      </c>
      <c r="O22" s="267" t="n">
        <v>60000</v>
      </c>
      <c r="P22" s="44" t="n">
        <v>0</v>
      </c>
      <c r="Q22" s="263" t="n">
        <v>45208</v>
      </c>
    </row>
    <row r="23" customFormat="false" ht="19.4" hidden="false" customHeight="false" outlineLevel="0" collapsed="false">
      <c r="A23" s="264" t="n">
        <v>2075</v>
      </c>
      <c r="B23" s="34" t="s">
        <v>457</v>
      </c>
      <c r="C23" s="34"/>
      <c r="D23" s="34"/>
      <c r="E23" s="23" t="n">
        <v>45043</v>
      </c>
      <c r="F23" s="42" t="n">
        <v>45211</v>
      </c>
      <c r="G23" s="24" t="n">
        <v>120</v>
      </c>
      <c r="H23" s="265" t="n">
        <v>120</v>
      </c>
      <c r="I23" s="265" t="n">
        <v>0</v>
      </c>
      <c r="J23" s="269" t="s">
        <v>708</v>
      </c>
      <c r="K23" s="44" t="n">
        <v>30000</v>
      </c>
      <c r="L23" s="44" t="n">
        <v>60000</v>
      </c>
      <c r="M23" s="266" t="n">
        <v>2500</v>
      </c>
      <c r="N23" s="267" t="n">
        <v>10000</v>
      </c>
      <c r="O23" s="267" t="n">
        <v>60000</v>
      </c>
      <c r="P23" s="44" t="n">
        <v>0</v>
      </c>
      <c r="Q23" s="263" t="n">
        <v>45208</v>
      </c>
    </row>
    <row r="24" customFormat="false" ht="37.3" hidden="false" customHeight="false" outlineLevel="0" collapsed="false">
      <c r="A24" s="264" t="n">
        <v>2066</v>
      </c>
      <c r="B24" s="34" t="s">
        <v>475</v>
      </c>
      <c r="C24" s="34" t="s">
        <v>476</v>
      </c>
      <c r="D24" s="34"/>
      <c r="E24" s="23" t="n">
        <v>45036</v>
      </c>
      <c r="F24" s="42" t="n">
        <v>45138</v>
      </c>
      <c r="G24" s="24" t="n">
        <v>72</v>
      </c>
      <c r="H24" s="265" t="n">
        <v>72</v>
      </c>
      <c r="I24" s="265" t="n">
        <v>0</v>
      </c>
      <c r="J24" s="22" t="s">
        <v>560</v>
      </c>
      <c r="K24" s="59" t="n">
        <v>10000</v>
      </c>
      <c r="L24" s="59" t="n">
        <v>21600</v>
      </c>
      <c r="M24" s="266" t="n">
        <v>1500</v>
      </c>
      <c r="N24" s="267" t="n">
        <v>5100</v>
      </c>
      <c r="O24" s="267" t="n">
        <v>21600</v>
      </c>
      <c r="P24" s="44" t="n">
        <v>0</v>
      </c>
      <c r="Q24" s="263" t="n">
        <v>45208</v>
      </c>
    </row>
    <row r="25" customFormat="false" ht="28.35" hidden="false" customHeight="false" outlineLevel="0" collapsed="false">
      <c r="A25" s="264" t="n">
        <v>1968</v>
      </c>
      <c r="B25" s="34" t="s">
        <v>709</v>
      </c>
      <c r="C25" s="34" t="s">
        <v>710</v>
      </c>
      <c r="D25" s="34"/>
      <c r="E25" s="23" t="n">
        <v>44952</v>
      </c>
      <c r="F25" s="42" t="n">
        <v>45117</v>
      </c>
      <c r="G25" s="24" t="n">
        <v>117</v>
      </c>
      <c r="H25" s="265" t="n">
        <v>121.363636363636</v>
      </c>
      <c r="I25" s="265" t="n">
        <v>-4.36363636363636</v>
      </c>
      <c r="J25" s="269" t="s">
        <v>711</v>
      </c>
      <c r="K25" s="59" t="n">
        <v>20000</v>
      </c>
      <c r="L25" s="59" t="n">
        <v>52800</v>
      </c>
      <c r="M25" s="266" t="n">
        <v>2200</v>
      </c>
      <c r="N25" s="267" t="n">
        <v>8800</v>
      </c>
      <c r="O25" s="267" t="n">
        <v>53400</v>
      </c>
      <c r="P25" s="44" t="n">
        <v>-600</v>
      </c>
      <c r="Q25" s="263" t="n">
        <v>45208</v>
      </c>
    </row>
    <row r="26" customFormat="false" ht="37.3" hidden="false" customHeight="false" outlineLevel="0" collapsed="false">
      <c r="A26" s="264" t="n">
        <v>2141</v>
      </c>
      <c r="B26" s="34" t="s">
        <v>545</v>
      </c>
      <c r="C26" s="34" t="s">
        <v>546</v>
      </c>
      <c r="D26" s="34"/>
      <c r="E26" s="23" t="n">
        <v>45108</v>
      </c>
      <c r="F26" s="42" t="n">
        <v>45209</v>
      </c>
      <c r="G26" s="24" t="n">
        <v>72</v>
      </c>
      <c r="H26" s="265" t="n">
        <v>72</v>
      </c>
      <c r="I26" s="265" t="n">
        <v>0</v>
      </c>
      <c r="J26" s="22" t="s">
        <v>679</v>
      </c>
      <c r="K26" s="44" t="n">
        <v>20000</v>
      </c>
      <c r="L26" s="44" t="n">
        <v>43200</v>
      </c>
      <c r="M26" s="266" t="n">
        <v>3000</v>
      </c>
      <c r="N26" s="267" t="n">
        <v>7200</v>
      </c>
      <c r="O26" s="267" t="n">
        <v>43200</v>
      </c>
      <c r="P26" s="44" t="n">
        <v>0</v>
      </c>
      <c r="Q26" s="263" t="n">
        <v>45208</v>
      </c>
    </row>
    <row r="27" customFormat="false" ht="34.3" hidden="false" customHeight="false" outlineLevel="0" collapsed="false">
      <c r="A27" s="272" t="n">
        <v>2154</v>
      </c>
      <c r="B27" s="22" t="s">
        <v>697</v>
      </c>
      <c r="C27" s="22" t="s">
        <v>698</v>
      </c>
      <c r="D27" s="22"/>
      <c r="E27" s="23" t="n">
        <v>45118</v>
      </c>
      <c r="F27" s="23" t="n">
        <v>45218</v>
      </c>
      <c r="G27" s="24" t="n">
        <v>72</v>
      </c>
      <c r="H27" s="265" t="n">
        <v>72</v>
      </c>
      <c r="I27" s="265" t="n">
        <v>0</v>
      </c>
      <c r="J27" s="22" t="s">
        <v>712</v>
      </c>
      <c r="K27" s="27" t="n">
        <v>5000</v>
      </c>
      <c r="L27" s="27" t="n">
        <v>10800</v>
      </c>
      <c r="M27" s="45" t="n">
        <v>750</v>
      </c>
      <c r="N27" s="29" t="n">
        <v>400</v>
      </c>
      <c r="O27" s="29" t="n">
        <v>10800</v>
      </c>
      <c r="P27" s="27" t="n">
        <v>0</v>
      </c>
      <c r="Q27" s="263" t="n">
        <v>45215</v>
      </c>
    </row>
    <row r="28" customFormat="false" ht="50.7" hidden="false" customHeight="false" outlineLevel="0" collapsed="false">
      <c r="A28" s="20" t="n">
        <v>2189</v>
      </c>
      <c r="B28" s="22" t="s">
        <v>265</v>
      </c>
      <c r="C28" s="22" t="s">
        <v>266</v>
      </c>
      <c r="D28" s="22"/>
      <c r="E28" s="23" t="n">
        <v>45141</v>
      </c>
      <c r="F28" s="23" t="n">
        <v>45243</v>
      </c>
      <c r="G28" s="24" t="n">
        <v>72</v>
      </c>
      <c r="H28" s="265" t="n">
        <v>72</v>
      </c>
      <c r="I28" s="265" t="n">
        <v>0</v>
      </c>
      <c r="J28" s="22" t="s">
        <v>675</v>
      </c>
      <c r="K28" s="30" t="n">
        <v>30000</v>
      </c>
      <c r="L28" s="30" t="n">
        <v>64800</v>
      </c>
      <c r="M28" s="28" t="n">
        <v>4500</v>
      </c>
      <c r="N28" s="273" t="n">
        <v>19800</v>
      </c>
      <c r="O28" s="29" t="n">
        <v>64800</v>
      </c>
      <c r="P28" s="27" t="n">
        <v>0</v>
      </c>
      <c r="Q28" s="263" t="n">
        <v>45215</v>
      </c>
    </row>
    <row r="29" customFormat="false" ht="42.5" hidden="false" customHeight="false" outlineLevel="0" collapsed="false">
      <c r="A29" s="20" t="n">
        <v>2110</v>
      </c>
      <c r="B29" s="22" t="s">
        <v>713</v>
      </c>
      <c r="C29" s="22" t="s">
        <v>714</v>
      </c>
      <c r="D29" s="22" t="s">
        <v>715</v>
      </c>
      <c r="E29" s="23" t="n">
        <v>45080</v>
      </c>
      <c r="F29" s="23" t="n">
        <v>45181</v>
      </c>
      <c r="G29" s="24" t="n">
        <v>72</v>
      </c>
      <c r="H29" s="265" t="n">
        <v>72</v>
      </c>
      <c r="I29" s="265" t="n">
        <v>0</v>
      </c>
      <c r="J29" s="22" t="s">
        <v>675</v>
      </c>
      <c r="K29" s="30" t="n">
        <v>30000</v>
      </c>
      <c r="L29" s="30" t="n">
        <v>64800</v>
      </c>
      <c r="M29" s="28" t="n">
        <v>4500</v>
      </c>
      <c r="N29" s="274" t="n">
        <v>10000</v>
      </c>
      <c r="O29" s="274" t="n">
        <v>64800</v>
      </c>
      <c r="P29" s="30" t="n">
        <v>0</v>
      </c>
      <c r="Q29" s="263" t="n">
        <v>45215</v>
      </c>
    </row>
    <row r="30" customFormat="false" ht="42.5" hidden="false" customHeight="false" outlineLevel="0" collapsed="false">
      <c r="A30" s="20" t="n">
        <v>2181</v>
      </c>
      <c r="B30" s="22" t="s">
        <v>409</v>
      </c>
      <c r="C30" s="22" t="s">
        <v>410</v>
      </c>
      <c r="D30" s="22" t="n">
        <v>29201110</v>
      </c>
      <c r="E30" s="23" t="n">
        <v>45135</v>
      </c>
      <c r="F30" s="23" t="n">
        <v>45237</v>
      </c>
      <c r="G30" s="24" t="n">
        <v>72</v>
      </c>
      <c r="H30" s="265" t="n">
        <v>72</v>
      </c>
      <c r="I30" s="265" t="n">
        <v>0</v>
      </c>
      <c r="J30" s="22" t="s">
        <v>716</v>
      </c>
      <c r="K30" s="30" t="n">
        <v>15000</v>
      </c>
      <c r="L30" s="30" t="n">
        <v>32400</v>
      </c>
      <c r="M30" s="28" t="n">
        <v>2250</v>
      </c>
      <c r="N30" s="29" t="n">
        <v>9900</v>
      </c>
      <c r="O30" s="29" t="n">
        <v>32400</v>
      </c>
      <c r="P30" s="27" t="n">
        <v>0</v>
      </c>
      <c r="Q30" s="263" t="n">
        <v>45215</v>
      </c>
    </row>
    <row r="31" customFormat="false" ht="34.3" hidden="false" customHeight="false" outlineLevel="0" collapsed="false">
      <c r="A31" s="275" t="n">
        <v>2162</v>
      </c>
      <c r="B31" s="22" t="s">
        <v>717</v>
      </c>
      <c r="C31" s="22" t="s">
        <v>432</v>
      </c>
      <c r="D31" s="22"/>
      <c r="E31" s="23" t="n">
        <v>45122</v>
      </c>
      <c r="F31" s="23" t="n">
        <v>45223</v>
      </c>
      <c r="G31" s="24" t="n">
        <v>72</v>
      </c>
      <c r="H31" s="265" t="n">
        <v>72</v>
      </c>
      <c r="I31" s="265" t="n">
        <v>0</v>
      </c>
      <c r="J31" s="22" t="s">
        <v>675</v>
      </c>
      <c r="K31" s="30" t="n">
        <v>30000</v>
      </c>
      <c r="L31" s="30" t="n">
        <v>64800</v>
      </c>
      <c r="M31" s="28" t="n">
        <v>4500</v>
      </c>
      <c r="N31" s="276" t="n">
        <v>10800</v>
      </c>
      <c r="O31" s="276" t="n">
        <v>64800</v>
      </c>
      <c r="P31" s="277" t="n">
        <v>0</v>
      </c>
      <c r="Q31" s="263" t="n">
        <v>45215</v>
      </c>
    </row>
    <row r="32" customFormat="false" ht="34.3" hidden="false" customHeight="false" outlineLevel="0" collapsed="false">
      <c r="A32" s="278"/>
      <c r="B32" s="22" t="s">
        <v>526</v>
      </c>
      <c r="C32" s="22" t="s">
        <v>527</v>
      </c>
      <c r="D32" s="22" t="s">
        <v>528</v>
      </c>
      <c r="E32" s="23" t="n">
        <v>45204</v>
      </c>
      <c r="F32" s="23" t="n">
        <f aca="false">WORKDAY(E32,G32)</f>
        <v>45306</v>
      </c>
      <c r="G32" s="24" t="n">
        <v>72</v>
      </c>
      <c r="H32" s="265" t="n">
        <f aca="false">(BS32* 5)/M32</f>
        <v>0</v>
      </c>
      <c r="I32" s="265" t="n">
        <f aca="false">G32-H32</f>
        <v>72</v>
      </c>
      <c r="J32" s="22" t="s">
        <v>333</v>
      </c>
      <c r="K32" s="30" t="n">
        <v>50000</v>
      </c>
      <c r="L32" s="30" t="n">
        <v>108000</v>
      </c>
      <c r="M32" s="28" t="n">
        <v>7500</v>
      </c>
      <c r="N32" s="279" t="n">
        <v>60000</v>
      </c>
      <c r="O32" s="279" t="n">
        <v>108000</v>
      </c>
      <c r="P32" s="27" t="n">
        <v>0</v>
      </c>
      <c r="Q32" s="263" t="n">
        <v>45215</v>
      </c>
    </row>
    <row r="33" customFormat="false" ht="42.5" hidden="false" customHeight="false" outlineLevel="0" collapsed="false">
      <c r="A33" s="20" t="n">
        <v>2293</v>
      </c>
      <c r="B33" s="22" t="s">
        <v>718</v>
      </c>
      <c r="C33" s="22" t="s">
        <v>680</v>
      </c>
      <c r="D33" s="22"/>
      <c r="E33" s="23" t="n">
        <v>45211</v>
      </c>
      <c r="F33" s="23" t="n">
        <v>45218</v>
      </c>
      <c r="G33" s="24" t="n">
        <v>5</v>
      </c>
      <c r="H33" s="265" t="e">
        <f aca="false">#VALUE!</f>
        <v>#VALUE!</v>
      </c>
      <c r="I33" s="265" t="e">
        <f aca="false">#VALUE!</f>
        <v>#VALUE!</v>
      </c>
      <c r="J33" s="269" t="s">
        <v>681</v>
      </c>
      <c r="K33" s="27" t="n">
        <v>10000</v>
      </c>
      <c r="L33" s="27" t="n">
        <v>12500</v>
      </c>
      <c r="M33" s="45" t="s">
        <v>184</v>
      </c>
      <c r="N33" s="29" t="n">
        <v>12500</v>
      </c>
      <c r="O33" s="29" t="n">
        <v>12500</v>
      </c>
      <c r="P33" s="27" t="n">
        <v>0</v>
      </c>
      <c r="Q33" s="263" t="n">
        <v>45222</v>
      </c>
    </row>
    <row r="34" customFormat="false" ht="34.3" hidden="false" customHeight="false" outlineLevel="0" collapsed="false">
      <c r="A34" s="20" t="n">
        <v>2126</v>
      </c>
      <c r="B34" s="22" t="s">
        <v>382</v>
      </c>
      <c r="C34" s="22" t="s">
        <v>383</v>
      </c>
      <c r="D34" s="22"/>
      <c r="E34" s="23" t="n">
        <v>45092</v>
      </c>
      <c r="F34" s="23" t="n">
        <v>45194</v>
      </c>
      <c r="G34" s="24" t="n">
        <v>72</v>
      </c>
      <c r="H34" s="265" t="n">
        <v>72</v>
      </c>
      <c r="I34" s="265" t="n">
        <v>0</v>
      </c>
      <c r="J34" s="22" t="s">
        <v>560</v>
      </c>
      <c r="K34" s="27" t="n">
        <v>10000</v>
      </c>
      <c r="L34" s="27" t="n">
        <v>21600</v>
      </c>
      <c r="M34" s="45" t="n">
        <v>1500</v>
      </c>
      <c r="N34" s="29" t="n">
        <v>600</v>
      </c>
      <c r="O34" s="29" t="n">
        <v>21600</v>
      </c>
      <c r="P34" s="27" t="n">
        <v>0</v>
      </c>
      <c r="Q34" s="263" t="n">
        <v>45222</v>
      </c>
    </row>
    <row r="35" customFormat="false" ht="17.9" hidden="false" customHeight="false" outlineLevel="0" collapsed="false">
      <c r="A35" s="20" t="n">
        <v>2076</v>
      </c>
      <c r="B35" s="22" t="s">
        <v>719</v>
      </c>
      <c r="C35" s="22"/>
      <c r="D35" s="22"/>
      <c r="E35" s="23" t="n">
        <v>45044</v>
      </c>
      <c r="F35" s="23" t="n">
        <v>45146</v>
      </c>
      <c r="G35" s="24" t="n">
        <v>72</v>
      </c>
      <c r="H35" s="265" t="n">
        <v>72</v>
      </c>
      <c r="I35" s="265" t="n">
        <v>0</v>
      </c>
      <c r="J35" s="22" t="s">
        <v>720</v>
      </c>
      <c r="K35" s="30" t="n">
        <v>60000</v>
      </c>
      <c r="L35" s="30" t="n">
        <v>129600</v>
      </c>
      <c r="M35" s="28" t="n">
        <v>9000</v>
      </c>
      <c r="N35" s="29" t="n">
        <v>4900</v>
      </c>
      <c r="O35" s="29" t="n">
        <v>129600</v>
      </c>
      <c r="P35" s="27" t="n">
        <v>0</v>
      </c>
      <c r="Q35" s="263" t="n">
        <v>45222</v>
      </c>
    </row>
    <row r="36" customFormat="false" ht="58.95" hidden="false" customHeight="false" outlineLevel="0" collapsed="false">
      <c r="A36" s="20" t="n">
        <v>2100</v>
      </c>
      <c r="B36" s="22" t="s">
        <v>721</v>
      </c>
      <c r="C36" s="22" t="s">
        <v>722</v>
      </c>
      <c r="D36" s="22"/>
      <c r="E36" s="23" t="n">
        <v>45069</v>
      </c>
      <c r="F36" s="23" t="n">
        <v>45169</v>
      </c>
      <c r="G36" s="24" t="n">
        <v>72</v>
      </c>
      <c r="H36" s="265" t="n">
        <v>72</v>
      </c>
      <c r="I36" s="265" t="n">
        <v>0</v>
      </c>
      <c r="J36" s="22" t="s">
        <v>333</v>
      </c>
      <c r="K36" s="27" t="n">
        <v>50000</v>
      </c>
      <c r="L36" s="27" t="n">
        <v>108000</v>
      </c>
      <c r="M36" s="45" t="n">
        <v>7500</v>
      </c>
      <c r="N36" s="29" t="n">
        <v>4850</v>
      </c>
      <c r="O36" s="29" t="n">
        <v>108000</v>
      </c>
      <c r="P36" s="27" t="n">
        <v>0</v>
      </c>
      <c r="Q36" s="263" t="n">
        <v>45222</v>
      </c>
    </row>
    <row r="37" customFormat="false" ht="34.3" hidden="false" customHeight="false" outlineLevel="0" collapsed="false">
      <c r="A37" s="20" t="n">
        <v>2279</v>
      </c>
      <c r="B37" s="22" t="s">
        <v>526</v>
      </c>
      <c r="C37" s="22" t="s">
        <v>527</v>
      </c>
      <c r="D37" s="22" t="s">
        <v>528</v>
      </c>
      <c r="E37" s="23" t="n">
        <v>45204</v>
      </c>
      <c r="F37" s="23" t="n">
        <v>45306</v>
      </c>
      <c r="G37" s="24" t="n">
        <v>72</v>
      </c>
      <c r="H37" s="265" t="n">
        <v>72</v>
      </c>
      <c r="I37" s="265" t="n">
        <v>0</v>
      </c>
      <c r="J37" s="22" t="s">
        <v>333</v>
      </c>
      <c r="K37" s="30" t="n">
        <v>50000</v>
      </c>
      <c r="L37" s="30" t="n">
        <v>108000</v>
      </c>
      <c r="M37" s="28" t="n">
        <v>7500</v>
      </c>
      <c r="N37" s="29"/>
      <c r="O37" s="29" t="n">
        <v>108000</v>
      </c>
      <c r="P37" s="27" t="n">
        <v>0</v>
      </c>
      <c r="Q37" s="263" t="n">
        <v>45222</v>
      </c>
    </row>
    <row r="38" customFormat="false" ht="42.5" hidden="false" customHeight="false" outlineLevel="0" collapsed="false">
      <c r="A38" s="20" t="n">
        <v>2173</v>
      </c>
      <c r="B38" s="22" t="s">
        <v>559</v>
      </c>
      <c r="C38" s="22" t="s">
        <v>556</v>
      </c>
      <c r="D38" s="22"/>
      <c r="E38" s="23" t="n">
        <v>45129</v>
      </c>
      <c r="F38" s="23" t="n">
        <v>45230</v>
      </c>
      <c r="G38" s="24" t="n">
        <v>72</v>
      </c>
      <c r="H38" s="265" t="n">
        <v>72</v>
      </c>
      <c r="I38" s="265" t="n">
        <v>0</v>
      </c>
      <c r="J38" s="22" t="s">
        <v>560</v>
      </c>
      <c r="K38" s="30" t="n">
        <v>10000</v>
      </c>
      <c r="L38" s="30" t="n">
        <v>21600</v>
      </c>
      <c r="M38" s="28" t="n">
        <v>1500</v>
      </c>
      <c r="N38" s="29" t="n">
        <v>3600</v>
      </c>
      <c r="O38" s="29" t="n">
        <v>21600</v>
      </c>
      <c r="P38" s="30" t="n">
        <v>0</v>
      </c>
      <c r="Q38" s="263" t="n">
        <v>45222</v>
      </c>
    </row>
    <row r="39" customFormat="false" ht="26.1" hidden="false" customHeight="false" outlineLevel="0" collapsed="false">
      <c r="A39" s="20" t="n">
        <v>2174</v>
      </c>
      <c r="B39" s="22" t="s">
        <v>723</v>
      </c>
      <c r="C39" s="22" t="s">
        <v>724</v>
      </c>
      <c r="D39" s="22"/>
      <c r="E39" s="23" t="n">
        <v>45061</v>
      </c>
      <c r="F39" s="23" t="n">
        <v>45161</v>
      </c>
      <c r="G39" s="24" t="n">
        <v>72</v>
      </c>
      <c r="H39" s="77" t="n">
        <v>72</v>
      </c>
      <c r="I39" s="77" t="n">
        <v>0</v>
      </c>
      <c r="J39" s="22" t="s">
        <v>716</v>
      </c>
      <c r="K39" s="30" t="n">
        <v>15000</v>
      </c>
      <c r="L39" s="30" t="n">
        <v>32400</v>
      </c>
      <c r="M39" s="45" t="n">
        <v>2250</v>
      </c>
      <c r="N39" s="29" t="n">
        <v>3150</v>
      </c>
      <c r="O39" s="29" t="n">
        <v>32400</v>
      </c>
      <c r="P39" s="27" t="n">
        <v>0</v>
      </c>
      <c r="Q39" s="263" t="n">
        <v>45229</v>
      </c>
    </row>
    <row r="40" customFormat="false" ht="26.1" hidden="false" customHeight="false" outlineLevel="0" collapsed="false">
      <c r="A40" s="20" t="n">
        <v>2049</v>
      </c>
      <c r="B40" s="22" t="s">
        <v>334</v>
      </c>
      <c r="C40" s="22" t="s">
        <v>725</v>
      </c>
      <c r="D40" s="22"/>
      <c r="E40" s="23" t="n">
        <v>45118</v>
      </c>
      <c r="F40" s="23" t="n">
        <v>45271</v>
      </c>
      <c r="G40" s="24" t="n">
        <v>109</v>
      </c>
      <c r="H40" s="77" t="n">
        <v>110</v>
      </c>
      <c r="I40" s="77" t="n">
        <v>-1</v>
      </c>
      <c r="J40" s="269" t="s">
        <v>726</v>
      </c>
      <c r="K40" s="30" t="n">
        <v>15000</v>
      </c>
      <c r="L40" s="30" t="n">
        <v>39600</v>
      </c>
      <c r="M40" s="28" t="n">
        <v>1800</v>
      </c>
      <c r="N40" s="29" t="n">
        <v>1000</v>
      </c>
      <c r="O40" s="29" t="n">
        <v>39600</v>
      </c>
      <c r="P40" s="27" t="n">
        <v>0</v>
      </c>
      <c r="Q40" s="263" t="n">
        <v>45229</v>
      </c>
    </row>
    <row r="41" customFormat="false" ht="42.5" hidden="false" customHeight="false" outlineLevel="0" collapsed="false">
      <c r="A41" s="20" t="n">
        <v>2017</v>
      </c>
      <c r="B41" s="22" t="s">
        <v>727</v>
      </c>
      <c r="C41" s="22" t="s">
        <v>728</v>
      </c>
      <c r="D41" s="23"/>
      <c r="E41" s="23" t="n">
        <v>44986</v>
      </c>
      <c r="F41" s="23" t="n">
        <v>45140</v>
      </c>
      <c r="G41" s="280" t="n">
        <v>110</v>
      </c>
      <c r="H41" s="77" t="n">
        <v>102.5</v>
      </c>
      <c r="I41" s="77" t="n">
        <v>7.5</v>
      </c>
      <c r="J41" s="30" t="s">
        <v>729</v>
      </c>
      <c r="K41" s="27" t="n">
        <v>60000</v>
      </c>
      <c r="L41" s="45" t="n">
        <v>132000</v>
      </c>
      <c r="M41" s="29" t="n">
        <v>6600</v>
      </c>
      <c r="N41" s="29" t="n">
        <v>6000</v>
      </c>
      <c r="O41" s="29" t="n">
        <v>135300</v>
      </c>
      <c r="P41" s="27" t="n">
        <v>-3300</v>
      </c>
      <c r="Q41" s="263" t="n">
        <v>45229</v>
      </c>
    </row>
    <row r="42" customFormat="false" ht="34.3" hidden="false" customHeight="false" outlineLevel="0" collapsed="false">
      <c r="A42" s="20" t="n">
        <v>2177</v>
      </c>
      <c r="B42" s="22" t="s">
        <v>364</v>
      </c>
      <c r="C42" s="22" t="s">
        <v>730</v>
      </c>
      <c r="D42" s="22"/>
      <c r="E42" s="23" t="n">
        <v>45133</v>
      </c>
      <c r="F42" s="23" t="n">
        <v>45259</v>
      </c>
      <c r="G42" s="24" t="n">
        <v>90</v>
      </c>
      <c r="H42" s="77" t="n">
        <v>80</v>
      </c>
      <c r="I42" s="77" t="n">
        <v>10</v>
      </c>
      <c r="J42" s="269" t="s">
        <v>731</v>
      </c>
      <c r="K42" s="30" t="n">
        <v>10000</v>
      </c>
      <c r="L42" s="30" t="n">
        <v>21600</v>
      </c>
      <c r="M42" s="28" t="n">
        <v>1350</v>
      </c>
      <c r="N42" s="29" t="n">
        <v>5400</v>
      </c>
      <c r="O42" s="29" t="n">
        <v>21600</v>
      </c>
      <c r="P42" s="27" t="n">
        <v>0</v>
      </c>
      <c r="Q42" s="263" t="n">
        <v>45229</v>
      </c>
    </row>
    <row r="43" customFormat="false" ht="26.1" hidden="false" customHeight="false" outlineLevel="0" collapsed="false">
      <c r="A43" s="20" t="n">
        <v>2283</v>
      </c>
      <c r="B43" s="22" t="s">
        <v>684</v>
      </c>
      <c r="C43" s="22" t="s">
        <v>685</v>
      </c>
      <c r="D43" s="22"/>
      <c r="E43" s="23" t="n">
        <v>45206</v>
      </c>
      <c r="F43" s="23" t="n">
        <v>45233</v>
      </c>
      <c r="G43" s="24" t="n">
        <v>20</v>
      </c>
      <c r="H43" s="77" t="e">
        <f aca="false">#DIV/0!</f>
        <v>#DIV/0!</v>
      </c>
      <c r="I43" s="77" t="e">
        <f aca="false">#DIV/0!</f>
        <v>#DIV/0!</v>
      </c>
      <c r="J43" s="269" t="s">
        <v>681</v>
      </c>
      <c r="K43" s="27" t="n">
        <v>15000</v>
      </c>
      <c r="L43" s="27" t="n">
        <v>22500</v>
      </c>
      <c r="M43" s="45"/>
      <c r="N43" s="29" t="n">
        <v>22500</v>
      </c>
      <c r="O43" s="29" t="n">
        <v>22500</v>
      </c>
      <c r="P43" s="27" t="n">
        <v>0</v>
      </c>
      <c r="Q43" s="263" t="n">
        <v>45229</v>
      </c>
    </row>
    <row r="44" customFormat="false" ht="26.1" hidden="false" customHeight="false" outlineLevel="0" collapsed="false">
      <c r="A44" s="20" t="n">
        <v>2284</v>
      </c>
      <c r="B44" s="22" t="s">
        <v>684</v>
      </c>
      <c r="C44" s="22" t="s">
        <v>685</v>
      </c>
      <c r="D44" s="22"/>
      <c r="E44" s="23" t="n">
        <v>45206</v>
      </c>
      <c r="F44" s="23" t="n">
        <v>45231</v>
      </c>
      <c r="G44" s="24" t="n">
        <v>18</v>
      </c>
      <c r="H44" s="77" t="e">
        <f aca="false">#DIV/0!</f>
        <v>#DIV/0!</v>
      </c>
      <c r="I44" s="77" t="e">
        <f aca="false">#DIV/0!</f>
        <v>#DIV/0!</v>
      </c>
      <c r="J44" s="269" t="s">
        <v>681</v>
      </c>
      <c r="K44" s="27" t="n">
        <v>25000</v>
      </c>
      <c r="L44" s="27" t="n">
        <v>37500</v>
      </c>
      <c r="M44" s="45"/>
      <c r="N44" s="29" t="n">
        <v>37500</v>
      </c>
      <c r="O44" s="29" t="n">
        <v>37500</v>
      </c>
      <c r="P44" s="27" t="n">
        <v>0</v>
      </c>
      <c r="Q44" s="263" t="n">
        <v>45229</v>
      </c>
    </row>
    <row r="45" customFormat="false" ht="42.5" hidden="false" customHeight="false" outlineLevel="0" collapsed="false">
      <c r="A45" s="20" t="n">
        <v>2155</v>
      </c>
      <c r="B45" s="22" t="s">
        <v>732</v>
      </c>
      <c r="C45" s="22" t="s">
        <v>207</v>
      </c>
      <c r="D45" s="22"/>
      <c r="E45" s="23" t="n">
        <v>45119</v>
      </c>
      <c r="F45" s="23" t="n">
        <v>45231</v>
      </c>
      <c r="G45" s="24" t="n">
        <v>80</v>
      </c>
      <c r="H45" s="77" t="n">
        <v>80</v>
      </c>
      <c r="I45" s="77" t="n">
        <v>0</v>
      </c>
      <c r="J45" s="269" t="s">
        <v>733</v>
      </c>
      <c r="K45" s="27" t="n">
        <v>50000</v>
      </c>
      <c r="L45" s="27" t="n">
        <v>108000</v>
      </c>
      <c r="M45" s="45" t="n">
        <v>6750</v>
      </c>
      <c r="N45" s="29" t="n">
        <v>27000</v>
      </c>
      <c r="O45" s="29" t="n">
        <v>108000</v>
      </c>
      <c r="P45" s="27" t="n">
        <v>0</v>
      </c>
      <c r="Q45" s="263" t="n">
        <v>45229</v>
      </c>
    </row>
    <row r="46" customFormat="false" ht="26.1" hidden="false" customHeight="false" outlineLevel="0" collapsed="false">
      <c r="A46" s="20" t="n">
        <v>2090</v>
      </c>
      <c r="B46" s="22" t="s">
        <v>571</v>
      </c>
      <c r="C46" s="22" t="s">
        <v>572</v>
      </c>
      <c r="D46" s="22"/>
      <c r="E46" s="23" t="n">
        <v>45059</v>
      </c>
      <c r="F46" s="23" t="n">
        <v>45212</v>
      </c>
      <c r="G46" s="24" t="n">
        <v>110</v>
      </c>
      <c r="H46" s="77" t="n">
        <v>110</v>
      </c>
      <c r="I46" s="77" t="n">
        <v>0</v>
      </c>
      <c r="J46" s="22" t="s">
        <v>734</v>
      </c>
      <c r="K46" s="27" t="n">
        <v>30000</v>
      </c>
      <c r="L46" s="27" t="n">
        <v>79200</v>
      </c>
      <c r="M46" s="45" t="n">
        <v>3600</v>
      </c>
      <c r="N46" s="29" t="n">
        <v>3600</v>
      </c>
      <c r="O46" s="29" t="n">
        <v>79200</v>
      </c>
      <c r="P46" s="27" t="n">
        <v>0</v>
      </c>
      <c r="Q46" s="263" t="n">
        <v>45229</v>
      </c>
    </row>
    <row r="47" customFormat="false" ht="26.1" hidden="false" customHeight="false" outlineLevel="0" collapsed="false">
      <c r="A47" s="20" t="n">
        <v>2185</v>
      </c>
      <c r="B47" s="22" t="s">
        <v>291</v>
      </c>
      <c r="C47" s="22" t="s">
        <v>292</v>
      </c>
      <c r="D47" s="22"/>
      <c r="E47" s="23" t="n">
        <v>45139</v>
      </c>
      <c r="F47" s="23" t="n">
        <v>45239</v>
      </c>
      <c r="G47" s="24" t="n">
        <v>72</v>
      </c>
      <c r="H47" s="77" t="n">
        <v>72</v>
      </c>
      <c r="I47" s="77" t="n">
        <v>0</v>
      </c>
      <c r="J47" s="22" t="s">
        <v>560</v>
      </c>
      <c r="K47" s="27" t="n">
        <v>10000</v>
      </c>
      <c r="L47" s="27" t="n">
        <v>21600</v>
      </c>
      <c r="M47" s="45" t="n">
        <v>1500</v>
      </c>
      <c r="N47" s="29" t="n">
        <v>2100</v>
      </c>
      <c r="O47" s="29" t="n">
        <v>21600</v>
      </c>
      <c r="P47" s="27" t="n">
        <v>0</v>
      </c>
      <c r="Q47" s="263" t="n">
        <v>45236</v>
      </c>
    </row>
    <row r="48" customFormat="false" ht="34.3" hidden="false" customHeight="false" outlineLevel="0" collapsed="false">
      <c r="A48" s="20" t="n">
        <v>2315</v>
      </c>
      <c r="B48" s="22" t="s">
        <v>735</v>
      </c>
      <c r="C48" s="22" t="s">
        <v>680</v>
      </c>
      <c r="D48" s="22"/>
      <c r="E48" s="23" t="n">
        <v>45227</v>
      </c>
      <c r="F48" s="23" t="n">
        <v>45233</v>
      </c>
      <c r="G48" s="24" t="n">
        <v>5</v>
      </c>
      <c r="H48" s="77" t="e">
        <f aca="false">#VALUE!</f>
        <v>#VALUE!</v>
      </c>
      <c r="I48" s="77" t="e">
        <f aca="false">#VALUE!</f>
        <v>#VALUE!</v>
      </c>
      <c r="J48" s="269" t="s">
        <v>681</v>
      </c>
      <c r="K48" s="30" t="n">
        <v>20000</v>
      </c>
      <c r="L48" s="30" t="n">
        <v>30000</v>
      </c>
      <c r="M48" s="28" t="s">
        <v>184</v>
      </c>
      <c r="N48" s="29" t="n">
        <v>25000</v>
      </c>
      <c r="O48" s="29" t="n">
        <v>30000</v>
      </c>
      <c r="P48" s="27" t="n">
        <v>0</v>
      </c>
      <c r="Q48" s="263" t="n">
        <v>45236</v>
      </c>
    </row>
    <row r="49" customFormat="false" ht="34.3" hidden="false" customHeight="false" outlineLevel="0" collapsed="false">
      <c r="A49" s="20" t="n">
        <v>2127</v>
      </c>
      <c r="B49" s="22" t="s">
        <v>736</v>
      </c>
      <c r="C49" s="22" t="s">
        <v>383</v>
      </c>
      <c r="D49" s="22"/>
      <c r="E49" s="23" t="n">
        <v>45092</v>
      </c>
      <c r="F49" s="23" t="n">
        <v>45194</v>
      </c>
      <c r="G49" s="24" t="n">
        <v>72</v>
      </c>
      <c r="H49" s="77" t="n">
        <v>72</v>
      </c>
      <c r="I49" s="77" t="n">
        <v>0</v>
      </c>
      <c r="J49" s="22" t="s">
        <v>560</v>
      </c>
      <c r="K49" s="30" t="n">
        <v>10000</v>
      </c>
      <c r="L49" s="30" t="n">
        <v>21600</v>
      </c>
      <c r="M49" s="28" t="n">
        <v>1500</v>
      </c>
      <c r="N49" s="29" t="n">
        <v>2100</v>
      </c>
      <c r="O49" s="29" t="n">
        <v>21600</v>
      </c>
      <c r="P49" s="27" t="n">
        <v>0</v>
      </c>
      <c r="Q49" s="263" t="n">
        <v>45236</v>
      </c>
    </row>
    <row r="50" customFormat="false" ht="26.1" hidden="false" customHeight="false" outlineLevel="0" collapsed="false">
      <c r="A50" s="20" t="n">
        <v>2291</v>
      </c>
      <c r="B50" s="22" t="s">
        <v>737</v>
      </c>
      <c r="C50" s="22" t="s">
        <v>689</v>
      </c>
      <c r="D50" s="22" t="s">
        <v>738</v>
      </c>
      <c r="E50" s="23" t="n">
        <v>45209</v>
      </c>
      <c r="F50" s="23" t="n">
        <v>45237</v>
      </c>
      <c r="G50" s="24" t="n">
        <v>20</v>
      </c>
      <c r="H50" s="77" t="e">
        <f aca="false">#DIV/0!</f>
        <v>#DIV/0!</v>
      </c>
      <c r="I50" s="77" t="e">
        <f aca="false">#DIV/0!</f>
        <v>#DIV/0!</v>
      </c>
      <c r="J50" s="269" t="s">
        <v>681</v>
      </c>
      <c r="K50" s="30" t="n">
        <v>15000</v>
      </c>
      <c r="L50" s="30" t="n">
        <v>23000</v>
      </c>
      <c r="M50" s="28"/>
      <c r="N50" s="29" t="n">
        <v>23000</v>
      </c>
      <c r="O50" s="29" t="n">
        <v>23000</v>
      </c>
      <c r="P50" s="27" t="n">
        <v>0</v>
      </c>
      <c r="Q50" s="263" t="n">
        <v>45236</v>
      </c>
    </row>
    <row r="51" customFormat="false" ht="26.1" hidden="false" customHeight="false" outlineLevel="0" collapsed="false">
      <c r="A51" s="20" t="n">
        <v>1983</v>
      </c>
      <c r="B51" s="22" t="s">
        <v>709</v>
      </c>
      <c r="C51" s="22" t="s">
        <v>710</v>
      </c>
      <c r="D51" s="22"/>
      <c r="E51" s="23" t="n">
        <v>44974</v>
      </c>
      <c r="F51" s="23" t="n">
        <v>45139</v>
      </c>
      <c r="G51" s="24" t="n">
        <v>117</v>
      </c>
      <c r="H51" s="77" t="n">
        <v>121.363636363636</v>
      </c>
      <c r="I51" s="77" t="n">
        <v>-4.36363636363636</v>
      </c>
      <c r="J51" s="269" t="s">
        <v>711</v>
      </c>
      <c r="K51" s="30" t="n">
        <v>20000</v>
      </c>
      <c r="L51" s="27" t="n">
        <v>52800</v>
      </c>
      <c r="M51" s="45" t="n">
        <v>2200</v>
      </c>
      <c r="N51" s="29" t="n">
        <v>8800</v>
      </c>
      <c r="O51" s="29" t="n">
        <v>53400</v>
      </c>
      <c r="P51" s="27" t="n">
        <v>-600</v>
      </c>
      <c r="Q51" s="263" t="n">
        <v>45236</v>
      </c>
    </row>
    <row r="52" customFormat="false" ht="26.1" hidden="false" customHeight="false" outlineLevel="0" collapsed="false">
      <c r="A52" s="20" t="n">
        <v>2289</v>
      </c>
      <c r="B52" s="22" t="s">
        <v>688</v>
      </c>
      <c r="C52" s="22" t="s">
        <v>689</v>
      </c>
      <c r="D52" s="22"/>
      <c r="E52" s="23" t="n">
        <v>45209</v>
      </c>
      <c r="F52" s="23" t="n">
        <v>45237</v>
      </c>
      <c r="G52" s="24" t="n">
        <v>20</v>
      </c>
      <c r="H52" s="77" t="e">
        <f aca="false">#DIV/0!</f>
        <v>#DIV/0!</v>
      </c>
      <c r="I52" s="77" t="e">
        <f aca="false">#DIV/0!</f>
        <v>#DIV/0!</v>
      </c>
      <c r="J52" s="269" t="s">
        <v>681</v>
      </c>
      <c r="K52" s="27" t="n">
        <v>20000</v>
      </c>
      <c r="L52" s="27" t="n">
        <v>32000</v>
      </c>
      <c r="M52" s="45"/>
      <c r="N52" s="29" t="n">
        <v>32000</v>
      </c>
      <c r="O52" s="29" t="n">
        <v>32000</v>
      </c>
      <c r="P52" s="27" t="n">
        <v>0</v>
      </c>
      <c r="Q52" s="263" t="n">
        <v>45236</v>
      </c>
    </row>
    <row r="53" customFormat="false" ht="26.1" hidden="false" customHeight="false" outlineLevel="0" collapsed="false">
      <c r="A53" s="20" t="n">
        <v>2294</v>
      </c>
      <c r="B53" s="22" t="s">
        <v>690</v>
      </c>
      <c r="C53" s="22" t="s">
        <v>689</v>
      </c>
      <c r="D53" s="22"/>
      <c r="E53" s="23" t="n">
        <v>45212</v>
      </c>
      <c r="F53" s="23" t="n">
        <v>45233</v>
      </c>
      <c r="G53" s="24" t="n">
        <v>15</v>
      </c>
      <c r="H53" s="77" t="e">
        <f aca="false">#DIV/0!</f>
        <v>#DIV/0!</v>
      </c>
      <c r="I53" s="77" t="e">
        <f aca="false">#DIV/0!</f>
        <v>#DIV/0!</v>
      </c>
      <c r="J53" s="269" t="s">
        <v>681</v>
      </c>
      <c r="K53" s="30" t="n">
        <v>10000</v>
      </c>
      <c r="L53" s="30" t="n">
        <v>16000</v>
      </c>
      <c r="M53" s="28"/>
      <c r="N53" s="29" t="n">
        <v>16000</v>
      </c>
      <c r="O53" s="29" t="n">
        <v>16000</v>
      </c>
      <c r="P53" s="27" t="n">
        <v>0</v>
      </c>
      <c r="Q53" s="263" t="n">
        <v>45236</v>
      </c>
    </row>
    <row r="54" customFormat="false" ht="42.5" hidden="false" customHeight="false" outlineLevel="0" collapsed="false">
      <c r="A54" s="20" t="n">
        <v>1945</v>
      </c>
      <c r="B54" s="22" t="s">
        <v>739</v>
      </c>
      <c r="C54" s="22" t="s">
        <v>740</v>
      </c>
      <c r="D54" s="22"/>
      <c r="E54" s="23" t="n">
        <v>44936</v>
      </c>
      <c r="F54" s="23" t="n">
        <v>45036</v>
      </c>
      <c r="G54" s="24" t="n">
        <v>72</v>
      </c>
      <c r="H54" s="77" t="n">
        <v>72</v>
      </c>
      <c r="I54" s="77" t="n">
        <v>0</v>
      </c>
      <c r="J54" s="22" t="s">
        <v>741</v>
      </c>
      <c r="K54" s="30" t="n">
        <v>13000</v>
      </c>
      <c r="L54" s="30" t="n">
        <v>28080</v>
      </c>
      <c r="M54" s="28" t="n">
        <v>1950</v>
      </c>
      <c r="N54" s="29" t="n">
        <v>1830</v>
      </c>
      <c r="O54" s="29" t="n">
        <v>28080</v>
      </c>
      <c r="P54" s="30" t="n">
        <v>0</v>
      </c>
      <c r="Q54" s="263" t="n">
        <v>45236</v>
      </c>
    </row>
    <row r="55" customFormat="false" ht="34.3" hidden="false" customHeight="false" outlineLevel="0" collapsed="false">
      <c r="A55" s="20" t="n">
        <v>2278</v>
      </c>
      <c r="B55" s="22" t="s">
        <v>209</v>
      </c>
      <c r="C55" s="22" t="s">
        <v>210</v>
      </c>
      <c r="D55" s="22"/>
      <c r="E55" s="23" t="n">
        <v>45203</v>
      </c>
      <c r="F55" s="23" t="n">
        <v>45266</v>
      </c>
      <c r="G55" s="24" t="n">
        <v>45</v>
      </c>
      <c r="H55" s="77" t="n">
        <v>107.843137254902</v>
      </c>
      <c r="I55" s="77" t="n">
        <v>-62.843137254902</v>
      </c>
      <c r="J55" s="74" t="s">
        <v>742</v>
      </c>
      <c r="K55" s="30" t="n">
        <v>15000</v>
      </c>
      <c r="L55" s="30" t="n">
        <v>25500</v>
      </c>
      <c r="M55" s="28" t="n">
        <v>1275</v>
      </c>
      <c r="N55" s="29" t="n">
        <v>10500</v>
      </c>
      <c r="O55" s="29" t="n">
        <v>27500</v>
      </c>
      <c r="P55" s="27" t="n">
        <v>-2000</v>
      </c>
      <c r="Q55" s="263" t="n">
        <v>45243</v>
      </c>
    </row>
    <row r="56" customFormat="false" ht="26.1" hidden="false" customHeight="false" outlineLevel="0" collapsed="false">
      <c r="A56" s="20" t="n">
        <v>2139</v>
      </c>
      <c r="B56" s="22" t="s">
        <v>743</v>
      </c>
      <c r="C56" s="22" t="s">
        <v>744</v>
      </c>
      <c r="D56" s="22"/>
      <c r="E56" s="23" t="n">
        <v>45106</v>
      </c>
      <c r="F56" s="23" t="n">
        <v>45208</v>
      </c>
      <c r="G56" s="24" t="n">
        <v>72</v>
      </c>
      <c r="H56" s="77" t="n">
        <v>73.1333333333333</v>
      </c>
      <c r="I56" s="77" t="n">
        <v>-1.13333333333334</v>
      </c>
      <c r="J56" s="22" t="s">
        <v>703</v>
      </c>
      <c r="K56" s="30" t="n">
        <v>25000</v>
      </c>
      <c r="L56" s="30" t="n">
        <v>54000</v>
      </c>
      <c r="M56" s="28" t="n">
        <v>3750</v>
      </c>
      <c r="N56" s="29" t="n">
        <v>6000</v>
      </c>
      <c r="O56" s="29" t="n">
        <v>54850</v>
      </c>
      <c r="P56" s="27" t="n">
        <v>-850</v>
      </c>
      <c r="Q56" s="263" t="n">
        <v>45243</v>
      </c>
    </row>
    <row r="57" customFormat="false" ht="42.5" hidden="false" customHeight="false" outlineLevel="0" collapsed="false">
      <c r="A57" s="20" t="n">
        <v>2104</v>
      </c>
      <c r="B57" s="22" t="s">
        <v>420</v>
      </c>
      <c r="C57" s="22" t="s">
        <v>210</v>
      </c>
      <c r="D57" s="22"/>
      <c r="E57" s="23" t="n">
        <v>45073</v>
      </c>
      <c r="F57" s="23" t="n">
        <v>45174</v>
      </c>
      <c r="G57" s="24" t="n">
        <v>72</v>
      </c>
      <c r="H57" s="77" t="n">
        <v>76.4444444444444</v>
      </c>
      <c r="I57" s="77" t="n">
        <v>-4.44444444444444</v>
      </c>
      <c r="J57" s="22" t="s">
        <v>716</v>
      </c>
      <c r="K57" s="30" t="n">
        <v>15000</v>
      </c>
      <c r="L57" s="30" t="n">
        <v>32400</v>
      </c>
      <c r="M57" s="28" t="n">
        <v>2250</v>
      </c>
      <c r="N57" s="29" t="n">
        <v>6050</v>
      </c>
      <c r="O57" s="29" t="n">
        <v>34400</v>
      </c>
      <c r="P57" s="27" t="n">
        <v>-2000</v>
      </c>
      <c r="Q57" s="263" t="n">
        <v>45243</v>
      </c>
    </row>
    <row r="58" customFormat="false" ht="26.1" hidden="false" customHeight="false" outlineLevel="0" collapsed="false">
      <c r="A58" s="272" t="n">
        <v>2159</v>
      </c>
      <c r="B58" s="22" t="s">
        <v>684</v>
      </c>
      <c r="C58" s="22" t="s">
        <v>685</v>
      </c>
      <c r="D58" s="22"/>
      <c r="E58" s="23" t="n">
        <v>45121</v>
      </c>
      <c r="F58" s="23" t="n">
        <v>45223</v>
      </c>
      <c r="G58" s="24" t="n">
        <v>72</v>
      </c>
      <c r="H58" s="77" t="n">
        <v>73.3333333333333</v>
      </c>
      <c r="I58" s="77" t="n">
        <v>-1.33333333333333</v>
      </c>
      <c r="J58" s="22" t="s">
        <v>712</v>
      </c>
      <c r="K58" s="27" t="n">
        <v>5000</v>
      </c>
      <c r="L58" s="27" t="n">
        <v>10800</v>
      </c>
      <c r="M58" s="45" t="n">
        <v>750</v>
      </c>
      <c r="N58" s="29" t="n">
        <v>3000</v>
      </c>
      <c r="O58" s="29" t="n">
        <v>11000</v>
      </c>
      <c r="P58" s="27" t="n">
        <v>-200</v>
      </c>
      <c r="Q58" s="263" t="n">
        <v>45243</v>
      </c>
    </row>
    <row r="59" customFormat="false" ht="26.1" hidden="false" customHeight="false" outlineLevel="0" collapsed="false">
      <c r="A59" s="20" t="n">
        <v>2285</v>
      </c>
      <c r="B59" s="22" t="s">
        <v>684</v>
      </c>
      <c r="C59" s="22" t="s">
        <v>685</v>
      </c>
      <c r="D59" s="22"/>
      <c r="E59" s="23" t="n">
        <v>45209</v>
      </c>
      <c r="F59" s="23" t="n">
        <v>45232</v>
      </c>
      <c r="G59" s="24" t="n">
        <v>17</v>
      </c>
      <c r="H59" s="77" t="e">
        <f aca="false">#DIV/0!</f>
        <v>#DIV/0!</v>
      </c>
      <c r="I59" s="77" t="e">
        <f aca="false">#DIV/0!</f>
        <v>#DIV/0!</v>
      </c>
      <c r="J59" s="269" t="s">
        <v>681</v>
      </c>
      <c r="K59" s="30" t="n">
        <v>20000</v>
      </c>
      <c r="L59" s="30" t="n">
        <v>30000</v>
      </c>
      <c r="M59" s="28"/>
      <c r="N59" s="29" t="n">
        <v>10000</v>
      </c>
      <c r="O59" s="29" t="n">
        <v>30000</v>
      </c>
      <c r="P59" s="27" t="n">
        <v>0</v>
      </c>
      <c r="Q59" s="263" t="n">
        <v>45243</v>
      </c>
    </row>
    <row r="60" customFormat="false" ht="26.1" hidden="false" customHeight="false" outlineLevel="0" collapsed="false">
      <c r="A60" s="20" t="n">
        <v>2164</v>
      </c>
      <c r="B60" s="22" t="s">
        <v>291</v>
      </c>
      <c r="C60" s="22" t="s">
        <v>292</v>
      </c>
      <c r="D60" s="22"/>
      <c r="E60" s="23" t="n">
        <v>45124</v>
      </c>
      <c r="F60" s="23" t="n">
        <v>45348</v>
      </c>
      <c r="G60" s="24" t="n">
        <v>160</v>
      </c>
      <c r="H60" s="77" t="n">
        <v>140.01237404985</v>
      </c>
      <c r="I60" s="77" t="n">
        <v>19.9876259501503</v>
      </c>
      <c r="J60" s="269" t="s">
        <v>745</v>
      </c>
      <c r="K60" s="30" t="n">
        <v>30000</v>
      </c>
      <c r="L60" s="30" t="n">
        <v>79205</v>
      </c>
      <c r="M60" s="28" t="n">
        <v>2828.5</v>
      </c>
      <c r="N60" s="29" t="n">
        <v>22625</v>
      </c>
      <c r="O60" s="29" t="n">
        <v>79205</v>
      </c>
      <c r="P60" s="27" t="n">
        <v>0</v>
      </c>
      <c r="Q60" s="263" t="n">
        <v>45257</v>
      </c>
    </row>
    <row r="61" customFormat="false" ht="26.1" hidden="false" customHeight="false" outlineLevel="0" collapsed="false">
      <c r="A61" s="20" t="n">
        <v>2112</v>
      </c>
      <c r="B61" s="22" t="s">
        <v>334</v>
      </c>
      <c r="C61" s="22" t="s">
        <v>725</v>
      </c>
      <c r="D61" s="22"/>
      <c r="E61" s="23" t="n">
        <v>45082</v>
      </c>
      <c r="F61" s="23" t="n">
        <v>45260</v>
      </c>
      <c r="G61" s="24" t="n">
        <v>128</v>
      </c>
      <c r="H61" s="77" t="n">
        <v>120</v>
      </c>
      <c r="I61" s="77" t="n">
        <v>8</v>
      </c>
      <c r="J61" s="269" t="s">
        <v>746</v>
      </c>
      <c r="K61" s="30" t="n">
        <v>20000</v>
      </c>
      <c r="L61" s="30" t="n">
        <v>52800</v>
      </c>
      <c r="M61" s="45" t="n">
        <v>2200</v>
      </c>
      <c r="N61" s="29" t="n">
        <v>8800</v>
      </c>
      <c r="O61" s="29" t="n">
        <v>52800</v>
      </c>
      <c r="P61" s="27" t="n">
        <v>0</v>
      </c>
      <c r="Q61" s="263" t="n">
        <v>45257</v>
      </c>
    </row>
    <row r="62" customFormat="false" ht="34.3" hidden="false" customHeight="false" outlineLevel="0" collapsed="false">
      <c r="A62" s="20" t="n">
        <v>2143</v>
      </c>
      <c r="B62" s="22" t="s">
        <v>440</v>
      </c>
      <c r="C62" s="22" t="s">
        <v>207</v>
      </c>
      <c r="D62" s="22"/>
      <c r="E62" s="23" t="n">
        <v>45110</v>
      </c>
      <c r="F62" s="23" t="n">
        <v>45264</v>
      </c>
      <c r="G62" s="24" t="n">
        <v>110</v>
      </c>
      <c r="H62" s="77" t="n">
        <v>110</v>
      </c>
      <c r="I62" s="77" t="n">
        <v>0</v>
      </c>
      <c r="J62" s="22" t="s">
        <v>747</v>
      </c>
      <c r="K62" s="27" t="n">
        <v>40000</v>
      </c>
      <c r="L62" s="27" t="n">
        <v>105600</v>
      </c>
      <c r="M62" s="45" t="n">
        <v>4800</v>
      </c>
      <c r="N62" s="29" t="n">
        <v>11200</v>
      </c>
      <c r="O62" s="29" t="n">
        <v>105600</v>
      </c>
      <c r="P62" s="27" t="n">
        <v>0</v>
      </c>
      <c r="Q62" s="263" t="n">
        <v>45257</v>
      </c>
    </row>
    <row r="63" customFormat="false" ht="42.5" hidden="false" customHeight="false" outlineLevel="0" collapsed="false">
      <c r="A63" s="20" t="n">
        <v>2216</v>
      </c>
      <c r="B63" s="22" t="s">
        <v>748</v>
      </c>
      <c r="C63" s="22" t="s">
        <v>493</v>
      </c>
      <c r="D63" s="22"/>
      <c r="E63" s="23" t="n">
        <v>45157</v>
      </c>
      <c r="F63" s="23" t="n">
        <v>45258</v>
      </c>
      <c r="G63" s="24" t="n">
        <v>72</v>
      </c>
      <c r="H63" s="77" t="n">
        <v>72</v>
      </c>
      <c r="I63" s="77" t="n">
        <v>0</v>
      </c>
      <c r="J63" s="22" t="s">
        <v>679</v>
      </c>
      <c r="K63" s="30" t="n">
        <v>20000</v>
      </c>
      <c r="L63" s="30" t="n">
        <v>43200</v>
      </c>
      <c r="M63" s="28" t="n">
        <v>3000</v>
      </c>
      <c r="N63" s="29" t="n">
        <v>1200</v>
      </c>
      <c r="O63" s="29" t="n">
        <v>43200</v>
      </c>
      <c r="P63" s="27" t="n">
        <v>0</v>
      </c>
      <c r="Q63" s="263" t="n">
        <v>45257</v>
      </c>
    </row>
    <row r="64" customFormat="false" ht="26.1" hidden="false" customHeight="false" outlineLevel="0" collapsed="false">
      <c r="A64" s="20" t="n">
        <v>2214</v>
      </c>
      <c r="B64" s="22" t="s">
        <v>548</v>
      </c>
      <c r="C64" s="22" t="s">
        <v>252</v>
      </c>
      <c r="D64" s="22"/>
      <c r="E64" s="23" t="n">
        <v>45156</v>
      </c>
      <c r="F64" s="23" t="n">
        <v>45258</v>
      </c>
      <c r="G64" s="24" t="n">
        <v>72</v>
      </c>
      <c r="H64" s="77" t="n">
        <v>72</v>
      </c>
      <c r="I64" s="77" t="n">
        <v>0</v>
      </c>
      <c r="J64" s="22" t="s">
        <v>560</v>
      </c>
      <c r="K64" s="30" t="n">
        <v>10000</v>
      </c>
      <c r="L64" s="30" t="n">
        <v>21600</v>
      </c>
      <c r="M64" s="28" t="n">
        <v>1500</v>
      </c>
      <c r="N64" s="29" t="n">
        <v>600</v>
      </c>
      <c r="O64" s="29" t="n">
        <v>21600</v>
      </c>
      <c r="P64" s="30" t="n">
        <v>0</v>
      </c>
      <c r="Q64" s="263" t="n">
        <v>45257</v>
      </c>
    </row>
    <row r="65" customFormat="false" ht="26.1" hidden="false" customHeight="false" outlineLevel="0" collapsed="false">
      <c r="A65" s="272" t="n">
        <v>2156</v>
      </c>
      <c r="B65" s="22" t="s">
        <v>196</v>
      </c>
      <c r="C65" s="22" t="s">
        <v>197</v>
      </c>
      <c r="D65" s="22" t="s">
        <v>749</v>
      </c>
      <c r="E65" s="23" t="n">
        <v>45119</v>
      </c>
      <c r="F65" s="23" t="n">
        <v>45219</v>
      </c>
      <c r="G65" s="24" t="n">
        <v>72</v>
      </c>
      <c r="H65" s="77" t="n">
        <v>72</v>
      </c>
      <c r="I65" s="77" t="n">
        <v>0</v>
      </c>
      <c r="J65" s="22" t="s">
        <v>679</v>
      </c>
      <c r="K65" s="30" t="n">
        <v>20000</v>
      </c>
      <c r="L65" s="30" t="n">
        <v>43200</v>
      </c>
      <c r="M65" s="28" t="n">
        <v>3000</v>
      </c>
      <c r="N65" s="29" t="n">
        <v>1200</v>
      </c>
      <c r="O65" s="29" t="n">
        <v>43200</v>
      </c>
      <c r="P65" s="30" t="n">
        <v>0</v>
      </c>
      <c r="Q65" s="263" t="n">
        <v>45264</v>
      </c>
    </row>
    <row r="66" customFormat="false" ht="34.3" hidden="false" customHeight="false" outlineLevel="0" collapsed="false">
      <c r="A66" s="20" t="n">
        <v>2325</v>
      </c>
      <c r="B66" s="22" t="s">
        <v>750</v>
      </c>
      <c r="C66" s="22" t="s">
        <v>751</v>
      </c>
      <c r="D66" s="22"/>
      <c r="E66" s="23" t="n">
        <v>45236</v>
      </c>
      <c r="F66" s="23" t="n">
        <v>45252</v>
      </c>
      <c r="G66" s="24" t="n">
        <v>12</v>
      </c>
      <c r="H66" s="77" t="e">
        <f aca="false">#VALUE!</f>
        <v>#VALUE!</v>
      </c>
      <c r="I66" s="77" t="e">
        <f aca="false">#VALUE!</f>
        <v>#VALUE!</v>
      </c>
      <c r="J66" s="269" t="s">
        <v>681</v>
      </c>
      <c r="K66" s="30" t="n">
        <v>10000</v>
      </c>
      <c r="L66" s="30" t="n">
        <v>13500</v>
      </c>
      <c r="M66" s="28" t="s">
        <v>184</v>
      </c>
      <c r="N66" s="29" t="n">
        <v>15000</v>
      </c>
      <c r="O66" s="29" t="n">
        <v>15000</v>
      </c>
      <c r="P66" s="30" t="n">
        <v>-1500</v>
      </c>
      <c r="Q66" s="263" t="n">
        <v>45264</v>
      </c>
    </row>
    <row r="67" customFormat="false" ht="34.3" hidden="false" customHeight="false" outlineLevel="0" collapsed="false">
      <c r="A67" s="20" t="n">
        <v>2350</v>
      </c>
      <c r="B67" s="22" t="s">
        <v>752</v>
      </c>
      <c r="C67" s="22" t="s">
        <v>383</v>
      </c>
      <c r="D67" s="22"/>
      <c r="E67" s="23" t="n">
        <v>45257</v>
      </c>
      <c r="F67" s="23" t="n">
        <v>45265</v>
      </c>
      <c r="G67" s="24" t="n">
        <v>6</v>
      </c>
      <c r="H67" s="77" t="e">
        <f aca="false">#DIV/0!</f>
        <v>#DIV/0!</v>
      </c>
      <c r="I67" s="77" t="e">
        <f aca="false">#DIV/0!</f>
        <v>#DIV/0!</v>
      </c>
      <c r="J67" s="269" t="s">
        <v>681</v>
      </c>
      <c r="K67" s="30" t="n">
        <v>10000</v>
      </c>
      <c r="L67" s="30" t="n">
        <v>13000</v>
      </c>
      <c r="M67" s="28"/>
      <c r="N67" s="29" t="n">
        <v>13000</v>
      </c>
      <c r="O67" s="29" t="n">
        <v>13000</v>
      </c>
      <c r="P67" s="30" t="n">
        <v>0</v>
      </c>
      <c r="Q67" s="263" t="n">
        <v>45264</v>
      </c>
    </row>
    <row r="68" customFormat="false" ht="26.1" hidden="false" customHeight="false" outlineLevel="0" collapsed="false">
      <c r="A68" s="272" t="n">
        <v>2157</v>
      </c>
      <c r="B68" s="22" t="s">
        <v>753</v>
      </c>
      <c r="C68" s="22" t="s">
        <v>754</v>
      </c>
      <c r="D68" s="22" t="s">
        <v>218</v>
      </c>
      <c r="E68" s="23" t="n">
        <v>45120</v>
      </c>
      <c r="F68" s="23" t="n">
        <v>45222</v>
      </c>
      <c r="G68" s="24" t="n">
        <v>72</v>
      </c>
      <c r="H68" s="77" t="n">
        <v>72.5555555555556</v>
      </c>
      <c r="I68" s="77" t="n">
        <v>-0.555555555555557</v>
      </c>
      <c r="J68" s="22" t="s">
        <v>716</v>
      </c>
      <c r="K68" s="27" t="n">
        <v>15000</v>
      </c>
      <c r="L68" s="27" t="n">
        <v>32400</v>
      </c>
      <c r="M68" s="45" t="n">
        <v>2250</v>
      </c>
      <c r="N68" s="29" t="n">
        <v>2200</v>
      </c>
      <c r="O68" s="29" t="n">
        <v>32650</v>
      </c>
      <c r="P68" s="27" t="n">
        <v>-250</v>
      </c>
      <c r="Q68" s="263" t="n">
        <v>45264</v>
      </c>
    </row>
    <row r="69" customFormat="false" ht="26.1" hidden="false" customHeight="false" outlineLevel="0" collapsed="false">
      <c r="A69" s="20" t="n">
        <v>2148</v>
      </c>
      <c r="B69" s="22" t="s">
        <v>755</v>
      </c>
      <c r="C69" s="22" t="s">
        <v>252</v>
      </c>
      <c r="D69" s="22"/>
      <c r="E69" s="23" t="n">
        <v>45113</v>
      </c>
      <c r="F69" s="23" t="n">
        <v>45267</v>
      </c>
      <c r="G69" s="24" t="n">
        <v>110</v>
      </c>
      <c r="H69" s="77" t="n">
        <v>110</v>
      </c>
      <c r="I69" s="77" t="n">
        <v>0</v>
      </c>
      <c r="J69" s="22" t="s">
        <v>756</v>
      </c>
      <c r="K69" s="30" t="n">
        <v>35000</v>
      </c>
      <c r="L69" s="30" t="n">
        <v>92400</v>
      </c>
      <c r="M69" s="28" t="n">
        <v>4200</v>
      </c>
      <c r="N69" s="29" t="n">
        <v>8400</v>
      </c>
      <c r="O69" s="29" t="n">
        <v>92400</v>
      </c>
      <c r="P69" s="27" t="n">
        <v>0</v>
      </c>
      <c r="Q69" s="263" t="n">
        <v>45264</v>
      </c>
    </row>
    <row r="70" customFormat="false" ht="34.3" hidden="false" customHeight="false" outlineLevel="0" collapsed="false">
      <c r="A70" s="20" t="n">
        <v>2195</v>
      </c>
      <c r="B70" s="22" t="s">
        <v>262</v>
      </c>
      <c r="C70" s="22" t="s">
        <v>263</v>
      </c>
      <c r="D70" s="22"/>
      <c r="E70" s="23" t="n">
        <v>45145</v>
      </c>
      <c r="F70" s="23" t="n">
        <v>45271</v>
      </c>
      <c r="G70" s="24" t="n">
        <v>90</v>
      </c>
      <c r="H70" s="77" t="n">
        <v>80</v>
      </c>
      <c r="I70" s="77" t="n">
        <v>10</v>
      </c>
      <c r="J70" s="269" t="s">
        <v>757</v>
      </c>
      <c r="K70" s="30" t="n">
        <v>100000</v>
      </c>
      <c r="L70" s="30" t="n">
        <v>216000</v>
      </c>
      <c r="M70" s="28" t="n">
        <v>13500</v>
      </c>
      <c r="N70" s="29" t="n">
        <v>54000</v>
      </c>
      <c r="O70" s="29" t="n">
        <v>216000</v>
      </c>
      <c r="P70" s="27" t="n">
        <v>0</v>
      </c>
      <c r="Q70" s="263" t="n">
        <v>45264</v>
      </c>
    </row>
    <row r="71" customFormat="false" ht="42.5" hidden="false" customHeight="false" outlineLevel="0" collapsed="false">
      <c r="A71" s="20" t="n">
        <v>2088</v>
      </c>
      <c r="B71" s="22" t="s">
        <v>268</v>
      </c>
      <c r="C71" s="24" t="s">
        <v>269</v>
      </c>
      <c r="D71" s="22"/>
      <c r="E71" s="23" t="n">
        <v>45057</v>
      </c>
      <c r="F71" s="23" t="n">
        <v>45301</v>
      </c>
      <c r="G71" s="24" t="n">
        <v>174</v>
      </c>
      <c r="H71" s="77" t="n">
        <v>160</v>
      </c>
      <c r="I71" s="77" t="n">
        <v>14</v>
      </c>
      <c r="J71" s="269" t="s">
        <v>758</v>
      </c>
      <c r="K71" s="27" t="n">
        <v>60000</v>
      </c>
      <c r="L71" s="27" t="n">
        <v>160800</v>
      </c>
      <c r="M71" s="45" t="n">
        <v>5025</v>
      </c>
      <c r="N71" s="29" t="n">
        <v>40800</v>
      </c>
      <c r="O71" s="29" t="n">
        <v>160800</v>
      </c>
      <c r="P71" s="27" t="n">
        <v>0</v>
      </c>
      <c r="Q71" s="263" t="n">
        <v>45264</v>
      </c>
    </row>
    <row r="72" customFormat="false" ht="26.1" hidden="false" customHeight="false" outlineLevel="0" collapsed="false">
      <c r="A72" s="20" t="n">
        <v>2125</v>
      </c>
      <c r="B72" s="22" t="s">
        <v>759</v>
      </c>
      <c r="C72" s="22" t="s">
        <v>760</v>
      </c>
      <c r="D72" s="22"/>
      <c r="E72" s="23" t="n">
        <v>45091</v>
      </c>
      <c r="F72" s="23" t="n">
        <v>45268</v>
      </c>
      <c r="G72" s="24" t="n">
        <v>127</v>
      </c>
      <c r="H72" s="77" t="n">
        <v>120</v>
      </c>
      <c r="I72" s="77" t="n">
        <v>7</v>
      </c>
      <c r="J72" s="269" t="s">
        <v>761</v>
      </c>
      <c r="K72" s="27" t="n">
        <v>40000</v>
      </c>
      <c r="L72" s="27" t="n">
        <v>80400</v>
      </c>
      <c r="M72" s="45" t="n">
        <v>3350</v>
      </c>
      <c r="N72" s="29" t="n">
        <v>13400</v>
      </c>
      <c r="O72" s="29" t="n">
        <v>80400</v>
      </c>
      <c r="P72" s="27" t="n">
        <v>0</v>
      </c>
      <c r="Q72" s="263" t="n">
        <v>45264</v>
      </c>
    </row>
    <row r="73" customFormat="false" ht="42.5" hidden="false" customHeight="false" outlineLevel="0" collapsed="false">
      <c r="A73" s="20" t="n">
        <v>2357</v>
      </c>
      <c r="B73" s="22" t="s">
        <v>718</v>
      </c>
      <c r="C73" s="22" t="s">
        <v>680</v>
      </c>
      <c r="D73" s="22"/>
      <c r="E73" s="23" t="n">
        <v>45261</v>
      </c>
      <c r="F73" s="23" t="n">
        <v>45268</v>
      </c>
      <c r="G73" s="24" t="n">
        <v>5</v>
      </c>
      <c r="H73" s="77" t="e">
        <f aca="false">#VALUE!</f>
        <v>#VALUE!</v>
      </c>
      <c r="I73" s="77" t="e">
        <f aca="false">#VALUE!</f>
        <v>#VALUE!</v>
      </c>
      <c r="J73" s="269" t="s">
        <v>681</v>
      </c>
      <c r="K73" s="30" t="n">
        <v>10000</v>
      </c>
      <c r="L73" s="30" t="n">
        <v>13000</v>
      </c>
      <c r="M73" s="45" t="s">
        <v>184</v>
      </c>
      <c r="N73" s="29" t="n">
        <v>13000</v>
      </c>
      <c r="O73" s="29" t="n">
        <v>13000</v>
      </c>
      <c r="P73" s="27" t="n">
        <v>0</v>
      </c>
      <c r="Q73" s="263" t="n">
        <v>45264</v>
      </c>
    </row>
    <row r="74" customFormat="false" ht="34.3" hidden="false" customHeight="false" outlineLevel="0" collapsed="false">
      <c r="A74" s="20" t="n">
        <v>2227</v>
      </c>
      <c r="B74" s="22" t="s">
        <v>379</v>
      </c>
      <c r="C74" s="22" t="s">
        <v>380</v>
      </c>
      <c r="D74" s="22"/>
      <c r="E74" s="23" t="n">
        <v>45163</v>
      </c>
      <c r="F74" s="23" t="n">
        <v>45268</v>
      </c>
      <c r="G74" s="24" t="n">
        <v>75</v>
      </c>
      <c r="H74" s="77" t="n">
        <v>75</v>
      </c>
      <c r="I74" s="77" t="n">
        <v>0</v>
      </c>
      <c r="J74" s="22" t="s">
        <v>762</v>
      </c>
      <c r="K74" s="27" t="n">
        <v>40000</v>
      </c>
      <c r="L74" s="27" t="n">
        <v>90000</v>
      </c>
      <c r="M74" s="45" t="n">
        <v>6000</v>
      </c>
      <c r="N74" s="29" t="n">
        <v>8400</v>
      </c>
      <c r="O74" s="29" t="n">
        <v>90000</v>
      </c>
      <c r="P74" s="27" t="n">
        <v>0</v>
      </c>
      <c r="Q74" s="263" t="n">
        <v>45264</v>
      </c>
    </row>
    <row r="75" customFormat="false" ht="42.5" hidden="false" customHeight="false" outlineLevel="0" collapsed="false">
      <c r="A75" s="20" t="n">
        <v>2063</v>
      </c>
      <c r="B75" s="22" t="s">
        <v>763</v>
      </c>
      <c r="C75" s="22" t="s">
        <v>389</v>
      </c>
      <c r="D75" s="22"/>
      <c r="E75" s="23" t="n">
        <v>45034</v>
      </c>
      <c r="F75" s="23" t="n">
        <v>45245</v>
      </c>
      <c r="G75" s="24" t="n">
        <v>151</v>
      </c>
      <c r="H75" s="77" t="n">
        <v>140</v>
      </c>
      <c r="I75" s="77" t="n">
        <v>11</v>
      </c>
      <c r="J75" s="269" t="s">
        <v>764</v>
      </c>
      <c r="K75" s="30" t="n">
        <v>31500</v>
      </c>
      <c r="L75" s="30" t="n">
        <v>84560</v>
      </c>
      <c r="M75" s="28" t="n">
        <v>3020</v>
      </c>
      <c r="N75" s="29" t="n">
        <v>2365</v>
      </c>
      <c r="O75" s="29" t="n">
        <v>84560</v>
      </c>
      <c r="P75" s="27" t="n">
        <v>0</v>
      </c>
      <c r="Q75" s="263" t="n">
        <v>45264</v>
      </c>
    </row>
    <row r="76" customFormat="false" ht="26.1" hidden="false" customHeight="false" outlineLevel="0" collapsed="false">
      <c r="A76" s="20" t="n">
        <v>2176</v>
      </c>
      <c r="B76" s="22" t="s">
        <v>682</v>
      </c>
      <c r="C76" s="22" t="s">
        <v>683</v>
      </c>
      <c r="D76" s="22"/>
      <c r="E76" s="23" t="n">
        <v>45132</v>
      </c>
      <c r="F76" s="23" t="n">
        <v>45232</v>
      </c>
      <c r="G76" s="24" t="n">
        <v>72</v>
      </c>
      <c r="H76" s="77" t="n">
        <v>72</v>
      </c>
      <c r="I76" s="77" t="n">
        <v>0</v>
      </c>
      <c r="J76" s="22" t="s">
        <v>679</v>
      </c>
      <c r="K76" s="27" t="n">
        <v>40000</v>
      </c>
      <c r="L76" s="27" t="n">
        <v>86400</v>
      </c>
      <c r="M76" s="45" t="n">
        <v>6000</v>
      </c>
      <c r="N76" s="29" t="n">
        <v>2400</v>
      </c>
      <c r="O76" s="29" t="n">
        <v>86400</v>
      </c>
      <c r="P76" s="27" t="n">
        <v>0</v>
      </c>
      <c r="Q76" s="263" t="n">
        <v>45264</v>
      </c>
    </row>
    <row r="77" customFormat="false" ht="26.1" hidden="false" customHeight="false" outlineLevel="0" collapsed="false">
      <c r="A77" s="20" t="n">
        <v>2328</v>
      </c>
      <c r="B77" s="22" t="s">
        <v>684</v>
      </c>
      <c r="C77" s="22" t="s">
        <v>685</v>
      </c>
      <c r="D77" s="22"/>
      <c r="E77" s="23" t="n">
        <v>45237</v>
      </c>
      <c r="F77" s="23" t="n">
        <v>45260</v>
      </c>
      <c r="G77" s="24" t="n">
        <v>17</v>
      </c>
      <c r="H77" s="77" t="e">
        <f aca="false">#DIV/0!</f>
        <v>#DIV/0!</v>
      </c>
      <c r="I77" s="77" t="e">
        <f aca="false">#DIV/0!</f>
        <v>#DIV/0!</v>
      </c>
      <c r="J77" s="269" t="s">
        <v>681</v>
      </c>
      <c r="K77" s="27" t="n">
        <v>35000</v>
      </c>
      <c r="L77" s="27" t="n">
        <v>52500</v>
      </c>
      <c r="M77" s="45"/>
      <c r="N77" s="29" t="n">
        <v>35000</v>
      </c>
      <c r="O77" s="29" t="n">
        <v>52500</v>
      </c>
      <c r="P77" s="27" t="n">
        <v>0</v>
      </c>
      <c r="Q77" s="263" t="n">
        <v>45264</v>
      </c>
    </row>
    <row r="78" customFormat="false" ht="26.1" hidden="false" customHeight="false" outlineLevel="0" collapsed="false">
      <c r="A78" s="20" t="n">
        <v>2332</v>
      </c>
      <c r="B78" s="22" t="s">
        <v>737</v>
      </c>
      <c r="C78" s="22" t="s">
        <v>689</v>
      </c>
      <c r="D78" s="22" t="s">
        <v>738</v>
      </c>
      <c r="E78" s="23" t="n">
        <v>45239</v>
      </c>
      <c r="F78" s="23" t="n">
        <v>45267</v>
      </c>
      <c r="G78" s="24" t="n">
        <v>20</v>
      </c>
      <c r="H78" s="77" t="e">
        <f aca="false">#DIV/0!</f>
        <v>#DIV/0!</v>
      </c>
      <c r="I78" s="77" t="e">
        <f aca="false">#DIV/0!</f>
        <v>#DIV/0!</v>
      </c>
      <c r="J78" s="269" t="s">
        <v>681</v>
      </c>
      <c r="K78" s="30" t="n">
        <v>20000</v>
      </c>
      <c r="L78" s="30" t="n">
        <v>32000</v>
      </c>
      <c r="M78" s="28"/>
      <c r="N78" s="29" t="n">
        <v>32000</v>
      </c>
      <c r="O78" s="29" t="n">
        <v>32000</v>
      </c>
      <c r="P78" s="27" t="n">
        <v>0</v>
      </c>
      <c r="Q78" s="263" t="n">
        <v>45264</v>
      </c>
    </row>
    <row r="79" customFormat="false" ht="34.3" hidden="false" customHeight="false" outlineLevel="0" collapsed="false">
      <c r="A79" s="20" t="n">
        <v>2121</v>
      </c>
      <c r="B79" s="22" t="s">
        <v>452</v>
      </c>
      <c r="C79" s="22"/>
      <c r="D79" s="22"/>
      <c r="E79" s="23" t="n">
        <v>45089</v>
      </c>
      <c r="F79" s="23" t="n">
        <v>45268</v>
      </c>
      <c r="G79" s="24" t="n">
        <v>129</v>
      </c>
      <c r="H79" s="77" t="n">
        <v>120</v>
      </c>
      <c r="I79" s="77" t="n">
        <v>9</v>
      </c>
      <c r="J79" s="269" t="s">
        <v>765</v>
      </c>
      <c r="K79" s="30" t="n">
        <v>25000</v>
      </c>
      <c r="L79" s="30" t="n">
        <v>50400</v>
      </c>
      <c r="M79" s="28" t="n">
        <v>2100</v>
      </c>
      <c r="N79" s="29" t="n">
        <v>8400</v>
      </c>
      <c r="O79" s="29" t="n">
        <v>50400</v>
      </c>
      <c r="P79" s="27" t="n">
        <v>0</v>
      </c>
      <c r="Q79" s="263" t="n">
        <v>45264</v>
      </c>
    </row>
    <row r="80" customFormat="false" ht="26.1" hidden="false" customHeight="false" outlineLevel="0" collapsed="false">
      <c r="A80" s="272" t="n">
        <v>2161</v>
      </c>
      <c r="B80" s="22" t="s">
        <v>459</v>
      </c>
      <c r="C80" s="22" t="s">
        <v>460</v>
      </c>
      <c r="D80" s="22"/>
      <c r="E80" s="23" t="n">
        <v>45122</v>
      </c>
      <c r="F80" s="23" t="n">
        <v>45223</v>
      </c>
      <c r="G80" s="24" t="n">
        <v>72</v>
      </c>
      <c r="H80" s="77" t="n">
        <v>72</v>
      </c>
      <c r="I80" s="77" t="n">
        <v>0</v>
      </c>
      <c r="J80" s="22" t="s">
        <v>679</v>
      </c>
      <c r="K80" s="27" t="n">
        <v>20000</v>
      </c>
      <c r="L80" s="27" t="n">
        <v>43200</v>
      </c>
      <c r="M80" s="45" t="n">
        <v>3000</v>
      </c>
      <c r="N80" s="29" t="n">
        <v>700</v>
      </c>
      <c r="O80" s="29" t="n">
        <v>43200</v>
      </c>
      <c r="P80" s="27" t="n">
        <v>0</v>
      </c>
      <c r="Q80" s="263" t="n">
        <v>45264</v>
      </c>
    </row>
    <row r="81" customFormat="false" ht="26.1" hidden="false" customHeight="false" outlineLevel="0" collapsed="false">
      <c r="A81" s="20" t="n">
        <v>2191</v>
      </c>
      <c r="B81" s="22" t="s">
        <v>709</v>
      </c>
      <c r="C81" s="22" t="s">
        <v>710</v>
      </c>
      <c r="D81" s="22"/>
      <c r="E81" s="23" t="n">
        <v>45143</v>
      </c>
      <c r="F81" s="23" t="n">
        <v>45268</v>
      </c>
      <c r="G81" s="24" t="n">
        <v>90</v>
      </c>
      <c r="H81" s="77" t="n">
        <v>80</v>
      </c>
      <c r="I81" s="77" t="n">
        <v>10</v>
      </c>
      <c r="J81" s="269" t="s">
        <v>766</v>
      </c>
      <c r="K81" s="27" t="n">
        <v>10000</v>
      </c>
      <c r="L81" s="27" t="n">
        <v>21600</v>
      </c>
      <c r="M81" s="45" t="n">
        <v>1350</v>
      </c>
      <c r="N81" s="29" t="n">
        <v>5400</v>
      </c>
      <c r="O81" s="29" t="n">
        <v>21600</v>
      </c>
      <c r="P81" s="27" t="n">
        <v>0</v>
      </c>
      <c r="Q81" s="263" t="n">
        <v>45264</v>
      </c>
    </row>
    <row r="82" customFormat="false" ht="26.1" hidden="false" customHeight="false" outlineLevel="0" collapsed="false">
      <c r="A82" s="20" t="n">
        <v>2330</v>
      </c>
      <c r="B82" s="22" t="s">
        <v>688</v>
      </c>
      <c r="C82" s="22" t="s">
        <v>689</v>
      </c>
      <c r="D82" s="22"/>
      <c r="E82" s="23" t="n">
        <v>45257</v>
      </c>
      <c r="F82" s="23" t="n">
        <v>45265</v>
      </c>
      <c r="G82" s="24" t="n">
        <v>6</v>
      </c>
      <c r="H82" s="77" t="e">
        <f aca="false">#DIV/0!</f>
        <v>#DIV/0!</v>
      </c>
      <c r="I82" s="77" t="e">
        <f aca="false">#DIV/0!</f>
        <v>#DIV/0!</v>
      </c>
      <c r="J82" s="269" t="s">
        <v>681</v>
      </c>
      <c r="K82" s="27" t="n">
        <v>20000</v>
      </c>
      <c r="L82" s="27" t="n">
        <v>32000</v>
      </c>
      <c r="M82" s="45"/>
      <c r="N82" s="29" t="n">
        <v>32000</v>
      </c>
      <c r="O82" s="29" t="n">
        <v>32000</v>
      </c>
      <c r="P82" s="27" t="n">
        <v>0</v>
      </c>
      <c r="Q82" s="263" t="n">
        <v>45264</v>
      </c>
    </row>
    <row r="83" customFormat="false" ht="26.1" hidden="false" customHeight="false" outlineLevel="0" collapsed="false">
      <c r="A83" s="20" t="n">
        <v>2331</v>
      </c>
      <c r="B83" s="22" t="s">
        <v>690</v>
      </c>
      <c r="C83" s="22" t="s">
        <v>689</v>
      </c>
      <c r="D83" s="22"/>
      <c r="E83" s="23" t="n">
        <v>45239</v>
      </c>
      <c r="F83" s="23" t="n">
        <v>45267</v>
      </c>
      <c r="G83" s="24" t="n">
        <v>20</v>
      </c>
      <c r="H83" s="77" t="e">
        <f aca="false">#DIV/0!</f>
        <v>#DIV/0!</v>
      </c>
      <c r="I83" s="77" t="e">
        <f aca="false">#DIV/0!</f>
        <v>#DIV/0!</v>
      </c>
      <c r="J83" s="269" t="s">
        <v>681</v>
      </c>
      <c r="K83" s="27" t="n">
        <v>10000</v>
      </c>
      <c r="L83" s="27" t="n">
        <v>16000</v>
      </c>
      <c r="M83" s="45"/>
      <c r="N83" s="29" t="n">
        <v>16000</v>
      </c>
      <c r="O83" s="29" t="n">
        <v>16000</v>
      </c>
      <c r="P83" s="27" t="n">
        <v>0</v>
      </c>
      <c r="Q83" s="263" t="n">
        <v>45264</v>
      </c>
    </row>
    <row r="84" customFormat="false" ht="17.9" hidden="false" customHeight="false" outlineLevel="0" collapsed="false">
      <c r="A84" s="20" t="n">
        <v>2229</v>
      </c>
      <c r="B84" s="22" t="s">
        <v>552</v>
      </c>
      <c r="C84" s="22" t="s">
        <v>767</v>
      </c>
      <c r="D84" s="22"/>
      <c r="E84" s="23" t="n">
        <v>45163</v>
      </c>
      <c r="F84" s="23" t="n">
        <v>45268</v>
      </c>
      <c r="G84" s="24" t="n">
        <v>75</v>
      </c>
      <c r="H84" s="77" t="n">
        <v>75</v>
      </c>
      <c r="I84" s="77" t="n">
        <v>0</v>
      </c>
      <c r="J84" s="22" t="s">
        <v>716</v>
      </c>
      <c r="K84" s="30" t="n">
        <v>15000</v>
      </c>
      <c r="L84" s="30" t="n">
        <v>33750</v>
      </c>
      <c r="M84" s="28" t="n">
        <v>2250</v>
      </c>
      <c r="N84" s="29" t="n">
        <v>2200</v>
      </c>
      <c r="O84" s="29" t="n">
        <v>33750</v>
      </c>
      <c r="P84" s="27" t="n">
        <v>0</v>
      </c>
      <c r="Q84" s="263" t="n">
        <v>45264</v>
      </c>
    </row>
    <row r="85" customFormat="false" ht="26.1" hidden="false" customHeight="false" outlineLevel="0" collapsed="false">
      <c r="A85" s="20" t="n">
        <v>2145</v>
      </c>
      <c r="B85" s="22" t="s">
        <v>561</v>
      </c>
      <c r="C85" s="22"/>
      <c r="D85" s="22"/>
      <c r="E85" s="23" t="n">
        <v>45110</v>
      </c>
      <c r="F85" s="23" t="n">
        <v>45264</v>
      </c>
      <c r="G85" s="24" t="n">
        <v>110</v>
      </c>
      <c r="H85" s="77" t="n">
        <v>110</v>
      </c>
      <c r="I85" s="77" t="n">
        <v>0</v>
      </c>
      <c r="J85" s="22" t="s">
        <v>254</v>
      </c>
      <c r="K85" s="30" t="n">
        <v>100000</v>
      </c>
      <c r="L85" s="30" t="n">
        <v>264000</v>
      </c>
      <c r="M85" s="28" t="n">
        <v>12000</v>
      </c>
      <c r="N85" s="29" t="n">
        <v>12000</v>
      </c>
      <c r="O85" s="29" t="n">
        <v>264000</v>
      </c>
      <c r="P85" s="27" t="n">
        <v>0</v>
      </c>
      <c r="Q85" s="263" t="n">
        <v>45264</v>
      </c>
    </row>
    <row r="86" customFormat="false" ht="26.1" hidden="false" customHeight="false" outlineLevel="0" collapsed="false">
      <c r="A86" s="20" t="n">
        <v>2215</v>
      </c>
      <c r="B86" s="22" t="s">
        <v>768</v>
      </c>
      <c r="C86" s="22" t="s">
        <v>252</v>
      </c>
      <c r="D86" s="22"/>
      <c r="E86" s="23" t="n">
        <v>45156</v>
      </c>
      <c r="F86" s="23" t="n">
        <v>45258</v>
      </c>
      <c r="G86" s="24" t="n">
        <v>72</v>
      </c>
      <c r="H86" s="77" t="n">
        <v>72</v>
      </c>
      <c r="I86" s="77" t="n">
        <v>0</v>
      </c>
      <c r="J86" s="22" t="s">
        <v>679</v>
      </c>
      <c r="K86" s="27" t="n">
        <v>20000</v>
      </c>
      <c r="L86" s="27" t="n">
        <v>43200</v>
      </c>
      <c r="M86" s="45" t="n">
        <v>3000</v>
      </c>
      <c r="N86" s="29" t="n">
        <v>1200</v>
      </c>
      <c r="O86" s="29" t="n">
        <v>43200</v>
      </c>
      <c r="P86" s="27" t="n">
        <v>0</v>
      </c>
      <c r="Q86" s="263" t="n">
        <v>45271</v>
      </c>
    </row>
    <row r="87" customFormat="false" ht="34.3" hidden="false" customHeight="false" outlineLevel="0" collapsed="false">
      <c r="A87" s="20" t="n">
        <v>2205</v>
      </c>
      <c r="B87" s="22" t="s">
        <v>262</v>
      </c>
      <c r="C87" s="22" t="s">
        <v>263</v>
      </c>
      <c r="D87" s="22"/>
      <c r="E87" s="23" t="n">
        <v>45152</v>
      </c>
      <c r="F87" s="23" t="n">
        <v>45278</v>
      </c>
      <c r="G87" s="24" t="n">
        <v>90</v>
      </c>
      <c r="H87" s="77" t="n">
        <v>80</v>
      </c>
      <c r="I87" s="77" t="n">
        <v>10</v>
      </c>
      <c r="J87" s="269" t="s">
        <v>769</v>
      </c>
      <c r="K87" s="27" t="n">
        <v>50000</v>
      </c>
      <c r="L87" s="27" t="n">
        <v>108000</v>
      </c>
      <c r="M87" s="45" t="n">
        <v>6750</v>
      </c>
      <c r="N87" s="29" t="n">
        <v>27000</v>
      </c>
      <c r="O87" s="29" t="n">
        <v>108000</v>
      </c>
      <c r="P87" s="27" t="n">
        <v>0</v>
      </c>
      <c r="Q87" s="263" t="n">
        <v>45271</v>
      </c>
    </row>
    <row r="88" customFormat="false" ht="26.1" hidden="false" customHeight="false" outlineLevel="0" collapsed="false">
      <c r="A88" s="20" t="n">
        <v>2077</v>
      </c>
      <c r="B88" s="22" t="s">
        <v>770</v>
      </c>
      <c r="C88" s="22"/>
      <c r="D88" s="22"/>
      <c r="E88" s="23" t="n">
        <v>45044</v>
      </c>
      <c r="F88" s="23" t="n">
        <v>45296</v>
      </c>
      <c r="G88" s="24" t="n">
        <v>180</v>
      </c>
      <c r="H88" s="77" t="n">
        <v>160</v>
      </c>
      <c r="I88" s="77" t="n">
        <v>20</v>
      </c>
      <c r="J88" s="269" t="s">
        <v>771</v>
      </c>
      <c r="K88" s="27" t="n">
        <v>20000</v>
      </c>
      <c r="L88" s="27" t="n">
        <v>58400</v>
      </c>
      <c r="M88" s="45" t="n">
        <v>1825</v>
      </c>
      <c r="N88" s="273" t="n">
        <v>7300</v>
      </c>
      <c r="O88" s="29" t="n">
        <v>58400</v>
      </c>
      <c r="P88" s="27" t="n">
        <v>0</v>
      </c>
      <c r="Q88" s="263" t="n">
        <v>45271</v>
      </c>
    </row>
    <row r="89" customFormat="false" ht="34.3" hidden="false" customHeight="false" outlineLevel="0" collapsed="false">
      <c r="A89" s="20" t="n">
        <v>2175</v>
      </c>
      <c r="B89" s="22" t="s">
        <v>382</v>
      </c>
      <c r="C89" s="22" t="s">
        <v>383</v>
      </c>
      <c r="D89" s="22"/>
      <c r="E89" s="23" t="n">
        <v>45131</v>
      </c>
      <c r="F89" s="23" t="n">
        <v>45231</v>
      </c>
      <c r="G89" s="24" t="n">
        <v>72</v>
      </c>
      <c r="H89" s="77" t="n">
        <v>72</v>
      </c>
      <c r="I89" s="77" t="n">
        <v>0</v>
      </c>
      <c r="J89" s="22" t="s">
        <v>560</v>
      </c>
      <c r="K89" s="27" t="n">
        <v>10000</v>
      </c>
      <c r="L89" s="27" t="n">
        <v>21600</v>
      </c>
      <c r="M89" s="45" t="n">
        <v>1500</v>
      </c>
      <c r="N89" s="29" t="n">
        <v>2100</v>
      </c>
      <c r="O89" s="29" t="n">
        <v>21600</v>
      </c>
      <c r="P89" s="27" t="n">
        <v>0</v>
      </c>
      <c r="Q89" s="263" t="n">
        <v>45271</v>
      </c>
    </row>
    <row r="90" customFormat="false" ht="17.9" hidden="false" customHeight="false" outlineLevel="0" collapsed="false">
      <c r="A90" s="20" t="n">
        <v>2051</v>
      </c>
      <c r="B90" s="22" t="s">
        <v>772</v>
      </c>
      <c r="C90" s="22" t="s">
        <v>773</v>
      </c>
      <c r="D90" s="22"/>
      <c r="E90" s="23" t="n">
        <v>45027</v>
      </c>
      <c r="F90" s="23" t="n">
        <v>45127</v>
      </c>
      <c r="G90" s="24" t="n">
        <v>72</v>
      </c>
      <c r="H90" s="77" t="n">
        <v>72</v>
      </c>
      <c r="I90" s="77" t="n">
        <v>0</v>
      </c>
      <c r="J90" s="22" t="s">
        <v>679</v>
      </c>
      <c r="K90" s="27" t="n">
        <v>20000</v>
      </c>
      <c r="L90" s="27" t="n">
        <v>43200</v>
      </c>
      <c r="M90" s="45" t="n">
        <v>3000</v>
      </c>
      <c r="N90" s="29" t="n">
        <v>4200</v>
      </c>
      <c r="O90" s="29" t="n">
        <v>43200</v>
      </c>
      <c r="P90" s="27" t="n">
        <v>0</v>
      </c>
      <c r="Q90" s="263" t="n">
        <v>45271</v>
      </c>
    </row>
    <row r="91" customFormat="false" ht="17.9" hidden="false" customHeight="false" outlineLevel="0" collapsed="false">
      <c r="A91" s="20" t="n">
        <v>2187</v>
      </c>
      <c r="B91" s="22" t="s">
        <v>393</v>
      </c>
      <c r="C91" s="22"/>
      <c r="D91" s="22"/>
      <c r="E91" s="23" t="n">
        <v>45140</v>
      </c>
      <c r="F91" s="23" t="n">
        <v>45240</v>
      </c>
      <c r="G91" s="24" t="n">
        <v>72</v>
      </c>
      <c r="H91" s="77" t="n">
        <v>72</v>
      </c>
      <c r="I91" s="77" t="n">
        <v>0</v>
      </c>
      <c r="J91" s="22" t="s">
        <v>716</v>
      </c>
      <c r="K91" s="30" t="n">
        <v>15000</v>
      </c>
      <c r="L91" s="30" t="n">
        <v>32400</v>
      </c>
      <c r="M91" s="28" t="n">
        <v>2250</v>
      </c>
      <c r="N91" s="273" t="n">
        <v>900</v>
      </c>
      <c r="O91" s="29" t="n">
        <v>32400</v>
      </c>
      <c r="P91" s="27" t="n">
        <v>0</v>
      </c>
      <c r="Q91" s="263" t="n">
        <v>45271</v>
      </c>
    </row>
    <row r="92" customFormat="false" ht="17.9" hidden="false" customHeight="false" outlineLevel="0" collapsed="false">
      <c r="A92" s="20" t="n">
        <v>2128</v>
      </c>
      <c r="B92" s="22" t="s">
        <v>457</v>
      </c>
      <c r="C92" s="22"/>
      <c r="D92" s="22"/>
      <c r="E92" s="23" t="n">
        <v>45092</v>
      </c>
      <c r="F92" s="23" t="n">
        <v>45271</v>
      </c>
      <c r="G92" s="24" t="n">
        <v>127</v>
      </c>
      <c r="H92" s="77" t="n">
        <v>119.900497512438</v>
      </c>
      <c r="I92" s="77" t="n">
        <v>7.09950248756219</v>
      </c>
      <c r="J92" s="269" t="s">
        <v>774</v>
      </c>
      <c r="K92" s="30" t="n">
        <v>30000</v>
      </c>
      <c r="L92" s="30" t="n">
        <v>60300</v>
      </c>
      <c r="M92" s="45" t="n">
        <v>2512.5</v>
      </c>
      <c r="N92" s="273" t="n">
        <v>10050</v>
      </c>
      <c r="O92" s="29" t="n">
        <v>60250</v>
      </c>
      <c r="P92" s="27" t="n">
        <v>50</v>
      </c>
      <c r="Q92" s="263" t="n">
        <v>45271</v>
      </c>
    </row>
    <row r="93" customFormat="false" ht="34.3" hidden="false" customHeight="false" outlineLevel="0" collapsed="false">
      <c r="A93" s="20" t="n">
        <v>2113</v>
      </c>
      <c r="B93" s="22" t="s">
        <v>466</v>
      </c>
      <c r="C93" s="22" t="s">
        <v>467</v>
      </c>
      <c r="D93" s="22"/>
      <c r="E93" s="23" t="n">
        <v>45083</v>
      </c>
      <c r="F93" s="23" t="n">
        <v>45265</v>
      </c>
      <c r="G93" s="24" t="n">
        <v>130</v>
      </c>
      <c r="H93" s="77" t="n">
        <v>130</v>
      </c>
      <c r="I93" s="77" t="n">
        <v>0</v>
      </c>
      <c r="J93" s="22" t="s">
        <v>775</v>
      </c>
      <c r="K93" s="30" t="n">
        <v>100000</v>
      </c>
      <c r="L93" s="30" t="n">
        <v>260000</v>
      </c>
      <c r="M93" s="28" t="n">
        <v>10000</v>
      </c>
      <c r="N93" s="29" t="n">
        <v>10000</v>
      </c>
      <c r="O93" s="29" t="n">
        <v>260000</v>
      </c>
      <c r="P93" s="27" t="n">
        <v>0</v>
      </c>
      <c r="Q93" s="263" t="n">
        <v>45271</v>
      </c>
    </row>
    <row r="94" customFormat="false" ht="17.9" hidden="false" customHeight="false" outlineLevel="0" collapsed="false">
      <c r="A94" s="20" t="n">
        <v>1951</v>
      </c>
      <c r="B94" s="22" t="s">
        <v>568</v>
      </c>
      <c r="C94" s="22" t="s">
        <v>776</v>
      </c>
      <c r="D94" s="22"/>
      <c r="E94" s="23" t="n">
        <v>44942</v>
      </c>
      <c r="F94" s="23" t="n">
        <v>45096</v>
      </c>
      <c r="G94" s="24" t="n">
        <v>110</v>
      </c>
      <c r="H94" s="77" t="n">
        <v>114.807692307692</v>
      </c>
      <c r="I94" s="77" t="n">
        <v>-4.80769230769231</v>
      </c>
      <c r="J94" s="22" t="s">
        <v>777</v>
      </c>
      <c r="K94" s="30" t="n">
        <v>65000</v>
      </c>
      <c r="L94" s="30" t="n">
        <v>171600</v>
      </c>
      <c r="M94" s="28" t="n">
        <v>7800</v>
      </c>
      <c r="N94" s="29" t="n">
        <v>10000</v>
      </c>
      <c r="O94" s="29" t="n">
        <v>179100</v>
      </c>
      <c r="P94" s="27" t="n">
        <v>-7500</v>
      </c>
      <c r="Q94" s="263" t="n">
        <v>45271</v>
      </c>
    </row>
    <row r="95" customFormat="false" ht="17.9" hidden="false" customHeight="false" outlineLevel="0" collapsed="false">
      <c r="A95" s="20" t="n">
        <v>2220</v>
      </c>
      <c r="B95" s="22" t="s">
        <v>568</v>
      </c>
      <c r="C95" s="22" t="s">
        <v>778</v>
      </c>
      <c r="D95" s="22"/>
      <c r="E95" s="23" t="n">
        <v>45160</v>
      </c>
      <c r="F95" s="23" t="n">
        <v>45209</v>
      </c>
      <c r="G95" s="24" t="n">
        <v>35</v>
      </c>
      <c r="H95" s="77" t="n">
        <v>45.6</v>
      </c>
      <c r="I95" s="77" t="n">
        <v>-10.6</v>
      </c>
      <c r="J95" s="22" t="s">
        <v>779</v>
      </c>
      <c r="K95" s="30" t="n">
        <v>20000</v>
      </c>
      <c r="L95" s="30" t="n">
        <v>40000</v>
      </c>
      <c r="M95" s="45" t="n">
        <v>5000</v>
      </c>
      <c r="N95" s="29" t="n">
        <v>7800</v>
      </c>
      <c r="O95" s="29" t="n">
        <v>45600</v>
      </c>
      <c r="P95" s="27" t="n">
        <v>-5600</v>
      </c>
      <c r="Q95" s="263" t="n">
        <v>45271</v>
      </c>
    </row>
    <row r="96" customFormat="false" ht="26.1" hidden="false" customHeight="false" outlineLevel="0" collapsed="false">
      <c r="A96" s="20" t="n">
        <v>2222</v>
      </c>
      <c r="B96" s="22" t="s">
        <v>571</v>
      </c>
      <c r="C96" s="22" t="s">
        <v>572</v>
      </c>
      <c r="D96" s="22"/>
      <c r="E96" s="23" t="n">
        <v>45161</v>
      </c>
      <c r="F96" s="23" t="n">
        <v>45315</v>
      </c>
      <c r="G96" s="24" t="n">
        <v>110</v>
      </c>
      <c r="H96" s="77" t="n">
        <v>110</v>
      </c>
      <c r="I96" s="77" t="n">
        <v>0</v>
      </c>
      <c r="J96" s="22" t="s">
        <v>780</v>
      </c>
      <c r="K96" s="30" t="n">
        <v>20000</v>
      </c>
      <c r="L96" s="30" t="n">
        <v>52800</v>
      </c>
      <c r="M96" s="28" t="n">
        <v>2400</v>
      </c>
      <c r="N96" s="29" t="n">
        <v>19200</v>
      </c>
      <c r="O96" s="29" t="n">
        <v>52800</v>
      </c>
      <c r="P96" s="27" t="n">
        <v>0</v>
      </c>
      <c r="Q96" s="263" t="n">
        <v>45271</v>
      </c>
    </row>
    <row r="97" customFormat="false" ht="26.1" hidden="false" customHeight="false" outlineLevel="0" collapsed="false">
      <c r="A97" s="20" t="n">
        <v>2272</v>
      </c>
      <c r="B97" s="22" t="s">
        <v>571</v>
      </c>
      <c r="C97" s="22" t="s">
        <v>572</v>
      </c>
      <c r="D97" s="22"/>
      <c r="E97" s="23" t="n">
        <v>45198</v>
      </c>
      <c r="F97" s="23" t="n">
        <v>45352</v>
      </c>
      <c r="G97" s="24" t="n">
        <v>110</v>
      </c>
      <c r="H97" s="77" t="n">
        <v>110</v>
      </c>
      <c r="I97" s="77" t="n">
        <v>0</v>
      </c>
      <c r="J97" s="22" t="s">
        <v>734</v>
      </c>
      <c r="K97" s="30" t="n">
        <v>30000</v>
      </c>
      <c r="L97" s="30" t="n">
        <v>79200</v>
      </c>
      <c r="M97" s="28" t="n">
        <v>3600</v>
      </c>
      <c r="N97" s="29" t="n">
        <v>44400</v>
      </c>
      <c r="O97" s="29" t="n">
        <v>79200</v>
      </c>
      <c r="P97" s="30" t="n">
        <v>0</v>
      </c>
      <c r="Q97" s="263" t="n">
        <v>45271</v>
      </c>
    </row>
    <row r="98" customFormat="false" ht="17.9" hidden="false" customHeight="false" outlineLevel="0" collapsed="false">
      <c r="A98" s="20" t="n">
        <v>2232</v>
      </c>
      <c r="B98" s="22" t="s">
        <v>781</v>
      </c>
      <c r="C98" s="22" t="s">
        <v>782</v>
      </c>
      <c r="D98" s="22"/>
      <c r="E98" s="23" t="n">
        <v>45169</v>
      </c>
      <c r="F98" s="23" t="n">
        <v>45271</v>
      </c>
      <c r="G98" s="24" t="n">
        <v>72</v>
      </c>
      <c r="H98" s="77" t="n">
        <v>72</v>
      </c>
      <c r="I98" s="77" t="n">
        <v>0</v>
      </c>
      <c r="J98" s="22" t="s">
        <v>188</v>
      </c>
      <c r="K98" s="30" t="n">
        <v>100000</v>
      </c>
      <c r="L98" s="30" t="n">
        <v>216000</v>
      </c>
      <c r="M98" s="28" t="n">
        <v>15000</v>
      </c>
      <c r="N98" s="273" t="n">
        <v>16000</v>
      </c>
      <c r="O98" s="29" t="n">
        <v>216000</v>
      </c>
      <c r="P98" s="30" t="n">
        <v>0</v>
      </c>
      <c r="Q98" s="263" t="n">
        <v>45278</v>
      </c>
    </row>
    <row r="99" customFormat="false" ht="34.3" hidden="false" customHeight="false" outlineLevel="0" collapsed="false">
      <c r="A99" s="20" t="n">
        <v>2345</v>
      </c>
      <c r="B99" s="22" t="s">
        <v>209</v>
      </c>
      <c r="C99" s="22" t="s">
        <v>210</v>
      </c>
      <c r="D99" s="22"/>
      <c r="E99" s="23" t="n">
        <v>45254</v>
      </c>
      <c r="F99" s="23" t="n">
        <v>45296</v>
      </c>
      <c r="G99" s="24" t="n">
        <v>30</v>
      </c>
      <c r="H99" s="77" t="e">
        <f aca="false">#DIV/0!</f>
        <v>#DIV/0!</v>
      </c>
      <c r="I99" s="77" t="e">
        <f aca="false">#DIV/0!</f>
        <v>#DIV/0!</v>
      </c>
      <c r="J99" s="269" t="s">
        <v>783</v>
      </c>
      <c r="K99" s="30" t="n">
        <v>15000</v>
      </c>
      <c r="L99" s="30" t="n">
        <v>25500</v>
      </c>
      <c r="M99" s="28"/>
      <c r="N99" s="29" t="n">
        <v>8500</v>
      </c>
      <c r="O99" s="29" t="n">
        <v>25500</v>
      </c>
      <c r="P99" s="30" t="n">
        <v>0</v>
      </c>
      <c r="Q99" s="263" t="n">
        <v>45278</v>
      </c>
    </row>
    <row r="100" customFormat="false" ht="34.3" hidden="false" customHeight="false" outlineLevel="0" collapsed="false">
      <c r="A100" s="20" t="n">
        <v>2366</v>
      </c>
      <c r="B100" s="22" t="s">
        <v>752</v>
      </c>
      <c r="C100" s="22" t="s">
        <v>383</v>
      </c>
      <c r="D100" s="22"/>
      <c r="E100" s="23" t="n">
        <v>45268</v>
      </c>
      <c r="F100" s="23" t="n">
        <v>45275</v>
      </c>
      <c r="G100" s="24" t="n">
        <v>5</v>
      </c>
      <c r="H100" s="77" t="e">
        <f aca="false">#DIV/0!</f>
        <v>#DIV/0!</v>
      </c>
      <c r="I100" s="77" t="e">
        <f aca="false">#DIV/0!</f>
        <v>#DIV/0!</v>
      </c>
      <c r="J100" s="269" t="s">
        <v>681</v>
      </c>
      <c r="K100" s="30" t="n">
        <v>10000</v>
      </c>
      <c r="L100" s="30" t="n">
        <v>13000</v>
      </c>
      <c r="M100" s="28"/>
      <c r="N100" s="29" t="n">
        <v>13000</v>
      </c>
      <c r="O100" s="29" t="n">
        <v>13000</v>
      </c>
      <c r="P100" s="30" t="n">
        <v>0</v>
      </c>
      <c r="Q100" s="263" t="n">
        <v>45278</v>
      </c>
    </row>
    <row r="101" customFormat="false" ht="26.1" hidden="false" customHeight="false" outlineLevel="0" collapsed="false">
      <c r="A101" s="20" t="n">
        <v>2152</v>
      </c>
      <c r="B101" s="22" t="s">
        <v>302</v>
      </c>
      <c r="C101" s="22" t="s">
        <v>303</v>
      </c>
      <c r="D101" s="22" t="n">
        <v>27212523</v>
      </c>
      <c r="E101" s="23" t="n">
        <v>45115</v>
      </c>
      <c r="F101" s="23" t="n">
        <v>45216</v>
      </c>
      <c r="G101" s="24" t="n">
        <v>72</v>
      </c>
      <c r="H101" s="77" t="n">
        <v>75</v>
      </c>
      <c r="I101" s="77" t="n">
        <v>-3</v>
      </c>
      <c r="J101" s="22" t="s">
        <v>784</v>
      </c>
      <c r="K101" s="30" t="n">
        <v>40000</v>
      </c>
      <c r="L101" s="30" t="n">
        <v>86400</v>
      </c>
      <c r="M101" s="45" t="n">
        <v>6000</v>
      </c>
      <c r="N101" s="29" t="n">
        <v>6000</v>
      </c>
      <c r="O101" s="29" t="n">
        <v>90000</v>
      </c>
      <c r="P101" s="27" t="n">
        <v>-3600</v>
      </c>
      <c r="Q101" s="263" t="n">
        <v>45278</v>
      </c>
    </row>
    <row r="102" customFormat="false" ht="42.5" hidden="false" customHeight="false" outlineLevel="0" collapsed="false">
      <c r="A102" s="20" t="n">
        <v>2070</v>
      </c>
      <c r="B102" s="22" t="s">
        <v>581</v>
      </c>
      <c r="C102" s="22" t="s">
        <v>351</v>
      </c>
      <c r="D102" s="22"/>
      <c r="E102" s="23" t="n">
        <v>45037</v>
      </c>
      <c r="F102" s="23" t="n">
        <v>45275</v>
      </c>
      <c r="G102" s="24" t="n">
        <v>170</v>
      </c>
      <c r="H102" s="77" t="n">
        <v>160</v>
      </c>
      <c r="I102" s="77" t="n">
        <v>10</v>
      </c>
      <c r="J102" s="269" t="s">
        <v>785</v>
      </c>
      <c r="K102" s="27" t="n">
        <v>50000</v>
      </c>
      <c r="L102" s="27" t="n">
        <v>132000</v>
      </c>
      <c r="M102" s="45" t="n">
        <v>4125</v>
      </c>
      <c r="N102" s="29" t="n">
        <v>17000</v>
      </c>
      <c r="O102" s="29" t="n">
        <v>132000</v>
      </c>
      <c r="P102" s="27" t="n">
        <v>0</v>
      </c>
      <c r="Q102" s="263" t="n">
        <v>45278</v>
      </c>
    </row>
    <row r="103" customFormat="false" ht="42.5" hidden="false" customHeight="false" outlineLevel="0" collapsed="false">
      <c r="A103" s="20" t="n">
        <v>2375</v>
      </c>
      <c r="B103" s="22" t="s">
        <v>718</v>
      </c>
      <c r="C103" s="22" t="s">
        <v>680</v>
      </c>
      <c r="D103" s="22"/>
      <c r="E103" s="23" t="n">
        <v>45275</v>
      </c>
      <c r="F103" s="23" t="n">
        <v>45282</v>
      </c>
      <c r="G103" s="24" t="n">
        <v>5</v>
      </c>
      <c r="H103" s="77" t="e">
        <f aca="false">#VALUE!</f>
        <v>#VALUE!</v>
      </c>
      <c r="I103" s="77" t="e">
        <f aca="false">#VALUE!</f>
        <v>#VALUE!</v>
      </c>
      <c r="J103" s="269" t="s">
        <v>681</v>
      </c>
      <c r="K103" s="27" t="n">
        <v>20000</v>
      </c>
      <c r="L103" s="27" t="n">
        <v>26000</v>
      </c>
      <c r="M103" s="45" t="s">
        <v>184</v>
      </c>
      <c r="N103" s="29" t="n">
        <v>26000</v>
      </c>
      <c r="O103" s="29" t="n">
        <v>26000</v>
      </c>
      <c r="P103" s="27" t="n">
        <v>0</v>
      </c>
      <c r="Q103" s="263" t="n">
        <v>45278</v>
      </c>
    </row>
    <row r="104" customFormat="false" ht="34.3" hidden="false" customHeight="false" outlineLevel="0" collapsed="false">
      <c r="A104" s="20" t="n">
        <v>2142</v>
      </c>
      <c r="B104" s="22" t="s">
        <v>717</v>
      </c>
      <c r="C104" s="22" t="s">
        <v>432</v>
      </c>
      <c r="D104" s="22"/>
      <c r="E104" s="23" t="n">
        <v>45108</v>
      </c>
      <c r="F104" s="23" t="n">
        <v>45275</v>
      </c>
      <c r="G104" s="24" t="n">
        <v>120</v>
      </c>
      <c r="H104" s="77" t="n">
        <v>120</v>
      </c>
      <c r="I104" s="77" t="n">
        <v>0</v>
      </c>
      <c r="J104" s="22" t="s">
        <v>786</v>
      </c>
      <c r="K104" s="27" t="n">
        <v>40000</v>
      </c>
      <c r="L104" s="27" t="n">
        <v>105600</v>
      </c>
      <c r="M104" s="45" t="n">
        <v>4400</v>
      </c>
      <c r="N104" s="29" t="n">
        <v>8800</v>
      </c>
      <c r="O104" s="29" t="n">
        <v>105600</v>
      </c>
      <c r="P104" s="27" t="n">
        <v>0</v>
      </c>
      <c r="Q104" s="263" t="n">
        <v>45278</v>
      </c>
    </row>
    <row r="105" customFormat="false" ht="17.9" hidden="false" customHeight="false" outlineLevel="0" collapsed="false">
      <c r="A105" s="20" t="n">
        <v>2246</v>
      </c>
      <c r="B105" s="22" t="s">
        <v>519</v>
      </c>
      <c r="C105" s="22" t="s">
        <v>520</v>
      </c>
      <c r="D105" s="22"/>
      <c r="E105" s="23" t="n">
        <v>45180</v>
      </c>
      <c r="F105" s="23" t="n">
        <v>45280</v>
      </c>
      <c r="G105" s="24" t="n">
        <v>72</v>
      </c>
      <c r="H105" s="77" t="n">
        <v>72</v>
      </c>
      <c r="I105" s="77" t="n">
        <v>0</v>
      </c>
      <c r="J105" s="22" t="s">
        <v>679</v>
      </c>
      <c r="K105" s="30" t="n">
        <v>20000</v>
      </c>
      <c r="L105" s="30" t="n">
        <v>43200</v>
      </c>
      <c r="M105" s="28" t="n">
        <v>3000</v>
      </c>
      <c r="N105" s="29" t="n">
        <v>4200</v>
      </c>
      <c r="O105" s="29" t="n">
        <v>43200</v>
      </c>
      <c r="P105" s="27" t="n">
        <v>0</v>
      </c>
      <c r="Q105" s="263" t="n">
        <v>45278</v>
      </c>
    </row>
    <row r="106" customFormat="false" ht="34.3" hidden="false" customHeight="false" outlineLevel="0" collapsed="false">
      <c r="A106" s="20" t="n">
        <v>2069</v>
      </c>
      <c r="B106" s="22" t="s">
        <v>787</v>
      </c>
      <c r="C106" s="22" t="s">
        <v>533</v>
      </c>
      <c r="D106" s="22"/>
      <c r="E106" s="23" t="n">
        <v>45037</v>
      </c>
      <c r="F106" s="23" t="n">
        <v>45139</v>
      </c>
      <c r="G106" s="24" t="n">
        <v>72</v>
      </c>
      <c r="H106" s="77" t="n">
        <v>75</v>
      </c>
      <c r="I106" s="77" t="n">
        <v>-3</v>
      </c>
      <c r="J106" s="22" t="s">
        <v>679</v>
      </c>
      <c r="K106" s="27" t="n">
        <v>20000</v>
      </c>
      <c r="L106" s="30" t="n">
        <v>43200</v>
      </c>
      <c r="M106" s="28" t="n">
        <v>3000</v>
      </c>
      <c r="N106" s="29" t="n">
        <v>2500</v>
      </c>
      <c r="O106" s="29" t="n">
        <v>45000</v>
      </c>
      <c r="P106" s="27" t="n">
        <v>-1800</v>
      </c>
      <c r="Q106" s="263" t="n">
        <v>45278</v>
      </c>
    </row>
    <row r="107" customFormat="false" ht="42.5" hidden="false" customHeight="false" outlineLevel="0" collapsed="false">
      <c r="A107" s="20" t="n">
        <v>2260</v>
      </c>
      <c r="B107" s="22" t="s">
        <v>193</v>
      </c>
      <c r="C107" s="22" t="s">
        <v>194</v>
      </c>
      <c r="D107" s="22"/>
      <c r="E107" s="23" t="n">
        <v>45190</v>
      </c>
      <c r="F107" s="23" t="n">
        <v>45292</v>
      </c>
      <c r="G107" s="24" t="n">
        <v>72</v>
      </c>
      <c r="H107" s="77" t="n">
        <v>72</v>
      </c>
      <c r="I107" s="77" t="n">
        <v>0</v>
      </c>
      <c r="J107" s="22" t="s">
        <v>675</v>
      </c>
      <c r="K107" s="30" t="n">
        <v>30000</v>
      </c>
      <c r="L107" s="30" t="n">
        <v>64800</v>
      </c>
      <c r="M107" s="45" t="n">
        <v>4500</v>
      </c>
      <c r="N107" s="29" t="n">
        <v>6300</v>
      </c>
      <c r="O107" s="29" t="n">
        <v>64800</v>
      </c>
      <c r="P107" s="27" t="n">
        <v>0</v>
      </c>
      <c r="Q107" s="263" t="n">
        <v>45285</v>
      </c>
    </row>
    <row r="108" customFormat="false" ht="26.1" hidden="false" customHeight="false" outlineLevel="0" collapsed="false">
      <c r="A108" s="20" t="n">
        <v>2203</v>
      </c>
      <c r="B108" s="22" t="s">
        <v>357</v>
      </c>
      <c r="C108" s="22" t="s">
        <v>358</v>
      </c>
      <c r="D108" s="22" t="n">
        <v>13589728</v>
      </c>
      <c r="E108" s="23" t="n">
        <v>45139</v>
      </c>
      <c r="F108" s="23" t="n">
        <v>45350</v>
      </c>
      <c r="G108" s="24" t="n">
        <v>151</v>
      </c>
      <c r="H108" s="77" t="n">
        <v>140</v>
      </c>
      <c r="I108" s="77" t="n">
        <v>11</v>
      </c>
      <c r="J108" s="269" t="s">
        <v>788</v>
      </c>
      <c r="K108" s="30" t="n">
        <v>50000</v>
      </c>
      <c r="L108" s="30" t="n">
        <v>132300</v>
      </c>
      <c r="M108" s="28" t="n">
        <v>4725</v>
      </c>
      <c r="N108" s="29" t="n">
        <v>51000</v>
      </c>
      <c r="O108" s="29" t="n">
        <v>132300</v>
      </c>
      <c r="P108" s="27" t="n">
        <v>0</v>
      </c>
      <c r="Q108" s="263" t="n">
        <v>45285</v>
      </c>
    </row>
    <row r="109" customFormat="false" ht="26.1" hidden="false" customHeight="false" outlineLevel="0" collapsed="false">
      <c r="A109" s="20" t="n">
        <v>2248</v>
      </c>
      <c r="B109" s="22" t="s">
        <v>404</v>
      </c>
      <c r="C109" s="22" t="s">
        <v>789</v>
      </c>
      <c r="D109" s="22"/>
      <c r="E109" s="23" t="n">
        <v>45181</v>
      </c>
      <c r="F109" s="23" t="n">
        <v>45281</v>
      </c>
      <c r="G109" s="24" t="n">
        <v>72</v>
      </c>
      <c r="H109" s="77" t="n">
        <v>72</v>
      </c>
      <c r="I109" s="77" t="n">
        <v>0</v>
      </c>
      <c r="J109" s="22" t="s">
        <v>333</v>
      </c>
      <c r="K109" s="27" t="n">
        <v>50000</v>
      </c>
      <c r="L109" s="27" t="n">
        <v>108000</v>
      </c>
      <c r="M109" s="45" t="n">
        <v>7500</v>
      </c>
      <c r="N109" s="29" t="n">
        <v>7500</v>
      </c>
      <c r="O109" s="29" t="n">
        <v>108000</v>
      </c>
      <c r="P109" s="27" t="n">
        <v>0</v>
      </c>
      <c r="Q109" s="263" t="n">
        <v>45285</v>
      </c>
    </row>
    <row r="110" customFormat="false" ht="34.3" hidden="false" customHeight="false" outlineLevel="0" collapsed="false">
      <c r="A110" s="20" t="n">
        <v>2388</v>
      </c>
      <c r="B110" s="22" t="s">
        <v>752</v>
      </c>
      <c r="C110" s="22" t="s">
        <v>383</v>
      </c>
      <c r="D110" s="22"/>
      <c r="E110" s="23" t="n">
        <v>45282</v>
      </c>
      <c r="F110" s="23" t="n">
        <v>45289</v>
      </c>
      <c r="G110" s="24" t="n">
        <v>5</v>
      </c>
      <c r="H110" s="77" t="e">
        <f aca="false">#DIV/0!</f>
        <v>#DIV/0!</v>
      </c>
      <c r="I110" s="77" t="e">
        <f aca="false">#DIV/0!</f>
        <v>#DIV/0!</v>
      </c>
      <c r="J110" s="269" t="s">
        <v>681</v>
      </c>
      <c r="K110" s="30" t="n">
        <v>25000</v>
      </c>
      <c r="L110" s="30" t="n">
        <v>32000</v>
      </c>
      <c r="M110" s="28"/>
      <c r="N110" s="29" t="n">
        <v>37000</v>
      </c>
      <c r="O110" s="29" t="n">
        <v>37000</v>
      </c>
      <c r="P110" s="30" t="n">
        <v>-5000</v>
      </c>
      <c r="Q110" s="263" t="n">
        <v>45292</v>
      </c>
    </row>
    <row r="111" customFormat="false" ht="17.9" hidden="false" customHeight="false" outlineLevel="0" collapsed="false">
      <c r="A111" s="20" t="n">
        <v>2011</v>
      </c>
      <c r="B111" s="22" t="s">
        <v>240</v>
      </c>
      <c r="C111" s="22" t="s">
        <v>241</v>
      </c>
      <c r="D111" s="22"/>
      <c r="E111" s="23" t="n">
        <v>45178</v>
      </c>
      <c r="F111" s="23" t="n">
        <v>45471</v>
      </c>
      <c r="G111" s="24" t="n">
        <v>210</v>
      </c>
      <c r="H111" s="77" t="n">
        <v>200</v>
      </c>
      <c r="I111" s="77" t="n">
        <v>10</v>
      </c>
      <c r="J111" s="74" t="s">
        <v>790</v>
      </c>
      <c r="K111" s="27" t="n">
        <v>200000</v>
      </c>
      <c r="L111" s="27" t="n">
        <v>500000</v>
      </c>
      <c r="M111" s="45" t="n">
        <v>12500</v>
      </c>
      <c r="N111" s="29" t="n">
        <v>25000</v>
      </c>
      <c r="O111" s="29" t="n">
        <v>500000</v>
      </c>
      <c r="P111" s="27" t="n">
        <v>0</v>
      </c>
      <c r="Q111" s="263" t="n">
        <v>45292</v>
      </c>
    </row>
    <row r="112" customFormat="false" ht="50.7" hidden="false" customHeight="false" outlineLevel="0" collapsed="false">
      <c r="A112" s="20" t="n">
        <v>2247</v>
      </c>
      <c r="B112" s="22" t="s">
        <v>265</v>
      </c>
      <c r="C112" s="22" t="s">
        <v>266</v>
      </c>
      <c r="D112" s="22"/>
      <c r="E112" s="23" t="n">
        <v>45181</v>
      </c>
      <c r="F112" s="23" t="n">
        <v>45281</v>
      </c>
      <c r="G112" s="24" t="n">
        <v>72</v>
      </c>
      <c r="H112" s="77" t="n">
        <v>72</v>
      </c>
      <c r="I112" s="77" t="n">
        <v>0</v>
      </c>
      <c r="J112" s="22" t="s">
        <v>675</v>
      </c>
      <c r="K112" s="30" t="n">
        <v>30000</v>
      </c>
      <c r="L112" s="30" t="n">
        <v>64800</v>
      </c>
      <c r="M112" s="28" t="n">
        <v>4500</v>
      </c>
      <c r="N112" s="29" t="n">
        <v>6300</v>
      </c>
      <c r="O112" s="29" t="n">
        <v>64800</v>
      </c>
      <c r="P112" s="27" t="n">
        <v>0</v>
      </c>
      <c r="Q112" s="263" t="n">
        <v>45292</v>
      </c>
    </row>
    <row r="113" customFormat="false" ht="50.7" hidden="false" customHeight="false" outlineLevel="0" collapsed="false">
      <c r="A113" s="20" t="n">
        <v>2305</v>
      </c>
      <c r="B113" s="22" t="s">
        <v>265</v>
      </c>
      <c r="C113" s="22" t="s">
        <v>266</v>
      </c>
      <c r="D113" s="22"/>
      <c r="E113" s="23" t="n">
        <v>45220</v>
      </c>
      <c r="F113" s="23" t="n">
        <v>45321</v>
      </c>
      <c r="G113" s="24" t="n">
        <v>72</v>
      </c>
      <c r="H113" s="77" t="n">
        <v>72</v>
      </c>
      <c r="I113" s="77" t="n">
        <v>0</v>
      </c>
      <c r="J113" s="22" t="s">
        <v>333</v>
      </c>
      <c r="K113" s="27" t="n">
        <v>50000</v>
      </c>
      <c r="L113" s="27" t="n">
        <v>108000</v>
      </c>
      <c r="M113" s="45" t="n">
        <v>7500</v>
      </c>
      <c r="N113" s="29" t="n">
        <v>48000</v>
      </c>
      <c r="O113" s="29" t="n">
        <v>108000</v>
      </c>
      <c r="P113" s="27" t="n">
        <v>0</v>
      </c>
      <c r="Q113" s="263" t="n">
        <v>45292</v>
      </c>
    </row>
    <row r="114" customFormat="false" ht="34.3" hidden="false" customHeight="false" outlineLevel="0" collapsed="false">
      <c r="A114" s="20" t="n">
        <v>2395</v>
      </c>
      <c r="B114" s="22" t="s">
        <v>735</v>
      </c>
      <c r="C114" s="22" t="s">
        <v>680</v>
      </c>
      <c r="D114" s="22"/>
      <c r="E114" s="23" t="n">
        <v>45290</v>
      </c>
      <c r="F114" s="23" t="n">
        <v>45296</v>
      </c>
      <c r="G114" s="24" t="n">
        <v>5</v>
      </c>
      <c r="H114" s="77" t="e">
        <f aca="false">#VALUE!</f>
        <v>#VALUE!</v>
      </c>
      <c r="I114" s="77" t="e">
        <f aca="false">#VALUE!</f>
        <v>#VALUE!</v>
      </c>
      <c r="J114" s="269" t="s">
        <v>681</v>
      </c>
      <c r="K114" s="30" t="n">
        <v>20000</v>
      </c>
      <c r="L114" s="30" t="n">
        <v>26000</v>
      </c>
      <c r="M114" s="28" t="s">
        <v>184</v>
      </c>
      <c r="N114" s="29" t="n">
        <v>26000</v>
      </c>
      <c r="O114" s="29" t="n">
        <v>26000</v>
      </c>
      <c r="P114" s="27" t="n">
        <v>0</v>
      </c>
      <c r="Q114" s="263" t="n">
        <v>45292</v>
      </c>
    </row>
    <row r="115" customFormat="false" ht="26.1" hidden="false" customHeight="false" outlineLevel="0" collapsed="false">
      <c r="A115" s="20" t="n">
        <v>2371</v>
      </c>
      <c r="B115" s="22" t="s">
        <v>684</v>
      </c>
      <c r="C115" s="22" t="s">
        <v>685</v>
      </c>
      <c r="D115" s="22"/>
      <c r="E115" s="23" t="n">
        <v>45273</v>
      </c>
      <c r="F115" s="23" t="n">
        <v>45293</v>
      </c>
      <c r="G115" s="24" t="n">
        <v>14</v>
      </c>
      <c r="H115" s="77" t="e">
        <f aca="false">#DIV/0!</f>
        <v>#DIV/0!</v>
      </c>
      <c r="I115" s="77" t="e">
        <f aca="false">#DIV/0!</f>
        <v>#DIV/0!</v>
      </c>
      <c r="J115" s="269" t="s">
        <v>681</v>
      </c>
      <c r="K115" s="30" t="n">
        <v>40000</v>
      </c>
      <c r="L115" s="30" t="n">
        <v>60000</v>
      </c>
      <c r="M115" s="28"/>
      <c r="N115" s="29" t="n">
        <v>20000</v>
      </c>
      <c r="O115" s="29" t="n">
        <v>60000</v>
      </c>
      <c r="P115" s="27" t="n">
        <v>0</v>
      </c>
      <c r="Q115" s="263" t="n">
        <v>45292</v>
      </c>
    </row>
    <row r="116" customFormat="false" ht="15" hidden="false" customHeight="false" outlineLevel="0" collapsed="false">
      <c r="A116" s="20" t="n">
        <v>2379</v>
      </c>
      <c r="B116" s="22" t="s">
        <v>791</v>
      </c>
      <c r="C116" s="22"/>
      <c r="D116" s="22"/>
      <c r="E116" s="23" t="n">
        <v>45280</v>
      </c>
      <c r="F116" s="23" t="n">
        <v>45300</v>
      </c>
      <c r="G116" s="24" t="n">
        <v>14</v>
      </c>
      <c r="H116" s="77" t="e">
        <f aca="false">#DIV/0!</f>
        <v>#DIV/0!</v>
      </c>
      <c r="I116" s="77" t="e">
        <f aca="false">#DIV/0!</f>
        <v>#DIV/0!</v>
      </c>
      <c r="J116" s="269" t="s">
        <v>681</v>
      </c>
      <c r="K116" s="27" t="n">
        <v>32000</v>
      </c>
      <c r="L116" s="27" t="n">
        <v>48000</v>
      </c>
      <c r="M116" s="45"/>
      <c r="N116" s="29" t="n">
        <v>48000</v>
      </c>
      <c r="O116" s="29" t="n">
        <v>48000</v>
      </c>
      <c r="P116" s="27" t="n">
        <v>0</v>
      </c>
      <c r="Q116" s="263" t="n">
        <v>45292</v>
      </c>
    </row>
    <row r="117" customFormat="false" ht="34.3" hidden="false" customHeight="false" outlineLevel="0" collapsed="false">
      <c r="A117" s="272" t="n">
        <v>2160</v>
      </c>
      <c r="B117" s="22" t="s">
        <v>532</v>
      </c>
      <c r="C117" s="22" t="s">
        <v>533</v>
      </c>
      <c r="D117" s="22"/>
      <c r="E117" s="23" t="n">
        <v>45121</v>
      </c>
      <c r="F117" s="23" t="n">
        <v>45271</v>
      </c>
      <c r="G117" s="24" t="n">
        <v>106</v>
      </c>
      <c r="H117" s="77" t="n">
        <v>120</v>
      </c>
      <c r="I117" s="77" t="n">
        <v>-14</v>
      </c>
      <c r="J117" s="269" t="s">
        <v>792</v>
      </c>
      <c r="K117" s="27" t="n">
        <v>20000</v>
      </c>
      <c r="L117" s="27" t="n">
        <v>52800</v>
      </c>
      <c r="M117" s="45" t="n">
        <v>2200</v>
      </c>
      <c r="N117" s="29" t="n">
        <v>9600</v>
      </c>
      <c r="O117" s="29" t="n">
        <v>52800</v>
      </c>
      <c r="P117" s="27" t="n">
        <v>0</v>
      </c>
      <c r="Q117" s="263" t="n">
        <v>45292</v>
      </c>
    </row>
    <row r="118" customFormat="false" ht="17.9" hidden="false" customHeight="false" outlineLevel="0" collapsed="false">
      <c r="A118" s="20" t="n">
        <v>2297</v>
      </c>
      <c r="B118" s="22" t="s">
        <v>568</v>
      </c>
      <c r="C118" s="22" t="s">
        <v>778</v>
      </c>
      <c r="D118" s="22"/>
      <c r="E118" s="23" t="n">
        <v>45213</v>
      </c>
      <c r="F118" s="23" t="n">
        <v>45261</v>
      </c>
      <c r="G118" s="24" t="n">
        <v>35</v>
      </c>
      <c r="H118" s="77" t="n">
        <v>40</v>
      </c>
      <c r="I118" s="77" t="n">
        <v>-5</v>
      </c>
      <c r="J118" s="22" t="s">
        <v>779</v>
      </c>
      <c r="K118" s="30" t="n">
        <v>20000</v>
      </c>
      <c r="L118" s="30" t="n">
        <v>40000</v>
      </c>
      <c r="M118" s="28" t="n">
        <v>5000</v>
      </c>
      <c r="N118" s="29" t="n">
        <v>7500</v>
      </c>
      <c r="O118" s="29" t="n">
        <v>40000</v>
      </c>
      <c r="P118" s="27" t="n">
        <v>0</v>
      </c>
      <c r="Q118" s="263" t="n">
        <v>45292</v>
      </c>
    </row>
    <row r="119" customFormat="false" ht="50.7" hidden="false" customHeight="false" outlineLevel="0" collapsed="false">
      <c r="A119" s="20" t="n">
        <v>2265</v>
      </c>
      <c r="B119" s="22" t="s">
        <v>185</v>
      </c>
      <c r="C119" s="22" t="s">
        <v>186</v>
      </c>
      <c r="D119" s="22"/>
      <c r="E119" s="23" t="n">
        <v>45194</v>
      </c>
      <c r="F119" s="23" t="n">
        <v>45294</v>
      </c>
      <c r="G119" s="24" t="n">
        <v>72</v>
      </c>
      <c r="H119" s="77" t="n">
        <v>80</v>
      </c>
      <c r="I119" s="77" t="n">
        <v>-8</v>
      </c>
      <c r="J119" s="269" t="s">
        <v>793</v>
      </c>
      <c r="K119" s="30" t="n">
        <v>40000</v>
      </c>
      <c r="L119" s="30" t="n">
        <v>86400</v>
      </c>
      <c r="M119" s="28" t="n">
        <v>5400</v>
      </c>
      <c r="N119" s="29" t="n">
        <v>21600</v>
      </c>
      <c r="O119" s="29" t="n">
        <v>86400</v>
      </c>
      <c r="P119" s="30" t="n">
        <v>0</v>
      </c>
      <c r="Q119" s="263" t="n">
        <v>45299</v>
      </c>
    </row>
    <row r="120" customFormat="false" ht="34.3" hidden="false" customHeight="false" outlineLevel="0" collapsed="false">
      <c r="A120" s="20" t="n">
        <v>2226</v>
      </c>
      <c r="B120" s="22" t="s">
        <v>750</v>
      </c>
      <c r="C120" s="22" t="s">
        <v>751</v>
      </c>
      <c r="D120" s="22"/>
      <c r="E120" s="23" t="n">
        <v>45162</v>
      </c>
      <c r="F120" s="23" t="n">
        <v>45264</v>
      </c>
      <c r="G120" s="24" t="n">
        <v>72</v>
      </c>
      <c r="H120" s="77" t="n">
        <v>75.3333333333333</v>
      </c>
      <c r="I120" s="77" t="n">
        <v>-3.33333333333333</v>
      </c>
      <c r="J120" s="22" t="s">
        <v>675</v>
      </c>
      <c r="K120" s="30" t="n">
        <v>30000</v>
      </c>
      <c r="L120" s="30" t="n">
        <v>64800</v>
      </c>
      <c r="M120" s="28" t="n">
        <v>4500</v>
      </c>
      <c r="N120" s="29" t="n">
        <v>18800</v>
      </c>
      <c r="O120" s="29" t="n">
        <v>67800</v>
      </c>
      <c r="P120" s="30" t="n">
        <v>-3000</v>
      </c>
      <c r="Q120" s="263" t="n">
        <v>45299</v>
      </c>
    </row>
    <row r="121" customFormat="false" ht="26.1" hidden="false" customHeight="false" outlineLevel="0" collapsed="false">
      <c r="A121" s="20" t="n">
        <v>2081</v>
      </c>
      <c r="B121" s="22" t="s">
        <v>695</v>
      </c>
      <c r="C121" s="22" t="s">
        <v>217</v>
      </c>
      <c r="D121" s="22" t="s">
        <v>218</v>
      </c>
      <c r="E121" s="23" t="n">
        <v>45053</v>
      </c>
      <c r="F121" s="23" t="n">
        <v>45296</v>
      </c>
      <c r="G121" s="24" t="n">
        <v>175</v>
      </c>
      <c r="H121" s="77" t="n">
        <v>168.363636363636</v>
      </c>
      <c r="I121" s="77" t="n">
        <v>6.63636363636363</v>
      </c>
      <c r="J121" s="269" t="s">
        <v>794</v>
      </c>
      <c r="K121" s="30" t="n">
        <v>50000</v>
      </c>
      <c r="L121" s="30" t="n">
        <v>132000</v>
      </c>
      <c r="M121" s="28" t="n">
        <v>4125</v>
      </c>
      <c r="N121" s="29" t="n">
        <v>16500</v>
      </c>
      <c r="O121" s="29" t="n">
        <v>138900</v>
      </c>
      <c r="P121" s="30" t="n">
        <v>-6900</v>
      </c>
      <c r="Q121" s="263" t="n">
        <v>45299</v>
      </c>
    </row>
    <row r="122" customFormat="false" ht="34.3" hidden="false" customHeight="false" outlineLevel="0" collapsed="false">
      <c r="A122" s="20" t="n">
        <v>2404</v>
      </c>
      <c r="B122" s="22" t="s">
        <v>735</v>
      </c>
      <c r="C122" s="22" t="s">
        <v>680</v>
      </c>
      <c r="D122" s="22"/>
      <c r="E122" s="23" t="n">
        <v>45297</v>
      </c>
      <c r="F122" s="23" t="n">
        <v>45303</v>
      </c>
      <c r="G122" s="24" t="n">
        <v>5</v>
      </c>
      <c r="H122" s="77" t="e">
        <f aca="false">#VALUE!</f>
        <v>#VALUE!</v>
      </c>
      <c r="I122" s="77" t="e">
        <f aca="false">#VALUE!</f>
        <v>#VALUE!</v>
      </c>
      <c r="J122" s="269" t="s">
        <v>681</v>
      </c>
      <c r="K122" s="30" t="n">
        <v>10000</v>
      </c>
      <c r="L122" s="30" t="n">
        <v>13000</v>
      </c>
      <c r="M122" s="28" t="s">
        <v>184</v>
      </c>
      <c r="N122" s="29" t="n">
        <v>13000</v>
      </c>
      <c r="O122" s="29" t="n">
        <v>13000</v>
      </c>
      <c r="P122" s="27" t="n">
        <v>0</v>
      </c>
      <c r="Q122" s="263" t="n">
        <v>45299</v>
      </c>
    </row>
    <row r="123" customFormat="false" ht="34.3" hidden="false" customHeight="false" outlineLevel="0" collapsed="false">
      <c r="A123" s="20" t="n">
        <v>1848</v>
      </c>
      <c r="B123" s="22" t="s">
        <v>795</v>
      </c>
      <c r="C123" s="22" t="s">
        <v>796</v>
      </c>
      <c r="D123" s="22"/>
      <c r="E123" s="23" t="n">
        <v>44869</v>
      </c>
      <c r="F123" s="23" t="n">
        <v>45065</v>
      </c>
      <c r="G123" s="24" t="n">
        <v>140</v>
      </c>
      <c r="H123" s="77" t="n">
        <v>140</v>
      </c>
      <c r="I123" s="77" t="n">
        <v>0</v>
      </c>
      <c r="J123" s="74" t="s">
        <v>797</v>
      </c>
      <c r="K123" s="27" t="n">
        <v>100000</v>
      </c>
      <c r="L123" s="27" t="n">
        <v>280000</v>
      </c>
      <c r="M123" s="45" t="n">
        <v>10000</v>
      </c>
      <c r="N123" s="29" t="n">
        <v>20000</v>
      </c>
      <c r="O123" s="29" t="n">
        <v>280000</v>
      </c>
      <c r="P123" s="27" t="n">
        <v>0</v>
      </c>
      <c r="Q123" s="263" t="n">
        <v>45299</v>
      </c>
    </row>
    <row r="124" customFormat="false" ht="34.3" hidden="false" customHeight="false" outlineLevel="0" collapsed="false">
      <c r="A124" s="20" t="n">
        <v>2213</v>
      </c>
      <c r="B124" s="22" t="s">
        <v>736</v>
      </c>
      <c r="C124" s="22" t="s">
        <v>383</v>
      </c>
      <c r="D124" s="22"/>
      <c r="E124" s="23" t="n">
        <v>45156</v>
      </c>
      <c r="F124" s="23" t="n">
        <v>45258</v>
      </c>
      <c r="G124" s="24" t="n">
        <v>72</v>
      </c>
      <c r="H124" s="77" t="n">
        <v>74</v>
      </c>
      <c r="I124" s="77" t="n">
        <v>-2</v>
      </c>
      <c r="J124" s="22" t="s">
        <v>560</v>
      </c>
      <c r="K124" s="27" t="n">
        <v>10000</v>
      </c>
      <c r="L124" s="27" t="n">
        <v>21600</v>
      </c>
      <c r="M124" s="45" t="n">
        <v>1500</v>
      </c>
      <c r="N124" s="29" t="n">
        <v>1200</v>
      </c>
      <c r="O124" s="29" t="n">
        <v>22200</v>
      </c>
      <c r="P124" s="27" t="n">
        <v>-600</v>
      </c>
      <c r="Q124" s="263" t="n">
        <v>45299</v>
      </c>
    </row>
    <row r="125" customFormat="false" ht="26.1" hidden="false" customHeight="false" outlineLevel="0" collapsed="false">
      <c r="A125" s="20" t="n">
        <v>2241</v>
      </c>
      <c r="B125" s="22" t="s">
        <v>459</v>
      </c>
      <c r="C125" s="22" t="s">
        <v>460</v>
      </c>
      <c r="D125" s="22"/>
      <c r="E125" s="23" t="n">
        <v>45177</v>
      </c>
      <c r="F125" s="23" t="n">
        <v>45279</v>
      </c>
      <c r="G125" s="24" t="n">
        <v>72</v>
      </c>
      <c r="H125" s="77" t="n">
        <v>72</v>
      </c>
      <c r="I125" s="77" t="n">
        <v>0</v>
      </c>
      <c r="J125" s="22" t="s">
        <v>675</v>
      </c>
      <c r="K125" s="30" t="n">
        <v>30000</v>
      </c>
      <c r="L125" s="30" t="n">
        <v>64800</v>
      </c>
      <c r="M125" s="28" t="n">
        <v>4500</v>
      </c>
      <c r="N125" s="29" t="n">
        <v>8600</v>
      </c>
      <c r="O125" s="29" t="n">
        <v>64800</v>
      </c>
      <c r="P125" s="27" t="n">
        <v>0</v>
      </c>
      <c r="Q125" s="263" t="n">
        <v>45299</v>
      </c>
    </row>
    <row r="126" customFormat="false" ht="26.1" hidden="false" customHeight="false" outlineLevel="0" collapsed="false">
      <c r="A126" s="20" t="n">
        <v>2238</v>
      </c>
      <c r="B126" s="22" t="s">
        <v>709</v>
      </c>
      <c r="C126" s="22" t="s">
        <v>710</v>
      </c>
      <c r="D126" s="22"/>
      <c r="E126" s="23" t="n">
        <v>45175</v>
      </c>
      <c r="F126" s="23" t="n">
        <v>45338</v>
      </c>
      <c r="G126" s="24" t="n">
        <v>117</v>
      </c>
      <c r="H126" s="77" t="n">
        <v>80</v>
      </c>
      <c r="I126" s="77" t="n">
        <v>37</v>
      </c>
      <c r="J126" s="269" t="s">
        <v>798</v>
      </c>
      <c r="K126" s="27" t="n">
        <v>5000</v>
      </c>
      <c r="L126" s="27" t="n">
        <v>11260</v>
      </c>
      <c r="M126" s="45" t="n">
        <v>703.75</v>
      </c>
      <c r="N126" s="29" t="n">
        <v>2815</v>
      </c>
      <c r="O126" s="29" t="n">
        <v>11260</v>
      </c>
      <c r="P126" s="27" t="n">
        <v>0</v>
      </c>
      <c r="Q126" s="263" t="n">
        <v>45299</v>
      </c>
    </row>
    <row r="127" customFormat="false" ht="26.1" hidden="false" customHeight="false" outlineLevel="0" collapsed="false">
      <c r="A127" s="20" t="n">
        <v>2374</v>
      </c>
      <c r="B127" s="22" t="s">
        <v>688</v>
      </c>
      <c r="C127" s="22"/>
      <c r="D127" s="22"/>
      <c r="E127" s="23" t="n">
        <v>45275</v>
      </c>
      <c r="F127" s="23" t="n">
        <v>45299</v>
      </c>
      <c r="G127" s="24" t="n">
        <v>16</v>
      </c>
      <c r="H127" s="77" t="e">
        <f aca="false">#VALUE!</f>
        <v>#VALUE!</v>
      </c>
      <c r="I127" s="77" t="e">
        <f aca="false">#VALUE!</f>
        <v>#VALUE!</v>
      </c>
      <c r="J127" s="269" t="s">
        <v>681</v>
      </c>
      <c r="K127" s="27" t="n">
        <v>25000</v>
      </c>
      <c r="L127" s="27" t="n">
        <v>39000</v>
      </c>
      <c r="M127" s="45" t="s">
        <v>184</v>
      </c>
      <c r="N127" s="29" t="n">
        <v>39000</v>
      </c>
      <c r="O127" s="29" t="n">
        <v>39000</v>
      </c>
      <c r="P127" s="27" t="n">
        <v>0</v>
      </c>
      <c r="Q127" s="263" t="n">
        <v>45299</v>
      </c>
    </row>
    <row r="128" customFormat="false" ht="17.9" hidden="false" customHeight="false" outlineLevel="0" collapsed="false">
      <c r="A128" s="20" t="n">
        <v>2380</v>
      </c>
      <c r="B128" s="22" t="s">
        <v>690</v>
      </c>
      <c r="C128" s="22"/>
      <c r="D128" s="22"/>
      <c r="E128" s="23" t="n">
        <v>45280</v>
      </c>
      <c r="F128" s="23" t="n">
        <v>45300</v>
      </c>
      <c r="G128" s="24" t="n">
        <v>14</v>
      </c>
      <c r="H128" s="77" t="e">
        <f aca="false">#DIV/0!</f>
        <v>#DIV/0!</v>
      </c>
      <c r="I128" s="77" t="e">
        <f aca="false">#DIV/0!</f>
        <v>#DIV/0!</v>
      </c>
      <c r="J128" s="269" t="s">
        <v>681</v>
      </c>
      <c r="K128" s="30" t="n">
        <v>15000</v>
      </c>
      <c r="L128" s="30" t="n">
        <v>22500</v>
      </c>
      <c r="M128" s="45"/>
      <c r="N128" s="29" t="n">
        <v>22500</v>
      </c>
      <c r="O128" s="29" t="n">
        <v>22500</v>
      </c>
      <c r="P128" s="27" t="n">
        <v>0</v>
      </c>
      <c r="Q128" s="263" t="n">
        <v>45299</v>
      </c>
    </row>
    <row r="129" customFormat="false" ht="58.95" hidden="false" customHeight="false" outlineLevel="0" collapsed="false">
      <c r="A129" s="20" t="n">
        <v>1850</v>
      </c>
      <c r="B129" s="22" t="s">
        <v>691</v>
      </c>
      <c r="C129" s="22" t="s">
        <v>523</v>
      </c>
      <c r="D129" s="22"/>
      <c r="E129" s="23" t="n">
        <v>44869</v>
      </c>
      <c r="F129" s="23" t="n">
        <v>45205</v>
      </c>
      <c r="G129" s="24" t="n">
        <v>240</v>
      </c>
      <c r="H129" s="77" t="n">
        <v>240</v>
      </c>
      <c r="I129" s="77" t="n">
        <v>0</v>
      </c>
      <c r="J129" s="22" t="s">
        <v>799</v>
      </c>
      <c r="K129" s="27" t="n">
        <v>120000</v>
      </c>
      <c r="L129" s="27" t="n">
        <v>309600</v>
      </c>
      <c r="M129" s="45" t="n">
        <v>6450</v>
      </c>
      <c r="N129" s="29" t="n">
        <v>11200</v>
      </c>
      <c r="O129" s="29" t="n">
        <v>309600</v>
      </c>
      <c r="P129" s="27" t="n">
        <v>0</v>
      </c>
      <c r="Q129" s="263" t="n">
        <v>45299</v>
      </c>
    </row>
    <row r="130" customFormat="false" ht="42.5" hidden="false" customHeight="false" outlineLevel="0" collapsed="false">
      <c r="A130" s="20" t="n">
        <v>2290</v>
      </c>
      <c r="B130" s="22" t="s">
        <v>800</v>
      </c>
      <c r="C130" s="22" t="s">
        <v>556</v>
      </c>
      <c r="D130" s="22" t="s">
        <v>801</v>
      </c>
      <c r="E130" s="23" t="n">
        <v>45209</v>
      </c>
      <c r="F130" s="23" t="n">
        <v>45309</v>
      </c>
      <c r="G130" s="24" t="n">
        <v>72</v>
      </c>
      <c r="H130" s="77" t="n">
        <v>72</v>
      </c>
      <c r="I130" s="77" t="n">
        <v>0</v>
      </c>
      <c r="J130" s="22" t="s">
        <v>675</v>
      </c>
      <c r="K130" s="27" t="n">
        <v>30000</v>
      </c>
      <c r="L130" s="27" t="n">
        <v>64800</v>
      </c>
      <c r="M130" s="45" t="n">
        <v>4500</v>
      </c>
      <c r="N130" s="29" t="n">
        <v>15300</v>
      </c>
      <c r="O130" s="29" t="n">
        <v>64800</v>
      </c>
      <c r="P130" s="27" t="n">
        <v>0</v>
      </c>
      <c r="Q130" s="263" t="n">
        <v>45299</v>
      </c>
    </row>
    <row r="131" customFormat="false" ht="34.3" hidden="false" customHeight="false" outlineLevel="0" collapsed="false">
      <c r="A131" s="52" t="n">
        <v>2419</v>
      </c>
      <c r="B131" s="22" t="s">
        <v>750</v>
      </c>
      <c r="C131" s="22" t="s">
        <v>751</v>
      </c>
      <c r="D131" s="22"/>
      <c r="E131" s="23" t="n">
        <v>45303</v>
      </c>
      <c r="F131" s="23" t="n">
        <v>45310</v>
      </c>
      <c r="G131" s="77" t="e">
        <f aca="false">#DIV/0!</f>
        <v>#DIV/0!</v>
      </c>
      <c r="H131" s="77" t="e">
        <f aca="false">#DIV/0!</f>
        <v>#DIV/0!</v>
      </c>
      <c r="I131" s="77" t="e">
        <f aca="false">#DIV/0!</f>
        <v>#DIV/0!</v>
      </c>
      <c r="J131" s="269" t="s">
        <v>681</v>
      </c>
      <c r="K131" s="30" t="n">
        <v>10000</v>
      </c>
      <c r="L131" s="30" t="n">
        <v>13000</v>
      </c>
      <c r="M131" s="28"/>
      <c r="N131" s="273" t="n">
        <v>13000</v>
      </c>
      <c r="O131" s="29" t="n">
        <v>13000</v>
      </c>
      <c r="P131" s="30" t="n">
        <v>0</v>
      </c>
      <c r="Q131" s="263" t="n">
        <v>45306</v>
      </c>
    </row>
    <row r="132" customFormat="false" ht="34.3" hidden="false" customHeight="false" outlineLevel="0" collapsed="false">
      <c r="A132" s="52" t="n">
        <v>2423</v>
      </c>
      <c r="B132" s="22" t="s">
        <v>750</v>
      </c>
      <c r="C132" s="22" t="s">
        <v>751</v>
      </c>
      <c r="D132" s="22"/>
      <c r="E132" s="23" t="n">
        <v>45306</v>
      </c>
      <c r="F132" s="23" t="n">
        <v>45310</v>
      </c>
      <c r="G132" s="77" t="e">
        <f aca="false">#DIV/0!</f>
        <v>#DIV/0!</v>
      </c>
      <c r="H132" s="77" t="e">
        <f aca="false">#DIV/0!</f>
        <v>#DIV/0!</v>
      </c>
      <c r="I132" s="77" t="e">
        <f aca="false">#DIV/0!</f>
        <v>#DIV/0!</v>
      </c>
      <c r="J132" s="269" t="s">
        <v>681</v>
      </c>
      <c r="K132" s="30" t="n">
        <v>5000</v>
      </c>
      <c r="L132" s="30" t="n">
        <v>6500</v>
      </c>
      <c r="M132" s="28"/>
      <c r="N132" s="273" t="n">
        <v>7000</v>
      </c>
      <c r="O132" s="29" t="n">
        <v>7000</v>
      </c>
      <c r="P132" s="30" t="n">
        <v>-500</v>
      </c>
      <c r="Q132" s="263" t="n">
        <v>45306</v>
      </c>
    </row>
    <row r="133" customFormat="false" ht="34.3" hidden="false" customHeight="false" outlineLevel="0" collapsed="false">
      <c r="A133" s="20" t="n">
        <v>2231</v>
      </c>
      <c r="B133" s="22" t="s">
        <v>226</v>
      </c>
      <c r="C133" s="22" t="s">
        <v>227</v>
      </c>
      <c r="D133" s="22"/>
      <c r="E133" s="23" t="n">
        <v>45167</v>
      </c>
      <c r="F133" s="23" t="n">
        <v>45267</v>
      </c>
      <c r="G133" s="77" t="n">
        <v>72</v>
      </c>
      <c r="H133" s="77" t="n">
        <v>0</v>
      </c>
      <c r="I133" s="77" t="n">
        <v>0</v>
      </c>
      <c r="J133" s="60" t="s">
        <v>560</v>
      </c>
      <c r="K133" s="27" t="n">
        <v>10000</v>
      </c>
      <c r="L133" s="27" t="n">
        <v>21600</v>
      </c>
      <c r="M133" s="45" t="n">
        <v>1500</v>
      </c>
      <c r="N133" s="29" t="n">
        <v>100</v>
      </c>
      <c r="O133" s="29" t="n">
        <v>21600</v>
      </c>
      <c r="P133" s="27" t="n">
        <v>0</v>
      </c>
      <c r="Q133" s="263" t="n">
        <v>45306</v>
      </c>
    </row>
    <row r="134" customFormat="false" ht="83.55" hidden="false" customHeight="false" outlineLevel="0" collapsed="false">
      <c r="A134" s="20" t="n">
        <v>2310</v>
      </c>
      <c r="B134" s="22" t="s">
        <v>802</v>
      </c>
      <c r="C134" s="22" t="s">
        <v>260</v>
      </c>
      <c r="D134" s="22"/>
      <c r="E134" s="23" t="n">
        <v>45223</v>
      </c>
      <c r="F134" s="23" t="n">
        <v>45323</v>
      </c>
      <c r="G134" s="77" t="n">
        <v>72</v>
      </c>
      <c r="H134" s="77" t="n">
        <v>0</v>
      </c>
      <c r="I134" s="77" t="n">
        <v>0</v>
      </c>
      <c r="J134" s="22" t="s">
        <v>468</v>
      </c>
      <c r="K134" s="27" t="n">
        <v>300000</v>
      </c>
      <c r="L134" s="27" t="n">
        <v>648000</v>
      </c>
      <c r="M134" s="45" t="n">
        <v>45000</v>
      </c>
      <c r="N134" s="29" t="n">
        <v>153000</v>
      </c>
      <c r="O134" s="29" t="n">
        <v>648000</v>
      </c>
      <c r="P134" s="27" t="n">
        <v>0</v>
      </c>
      <c r="Q134" s="263" t="n">
        <v>45306</v>
      </c>
    </row>
    <row r="135" customFormat="false" ht="26.1" hidden="false" customHeight="false" outlineLevel="0" collapsed="false">
      <c r="A135" s="20" t="n">
        <v>2210</v>
      </c>
      <c r="B135" s="22" t="s">
        <v>589</v>
      </c>
      <c r="C135" s="22" t="s">
        <v>590</v>
      </c>
      <c r="D135" s="22"/>
      <c r="E135" s="23" t="n">
        <v>45155</v>
      </c>
      <c r="F135" s="23" t="n">
        <v>45272</v>
      </c>
      <c r="G135" s="77" t="n">
        <v>86.1728395061728</v>
      </c>
      <c r="H135" s="77" t="n">
        <v>-3.17283950617284</v>
      </c>
      <c r="I135" s="77" t="n">
        <v>-3.17283950617284</v>
      </c>
      <c r="J135" s="269" t="s">
        <v>803</v>
      </c>
      <c r="K135" s="30" t="n">
        <v>30000</v>
      </c>
      <c r="L135" s="30" t="n">
        <v>64800</v>
      </c>
      <c r="M135" s="28" t="n">
        <v>4050</v>
      </c>
      <c r="N135" s="29" t="n">
        <v>21700</v>
      </c>
      <c r="O135" s="29" t="n">
        <v>69800</v>
      </c>
      <c r="P135" s="27" t="n">
        <v>-5000</v>
      </c>
      <c r="Q135" s="263" t="n">
        <v>45306</v>
      </c>
    </row>
    <row r="136" customFormat="false" ht="50.7" hidden="false" customHeight="false" outlineLevel="0" collapsed="false">
      <c r="A136" s="20" t="n">
        <v>2166</v>
      </c>
      <c r="B136" s="22" t="s">
        <v>804</v>
      </c>
      <c r="C136" s="22" t="s">
        <v>805</v>
      </c>
      <c r="D136" s="22"/>
      <c r="E136" s="23" t="n">
        <v>45125</v>
      </c>
      <c r="F136" s="23" t="n">
        <v>45279</v>
      </c>
      <c r="G136" s="77" t="n">
        <v>110</v>
      </c>
      <c r="H136" s="77" t="n">
        <v>0</v>
      </c>
      <c r="I136" s="77" t="n">
        <v>0</v>
      </c>
      <c r="J136" s="22" t="s">
        <v>734</v>
      </c>
      <c r="K136" s="30" t="n">
        <v>30000</v>
      </c>
      <c r="L136" s="30" t="n">
        <v>79200</v>
      </c>
      <c r="M136" s="45" t="n">
        <v>3600</v>
      </c>
      <c r="N136" s="29" t="n">
        <v>3600</v>
      </c>
      <c r="O136" s="29" t="n">
        <v>79200</v>
      </c>
      <c r="P136" s="27" t="n">
        <v>0</v>
      </c>
      <c r="Q136" s="263" t="n">
        <v>45306</v>
      </c>
    </row>
    <row r="137" customFormat="false" ht="26.1" hidden="false" customHeight="false" outlineLevel="0" collapsed="false">
      <c r="A137" s="20" t="n">
        <v>2199</v>
      </c>
      <c r="B137" s="22" t="s">
        <v>806</v>
      </c>
      <c r="C137" s="22" t="s">
        <v>807</v>
      </c>
      <c r="D137" s="22"/>
      <c r="E137" s="23" t="n">
        <v>45147</v>
      </c>
      <c r="F137" s="23" t="n">
        <v>45247</v>
      </c>
      <c r="G137" s="77" t="n">
        <v>76.037037037037</v>
      </c>
      <c r="H137" s="77" t="n">
        <v>-4.03703703703704</v>
      </c>
      <c r="I137" s="77" t="n">
        <v>-4.03703703703704</v>
      </c>
      <c r="J137" s="22" t="s">
        <v>808</v>
      </c>
      <c r="K137" s="27" t="n">
        <v>22500</v>
      </c>
      <c r="L137" s="27" t="n">
        <v>48600</v>
      </c>
      <c r="M137" s="45" t="n">
        <v>3375</v>
      </c>
      <c r="N137" s="29" t="n">
        <v>3375</v>
      </c>
      <c r="O137" s="29" t="n">
        <v>51325</v>
      </c>
      <c r="P137" s="27" t="n">
        <v>-2725</v>
      </c>
      <c r="Q137" s="263" t="n">
        <v>45306</v>
      </c>
    </row>
    <row r="138" customFormat="false" ht="34.3" hidden="false" customHeight="false" outlineLevel="0" collapsed="false">
      <c r="A138" s="20" t="n">
        <v>2269</v>
      </c>
      <c r="B138" s="22" t="s">
        <v>417</v>
      </c>
      <c r="C138" s="22" t="s">
        <v>415</v>
      </c>
      <c r="D138" s="22"/>
      <c r="E138" s="23" t="n">
        <v>45196</v>
      </c>
      <c r="F138" s="23" t="n">
        <v>45296</v>
      </c>
      <c r="G138" s="77" t="n">
        <v>72</v>
      </c>
      <c r="H138" s="77" t="n">
        <v>0</v>
      </c>
      <c r="I138" s="77" t="n">
        <v>0</v>
      </c>
      <c r="J138" s="269" t="s">
        <v>333</v>
      </c>
      <c r="K138" s="30" t="n">
        <v>50000</v>
      </c>
      <c r="L138" s="30" t="n">
        <v>108000</v>
      </c>
      <c r="M138" s="28" t="n">
        <v>7500</v>
      </c>
      <c r="N138" s="29" t="n">
        <v>12000</v>
      </c>
      <c r="O138" s="29" t="n">
        <v>108000</v>
      </c>
      <c r="P138" s="27" t="n">
        <v>0</v>
      </c>
      <c r="Q138" s="263" t="n">
        <v>45306</v>
      </c>
    </row>
    <row r="139" customFormat="false" ht="34.3" hidden="false" customHeight="false" outlineLevel="0" collapsed="false">
      <c r="A139" s="20" t="n">
        <v>1796</v>
      </c>
      <c r="B139" s="22" t="s">
        <v>514</v>
      </c>
      <c r="C139" s="22" t="s">
        <v>515</v>
      </c>
      <c r="D139" s="22"/>
      <c r="E139" s="23" t="n">
        <v>44824</v>
      </c>
      <c r="F139" s="23" t="n">
        <v>44924</v>
      </c>
      <c r="G139" s="77" t="n">
        <v>72.5</v>
      </c>
      <c r="H139" s="77" t="n">
        <v>-0.5</v>
      </c>
      <c r="I139" s="77" t="n">
        <v>-0.5</v>
      </c>
      <c r="J139" s="22" t="s">
        <v>679</v>
      </c>
      <c r="K139" s="27" t="n">
        <v>20000</v>
      </c>
      <c r="L139" s="27" t="n">
        <v>43200</v>
      </c>
      <c r="M139" s="45" t="n">
        <v>3000</v>
      </c>
      <c r="N139" s="29" t="n">
        <v>3000</v>
      </c>
      <c r="O139" s="29" t="n">
        <v>43500</v>
      </c>
      <c r="P139" s="27" t="n">
        <v>-300</v>
      </c>
      <c r="Q139" s="263" t="n">
        <v>45306</v>
      </c>
    </row>
    <row r="140" customFormat="false" ht="26.1" hidden="false" customHeight="false" outlineLevel="0" collapsed="false">
      <c r="A140" s="20" t="n">
        <v>2406</v>
      </c>
      <c r="B140" s="22" t="s">
        <v>723</v>
      </c>
      <c r="C140" s="22" t="s">
        <v>809</v>
      </c>
      <c r="D140" s="22"/>
      <c r="E140" s="23" t="n">
        <v>45299</v>
      </c>
      <c r="F140" s="23" t="n">
        <v>45314</v>
      </c>
      <c r="G140" s="24" t="n">
        <v>11</v>
      </c>
      <c r="H140" s="77" t="e">
        <f aca="false">#DIV/0!</f>
        <v>#DIV/0!</v>
      </c>
      <c r="I140" s="77" t="e">
        <f aca="false">#DIV/0!</f>
        <v>#DIV/0!</v>
      </c>
      <c r="J140" s="269" t="s">
        <v>681</v>
      </c>
      <c r="K140" s="30" t="n">
        <v>30000</v>
      </c>
      <c r="L140" s="30" t="n">
        <v>42500</v>
      </c>
      <c r="M140" s="28"/>
      <c r="N140" s="29" t="n">
        <v>23000</v>
      </c>
      <c r="O140" s="29" t="n">
        <v>43000</v>
      </c>
      <c r="P140" s="27" t="n">
        <v>-500</v>
      </c>
      <c r="Q140" s="263" t="n">
        <v>45313</v>
      </c>
    </row>
    <row r="141" customFormat="false" ht="26.1" hidden="false" customHeight="false" outlineLevel="0" collapsed="false">
      <c r="A141" s="52" t="n">
        <v>2433</v>
      </c>
      <c r="B141" s="22" t="s">
        <v>723</v>
      </c>
      <c r="C141" s="22" t="s">
        <v>809</v>
      </c>
      <c r="D141" s="22"/>
      <c r="E141" s="23" t="n">
        <v>45311</v>
      </c>
      <c r="F141" s="23" t="n">
        <v>45327</v>
      </c>
      <c r="G141" s="24" t="n">
        <v>11</v>
      </c>
      <c r="H141" s="77" t="e">
        <f aca="false">#DIV/0!</f>
        <v>#DIV/0!</v>
      </c>
      <c r="I141" s="77" t="e">
        <f aca="false">#DIV/0!</f>
        <v>#DIV/0!</v>
      </c>
      <c r="J141" s="269" t="s">
        <v>681</v>
      </c>
      <c r="K141" s="30" t="n">
        <v>10000</v>
      </c>
      <c r="L141" s="30" t="n">
        <v>13000</v>
      </c>
      <c r="M141" s="28"/>
      <c r="N141" s="29" t="n">
        <v>13000</v>
      </c>
      <c r="O141" s="29" t="n">
        <v>13000</v>
      </c>
      <c r="P141" s="27" t="n">
        <v>0</v>
      </c>
      <c r="Q141" s="263" t="n">
        <v>45313</v>
      </c>
    </row>
    <row r="142" customFormat="false" ht="26.1" hidden="false" customHeight="false" outlineLevel="0" collapsed="false">
      <c r="A142" s="20" t="n">
        <v>2327</v>
      </c>
      <c r="B142" s="22" t="s">
        <v>291</v>
      </c>
      <c r="C142" s="22" t="s">
        <v>292</v>
      </c>
      <c r="D142" s="22"/>
      <c r="E142" s="23" t="n">
        <v>45237</v>
      </c>
      <c r="F142" s="23" t="n">
        <v>45337</v>
      </c>
      <c r="G142" s="24" t="n">
        <v>72</v>
      </c>
      <c r="H142" s="77" t="n">
        <v>70</v>
      </c>
      <c r="I142" s="77" t="n">
        <v>2</v>
      </c>
      <c r="J142" s="22" t="s">
        <v>560</v>
      </c>
      <c r="K142" s="27" t="n">
        <v>10000</v>
      </c>
      <c r="L142" s="27" t="n">
        <v>21600</v>
      </c>
      <c r="M142" s="45" t="n">
        <v>1500</v>
      </c>
      <c r="N142" s="29" t="n">
        <v>6000</v>
      </c>
      <c r="O142" s="29" t="n">
        <v>21000</v>
      </c>
      <c r="P142" s="27" t="n">
        <v>600</v>
      </c>
      <c r="Q142" s="263" t="n">
        <v>45313</v>
      </c>
    </row>
    <row r="143" customFormat="false" ht="42.5" hidden="false" customHeight="false" outlineLevel="0" collapsed="false">
      <c r="A143" s="20" t="n">
        <v>2119</v>
      </c>
      <c r="B143" s="22" t="s">
        <v>810</v>
      </c>
      <c r="C143" s="22" t="s">
        <v>811</v>
      </c>
      <c r="D143" s="22"/>
      <c r="E143" s="23" t="n">
        <v>45096</v>
      </c>
      <c r="F143" s="23" t="n">
        <v>45250</v>
      </c>
      <c r="G143" s="24" t="n">
        <v>110</v>
      </c>
      <c r="H143" s="77" t="n">
        <v>121.944444444444</v>
      </c>
      <c r="I143" s="77" t="n">
        <v>-11.9444444444444</v>
      </c>
      <c r="J143" s="22" t="s">
        <v>734</v>
      </c>
      <c r="K143" s="27" t="n">
        <v>30000</v>
      </c>
      <c r="L143" s="27" t="n">
        <v>87800</v>
      </c>
      <c r="M143" s="45" t="n">
        <v>3600</v>
      </c>
      <c r="N143" s="273" t="n">
        <v>10673</v>
      </c>
      <c r="O143" s="29" t="n">
        <v>87800</v>
      </c>
      <c r="P143" s="27" t="n">
        <v>0</v>
      </c>
      <c r="Q143" s="263" t="n">
        <v>45313</v>
      </c>
    </row>
    <row r="144" customFormat="false" ht="34.3" hidden="false" customHeight="false" outlineLevel="0" collapsed="false">
      <c r="A144" s="20" t="n">
        <v>2413</v>
      </c>
      <c r="B144" s="22" t="s">
        <v>735</v>
      </c>
      <c r="C144" s="22" t="s">
        <v>680</v>
      </c>
      <c r="D144" s="22"/>
      <c r="E144" s="23" t="n">
        <v>45302</v>
      </c>
      <c r="F144" s="23" t="n">
        <v>45309</v>
      </c>
      <c r="G144" s="24" t="n">
        <v>5</v>
      </c>
      <c r="H144" s="77" t="e">
        <f aca="false">#DIV/0!</f>
        <v>#DIV/0!</v>
      </c>
      <c r="I144" s="77" t="e">
        <f aca="false">#DIV/0!</f>
        <v>#DIV/0!</v>
      </c>
      <c r="J144" s="269" t="s">
        <v>681</v>
      </c>
      <c r="K144" s="30" t="n">
        <v>30000</v>
      </c>
      <c r="L144" s="30" t="n">
        <v>39000</v>
      </c>
      <c r="M144" s="28"/>
      <c r="N144" s="29" t="n">
        <v>39000</v>
      </c>
      <c r="O144" s="29" t="n">
        <v>39000</v>
      </c>
      <c r="P144" s="27" t="n">
        <v>0</v>
      </c>
      <c r="Q144" s="263" t="n">
        <v>45313</v>
      </c>
    </row>
    <row r="145" customFormat="false" ht="34.3" hidden="false" customHeight="false" outlineLevel="0" collapsed="false">
      <c r="A145" s="20" t="n">
        <v>2434</v>
      </c>
      <c r="B145" s="22" t="s">
        <v>735</v>
      </c>
      <c r="C145" s="22" t="s">
        <v>680</v>
      </c>
      <c r="D145" s="22"/>
      <c r="E145" s="23" t="n">
        <v>45312</v>
      </c>
      <c r="F145" s="23" t="n">
        <v>45317</v>
      </c>
      <c r="G145" s="24" t="n">
        <v>5</v>
      </c>
      <c r="H145" s="77" t="e">
        <f aca="false">#DIV/0!</f>
        <v>#DIV/0!</v>
      </c>
      <c r="I145" s="77" t="e">
        <f aca="false">#DIV/0!</f>
        <v>#DIV/0!</v>
      </c>
      <c r="J145" s="269" t="s">
        <v>681</v>
      </c>
      <c r="K145" s="27" t="n">
        <v>20000</v>
      </c>
      <c r="L145" s="27" t="n">
        <v>26000</v>
      </c>
      <c r="M145" s="45"/>
      <c r="N145" s="29" t="n">
        <v>26000</v>
      </c>
      <c r="O145" s="29" t="n">
        <v>26000</v>
      </c>
      <c r="P145" s="27" t="n">
        <v>0</v>
      </c>
      <c r="Q145" s="263" t="n">
        <v>45313</v>
      </c>
    </row>
    <row r="146" customFormat="false" ht="42.5" hidden="false" customHeight="false" outlineLevel="0" collapsed="false">
      <c r="A146" s="20" t="n">
        <v>2275</v>
      </c>
      <c r="B146" s="22" t="s">
        <v>718</v>
      </c>
      <c r="C146" s="22" t="s">
        <v>680</v>
      </c>
      <c r="D146" s="22"/>
      <c r="E146" s="23" t="n">
        <v>45198</v>
      </c>
      <c r="F146" s="23" t="n">
        <v>45300</v>
      </c>
      <c r="G146" s="24" t="n">
        <v>72</v>
      </c>
      <c r="H146" s="77" t="n">
        <v>72</v>
      </c>
      <c r="I146" s="77" t="n">
        <v>0</v>
      </c>
      <c r="J146" s="22" t="s">
        <v>679</v>
      </c>
      <c r="K146" s="30" t="n">
        <v>20000</v>
      </c>
      <c r="L146" s="30" t="n">
        <v>43200</v>
      </c>
      <c r="M146" s="28" t="n">
        <v>3000</v>
      </c>
      <c r="N146" s="29" t="n">
        <v>4200</v>
      </c>
      <c r="O146" s="29" t="n">
        <v>43200</v>
      </c>
      <c r="P146" s="27" t="n">
        <v>0</v>
      </c>
      <c r="Q146" s="263" t="n">
        <v>45313</v>
      </c>
    </row>
    <row r="147" customFormat="false" ht="26.1" hidden="false" customHeight="false" outlineLevel="0" collapsed="false">
      <c r="A147" s="20" t="n">
        <v>2040</v>
      </c>
      <c r="B147" s="22" t="s">
        <v>405</v>
      </c>
      <c r="C147" s="22" t="s">
        <v>812</v>
      </c>
      <c r="D147" s="22"/>
      <c r="E147" s="23" t="n">
        <v>45017</v>
      </c>
      <c r="F147" s="23" t="n">
        <v>45310</v>
      </c>
      <c r="G147" s="24" t="n">
        <v>210</v>
      </c>
      <c r="H147" s="77" t="n">
        <v>200</v>
      </c>
      <c r="I147" s="77" t="n">
        <v>10</v>
      </c>
      <c r="J147" s="74" t="s">
        <v>813</v>
      </c>
      <c r="K147" s="27" t="n">
        <v>100000</v>
      </c>
      <c r="L147" s="27" t="n">
        <v>250000</v>
      </c>
      <c r="M147" s="45" t="n">
        <v>6250</v>
      </c>
      <c r="N147" s="29"/>
      <c r="O147" s="29" t="n">
        <v>250000</v>
      </c>
      <c r="P147" s="27" t="n">
        <v>0</v>
      </c>
      <c r="Q147" s="263" t="n">
        <v>45313</v>
      </c>
    </row>
    <row r="148" customFormat="false" ht="42.5" hidden="false" customHeight="false" outlineLevel="0" collapsed="false">
      <c r="A148" s="20" t="n">
        <v>2303</v>
      </c>
      <c r="B148" s="22" t="s">
        <v>409</v>
      </c>
      <c r="C148" s="22" t="s">
        <v>410</v>
      </c>
      <c r="D148" s="22" t="n">
        <v>29201110</v>
      </c>
      <c r="E148" s="23" t="n">
        <v>45219</v>
      </c>
      <c r="F148" s="23" t="n">
        <v>45321</v>
      </c>
      <c r="G148" s="24" t="n">
        <v>72</v>
      </c>
      <c r="H148" s="77" t="n">
        <v>72</v>
      </c>
      <c r="I148" s="77" t="n">
        <v>0</v>
      </c>
      <c r="J148" s="22" t="s">
        <v>675</v>
      </c>
      <c r="K148" s="27" t="n">
        <v>30000</v>
      </c>
      <c r="L148" s="27" t="n">
        <v>64800</v>
      </c>
      <c r="M148" s="45" t="n">
        <v>4500</v>
      </c>
      <c r="N148" s="29" t="n">
        <v>10800</v>
      </c>
      <c r="O148" s="29" t="n">
        <v>64800</v>
      </c>
      <c r="P148" s="27" t="n">
        <v>0</v>
      </c>
      <c r="Q148" s="263" t="n">
        <v>45313</v>
      </c>
    </row>
    <row r="149" customFormat="false" ht="42.5" hidden="false" customHeight="false" outlineLevel="0" collapsed="false">
      <c r="A149" s="20" t="n">
        <v>2302</v>
      </c>
      <c r="B149" s="22" t="s">
        <v>814</v>
      </c>
      <c r="C149" s="22" t="s">
        <v>470</v>
      </c>
      <c r="D149" s="22" t="s">
        <v>471</v>
      </c>
      <c r="E149" s="23" t="n">
        <v>45218</v>
      </c>
      <c r="F149" s="42" t="n">
        <v>45320</v>
      </c>
      <c r="G149" s="24" t="n">
        <v>72</v>
      </c>
      <c r="H149" s="77" t="n">
        <v>72</v>
      </c>
      <c r="I149" s="77" t="n">
        <v>0</v>
      </c>
      <c r="J149" s="22" t="s">
        <v>675</v>
      </c>
      <c r="K149" s="27" t="n">
        <v>30000</v>
      </c>
      <c r="L149" s="27" t="n">
        <v>64800</v>
      </c>
      <c r="M149" s="45" t="n">
        <v>4500</v>
      </c>
      <c r="N149" s="29" t="n">
        <v>6300</v>
      </c>
      <c r="O149" s="29" t="n">
        <v>64800</v>
      </c>
      <c r="P149" s="27" t="n">
        <v>0</v>
      </c>
      <c r="Q149" s="263" t="n">
        <v>45313</v>
      </c>
    </row>
    <row r="150" customFormat="false" ht="42.5" hidden="false" customHeight="false" outlineLevel="0" collapsed="false">
      <c r="A150" s="20" t="n">
        <v>2299</v>
      </c>
      <c r="B150" s="22" t="s">
        <v>815</v>
      </c>
      <c r="C150" s="22" t="s">
        <v>816</v>
      </c>
      <c r="D150" s="22" t="n">
        <v>24172612</v>
      </c>
      <c r="E150" s="23" t="n">
        <v>45216</v>
      </c>
      <c r="F150" s="23" t="n">
        <v>45316</v>
      </c>
      <c r="G150" s="24" t="n">
        <v>72</v>
      </c>
      <c r="H150" s="77" t="n">
        <v>72</v>
      </c>
      <c r="I150" s="77" t="n">
        <v>0</v>
      </c>
      <c r="J150" s="22" t="s">
        <v>679</v>
      </c>
      <c r="K150" s="27" t="n">
        <v>20000</v>
      </c>
      <c r="L150" s="27" t="n">
        <v>43200</v>
      </c>
      <c r="M150" s="45" t="n">
        <v>3000</v>
      </c>
      <c r="N150" s="29" t="n">
        <v>7200</v>
      </c>
      <c r="O150" s="29" t="n">
        <v>43200</v>
      </c>
      <c r="P150" s="27" t="n">
        <v>0</v>
      </c>
      <c r="Q150" s="263" t="n">
        <v>45313</v>
      </c>
    </row>
    <row r="151" customFormat="false" ht="34.3" hidden="false" customHeight="false" outlineLevel="0" collapsed="false">
      <c r="A151" s="20" t="n">
        <v>2225</v>
      </c>
      <c r="B151" s="22" t="s">
        <v>817</v>
      </c>
      <c r="C151" s="22" t="s">
        <v>533</v>
      </c>
      <c r="D151" s="22"/>
      <c r="E151" s="23" t="n">
        <v>45152</v>
      </c>
      <c r="F151" s="23" t="n">
        <v>45252</v>
      </c>
      <c r="G151" s="24" t="n">
        <v>72</v>
      </c>
      <c r="H151" s="77" t="n">
        <v>72.7777777777778</v>
      </c>
      <c r="I151" s="77" t="n">
        <v>-0.777777777777772</v>
      </c>
      <c r="J151" s="22" t="s">
        <v>675</v>
      </c>
      <c r="K151" s="30" t="n">
        <v>30000</v>
      </c>
      <c r="L151" s="30" t="n">
        <v>64800</v>
      </c>
      <c r="M151" s="45" t="n">
        <v>4500</v>
      </c>
      <c r="N151" s="29" t="n">
        <v>9000</v>
      </c>
      <c r="O151" s="29" t="n">
        <v>65500</v>
      </c>
      <c r="P151" s="27" t="n">
        <v>-700</v>
      </c>
      <c r="Q151" s="263" t="n">
        <v>45313</v>
      </c>
    </row>
    <row r="152" customFormat="false" ht="26.1" hidden="false" customHeight="false" outlineLevel="0" collapsed="false">
      <c r="A152" s="20" t="n">
        <v>2263</v>
      </c>
      <c r="B152" s="22" t="s">
        <v>818</v>
      </c>
      <c r="C152" s="22"/>
      <c r="D152" s="22"/>
      <c r="E152" s="23" t="n">
        <v>45194</v>
      </c>
      <c r="F152" s="23" t="n">
        <v>45294</v>
      </c>
      <c r="G152" s="24" t="n">
        <v>72</v>
      </c>
      <c r="H152" s="77" t="n">
        <v>72.6666666666667</v>
      </c>
      <c r="I152" s="77" t="n">
        <v>-0.666666666666671</v>
      </c>
      <c r="J152" s="22" t="s">
        <v>703</v>
      </c>
      <c r="K152" s="27" t="n">
        <v>25000</v>
      </c>
      <c r="L152" s="27" t="n">
        <v>54000</v>
      </c>
      <c r="M152" s="45" t="n">
        <v>3750</v>
      </c>
      <c r="N152" s="29" t="n">
        <v>9500</v>
      </c>
      <c r="O152" s="29" t="n">
        <v>54500</v>
      </c>
      <c r="P152" s="27" t="n">
        <v>-500</v>
      </c>
      <c r="Q152" s="263" t="n">
        <v>45313</v>
      </c>
    </row>
    <row r="153" customFormat="false" ht="26.1" hidden="false" customHeight="false" outlineLevel="0" collapsed="false">
      <c r="A153" s="20" t="n">
        <v>2178</v>
      </c>
      <c r="B153" s="22" t="s">
        <v>334</v>
      </c>
      <c r="C153" s="22" t="s">
        <v>725</v>
      </c>
      <c r="D153" s="22"/>
      <c r="E153" s="23" t="n">
        <v>45133</v>
      </c>
      <c r="F153" s="23" t="n">
        <v>45331</v>
      </c>
      <c r="G153" s="24" t="n">
        <v>142</v>
      </c>
      <c r="H153" s="77" t="n">
        <v>120</v>
      </c>
      <c r="I153" s="77" t="n">
        <v>22</v>
      </c>
      <c r="J153" s="269" t="s">
        <v>819</v>
      </c>
      <c r="K153" s="30" t="n">
        <v>30000</v>
      </c>
      <c r="L153" s="30" t="n">
        <v>79200</v>
      </c>
      <c r="M153" s="45" t="n">
        <v>3300</v>
      </c>
      <c r="N153" s="29" t="n">
        <v>13200</v>
      </c>
      <c r="O153" s="29" t="n">
        <v>79200</v>
      </c>
      <c r="P153" s="27" t="n">
        <v>0</v>
      </c>
      <c r="Q153" s="263" t="n">
        <v>45320</v>
      </c>
    </row>
    <row r="154" customFormat="false" ht="17.9" hidden="false" customHeight="false" outlineLevel="0" collapsed="false">
      <c r="A154" s="20" t="n">
        <v>2029</v>
      </c>
      <c r="B154" s="22" t="s">
        <v>342</v>
      </c>
      <c r="C154" s="22" t="s">
        <v>343</v>
      </c>
      <c r="D154" s="22"/>
      <c r="E154" s="23" t="n">
        <v>45007</v>
      </c>
      <c r="F154" s="23" t="n">
        <v>45231</v>
      </c>
      <c r="G154" s="24" t="n">
        <v>160</v>
      </c>
      <c r="H154" s="77" t="n">
        <v>320</v>
      </c>
      <c r="I154" s="77" t="n">
        <v>-160</v>
      </c>
      <c r="J154" s="74" t="s">
        <v>820</v>
      </c>
      <c r="K154" s="30" t="n">
        <v>30000</v>
      </c>
      <c r="L154" s="30" t="n">
        <v>87200</v>
      </c>
      <c r="M154" s="28" t="n">
        <v>1362.5</v>
      </c>
      <c r="N154" s="29" t="n">
        <v>7000</v>
      </c>
      <c r="O154" s="29" t="n">
        <v>87200</v>
      </c>
      <c r="P154" s="27" t="n">
        <v>0</v>
      </c>
      <c r="Q154" s="263" t="n">
        <v>45320</v>
      </c>
    </row>
    <row r="155" customFormat="false" ht="34.3" hidden="false" customHeight="false" outlineLevel="0" collapsed="false">
      <c r="A155" s="20" t="n">
        <v>2445</v>
      </c>
      <c r="B155" s="22" t="s">
        <v>735</v>
      </c>
      <c r="C155" s="22" t="s">
        <v>680</v>
      </c>
      <c r="D155" s="22"/>
      <c r="E155" s="23" t="n">
        <v>45318</v>
      </c>
      <c r="F155" s="23" t="n">
        <v>45324</v>
      </c>
      <c r="G155" s="24" t="n">
        <v>5</v>
      </c>
      <c r="H155" s="77" t="e">
        <f aca="false">#DIV/0!</f>
        <v>#DIV/0!</v>
      </c>
      <c r="I155" s="77" t="e">
        <f aca="false">#DIV/0!</f>
        <v>#DIV/0!</v>
      </c>
      <c r="J155" s="269" t="s">
        <v>681</v>
      </c>
      <c r="K155" s="30" t="n">
        <v>30000</v>
      </c>
      <c r="L155" s="30" t="n">
        <v>39000</v>
      </c>
      <c r="M155" s="28"/>
      <c r="N155" s="29" t="n">
        <v>39000</v>
      </c>
      <c r="O155" s="29" t="n">
        <v>39000</v>
      </c>
      <c r="P155" s="27" t="n">
        <v>0</v>
      </c>
      <c r="Q155" s="263" t="n">
        <v>45320</v>
      </c>
    </row>
    <row r="156" customFormat="false" ht="17.9" hidden="false" customHeight="false" outlineLevel="0" collapsed="false">
      <c r="A156" s="20" t="n">
        <v>2266</v>
      </c>
      <c r="B156" s="22" t="s">
        <v>393</v>
      </c>
      <c r="C156" s="22"/>
      <c r="D156" s="22"/>
      <c r="E156" s="23" t="n">
        <v>45195</v>
      </c>
      <c r="F156" s="23" t="n">
        <v>45295</v>
      </c>
      <c r="G156" s="24" t="n">
        <v>72</v>
      </c>
      <c r="H156" s="77" t="n">
        <v>72</v>
      </c>
      <c r="I156" s="77" t="n">
        <v>0</v>
      </c>
      <c r="J156" s="22" t="s">
        <v>703</v>
      </c>
      <c r="K156" s="27" t="n">
        <v>25000</v>
      </c>
      <c r="L156" s="27" t="n">
        <v>54000</v>
      </c>
      <c r="M156" s="45" t="n">
        <v>3750</v>
      </c>
      <c r="N156" s="273" t="n">
        <v>1500</v>
      </c>
      <c r="O156" s="29" t="n">
        <v>54000</v>
      </c>
      <c r="P156" s="27" t="n">
        <v>0</v>
      </c>
      <c r="Q156" s="263" t="n">
        <v>45320</v>
      </c>
    </row>
    <row r="157" customFormat="false" ht="34.3" hidden="false" customHeight="false" outlineLevel="0" collapsed="false">
      <c r="A157" s="20" t="n">
        <v>2321</v>
      </c>
      <c r="B157" s="22" t="s">
        <v>414</v>
      </c>
      <c r="C157" s="22" t="s">
        <v>415</v>
      </c>
      <c r="D157" s="22"/>
      <c r="E157" s="23" t="n">
        <v>45220</v>
      </c>
      <c r="F157" s="23" t="n">
        <v>45317</v>
      </c>
      <c r="G157" s="24" t="n">
        <v>70</v>
      </c>
      <c r="H157" s="77" t="n">
        <v>70</v>
      </c>
      <c r="I157" s="77" t="n">
        <v>0</v>
      </c>
      <c r="J157" s="269" t="s">
        <v>821</v>
      </c>
      <c r="K157" s="27" t="n">
        <v>20000</v>
      </c>
      <c r="L157" s="27" t="n">
        <v>43400</v>
      </c>
      <c r="M157" s="45" t="n">
        <v>3100</v>
      </c>
      <c r="N157" s="29" t="n">
        <v>6200</v>
      </c>
      <c r="O157" s="29" t="n">
        <v>43400</v>
      </c>
      <c r="P157" s="27" t="n">
        <v>0</v>
      </c>
      <c r="Q157" s="263" t="n">
        <v>45320</v>
      </c>
    </row>
    <row r="158" customFormat="false" ht="26.1" hidden="false" customHeight="false" outlineLevel="0" collapsed="false">
      <c r="A158" s="20" t="n">
        <v>2397</v>
      </c>
      <c r="B158" s="22" t="s">
        <v>684</v>
      </c>
      <c r="C158" s="22" t="s">
        <v>685</v>
      </c>
      <c r="D158" s="22"/>
      <c r="E158" s="23" t="n">
        <v>45293</v>
      </c>
      <c r="F158" s="23" t="n">
        <v>45321</v>
      </c>
      <c r="G158" s="24" t="n">
        <v>20</v>
      </c>
      <c r="H158" s="77" t="e">
        <f aca="false">#DIV/0!</f>
        <v>#DIV/0!</v>
      </c>
      <c r="I158" s="77" t="e">
        <f aca="false">#DIV/0!</f>
        <v>#DIV/0!</v>
      </c>
      <c r="J158" s="269" t="s">
        <v>681</v>
      </c>
      <c r="K158" s="27" t="n">
        <v>40000</v>
      </c>
      <c r="L158" s="27" t="n">
        <v>60000</v>
      </c>
      <c r="M158" s="45"/>
      <c r="N158" s="29" t="n">
        <v>60000</v>
      </c>
      <c r="O158" s="29" t="n">
        <v>60000</v>
      </c>
      <c r="P158" s="27" t="n">
        <v>0</v>
      </c>
      <c r="Q158" s="263" t="n">
        <v>45320</v>
      </c>
    </row>
    <row r="159" customFormat="false" ht="34.3" hidden="false" customHeight="false" outlineLevel="0" collapsed="false">
      <c r="A159" s="20" t="n">
        <v>2296</v>
      </c>
      <c r="B159" s="22" t="s">
        <v>545</v>
      </c>
      <c r="C159" s="22" t="s">
        <v>546</v>
      </c>
      <c r="D159" s="22" t="n">
        <v>35869349</v>
      </c>
      <c r="E159" s="23" t="n">
        <v>45213</v>
      </c>
      <c r="F159" s="23" t="n">
        <v>45314</v>
      </c>
      <c r="G159" s="24" t="n">
        <v>72</v>
      </c>
      <c r="H159" s="77" t="n">
        <v>72</v>
      </c>
      <c r="I159" s="77" t="n">
        <v>0</v>
      </c>
      <c r="J159" s="22" t="s">
        <v>333</v>
      </c>
      <c r="K159" s="30" t="n">
        <v>50000</v>
      </c>
      <c r="L159" s="30" t="n">
        <v>108000</v>
      </c>
      <c r="M159" s="28" t="n">
        <v>7500</v>
      </c>
      <c r="N159" s="29" t="n">
        <v>13000</v>
      </c>
      <c r="O159" s="29" t="n">
        <v>108000</v>
      </c>
      <c r="P159" s="27" t="n">
        <v>0</v>
      </c>
      <c r="Q159" s="263" t="n">
        <v>45320</v>
      </c>
    </row>
    <row r="160" customFormat="false" ht="17.9" hidden="false" customHeight="false" outlineLevel="0" collapsed="false">
      <c r="A160" s="20" t="n">
        <v>2448</v>
      </c>
      <c r="B160" s="22" t="s">
        <v>200</v>
      </c>
      <c r="C160" s="22"/>
      <c r="D160" s="22"/>
      <c r="E160" s="23" t="n">
        <v>45320</v>
      </c>
      <c r="F160" s="23" t="n">
        <v>45327</v>
      </c>
      <c r="G160" s="24" t="n">
        <v>5</v>
      </c>
      <c r="H160" s="77" t="e">
        <f aca="false">#DIV/0!</f>
        <v>#DIV/0!</v>
      </c>
      <c r="I160" s="77" t="e">
        <f aca="false">#DIV/0!</f>
        <v>#DIV/0!</v>
      </c>
      <c r="J160" s="269" t="s">
        <v>681</v>
      </c>
      <c r="K160" s="30" t="n">
        <v>5000</v>
      </c>
      <c r="L160" s="30" t="n">
        <v>5750</v>
      </c>
      <c r="M160" s="28"/>
      <c r="N160" s="29" t="n">
        <v>5750</v>
      </c>
      <c r="O160" s="29" t="n">
        <v>5750</v>
      </c>
      <c r="P160" s="30" t="n">
        <v>0</v>
      </c>
      <c r="Q160" s="263" t="n">
        <v>45327</v>
      </c>
    </row>
    <row r="161" customFormat="false" ht="34.3" hidden="false" customHeight="false" outlineLevel="0" collapsed="false">
      <c r="A161" s="20" t="n">
        <v>2385</v>
      </c>
      <c r="B161" s="22" t="s">
        <v>209</v>
      </c>
      <c r="C161" s="22" t="s">
        <v>210</v>
      </c>
      <c r="D161" s="22"/>
      <c r="E161" s="23" t="n">
        <v>45282</v>
      </c>
      <c r="F161" s="23" t="n">
        <v>45324</v>
      </c>
      <c r="G161" s="24" t="n">
        <v>30</v>
      </c>
      <c r="H161" s="77" t="e">
        <f aca="false">#DIV/0!</f>
        <v>#DIV/0!</v>
      </c>
      <c r="I161" s="77" t="e">
        <f aca="false">#DIV/0!</f>
        <v>#DIV/0!</v>
      </c>
      <c r="J161" s="269" t="s">
        <v>822</v>
      </c>
      <c r="K161" s="30" t="n">
        <v>20000</v>
      </c>
      <c r="L161" s="30" t="n">
        <v>34000</v>
      </c>
      <c r="M161" s="28"/>
      <c r="N161" s="40" t="n">
        <v>17000</v>
      </c>
      <c r="O161" s="29" t="n">
        <v>34000</v>
      </c>
      <c r="P161" s="27" t="n">
        <v>0</v>
      </c>
      <c r="Q161" s="263" t="n">
        <v>45327</v>
      </c>
    </row>
    <row r="162" customFormat="false" ht="26.1" hidden="false" customHeight="false" outlineLevel="0" collapsed="false">
      <c r="A162" s="20" t="n">
        <v>2444</v>
      </c>
      <c r="B162" s="22" t="s">
        <v>723</v>
      </c>
      <c r="C162" s="22" t="s">
        <v>809</v>
      </c>
      <c r="D162" s="22"/>
      <c r="E162" s="23" t="n">
        <v>45318</v>
      </c>
      <c r="F162" s="23" t="n">
        <v>45324</v>
      </c>
      <c r="G162" s="24" t="n">
        <v>5</v>
      </c>
      <c r="H162" s="77" t="e">
        <f aca="false">#DIV/0!</f>
        <v>#DIV/0!</v>
      </c>
      <c r="I162" s="77" t="e">
        <f aca="false">#DIV/0!</f>
        <v>#DIV/0!</v>
      </c>
      <c r="J162" s="269" t="s">
        <v>681</v>
      </c>
      <c r="K162" s="27" t="n">
        <v>50000</v>
      </c>
      <c r="L162" s="27" t="n">
        <v>75000</v>
      </c>
      <c r="M162" s="45"/>
      <c r="N162" s="60" t="n">
        <v>75000</v>
      </c>
      <c r="O162" s="29" t="n">
        <v>75000</v>
      </c>
      <c r="P162" s="27" t="n">
        <v>0</v>
      </c>
      <c r="Q162" s="263" t="n">
        <v>45327</v>
      </c>
    </row>
    <row r="163" customFormat="false" ht="26.1" hidden="false" customHeight="false" outlineLevel="0" collapsed="false">
      <c r="A163" s="20" t="n">
        <v>2201</v>
      </c>
      <c r="B163" s="22" t="s">
        <v>695</v>
      </c>
      <c r="C163" s="22" t="s">
        <v>217</v>
      </c>
      <c r="D163" s="22" t="s">
        <v>218</v>
      </c>
      <c r="E163" s="23" t="n">
        <v>45148</v>
      </c>
      <c r="F163" s="23" t="n">
        <v>45301</v>
      </c>
      <c r="G163" s="24" t="n">
        <v>109</v>
      </c>
      <c r="H163" s="77" t="n">
        <v>100</v>
      </c>
      <c r="I163" s="77" t="n">
        <v>9</v>
      </c>
      <c r="J163" s="269" t="s">
        <v>823</v>
      </c>
      <c r="K163" s="30" t="n">
        <v>50000</v>
      </c>
      <c r="L163" s="30" t="n">
        <v>108000</v>
      </c>
      <c r="M163" s="28" t="n">
        <v>5400</v>
      </c>
      <c r="N163" s="29" t="n">
        <v>1300</v>
      </c>
      <c r="O163" s="29" t="n">
        <v>108000</v>
      </c>
      <c r="P163" s="27" t="n">
        <v>0</v>
      </c>
      <c r="Q163" s="263" t="n">
        <v>45327</v>
      </c>
    </row>
    <row r="164" customFormat="false" ht="26.1" hidden="false" customHeight="false" outlineLevel="0" collapsed="false">
      <c r="A164" s="20" t="n">
        <v>2348</v>
      </c>
      <c r="B164" s="22" t="s">
        <v>824</v>
      </c>
      <c r="C164" s="22" t="s">
        <v>252</v>
      </c>
      <c r="D164" s="22"/>
      <c r="E164" s="23" t="n">
        <v>45255</v>
      </c>
      <c r="F164" s="23" t="n">
        <v>45356</v>
      </c>
      <c r="G164" s="24" t="n">
        <v>72</v>
      </c>
      <c r="H164" s="77" t="n">
        <v>72</v>
      </c>
      <c r="I164" s="77" t="n">
        <v>0</v>
      </c>
      <c r="J164" s="22" t="s">
        <v>675</v>
      </c>
      <c r="K164" s="30" t="n">
        <v>30000</v>
      </c>
      <c r="L164" s="30" t="n">
        <v>64800</v>
      </c>
      <c r="M164" s="28" t="n">
        <v>4500</v>
      </c>
      <c r="N164" s="29" t="n">
        <v>1800</v>
      </c>
      <c r="O164" s="29" t="n">
        <v>64800</v>
      </c>
      <c r="P164" s="27" t="n">
        <v>0</v>
      </c>
      <c r="Q164" s="263" t="n">
        <v>45327</v>
      </c>
    </row>
    <row r="165" customFormat="false" ht="26.1" hidden="false" customHeight="false" outlineLevel="0" collapsed="false">
      <c r="A165" s="20" t="n">
        <v>2255</v>
      </c>
      <c r="B165" s="22" t="s">
        <v>280</v>
      </c>
      <c r="C165" s="22" t="s">
        <v>699</v>
      </c>
      <c r="D165" s="22"/>
      <c r="E165" s="23" t="n">
        <v>45184</v>
      </c>
      <c r="F165" s="23" t="n">
        <v>45362</v>
      </c>
      <c r="G165" s="24" t="n">
        <v>126</v>
      </c>
      <c r="H165" s="77" t="n">
        <v>120</v>
      </c>
      <c r="I165" s="77" t="n">
        <v>6</v>
      </c>
      <c r="J165" s="269" t="s">
        <v>825</v>
      </c>
      <c r="K165" s="27" t="n">
        <v>80000</v>
      </c>
      <c r="L165" s="27" t="n">
        <v>211200</v>
      </c>
      <c r="M165" s="45" t="n">
        <v>8800</v>
      </c>
      <c r="N165" s="29" t="n">
        <v>105800</v>
      </c>
      <c r="O165" s="29" t="n">
        <v>211200</v>
      </c>
      <c r="P165" s="27" t="n">
        <v>0</v>
      </c>
      <c r="Q165" s="263" t="n">
        <v>45327</v>
      </c>
    </row>
    <row r="166" customFormat="false" ht="26.1" hidden="false" customHeight="false" outlineLevel="0" collapsed="false">
      <c r="A166" s="20" t="n">
        <v>2308</v>
      </c>
      <c r="B166" s="22" t="s">
        <v>280</v>
      </c>
      <c r="C166" s="22" t="s">
        <v>699</v>
      </c>
      <c r="D166" s="22"/>
      <c r="E166" s="23" t="n">
        <v>45223</v>
      </c>
      <c r="F166" s="23" t="n">
        <v>45393</v>
      </c>
      <c r="G166" s="24" t="n">
        <v>122</v>
      </c>
      <c r="H166" s="77" t="n">
        <v>122.015097827762</v>
      </c>
      <c r="I166" s="77" t="n">
        <v>-0.0150978277615224</v>
      </c>
      <c r="J166" s="269" t="s">
        <v>826</v>
      </c>
      <c r="K166" s="30" t="n">
        <v>60000</v>
      </c>
      <c r="L166" s="30" t="n">
        <v>158400</v>
      </c>
      <c r="M166" s="28" t="n">
        <v>6491</v>
      </c>
      <c r="N166" s="29" t="n">
        <v>79200</v>
      </c>
      <c r="O166" s="29" t="n">
        <v>158400</v>
      </c>
      <c r="P166" s="27" t="n">
        <v>0</v>
      </c>
      <c r="Q166" s="263" t="n">
        <v>45327</v>
      </c>
    </row>
    <row r="167" customFormat="false" ht="26.1" hidden="false" customHeight="false" outlineLevel="0" collapsed="false">
      <c r="A167" s="20" t="n">
        <v>2300</v>
      </c>
      <c r="B167" s="22" t="s">
        <v>589</v>
      </c>
      <c r="C167" s="22" t="s">
        <v>590</v>
      </c>
      <c r="D167" s="22" t="s">
        <v>311</v>
      </c>
      <c r="E167" s="23" t="n">
        <v>45216</v>
      </c>
      <c r="F167" s="23" t="n">
        <v>45328</v>
      </c>
      <c r="G167" s="24" t="n">
        <v>80</v>
      </c>
      <c r="H167" s="77" t="n">
        <v>85.5555555555556</v>
      </c>
      <c r="I167" s="77" t="n">
        <v>-5.55555555555556</v>
      </c>
      <c r="J167" s="269" t="s">
        <v>827</v>
      </c>
      <c r="K167" s="27" t="n">
        <v>20000</v>
      </c>
      <c r="L167" s="27" t="n">
        <v>46200</v>
      </c>
      <c r="M167" s="45" t="n">
        <v>2700</v>
      </c>
      <c r="N167" s="29" t="n">
        <v>10800</v>
      </c>
      <c r="O167" s="29" t="n">
        <v>46200</v>
      </c>
      <c r="P167" s="27" t="n">
        <v>0</v>
      </c>
      <c r="Q167" s="263" t="n">
        <v>45327</v>
      </c>
    </row>
    <row r="168" customFormat="false" ht="26.1" hidden="false" customHeight="false" outlineLevel="0" collapsed="false">
      <c r="A168" s="20" t="n">
        <v>2443</v>
      </c>
      <c r="B168" s="22" t="s">
        <v>589</v>
      </c>
      <c r="C168" s="22" t="s">
        <v>590</v>
      </c>
      <c r="D168" s="22" t="s">
        <v>311</v>
      </c>
      <c r="E168" s="23" t="n">
        <v>45317</v>
      </c>
      <c r="F168" s="23" t="n">
        <v>45331</v>
      </c>
      <c r="G168" s="24" t="n">
        <v>10</v>
      </c>
      <c r="H168" s="77" t="e">
        <f aca="false">#VALUE!</f>
        <v>#VALUE!</v>
      </c>
      <c r="I168" s="77" t="e">
        <f aca="false">#VALUE!</f>
        <v>#VALUE!</v>
      </c>
      <c r="J168" s="269" t="s">
        <v>681</v>
      </c>
      <c r="K168" s="27" t="n">
        <v>20000</v>
      </c>
      <c r="L168" s="27" t="n">
        <v>29000</v>
      </c>
      <c r="M168" s="45" t="s">
        <v>184</v>
      </c>
      <c r="N168" s="29" t="n">
        <v>29000</v>
      </c>
      <c r="O168" s="29" t="n">
        <v>29000</v>
      </c>
      <c r="P168" s="27" t="n">
        <v>0</v>
      </c>
      <c r="Q168" s="263" t="n">
        <v>45327</v>
      </c>
    </row>
    <row r="169" customFormat="false" ht="34.3" hidden="false" customHeight="false" outlineLevel="0" collapsed="false">
      <c r="A169" s="20" t="n">
        <v>2273</v>
      </c>
      <c r="B169" s="22" t="s">
        <v>382</v>
      </c>
      <c r="C169" s="22" t="s">
        <v>383</v>
      </c>
      <c r="D169" s="22"/>
      <c r="E169" s="23" t="n">
        <v>45198</v>
      </c>
      <c r="F169" s="23" t="n">
        <v>45300</v>
      </c>
      <c r="G169" s="24" t="n">
        <v>72</v>
      </c>
      <c r="H169" s="77" t="n">
        <v>72</v>
      </c>
      <c r="I169" s="77" t="n">
        <v>0</v>
      </c>
      <c r="J169" s="22" t="s">
        <v>560</v>
      </c>
      <c r="K169" s="30" t="n">
        <v>10000</v>
      </c>
      <c r="L169" s="30" t="n">
        <v>21600</v>
      </c>
      <c r="M169" s="28" t="n">
        <v>1500</v>
      </c>
      <c r="N169" s="29" t="n">
        <v>4100</v>
      </c>
      <c r="O169" s="29" t="n">
        <v>21600</v>
      </c>
      <c r="P169" s="27" t="n">
        <v>0</v>
      </c>
      <c r="Q169" s="263" t="n">
        <v>45327</v>
      </c>
    </row>
    <row r="170" customFormat="false" ht="42.5" hidden="false" customHeight="false" outlineLevel="0" collapsed="false">
      <c r="A170" s="20" t="n">
        <v>2138</v>
      </c>
      <c r="B170" s="22" t="s">
        <v>763</v>
      </c>
      <c r="C170" s="22" t="s">
        <v>389</v>
      </c>
      <c r="D170" s="22"/>
      <c r="E170" s="23" t="n">
        <v>45103</v>
      </c>
      <c r="F170" s="23" t="n">
        <v>45355</v>
      </c>
      <c r="G170" s="24" t="n">
        <v>180</v>
      </c>
      <c r="H170" s="77" t="n">
        <v>164.62</v>
      </c>
      <c r="I170" s="77" t="n">
        <v>15.38</v>
      </c>
      <c r="J170" s="269" t="s">
        <v>828</v>
      </c>
      <c r="K170" s="27" t="n">
        <v>40000</v>
      </c>
      <c r="L170" s="27" t="n">
        <v>120000</v>
      </c>
      <c r="M170" s="45" t="n">
        <v>3750</v>
      </c>
      <c r="N170" s="29" t="n">
        <v>7835</v>
      </c>
      <c r="O170" s="29" t="n">
        <v>123465</v>
      </c>
      <c r="P170" s="27" t="n">
        <v>-3465</v>
      </c>
      <c r="Q170" s="263" t="n">
        <v>45327</v>
      </c>
    </row>
    <row r="171" customFormat="false" ht="15" hidden="false" customHeight="false" outlineLevel="0" collapsed="false">
      <c r="A171" s="20" t="n">
        <v>2421</v>
      </c>
      <c r="B171" s="22" t="s">
        <v>791</v>
      </c>
      <c r="C171" s="22"/>
      <c r="D171" s="22"/>
      <c r="E171" s="23" t="n">
        <v>45305</v>
      </c>
      <c r="F171" s="23" t="n">
        <v>45331</v>
      </c>
      <c r="G171" s="24" t="n">
        <v>20</v>
      </c>
      <c r="H171" s="77"/>
      <c r="I171" s="77"/>
      <c r="J171" s="22" t="s">
        <v>681</v>
      </c>
      <c r="K171" s="27" t="n">
        <v>10000</v>
      </c>
      <c r="L171" s="27" t="n">
        <v>16000</v>
      </c>
      <c r="M171" s="45"/>
      <c r="N171" s="29" t="n">
        <v>16000</v>
      </c>
      <c r="O171" s="29" t="n">
        <v>16000</v>
      </c>
      <c r="P171" s="27" t="n">
        <v>0</v>
      </c>
      <c r="Q171" s="263" t="n">
        <v>45327</v>
      </c>
    </row>
    <row r="172" customFormat="false" ht="15" hidden="false" customHeight="false" outlineLevel="0" collapsed="false">
      <c r="A172" s="20" t="n">
        <v>2427</v>
      </c>
      <c r="B172" s="22" t="s">
        <v>791</v>
      </c>
      <c r="C172" s="22"/>
      <c r="D172" s="22"/>
      <c r="E172" s="23" t="n">
        <v>45308</v>
      </c>
      <c r="F172" s="23" t="n">
        <v>45330</v>
      </c>
      <c r="G172" s="24" t="n">
        <v>16</v>
      </c>
      <c r="H172" s="77"/>
      <c r="I172" s="77"/>
      <c r="J172" s="22" t="s">
        <v>681</v>
      </c>
      <c r="K172" s="30" t="n">
        <v>5000</v>
      </c>
      <c r="L172" s="30" t="n">
        <v>8000</v>
      </c>
      <c r="M172" s="45"/>
      <c r="N172" s="29" t="n">
        <v>8000</v>
      </c>
      <c r="O172" s="29" t="n">
        <v>8000</v>
      </c>
      <c r="P172" s="27" t="n">
        <v>0</v>
      </c>
      <c r="Q172" s="263" t="n">
        <v>45327</v>
      </c>
    </row>
    <row r="173" customFormat="false" ht="15" hidden="false" customHeight="false" outlineLevel="0" collapsed="false">
      <c r="A173" s="20" t="n">
        <v>2435</v>
      </c>
      <c r="B173" s="22" t="s">
        <v>791</v>
      </c>
      <c r="C173" s="22"/>
      <c r="D173" s="22"/>
      <c r="E173" s="23" t="n">
        <v>45313</v>
      </c>
      <c r="F173" s="23" t="n">
        <v>45330</v>
      </c>
      <c r="G173" s="24" t="n">
        <v>13</v>
      </c>
      <c r="H173" s="77"/>
      <c r="I173" s="77"/>
      <c r="J173" s="22" t="s">
        <v>681</v>
      </c>
      <c r="K173" s="30" t="n">
        <v>10000</v>
      </c>
      <c r="L173" s="30" t="n">
        <v>16000</v>
      </c>
      <c r="M173" s="28"/>
      <c r="N173" s="29" t="n">
        <v>16000</v>
      </c>
      <c r="O173" s="29" t="n">
        <v>16000</v>
      </c>
      <c r="P173" s="27" t="n">
        <v>0</v>
      </c>
      <c r="Q173" s="263" t="n">
        <v>45327</v>
      </c>
    </row>
    <row r="174" customFormat="false" ht="34.3" hidden="false" customHeight="false" outlineLevel="0" collapsed="false">
      <c r="A174" s="20" t="n">
        <v>2169</v>
      </c>
      <c r="B174" s="22" t="s">
        <v>452</v>
      </c>
      <c r="C174" s="22"/>
      <c r="D174" s="22"/>
      <c r="E174" s="23" t="n">
        <v>45126</v>
      </c>
      <c r="F174" s="23" t="n">
        <v>45330</v>
      </c>
      <c r="G174" s="24" t="n">
        <v>146</v>
      </c>
      <c r="H174" s="77" t="n">
        <v>120</v>
      </c>
      <c r="I174" s="77" t="n">
        <v>26</v>
      </c>
      <c r="J174" s="269" t="s">
        <v>829</v>
      </c>
      <c r="K174" s="30" t="n">
        <v>30000</v>
      </c>
      <c r="L174" s="30" t="n">
        <v>60300</v>
      </c>
      <c r="M174" s="45" t="n">
        <v>2512.5</v>
      </c>
      <c r="N174" s="29" t="n">
        <v>10050</v>
      </c>
      <c r="O174" s="29" t="n">
        <v>60300</v>
      </c>
      <c r="P174" s="27" t="n">
        <v>0</v>
      </c>
      <c r="Q174" s="263" t="n">
        <v>45327</v>
      </c>
    </row>
    <row r="175" customFormat="false" ht="17.9" hidden="false" customHeight="false" outlineLevel="0" collapsed="false">
      <c r="A175" s="20" t="n">
        <v>2398</v>
      </c>
      <c r="B175" s="22" t="s">
        <v>457</v>
      </c>
      <c r="C175" s="22"/>
      <c r="D175" s="22"/>
      <c r="E175" s="23" t="n">
        <v>45294</v>
      </c>
      <c r="F175" s="23" t="n">
        <v>45331</v>
      </c>
      <c r="G175" s="24" t="n">
        <v>27</v>
      </c>
      <c r="H175" s="77" t="e">
        <f aca="false">#VALUE!</f>
        <v>#VALUE!</v>
      </c>
      <c r="I175" s="77" t="e">
        <f aca="false">#VALUE!</f>
        <v>#VALUE!</v>
      </c>
      <c r="J175" s="269" t="s">
        <v>681</v>
      </c>
      <c r="K175" s="27" t="n">
        <v>15000</v>
      </c>
      <c r="L175" s="27" t="n">
        <v>22500</v>
      </c>
      <c r="M175" s="45" t="s">
        <v>184</v>
      </c>
      <c r="N175" s="29" t="n">
        <v>22500</v>
      </c>
      <c r="O175" s="29" t="n">
        <v>22500</v>
      </c>
      <c r="P175" s="27" t="n">
        <v>0</v>
      </c>
      <c r="Q175" s="263" t="n">
        <v>45327</v>
      </c>
    </row>
    <row r="176" customFormat="false" ht="26.1" hidden="false" customHeight="false" outlineLevel="0" collapsed="false">
      <c r="A176" s="20" t="n">
        <v>2410</v>
      </c>
      <c r="B176" s="22" t="s">
        <v>688</v>
      </c>
      <c r="C176" s="22"/>
      <c r="D176" s="22"/>
      <c r="E176" s="23" t="n">
        <v>45301</v>
      </c>
      <c r="F176" s="23" t="n">
        <v>45323</v>
      </c>
      <c r="G176" s="24" t="n">
        <v>16</v>
      </c>
      <c r="H176" s="77" t="e">
        <f aca="false">#DIV/0!</f>
        <v>#DIV/0!</v>
      </c>
      <c r="I176" s="77" t="e">
        <f aca="false">#DIV/0!</f>
        <v>#DIV/0!</v>
      </c>
      <c r="J176" s="269" t="s">
        <v>681</v>
      </c>
      <c r="K176" s="30" t="n">
        <v>5000</v>
      </c>
      <c r="L176" s="30" t="n">
        <v>7500</v>
      </c>
      <c r="M176" s="28"/>
      <c r="N176" s="29" t="n">
        <v>8000</v>
      </c>
      <c r="O176" s="29" t="n">
        <v>8000</v>
      </c>
      <c r="P176" s="27" t="n">
        <v>-500</v>
      </c>
      <c r="Q176" s="263" t="n">
        <v>45327</v>
      </c>
    </row>
    <row r="177" customFormat="false" ht="26.1" hidden="false" customHeight="false" outlineLevel="0" collapsed="false">
      <c r="A177" s="20" t="n">
        <v>2287</v>
      </c>
      <c r="B177" s="22" t="s">
        <v>196</v>
      </c>
      <c r="C177" s="22" t="s">
        <v>197</v>
      </c>
      <c r="D177" s="22" t="s">
        <v>749</v>
      </c>
      <c r="E177" s="23" t="n">
        <v>45208</v>
      </c>
      <c r="F177" s="23" t="n">
        <v>45308</v>
      </c>
      <c r="G177" s="24" t="n">
        <v>72</v>
      </c>
      <c r="H177" s="77" t="n">
        <v>72</v>
      </c>
      <c r="I177" s="77" t="n">
        <v>0</v>
      </c>
      <c r="J177" s="22" t="s">
        <v>679</v>
      </c>
      <c r="K177" s="30" t="n">
        <v>20000</v>
      </c>
      <c r="L177" s="30" t="n">
        <v>43200</v>
      </c>
      <c r="M177" s="28" t="n">
        <v>3000</v>
      </c>
      <c r="N177" s="29" t="n">
        <v>4200</v>
      </c>
      <c r="O177" s="29" t="n">
        <v>43200</v>
      </c>
      <c r="P177" s="30" t="n">
        <v>0</v>
      </c>
      <c r="Q177" s="263" t="n">
        <v>45334</v>
      </c>
    </row>
    <row r="178" customFormat="false" ht="26.1" hidden="false" customHeight="false" outlineLevel="0" collapsed="false">
      <c r="A178" s="20" t="n">
        <v>2381</v>
      </c>
      <c r="B178" s="22" t="s">
        <v>196</v>
      </c>
      <c r="C178" s="22" t="s">
        <v>197</v>
      </c>
      <c r="D178" s="22" t="s">
        <v>749</v>
      </c>
      <c r="E178" s="23" t="n">
        <v>45280</v>
      </c>
      <c r="F178" s="23" t="n">
        <v>45380</v>
      </c>
      <c r="G178" s="24" t="n">
        <v>72</v>
      </c>
      <c r="H178" s="77" t="n">
        <v>72.0289855072464</v>
      </c>
      <c r="I178" s="77" t="n">
        <v>-0.0289855072463752</v>
      </c>
      <c r="J178" s="22" t="s">
        <v>679</v>
      </c>
      <c r="K178" s="30" t="n">
        <v>23000</v>
      </c>
      <c r="L178" s="30" t="n">
        <v>49680</v>
      </c>
      <c r="M178" s="28" t="n">
        <v>3450</v>
      </c>
      <c r="N178" s="29" t="n">
        <v>29000</v>
      </c>
      <c r="O178" s="29" t="n">
        <v>49700</v>
      </c>
      <c r="P178" s="30" t="n">
        <v>-20</v>
      </c>
      <c r="Q178" s="263" t="n">
        <v>45334</v>
      </c>
    </row>
    <row r="179" customFormat="false" ht="26.1" hidden="false" customHeight="false" outlineLevel="0" collapsed="false">
      <c r="A179" s="20" t="n">
        <v>2473</v>
      </c>
      <c r="B179" s="22" t="s">
        <v>723</v>
      </c>
      <c r="C179" s="22" t="s">
        <v>809</v>
      </c>
      <c r="D179" s="22"/>
      <c r="E179" s="23" t="n">
        <v>45336</v>
      </c>
      <c r="F179" s="23" t="n">
        <v>45338</v>
      </c>
      <c r="G179" s="24" t="n">
        <v>2</v>
      </c>
      <c r="H179" s="77" t="e">
        <f aca="false">#DIV/0!</f>
        <v>#DIV/0!</v>
      </c>
      <c r="I179" s="77" t="e">
        <f aca="false">#DIV/0!</f>
        <v>#DIV/0!</v>
      </c>
      <c r="J179" s="269" t="s">
        <v>681</v>
      </c>
      <c r="K179" s="30" t="n">
        <v>30000</v>
      </c>
      <c r="L179" s="30" t="n">
        <v>36000</v>
      </c>
      <c r="M179" s="28"/>
      <c r="N179" s="29" t="n">
        <v>36000</v>
      </c>
      <c r="O179" s="29" t="n">
        <v>36000</v>
      </c>
      <c r="P179" s="27" t="n">
        <v>0</v>
      </c>
      <c r="Q179" s="263" t="n">
        <v>45334</v>
      </c>
    </row>
    <row r="180" customFormat="false" ht="83.55" hidden="false" customHeight="false" outlineLevel="0" collapsed="false">
      <c r="A180" s="20" t="n">
        <v>2342</v>
      </c>
      <c r="B180" s="22" t="s">
        <v>802</v>
      </c>
      <c r="C180" s="22" t="s">
        <v>260</v>
      </c>
      <c r="D180" s="22"/>
      <c r="E180" s="23" t="n">
        <v>45253</v>
      </c>
      <c r="F180" s="23" t="n">
        <v>45355</v>
      </c>
      <c r="G180" s="24" t="n">
        <v>72</v>
      </c>
      <c r="H180" s="77" t="n">
        <v>72</v>
      </c>
      <c r="I180" s="77" t="n">
        <v>0</v>
      </c>
      <c r="J180" s="22" t="s">
        <v>468</v>
      </c>
      <c r="K180" s="30" t="n">
        <v>300000</v>
      </c>
      <c r="L180" s="30" t="n">
        <v>648000</v>
      </c>
      <c r="M180" s="28" t="n">
        <v>45000</v>
      </c>
      <c r="N180" s="29" t="n">
        <v>153000</v>
      </c>
      <c r="O180" s="29" t="n">
        <v>648000</v>
      </c>
      <c r="P180" s="27" t="n">
        <v>0</v>
      </c>
      <c r="Q180" s="263" t="n">
        <v>45334</v>
      </c>
    </row>
    <row r="181" customFormat="false" ht="17.9" hidden="false" customHeight="false" outlineLevel="0" collapsed="false">
      <c r="A181" s="20" t="n">
        <v>2129</v>
      </c>
      <c r="B181" s="22" t="s">
        <v>324</v>
      </c>
      <c r="C181" s="22"/>
      <c r="D181" s="22"/>
      <c r="E181" s="23" t="n">
        <v>45092</v>
      </c>
      <c r="F181" s="23" t="n">
        <v>45331</v>
      </c>
      <c r="G181" s="24" t="n">
        <v>171</v>
      </c>
      <c r="H181" s="77" t="n">
        <v>160</v>
      </c>
      <c r="I181" s="77" t="n">
        <v>11</v>
      </c>
      <c r="J181" s="269" t="s">
        <v>830</v>
      </c>
      <c r="K181" s="30" t="n">
        <v>50000</v>
      </c>
      <c r="L181" s="30" t="n">
        <v>135200</v>
      </c>
      <c r="M181" s="28" t="n">
        <v>4225</v>
      </c>
      <c r="N181" s="29" t="n">
        <v>16900</v>
      </c>
      <c r="O181" s="29" t="n">
        <v>135200</v>
      </c>
      <c r="P181" s="27" t="n">
        <v>0</v>
      </c>
      <c r="Q181" s="263" t="n">
        <v>45334</v>
      </c>
    </row>
    <row r="182" customFormat="false" ht="17.9" hidden="false" customHeight="false" outlineLevel="0" collapsed="false">
      <c r="A182" s="20" t="n">
        <v>2446</v>
      </c>
      <c r="B182" s="22" t="s">
        <v>324</v>
      </c>
      <c r="C182" s="22"/>
      <c r="D182" s="22"/>
      <c r="E182" s="281" t="n">
        <v>45319</v>
      </c>
      <c r="F182" s="23" t="n">
        <v>45331</v>
      </c>
      <c r="G182" s="24" t="n">
        <v>10</v>
      </c>
      <c r="H182" s="77" t="e">
        <f aca="false">#VALUE!</f>
        <v>#VALUE!</v>
      </c>
      <c r="I182" s="77" t="e">
        <f aca="false">#VALUE!</f>
        <v>#VALUE!</v>
      </c>
      <c r="J182" s="269" t="s">
        <v>681</v>
      </c>
      <c r="K182" s="30" t="n">
        <v>50000</v>
      </c>
      <c r="L182" s="30" t="n">
        <v>65000</v>
      </c>
      <c r="M182" s="45" t="s">
        <v>184</v>
      </c>
      <c r="N182" s="29" t="n">
        <v>65000</v>
      </c>
      <c r="O182" s="29" t="n">
        <v>65000</v>
      </c>
      <c r="P182" s="27" t="n">
        <v>0</v>
      </c>
      <c r="Q182" s="263" t="n">
        <v>45334</v>
      </c>
    </row>
    <row r="183" customFormat="false" ht="19.4" hidden="false" customHeight="false" outlineLevel="0" collapsed="false">
      <c r="A183" s="20" t="n">
        <v>2307</v>
      </c>
      <c r="B183" s="34" t="s">
        <v>701</v>
      </c>
      <c r="C183" s="34" t="s">
        <v>702</v>
      </c>
      <c r="D183" s="282" t="n">
        <v>12876451</v>
      </c>
      <c r="E183" s="23" t="n">
        <v>45222</v>
      </c>
      <c r="F183" s="42" t="n">
        <v>45322</v>
      </c>
      <c r="G183" s="24" t="n">
        <v>72</v>
      </c>
      <c r="H183" s="77" t="n">
        <v>72.2222222222222</v>
      </c>
      <c r="I183" s="77" t="n">
        <v>-0.222222222222229</v>
      </c>
      <c r="J183" s="22" t="s">
        <v>716</v>
      </c>
      <c r="K183" s="30" t="n">
        <v>15000</v>
      </c>
      <c r="L183" s="30" t="n">
        <v>32400</v>
      </c>
      <c r="M183" s="28" t="n">
        <v>2250</v>
      </c>
      <c r="N183" s="29" t="n">
        <v>5000</v>
      </c>
      <c r="O183" s="29" t="n">
        <v>32500</v>
      </c>
      <c r="P183" s="27" t="n">
        <v>-100</v>
      </c>
      <c r="Q183" s="263" t="n">
        <v>45334</v>
      </c>
    </row>
    <row r="184" customFormat="false" ht="17.9" hidden="false" customHeight="false" outlineLevel="0" collapsed="false">
      <c r="A184" s="20" t="n">
        <v>2465</v>
      </c>
      <c r="B184" s="22" t="s">
        <v>363</v>
      </c>
      <c r="C184" s="22"/>
      <c r="D184" s="22"/>
      <c r="E184" s="23" t="n">
        <v>45330</v>
      </c>
      <c r="F184" s="23" t="n">
        <v>45337</v>
      </c>
      <c r="G184" s="24" t="n">
        <v>5</v>
      </c>
      <c r="H184" s="77" t="e">
        <f aca="false">#DIV/0!</f>
        <v>#DIV/0!</v>
      </c>
      <c r="I184" s="77" t="e">
        <f aca="false">#DIV/0!</f>
        <v>#DIV/0!</v>
      </c>
      <c r="J184" s="22" t="s">
        <v>681</v>
      </c>
      <c r="K184" s="27" t="n">
        <v>20000</v>
      </c>
      <c r="L184" s="27" t="n">
        <v>26000</v>
      </c>
      <c r="M184" s="45"/>
      <c r="N184" s="29" t="n">
        <v>26000</v>
      </c>
      <c r="O184" s="29" t="n">
        <v>26000</v>
      </c>
      <c r="P184" s="27" t="n">
        <v>0</v>
      </c>
      <c r="Q184" s="263" t="n">
        <v>45334</v>
      </c>
    </row>
    <row r="185" customFormat="false" ht="42.5" hidden="false" customHeight="false" outlineLevel="0" collapsed="false">
      <c r="A185" s="20" t="n">
        <v>2249</v>
      </c>
      <c r="B185" s="22" t="s">
        <v>831</v>
      </c>
      <c r="C185" s="22" t="s">
        <v>832</v>
      </c>
      <c r="D185" s="22"/>
      <c r="E185" s="23" t="n">
        <v>45181</v>
      </c>
      <c r="F185" s="23" t="n">
        <v>45335</v>
      </c>
      <c r="G185" s="24" t="n">
        <v>110</v>
      </c>
      <c r="H185" s="77" t="n">
        <v>110</v>
      </c>
      <c r="I185" s="77" t="n">
        <v>0</v>
      </c>
      <c r="J185" s="22" t="s">
        <v>833</v>
      </c>
      <c r="K185" s="30" t="n">
        <v>70000</v>
      </c>
      <c r="L185" s="30" t="n">
        <v>184800</v>
      </c>
      <c r="M185" s="28" t="n">
        <v>8400</v>
      </c>
      <c r="N185" s="29" t="n">
        <v>16800</v>
      </c>
      <c r="O185" s="29" t="n">
        <v>184800</v>
      </c>
      <c r="P185" s="27" t="n">
        <v>0</v>
      </c>
      <c r="Q185" s="263" t="n">
        <v>45334</v>
      </c>
    </row>
    <row r="186" customFormat="false" ht="42.5" hidden="false" customHeight="false" outlineLevel="0" collapsed="false">
      <c r="A186" s="20" t="n">
        <v>2172</v>
      </c>
      <c r="B186" s="22" t="s">
        <v>834</v>
      </c>
      <c r="C186" s="22" t="s">
        <v>714</v>
      </c>
      <c r="D186" s="22"/>
      <c r="E186" s="23" t="n">
        <v>45129</v>
      </c>
      <c r="F186" s="23" t="n">
        <v>45230</v>
      </c>
      <c r="G186" s="37" t="n">
        <v>72</v>
      </c>
      <c r="H186" s="77" t="n">
        <v>100</v>
      </c>
      <c r="I186" s="77" t="n">
        <v>-28</v>
      </c>
      <c r="J186" s="22" t="s">
        <v>679</v>
      </c>
      <c r="K186" s="30" t="n">
        <v>20000</v>
      </c>
      <c r="L186" s="30" t="n">
        <v>60000</v>
      </c>
      <c r="M186" s="28" t="n">
        <v>3000</v>
      </c>
      <c r="N186" s="29" t="n">
        <v>20000</v>
      </c>
      <c r="O186" s="29" t="n">
        <v>60000</v>
      </c>
      <c r="P186" s="27" t="n">
        <v>0</v>
      </c>
      <c r="Q186" s="263" t="n">
        <v>45341</v>
      </c>
    </row>
    <row r="187" customFormat="false" ht="17.9" hidden="false" customHeight="false" outlineLevel="0" collapsed="false">
      <c r="A187" s="20" t="n">
        <v>2237</v>
      </c>
      <c r="B187" s="22" t="s">
        <v>287</v>
      </c>
      <c r="C187" s="22" t="s">
        <v>835</v>
      </c>
      <c r="D187" s="22"/>
      <c r="E187" s="23" t="n">
        <v>45175</v>
      </c>
      <c r="F187" s="23" t="n">
        <v>45350</v>
      </c>
      <c r="G187" s="37" t="n">
        <v>125</v>
      </c>
      <c r="H187" s="77" t="n">
        <v>135</v>
      </c>
      <c r="I187" s="77" t="n">
        <v>-10</v>
      </c>
      <c r="J187" s="22" t="s">
        <v>836</v>
      </c>
      <c r="K187" s="30" t="n">
        <v>100000</v>
      </c>
      <c r="L187" s="30" t="n">
        <v>270000</v>
      </c>
      <c r="M187" s="28" t="n">
        <v>10000</v>
      </c>
      <c r="N187" s="29" t="n">
        <v>50000</v>
      </c>
      <c r="O187" s="29" t="n">
        <v>270000</v>
      </c>
      <c r="P187" s="27" t="n">
        <v>0</v>
      </c>
      <c r="Q187" s="263" t="n">
        <v>45341</v>
      </c>
    </row>
    <row r="188" customFormat="false" ht="26.1" hidden="false" customHeight="false" outlineLevel="0" collapsed="false">
      <c r="A188" s="20" t="n">
        <v>2327</v>
      </c>
      <c r="B188" s="22" t="s">
        <v>291</v>
      </c>
      <c r="C188" s="22" t="s">
        <v>292</v>
      </c>
      <c r="D188" s="22"/>
      <c r="E188" s="23" t="n">
        <v>45237</v>
      </c>
      <c r="F188" s="23" t="n">
        <v>45337</v>
      </c>
      <c r="G188" s="37" t="n">
        <v>72</v>
      </c>
      <c r="H188" s="77" t="n">
        <v>72</v>
      </c>
      <c r="I188" s="77" t="n">
        <v>0</v>
      </c>
      <c r="J188" s="22" t="s">
        <v>560</v>
      </c>
      <c r="K188" s="30" t="n">
        <v>10000</v>
      </c>
      <c r="L188" s="30" t="n">
        <v>21600</v>
      </c>
      <c r="M188" s="28" t="n">
        <v>1500</v>
      </c>
      <c r="N188" s="29" t="n">
        <v>600</v>
      </c>
      <c r="O188" s="29" t="n">
        <v>21600</v>
      </c>
      <c r="P188" s="30" t="n">
        <v>0</v>
      </c>
      <c r="Q188" s="263" t="n">
        <v>45341</v>
      </c>
    </row>
    <row r="189" customFormat="false" ht="42.5" hidden="false" customHeight="false" outlineLevel="0" collapsed="false">
      <c r="A189" s="20" t="n">
        <v>2196</v>
      </c>
      <c r="B189" s="22" t="s">
        <v>810</v>
      </c>
      <c r="C189" s="22" t="s">
        <v>811</v>
      </c>
      <c r="D189" s="22"/>
      <c r="E189" s="23" t="n">
        <v>45145</v>
      </c>
      <c r="F189" s="23" t="n">
        <v>45245</v>
      </c>
      <c r="G189" s="37" t="n">
        <v>72</v>
      </c>
      <c r="H189" s="77" t="n">
        <v>78.3333333333333</v>
      </c>
      <c r="I189" s="77" t="n">
        <v>-6.33333333333333</v>
      </c>
      <c r="J189" s="22" t="s">
        <v>720</v>
      </c>
      <c r="K189" s="27" t="n">
        <v>60000</v>
      </c>
      <c r="L189" s="27" t="n">
        <v>141000</v>
      </c>
      <c r="M189" s="45" t="n">
        <v>9000</v>
      </c>
      <c r="N189" s="29" t="n">
        <v>29673</v>
      </c>
      <c r="O189" s="29" t="n">
        <v>141000</v>
      </c>
      <c r="P189" s="27" t="n">
        <v>0</v>
      </c>
      <c r="Q189" s="263" t="n">
        <v>45341</v>
      </c>
    </row>
    <row r="190" customFormat="false" ht="34.3" hidden="false" customHeight="false" outlineLevel="0" collapsed="false">
      <c r="A190" s="20" t="n">
        <v>2133</v>
      </c>
      <c r="B190" s="22" t="s">
        <v>837</v>
      </c>
      <c r="C190" s="22" t="s">
        <v>838</v>
      </c>
      <c r="D190" s="22"/>
      <c r="E190" s="23" t="n">
        <v>45096</v>
      </c>
      <c r="F190" s="23" t="n">
        <v>45208</v>
      </c>
      <c r="G190" s="37" t="n">
        <v>80</v>
      </c>
      <c r="H190" s="77" t="n">
        <v>87.4074074074074</v>
      </c>
      <c r="I190" s="77" t="n">
        <v>-7.40740740740741</v>
      </c>
      <c r="J190" s="74" t="s">
        <v>839</v>
      </c>
      <c r="K190" s="27" t="n">
        <v>20000</v>
      </c>
      <c r="L190" s="27" t="n">
        <v>47200</v>
      </c>
      <c r="M190" s="45" t="n">
        <v>2700</v>
      </c>
      <c r="N190" s="29" t="n">
        <v>15328</v>
      </c>
      <c r="O190" s="29" t="n">
        <v>47200</v>
      </c>
      <c r="P190" s="27" t="n">
        <v>0</v>
      </c>
      <c r="Q190" s="263" t="n">
        <v>45341</v>
      </c>
    </row>
    <row r="191" customFormat="false" ht="17.9" hidden="false" customHeight="false" outlineLevel="0" collapsed="false">
      <c r="A191" s="20" t="n">
        <v>2476</v>
      </c>
      <c r="B191" s="22" t="s">
        <v>363</v>
      </c>
      <c r="C191" s="22"/>
      <c r="D191" s="22"/>
      <c r="E191" s="23" t="n">
        <v>45338</v>
      </c>
      <c r="F191" s="23" t="n">
        <v>45345</v>
      </c>
      <c r="G191" s="37" t="n">
        <v>5</v>
      </c>
      <c r="H191" s="77" t="e">
        <f aca="false">#DIV/0!</f>
        <v>#DIV/0!</v>
      </c>
      <c r="I191" s="77" t="e">
        <f aca="false">#DIV/0!</f>
        <v>#DIV/0!</v>
      </c>
      <c r="J191" s="269" t="s">
        <v>681</v>
      </c>
      <c r="K191" s="27" t="n">
        <v>20000</v>
      </c>
      <c r="L191" s="27" t="n">
        <v>26000</v>
      </c>
      <c r="M191" s="45"/>
      <c r="N191" s="29" t="n">
        <v>26000</v>
      </c>
      <c r="O191" s="29" t="n">
        <v>26000</v>
      </c>
      <c r="P191" s="27" t="n">
        <v>0</v>
      </c>
      <c r="Q191" s="263" t="n">
        <v>45341</v>
      </c>
    </row>
    <row r="192" customFormat="false" ht="42.5" hidden="false" customHeight="false" outlineLevel="0" collapsed="false">
      <c r="A192" s="20" t="n">
        <v>2111</v>
      </c>
      <c r="B192" s="22" t="s">
        <v>763</v>
      </c>
      <c r="C192" s="22" t="s">
        <v>389</v>
      </c>
      <c r="D192" s="22"/>
      <c r="E192" s="23" t="n">
        <v>45082</v>
      </c>
      <c r="F192" s="23" t="n">
        <v>45334</v>
      </c>
      <c r="G192" s="37" t="n">
        <v>180</v>
      </c>
      <c r="H192" s="77" t="n">
        <v>160</v>
      </c>
      <c r="I192" s="77" t="n">
        <v>20</v>
      </c>
      <c r="J192" s="269" t="s">
        <v>840</v>
      </c>
      <c r="K192" s="27" t="n">
        <v>30000</v>
      </c>
      <c r="L192" s="27" t="n">
        <v>90520</v>
      </c>
      <c r="M192" s="45" t="n">
        <v>2828.75</v>
      </c>
      <c r="N192" s="29" t="n">
        <v>7235</v>
      </c>
      <c r="O192" s="29" t="n">
        <v>90520</v>
      </c>
      <c r="P192" s="27" t="n">
        <v>0</v>
      </c>
      <c r="Q192" s="263" t="n">
        <v>45341</v>
      </c>
    </row>
    <row r="193" customFormat="false" ht="42.5" hidden="false" customHeight="false" outlineLevel="0" collapsed="false">
      <c r="A193" s="20" t="n">
        <v>2165</v>
      </c>
      <c r="B193" s="22" t="s">
        <v>763</v>
      </c>
      <c r="C193" s="22" t="s">
        <v>389</v>
      </c>
      <c r="D193" s="22"/>
      <c r="E193" s="23" t="n">
        <v>45124</v>
      </c>
      <c r="F193" s="23" t="n">
        <v>45369</v>
      </c>
      <c r="G193" s="37" t="n">
        <v>175</v>
      </c>
      <c r="H193" s="77" t="n">
        <v>160</v>
      </c>
      <c r="I193" s="77" t="n">
        <v>15</v>
      </c>
      <c r="J193" s="269" t="s">
        <v>840</v>
      </c>
      <c r="K193" s="27" t="n">
        <v>30000</v>
      </c>
      <c r="L193" s="27" t="n">
        <v>90520</v>
      </c>
      <c r="M193" s="45" t="n">
        <v>2828.75</v>
      </c>
      <c r="N193" s="29" t="n">
        <v>15740</v>
      </c>
      <c r="O193" s="29" t="n">
        <v>90520</v>
      </c>
      <c r="P193" s="27" t="n">
        <v>0</v>
      </c>
      <c r="Q193" s="263" t="n">
        <v>45341</v>
      </c>
    </row>
    <row r="194" customFormat="false" ht="42.5" hidden="false" customHeight="false" outlineLevel="0" collapsed="false">
      <c r="A194" s="20" t="n">
        <v>2209</v>
      </c>
      <c r="B194" s="22" t="s">
        <v>763</v>
      </c>
      <c r="C194" s="22" t="s">
        <v>389</v>
      </c>
      <c r="D194" s="22"/>
      <c r="E194" s="23" t="n">
        <v>45154</v>
      </c>
      <c r="F194" s="23" t="n">
        <v>45406</v>
      </c>
      <c r="G194" s="37" t="n">
        <v>180</v>
      </c>
      <c r="H194" s="77" t="n">
        <v>160</v>
      </c>
      <c r="I194" s="77" t="n">
        <v>20</v>
      </c>
      <c r="J194" s="269" t="s">
        <v>841</v>
      </c>
      <c r="K194" s="27" t="n">
        <v>50000</v>
      </c>
      <c r="L194" s="27" t="n">
        <v>132000</v>
      </c>
      <c r="M194" s="28" t="n">
        <v>4125</v>
      </c>
      <c r="N194" s="29" t="n">
        <v>33000</v>
      </c>
      <c r="O194" s="29" t="n">
        <v>132000</v>
      </c>
      <c r="P194" s="27" t="n">
        <v>0</v>
      </c>
      <c r="Q194" s="263" t="n">
        <v>45341</v>
      </c>
    </row>
    <row r="195" customFormat="false" ht="26.1" hidden="false" customHeight="false" outlineLevel="0" collapsed="false">
      <c r="A195" s="20" t="n">
        <v>2282</v>
      </c>
      <c r="B195" s="22" t="s">
        <v>459</v>
      </c>
      <c r="C195" s="22" t="s">
        <v>460</v>
      </c>
      <c r="D195" s="22"/>
      <c r="E195" s="23" t="n">
        <v>45206</v>
      </c>
      <c r="F195" s="23" t="n">
        <v>45307</v>
      </c>
      <c r="G195" s="37" t="n">
        <v>72</v>
      </c>
      <c r="H195" s="49" t="n">
        <v>72</v>
      </c>
      <c r="I195" s="49" t="n">
        <v>0</v>
      </c>
      <c r="J195" s="22" t="s">
        <v>679</v>
      </c>
      <c r="K195" s="27" t="n">
        <v>20000</v>
      </c>
      <c r="L195" s="27" t="n">
        <v>43200</v>
      </c>
      <c r="M195" s="45" t="n">
        <v>3000</v>
      </c>
      <c r="N195" s="29" t="n">
        <v>5200</v>
      </c>
      <c r="O195" s="29" t="n">
        <v>43200</v>
      </c>
      <c r="P195" s="27" t="n">
        <v>0</v>
      </c>
      <c r="Q195" s="263" t="n">
        <v>45341</v>
      </c>
    </row>
    <row r="196" customFormat="false" ht="17.9" hidden="false" customHeight="false" outlineLevel="0" collapsed="false">
      <c r="A196" s="20" t="n">
        <v>2251</v>
      </c>
      <c r="B196" s="22" t="s">
        <v>781</v>
      </c>
      <c r="C196" s="22" t="s">
        <v>782</v>
      </c>
      <c r="D196" s="22"/>
      <c r="E196" s="23" t="n">
        <v>45182</v>
      </c>
      <c r="F196" s="23" t="n">
        <v>45282</v>
      </c>
      <c r="G196" s="37" t="n">
        <v>72</v>
      </c>
      <c r="H196" s="77" t="n">
        <v>73.0833333333333</v>
      </c>
      <c r="I196" s="77" t="n">
        <v>-1.08333333333333</v>
      </c>
      <c r="J196" s="22" t="s">
        <v>188</v>
      </c>
      <c r="K196" s="27" t="n">
        <v>100000</v>
      </c>
      <c r="L196" s="30" t="n">
        <v>216000</v>
      </c>
      <c r="M196" s="28" t="n">
        <v>15000</v>
      </c>
      <c r="N196" s="29" t="n">
        <v>34250</v>
      </c>
      <c r="O196" s="29" t="n">
        <v>219250</v>
      </c>
      <c r="P196" s="27" t="n">
        <v>-3250</v>
      </c>
      <c r="Q196" s="263" t="n">
        <v>45348</v>
      </c>
    </row>
    <row r="197" customFormat="false" ht="26.1" hidden="false" customHeight="false" outlineLevel="0" collapsed="false">
      <c r="A197" s="20" t="n">
        <v>2481</v>
      </c>
      <c r="B197" s="22" t="s">
        <v>723</v>
      </c>
      <c r="C197" s="22" t="s">
        <v>809</v>
      </c>
      <c r="D197" s="22"/>
      <c r="E197" s="23" t="n">
        <v>45339</v>
      </c>
      <c r="F197" s="23" t="n">
        <v>45352</v>
      </c>
      <c r="G197" s="37" t="n">
        <v>10</v>
      </c>
      <c r="H197" s="77" t="e">
        <f aca="false">#DIV/0!</f>
        <v>#DIV/0!</v>
      </c>
      <c r="I197" s="77" t="e">
        <f aca="false">#DIV/0!</f>
        <v>#DIV/0!</v>
      </c>
      <c r="J197" s="269" t="s">
        <v>681</v>
      </c>
      <c r="K197" s="27" t="n">
        <v>20000</v>
      </c>
      <c r="L197" s="27" t="n">
        <v>29000</v>
      </c>
      <c r="M197" s="45"/>
      <c r="N197" s="29" t="n">
        <v>29000</v>
      </c>
      <c r="O197" s="29" t="n">
        <v>29000</v>
      </c>
      <c r="P197" s="27" t="n">
        <v>0</v>
      </c>
      <c r="Q197" s="263" t="n">
        <v>45348</v>
      </c>
    </row>
    <row r="198" customFormat="false" ht="26.1" hidden="false" customHeight="false" outlineLevel="0" collapsed="false">
      <c r="A198" s="20" t="n">
        <v>2311</v>
      </c>
      <c r="B198" s="22" t="s">
        <v>842</v>
      </c>
      <c r="C198" s="22" t="s">
        <v>252</v>
      </c>
      <c r="D198" s="22"/>
      <c r="E198" s="23" t="n">
        <v>45224</v>
      </c>
      <c r="F198" s="23" t="n">
        <v>45324</v>
      </c>
      <c r="G198" s="37" t="n">
        <v>72</v>
      </c>
      <c r="H198" s="77" t="n">
        <v>72</v>
      </c>
      <c r="I198" s="77" t="n">
        <v>0</v>
      </c>
      <c r="J198" s="22" t="s">
        <v>679</v>
      </c>
      <c r="K198" s="30" t="n">
        <v>20000</v>
      </c>
      <c r="L198" s="30" t="n">
        <v>43200</v>
      </c>
      <c r="M198" s="28" t="n">
        <v>3000</v>
      </c>
      <c r="N198" s="29" t="n">
        <v>1200</v>
      </c>
      <c r="O198" s="29" t="n">
        <v>43200</v>
      </c>
      <c r="P198" s="27" t="n">
        <v>0</v>
      </c>
      <c r="Q198" s="263" t="n">
        <v>45348</v>
      </c>
    </row>
    <row r="199" customFormat="false" ht="17.9" hidden="false" customHeight="false" outlineLevel="0" collapsed="false">
      <c r="A199" s="20" t="n">
        <v>2493</v>
      </c>
      <c r="B199" s="22" t="s">
        <v>363</v>
      </c>
      <c r="C199" s="22"/>
      <c r="D199" s="22"/>
      <c r="E199" s="23" t="n">
        <v>45346</v>
      </c>
      <c r="F199" s="23" t="n">
        <v>45352</v>
      </c>
      <c r="G199" s="37" t="n">
        <v>5</v>
      </c>
      <c r="H199" s="77" t="e">
        <f aca="false">#DIV/0!</f>
        <v>#DIV/0!</v>
      </c>
      <c r="I199" s="77" t="e">
        <f aca="false">#DIV/0!</f>
        <v>#DIV/0!</v>
      </c>
      <c r="J199" s="22" t="s">
        <v>681</v>
      </c>
      <c r="K199" s="30" t="n">
        <v>20000</v>
      </c>
      <c r="L199" s="30" t="n">
        <v>26000</v>
      </c>
      <c r="M199" s="28"/>
      <c r="N199" s="29" t="n">
        <v>26000</v>
      </c>
      <c r="O199" s="29" t="n">
        <v>26000</v>
      </c>
      <c r="P199" s="27" t="n">
        <v>0</v>
      </c>
      <c r="Q199" s="263" t="n">
        <v>45348</v>
      </c>
    </row>
    <row r="200" customFormat="false" ht="26.1" hidden="false" customHeight="false" outlineLevel="0" collapsed="false">
      <c r="A200" s="20" t="n">
        <v>2460</v>
      </c>
      <c r="B200" s="22" t="s">
        <v>684</v>
      </c>
      <c r="C200" s="22" t="s">
        <v>685</v>
      </c>
      <c r="D200" s="22"/>
      <c r="E200" s="23" t="n">
        <v>45328</v>
      </c>
      <c r="F200" s="23" t="n">
        <v>45335</v>
      </c>
      <c r="G200" s="37" t="n">
        <v>5</v>
      </c>
      <c r="H200" s="77" t="e">
        <f aca="false">#DIV/0!</f>
        <v>#DIV/0!</v>
      </c>
      <c r="I200" s="77" t="e">
        <f aca="false">#DIV/0!</f>
        <v>#DIV/0!</v>
      </c>
      <c r="J200" s="269" t="s">
        <v>681</v>
      </c>
      <c r="K200" s="30" t="n">
        <v>20000</v>
      </c>
      <c r="L200" s="30" t="n">
        <v>30000</v>
      </c>
      <c r="M200" s="45"/>
      <c r="N200" s="29" t="n">
        <v>30000</v>
      </c>
      <c r="O200" s="29" t="n">
        <v>30000</v>
      </c>
      <c r="P200" s="27" t="n">
        <v>0</v>
      </c>
      <c r="Q200" s="263" t="n">
        <v>45348</v>
      </c>
    </row>
    <row r="201" customFormat="false" ht="34.3" hidden="false" customHeight="false" outlineLevel="0" collapsed="false">
      <c r="A201" s="20" t="n">
        <v>2346</v>
      </c>
      <c r="B201" s="22" t="s">
        <v>843</v>
      </c>
      <c r="C201" s="22" t="s">
        <v>556</v>
      </c>
      <c r="D201" s="22"/>
      <c r="E201" s="23" t="n">
        <v>45254</v>
      </c>
      <c r="F201" s="23" t="n">
        <v>45356</v>
      </c>
      <c r="G201" s="37" t="n">
        <v>72</v>
      </c>
      <c r="H201" s="49" t="n">
        <v>72</v>
      </c>
      <c r="I201" s="49" t="n">
        <v>0</v>
      </c>
      <c r="J201" s="22" t="s">
        <v>560</v>
      </c>
      <c r="K201" s="27" t="n">
        <v>10000</v>
      </c>
      <c r="L201" s="27" t="n">
        <v>21600</v>
      </c>
      <c r="M201" s="45" t="n">
        <v>1500</v>
      </c>
      <c r="N201" s="29" t="n">
        <v>2100</v>
      </c>
      <c r="O201" s="29" t="n">
        <v>21600</v>
      </c>
      <c r="P201" s="27" t="n">
        <v>0</v>
      </c>
      <c r="Q201" s="263" t="n">
        <v>45348</v>
      </c>
    </row>
    <row r="202" customFormat="false" ht="17.9" hidden="false" customHeight="false" outlineLevel="0" collapsed="false">
      <c r="A202" s="20" t="n">
        <v>2233</v>
      </c>
      <c r="B202" s="22" t="s">
        <v>191</v>
      </c>
      <c r="C202" s="22"/>
      <c r="D202" s="22" t="n">
        <v>22375673</v>
      </c>
      <c r="E202" s="23" t="n">
        <v>45170</v>
      </c>
      <c r="F202" s="23" t="n">
        <v>45362</v>
      </c>
      <c r="G202" s="37" t="n">
        <v>136</v>
      </c>
      <c r="H202" s="77" t="n">
        <v>120</v>
      </c>
      <c r="I202" s="77" t="n">
        <v>16</v>
      </c>
      <c r="J202" s="269" t="s">
        <v>844</v>
      </c>
      <c r="K202" s="30" t="n">
        <v>40000</v>
      </c>
      <c r="L202" s="30" t="n">
        <v>111000</v>
      </c>
      <c r="M202" s="28" t="n">
        <v>4625</v>
      </c>
      <c r="N202" s="29" t="n">
        <v>18500</v>
      </c>
      <c r="O202" s="29" t="n">
        <v>111000</v>
      </c>
      <c r="P202" s="30" t="n">
        <v>0</v>
      </c>
      <c r="Q202" s="263" t="n">
        <v>45355</v>
      </c>
    </row>
    <row r="203" customFormat="false" ht="26.1" hidden="false" customHeight="false" outlineLevel="0" collapsed="false">
      <c r="A203" s="20" t="n">
        <v>2458</v>
      </c>
      <c r="B203" s="22" t="s">
        <v>723</v>
      </c>
      <c r="C203" s="22" t="s">
        <v>809</v>
      </c>
      <c r="D203" s="22"/>
      <c r="E203" s="23" t="n">
        <v>45327</v>
      </c>
      <c r="F203" s="23" t="n">
        <v>45355</v>
      </c>
      <c r="G203" s="37" t="n">
        <v>20</v>
      </c>
      <c r="H203" s="77" t="e">
        <f aca="false">#DIV/0!</f>
        <v>#DIV/0!</v>
      </c>
      <c r="I203" s="77" t="e">
        <f aca="false">#DIV/0!</f>
        <v>#DIV/0!</v>
      </c>
      <c r="J203" s="269" t="s">
        <v>681</v>
      </c>
      <c r="K203" s="30" t="n">
        <v>100000</v>
      </c>
      <c r="L203" s="30" t="n">
        <v>140000</v>
      </c>
      <c r="M203" s="28"/>
      <c r="N203" s="29" t="n">
        <v>75000</v>
      </c>
      <c r="O203" s="29" t="n">
        <v>140000</v>
      </c>
      <c r="P203" s="27" t="n">
        <v>0</v>
      </c>
      <c r="Q203" s="263" t="n">
        <v>45355</v>
      </c>
    </row>
    <row r="204" customFormat="false" ht="58.95" hidden="false" customHeight="false" outlineLevel="0" collapsed="false">
      <c r="A204" s="20" t="n">
        <v>2281</v>
      </c>
      <c r="B204" s="22" t="s">
        <v>237</v>
      </c>
      <c r="C204" s="22" t="s">
        <v>238</v>
      </c>
      <c r="D204" s="22" t="s">
        <v>845</v>
      </c>
      <c r="E204" s="23" t="n">
        <v>45205</v>
      </c>
      <c r="F204" s="23" t="n">
        <v>45359</v>
      </c>
      <c r="G204" s="37" t="n">
        <v>110</v>
      </c>
      <c r="H204" s="77" t="n">
        <v>110</v>
      </c>
      <c r="I204" s="77" t="n">
        <v>0</v>
      </c>
      <c r="J204" s="30" t="s">
        <v>254</v>
      </c>
      <c r="K204" s="28" t="n">
        <v>100000</v>
      </c>
      <c r="L204" s="30" t="n">
        <v>264000</v>
      </c>
      <c r="M204" s="28" t="n">
        <v>12000</v>
      </c>
      <c r="N204" s="29" t="n">
        <v>12000</v>
      </c>
      <c r="O204" s="29" t="n">
        <v>264000</v>
      </c>
      <c r="P204" s="27" t="n">
        <v>0</v>
      </c>
      <c r="Q204" s="263" t="n">
        <v>45355</v>
      </c>
    </row>
    <row r="205" customFormat="false" ht="17.9" hidden="false" customHeight="false" outlineLevel="0" collapsed="false">
      <c r="A205" s="20" t="n">
        <v>2341</v>
      </c>
      <c r="B205" s="22" t="s">
        <v>277</v>
      </c>
      <c r="C205" s="22" t="s">
        <v>278</v>
      </c>
      <c r="D205" s="22" t="n">
        <v>14154231</v>
      </c>
      <c r="E205" s="23" t="n">
        <v>45253</v>
      </c>
      <c r="F205" s="23" t="n">
        <v>45355</v>
      </c>
      <c r="G205" s="37" t="n">
        <v>72</v>
      </c>
      <c r="H205" s="280" t="n">
        <v>72</v>
      </c>
      <c r="I205" s="280" t="n">
        <v>0</v>
      </c>
      <c r="J205" s="22" t="s">
        <v>716</v>
      </c>
      <c r="K205" s="30" t="n">
        <v>15000</v>
      </c>
      <c r="L205" s="30" t="n">
        <v>32400</v>
      </c>
      <c r="M205" s="28" t="n">
        <v>2250</v>
      </c>
      <c r="N205" s="29" t="n">
        <v>5400</v>
      </c>
      <c r="O205" s="29" t="n">
        <v>32400</v>
      </c>
      <c r="P205" s="27" t="n">
        <v>0</v>
      </c>
      <c r="Q205" s="263" t="n">
        <v>45355</v>
      </c>
    </row>
    <row r="206" customFormat="false" ht="17.9" hidden="false" customHeight="false" outlineLevel="0" collapsed="false">
      <c r="A206" s="20" t="n">
        <v>2507</v>
      </c>
      <c r="B206" s="22" t="s">
        <v>363</v>
      </c>
      <c r="C206" s="22"/>
      <c r="D206" s="22"/>
      <c r="E206" s="23" t="n">
        <v>45353</v>
      </c>
      <c r="F206" s="23" t="n">
        <v>45359</v>
      </c>
      <c r="G206" s="37" t="n">
        <v>5</v>
      </c>
      <c r="H206" s="77" t="e">
        <f aca="false">#DIV/0!</f>
        <v>#DIV/0!</v>
      </c>
      <c r="I206" s="77" t="e">
        <f aca="false">#DIV/0!</f>
        <v>#DIV/0!</v>
      </c>
      <c r="J206" s="22" t="s">
        <v>681</v>
      </c>
      <c r="K206" s="27" t="n">
        <v>10000</v>
      </c>
      <c r="L206" s="27" t="n">
        <v>13000</v>
      </c>
      <c r="M206" s="45"/>
      <c r="N206" s="29" t="n">
        <v>13000</v>
      </c>
      <c r="O206" s="29" t="n">
        <v>13000</v>
      </c>
      <c r="P206" s="27" t="n">
        <v>0</v>
      </c>
      <c r="Q206" s="263" t="n">
        <v>45355</v>
      </c>
    </row>
    <row r="207" customFormat="false" ht="34.3" hidden="false" customHeight="false" outlineLevel="0" collapsed="false">
      <c r="A207" s="20" t="n">
        <v>2319</v>
      </c>
      <c r="B207" s="22" t="s">
        <v>376</v>
      </c>
      <c r="C207" s="22" t="s">
        <v>380</v>
      </c>
      <c r="D207" s="22" t="s">
        <v>846</v>
      </c>
      <c r="E207" s="23" t="n">
        <v>45230</v>
      </c>
      <c r="F207" s="23" t="n">
        <v>45330</v>
      </c>
      <c r="G207" s="37" t="n">
        <v>72</v>
      </c>
      <c r="H207" s="283" t="n">
        <v>72</v>
      </c>
      <c r="I207" s="283" t="n">
        <v>0</v>
      </c>
      <c r="J207" s="22" t="s">
        <v>333</v>
      </c>
      <c r="K207" s="27" t="n">
        <v>50000</v>
      </c>
      <c r="L207" s="27" t="n">
        <v>108000</v>
      </c>
      <c r="M207" s="45" t="n">
        <v>7500</v>
      </c>
      <c r="N207" s="29" t="n">
        <v>4500</v>
      </c>
      <c r="O207" s="29" t="n">
        <v>108000</v>
      </c>
      <c r="P207" s="27" t="n">
        <v>0</v>
      </c>
      <c r="Q207" s="263" t="n">
        <v>45355</v>
      </c>
    </row>
    <row r="208" customFormat="false" ht="15" hidden="false" customHeight="false" outlineLevel="0" collapsed="false">
      <c r="A208" s="20" t="n">
        <v>2469</v>
      </c>
      <c r="B208" s="22" t="s">
        <v>791</v>
      </c>
      <c r="C208" s="22"/>
      <c r="D208" s="22"/>
      <c r="E208" s="284" t="n">
        <v>45333</v>
      </c>
      <c r="F208" s="23" t="n">
        <v>45359</v>
      </c>
      <c r="G208" s="37" t="n">
        <v>20</v>
      </c>
      <c r="H208" s="49" t="e">
        <f aca="false">#DIV/0!</f>
        <v>#DIV/0!</v>
      </c>
      <c r="I208" s="49" t="e">
        <f aca="false">#DIV/0!</f>
        <v>#DIV/0!</v>
      </c>
      <c r="J208" s="22" t="s">
        <v>681</v>
      </c>
      <c r="K208" s="30" t="n">
        <v>5000</v>
      </c>
      <c r="L208" s="30" t="n">
        <v>8000</v>
      </c>
      <c r="M208" s="45"/>
      <c r="N208" s="29" t="n">
        <v>8000</v>
      </c>
      <c r="O208" s="29" t="n">
        <v>8000</v>
      </c>
      <c r="P208" s="27" t="n">
        <v>0</v>
      </c>
      <c r="Q208" s="263" t="n">
        <v>45355</v>
      </c>
    </row>
    <row r="209" customFormat="false" ht="15" hidden="false" customHeight="false" outlineLevel="0" collapsed="false">
      <c r="A209" s="20" t="n">
        <v>2482</v>
      </c>
      <c r="B209" s="22" t="s">
        <v>791</v>
      </c>
      <c r="C209" s="22"/>
      <c r="D209" s="22"/>
      <c r="E209" s="284" t="n">
        <v>45341</v>
      </c>
      <c r="F209" s="23" t="n">
        <v>45359</v>
      </c>
      <c r="G209" s="37" t="n">
        <v>14</v>
      </c>
      <c r="H209" s="49" t="e">
        <f aca="false">#DIV/0!</f>
        <v>#DIV/0!</v>
      </c>
      <c r="I209" s="49" t="e">
        <f aca="false">#DIV/0!</f>
        <v>#DIV/0!</v>
      </c>
      <c r="J209" s="269" t="s">
        <v>681</v>
      </c>
      <c r="K209" s="30" t="n">
        <v>5000</v>
      </c>
      <c r="L209" s="30" t="n">
        <v>8000</v>
      </c>
      <c r="M209" s="28"/>
      <c r="N209" s="29" t="n">
        <v>8000</v>
      </c>
      <c r="O209" s="29" t="n">
        <v>8000</v>
      </c>
      <c r="P209" s="27" t="n">
        <v>0</v>
      </c>
      <c r="Q209" s="263" t="n">
        <v>45355</v>
      </c>
    </row>
    <row r="210" customFormat="false" ht="15" hidden="false" customHeight="false" outlineLevel="0" collapsed="false">
      <c r="A210" s="20" t="n">
        <v>2494</v>
      </c>
      <c r="B210" s="22" t="s">
        <v>791</v>
      </c>
      <c r="C210" s="22"/>
      <c r="D210" s="22"/>
      <c r="E210" s="23" t="n">
        <v>45346</v>
      </c>
      <c r="F210" s="23" t="n">
        <v>45359</v>
      </c>
      <c r="G210" s="37" t="n">
        <v>10</v>
      </c>
      <c r="H210" s="77" t="e">
        <f aca="false">#DIV/0!</f>
        <v>#DIV/0!</v>
      </c>
      <c r="I210" s="77" t="e">
        <f aca="false">#DIV/0!</f>
        <v>#DIV/0!</v>
      </c>
      <c r="J210" s="22" t="s">
        <v>681</v>
      </c>
      <c r="K210" s="30" t="n">
        <v>5000</v>
      </c>
      <c r="L210" s="30" t="n">
        <v>8000</v>
      </c>
      <c r="M210" s="45"/>
      <c r="N210" s="29" t="n">
        <v>8000</v>
      </c>
      <c r="O210" s="29" t="n">
        <v>8000</v>
      </c>
      <c r="P210" s="27" t="n">
        <v>0</v>
      </c>
      <c r="Q210" s="263" t="n">
        <v>45355</v>
      </c>
    </row>
    <row r="211" customFormat="false" ht="34.3" hidden="false" customHeight="false" outlineLevel="0" collapsed="false">
      <c r="A211" s="20" t="n">
        <v>2217</v>
      </c>
      <c r="B211" s="22" t="s">
        <v>452</v>
      </c>
      <c r="C211" s="22"/>
      <c r="D211" s="22"/>
      <c r="E211" s="23" t="n">
        <v>45160</v>
      </c>
      <c r="F211" s="23" t="n">
        <v>45362</v>
      </c>
      <c r="G211" s="37" t="n">
        <v>144</v>
      </c>
      <c r="H211" s="77" t="n">
        <v>120</v>
      </c>
      <c r="I211" s="77" t="n">
        <v>24</v>
      </c>
      <c r="J211" s="269" t="s">
        <v>847</v>
      </c>
      <c r="K211" s="30" t="n">
        <v>30000</v>
      </c>
      <c r="L211" s="30" t="n">
        <v>64800</v>
      </c>
      <c r="M211" s="28" t="n">
        <v>2700</v>
      </c>
      <c r="N211" s="29" t="n">
        <v>10800</v>
      </c>
      <c r="O211" s="29" t="n">
        <v>64800</v>
      </c>
      <c r="P211" s="27" t="n">
        <v>0</v>
      </c>
      <c r="Q211" s="263" t="n">
        <v>45355</v>
      </c>
    </row>
    <row r="212" customFormat="false" ht="17.9" hidden="false" customHeight="false" outlineLevel="0" collapsed="false">
      <c r="A212" s="20" t="n">
        <v>2253</v>
      </c>
      <c r="B212" s="22" t="s">
        <v>457</v>
      </c>
      <c r="C212" s="22"/>
      <c r="D212" s="22"/>
      <c r="E212" s="23" t="n">
        <v>45184</v>
      </c>
      <c r="F212" s="23" t="n">
        <v>45359</v>
      </c>
      <c r="G212" s="37" t="n">
        <v>125</v>
      </c>
      <c r="H212" s="49" t="n">
        <v>120</v>
      </c>
      <c r="I212" s="49" t="n">
        <v>5</v>
      </c>
      <c r="J212" s="269" t="s">
        <v>848</v>
      </c>
      <c r="K212" s="27" t="n">
        <v>100000</v>
      </c>
      <c r="L212" s="27" t="n">
        <v>216000</v>
      </c>
      <c r="M212" s="45" t="n">
        <v>9000</v>
      </c>
      <c r="N212" s="29" t="n">
        <v>36000</v>
      </c>
      <c r="O212" s="29" t="n">
        <v>216000</v>
      </c>
      <c r="P212" s="27" t="n">
        <v>0</v>
      </c>
      <c r="Q212" s="263" t="n">
        <v>45355</v>
      </c>
    </row>
    <row r="213" customFormat="false" ht="34.3" hidden="false" customHeight="false" outlineLevel="0" collapsed="false">
      <c r="A213" s="20" t="n">
        <v>2250</v>
      </c>
      <c r="B213" s="22" t="s">
        <v>466</v>
      </c>
      <c r="C213" s="22" t="s">
        <v>467</v>
      </c>
      <c r="D213" s="22"/>
      <c r="E213" s="23" t="n">
        <v>45182</v>
      </c>
      <c r="F213" s="23" t="n">
        <v>45364</v>
      </c>
      <c r="G213" s="37" t="n">
        <v>130</v>
      </c>
      <c r="H213" s="49" t="n">
        <v>130</v>
      </c>
      <c r="I213" s="49" t="n">
        <v>0</v>
      </c>
      <c r="J213" s="22" t="s">
        <v>775</v>
      </c>
      <c r="K213" s="27" t="n">
        <v>100000</v>
      </c>
      <c r="L213" s="27" t="n">
        <v>260000</v>
      </c>
      <c r="M213" s="45" t="n">
        <v>10000</v>
      </c>
      <c r="N213" s="29" t="n">
        <v>30000</v>
      </c>
      <c r="O213" s="29" t="n">
        <v>260000</v>
      </c>
      <c r="P213" s="27" t="n">
        <v>0</v>
      </c>
      <c r="Q213" s="263" t="n">
        <v>45355</v>
      </c>
    </row>
    <row r="214" customFormat="false" ht="42.5" hidden="false" customHeight="false" outlineLevel="0" collapsed="false">
      <c r="A214" s="20" t="n">
        <v>2361</v>
      </c>
      <c r="B214" s="22" t="s">
        <v>814</v>
      </c>
      <c r="C214" s="22" t="s">
        <v>470</v>
      </c>
      <c r="D214" s="22" t="s">
        <v>471</v>
      </c>
      <c r="E214" s="23" t="n">
        <v>45265</v>
      </c>
      <c r="F214" s="42" t="n">
        <v>45365</v>
      </c>
      <c r="G214" s="37" t="n">
        <v>72</v>
      </c>
      <c r="H214" s="49" t="n">
        <v>72</v>
      </c>
      <c r="I214" s="49" t="n">
        <v>0</v>
      </c>
      <c r="J214" s="22" t="s">
        <v>675</v>
      </c>
      <c r="K214" s="30" t="n">
        <v>30000</v>
      </c>
      <c r="L214" s="30" t="n">
        <v>64800</v>
      </c>
      <c r="M214" s="45" t="n">
        <v>4500</v>
      </c>
      <c r="N214" s="29" t="n">
        <v>10300</v>
      </c>
      <c r="O214" s="29" t="n">
        <v>64800</v>
      </c>
      <c r="P214" s="27" t="n">
        <v>0</v>
      </c>
      <c r="Q214" s="263" t="n">
        <v>45355</v>
      </c>
    </row>
    <row r="215" customFormat="false" ht="26.1" hidden="false" customHeight="false" outlineLevel="0" collapsed="false">
      <c r="A215" s="20" t="n">
        <v>2259</v>
      </c>
      <c r="B215" s="22" t="s">
        <v>709</v>
      </c>
      <c r="C215" s="22" t="s">
        <v>710</v>
      </c>
      <c r="D215" s="22"/>
      <c r="E215" s="23" t="n">
        <v>45188</v>
      </c>
      <c r="F215" s="23" t="n">
        <v>45362</v>
      </c>
      <c r="G215" s="37" t="n">
        <v>124</v>
      </c>
      <c r="H215" s="49" t="n">
        <v>120</v>
      </c>
      <c r="I215" s="49" t="n">
        <v>4</v>
      </c>
      <c r="J215" s="269" t="s">
        <v>711</v>
      </c>
      <c r="K215" s="30" t="n">
        <v>20000</v>
      </c>
      <c r="L215" s="30" t="n">
        <v>52800</v>
      </c>
      <c r="M215" s="28" t="n">
        <v>2200</v>
      </c>
      <c r="N215" s="29" t="n">
        <v>8800</v>
      </c>
      <c r="O215" s="29" t="n">
        <v>52800</v>
      </c>
      <c r="P215" s="27" t="n">
        <v>0</v>
      </c>
      <c r="Q215" s="263" t="n">
        <v>45355</v>
      </c>
    </row>
    <row r="216" customFormat="false" ht="15" hidden="false" customHeight="false" outlineLevel="0" collapsed="false">
      <c r="A216" s="52" t="n">
        <v>2499</v>
      </c>
      <c r="B216" s="22" t="s">
        <v>481</v>
      </c>
      <c r="C216" s="22"/>
      <c r="D216" s="22"/>
      <c r="E216" s="23" t="n">
        <v>45349</v>
      </c>
      <c r="F216" s="23" t="n">
        <v>45359</v>
      </c>
      <c r="G216" s="24" t="n">
        <v>8</v>
      </c>
      <c r="H216" s="49" t="e">
        <f aca="false">#DIV/0!</f>
        <v>#DIV/0!</v>
      </c>
      <c r="I216" s="49" t="e">
        <f aca="false">#DIV/0!</f>
        <v>#DIV/0!</v>
      </c>
      <c r="J216" s="269" t="s">
        <v>681</v>
      </c>
      <c r="K216" s="27" t="n">
        <v>5000</v>
      </c>
      <c r="L216" s="27" t="n">
        <v>8000</v>
      </c>
      <c r="M216" s="45"/>
      <c r="N216" s="29" t="n">
        <v>8000</v>
      </c>
      <c r="O216" s="29" t="n">
        <v>8000</v>
      </c>
      <c r="P216" s="27" t="n">
        <v>0</v>
      </c>
      <c r="Q216" s="263" t="n">
        <v>45355</v>
      </c>
    </row>
    <row r="217" customFormat="false" ht="26.1" hidden="false" customHeight="false" outlineLevel="0" collapsed="false">
      <c r="A217" s="20" t="n">
        <v>2422</v>
      </c>
      <c r="B217" s="22" t="s">
        <v>688</v>
      </c>
      <c r="C217" s="22"/>
      <c r="D217" s="22"/>
      <c r="E217" s="23" t="n">
        <v>45306</v>
      </c>
      <c r="F217" s="23" t="n">
        <v>45359</v>
      </c>
      <c r="G217" s="37" t="n">
        <v>39</v>
      </c>
      <c r="H217" s="49" t="e">
        <f aca="false">#DIV/0!</f>
        <v>#DIV/0!</v>
      </c>
      <c r="I217" s="49" t="e">
        <f aca="false">#DIV/0!</f>
        <v>#DIV/0!</v>
      </c>
      <c r="J217" s="269" t="s">
        <v>681</v>
      </c>
      <c r="K217" s="30" t="n">
        <v>5000</v>
      </c>
      <c r="L217" s="30" t="n">
        <v>9200</v>
      </c>
      <c r="M217" s="45"/>
      <c r="N217" s="29" t="n">
        <v>3200</v>
      </c>
      <c r="O217" s="29" t="n">
        <v>9200</v>
      </c>
      <c r="P217" s="27" t="n">
        <v>0</v>
      </c>
      <c r="Q217" s="263" t="n">
        <v>45355</v>
      </c>
    </row>
    <row r="218" customFormat="false" ht="26.1" hidden="false" customHeight="false" outlineLevel="0" collapsed="false">
      <c r="A218" s="20" t="n">
        <v>2453</v>
      </c>
      <c r="B218" s="22" t="s">
        <v>688</v>
      </c>
      <c r="C218" s="22"/>
      <c r="D218" s="22"/>
      <c r="E218" s="23" t="n">
        <v>45301</v>
      </c>
      <c r="F218" s="23" t="n">
        <v>45359</v>
      </c>
      <c r="G218" s="37" t="n">
        <v>42</v>
      </c>
      <c r="H218" s="49" t="e">
        <f aca="false">#DIV/0!</f>
        <v>#DIV/0!</v>
      </c>
      <c r="I218" s="49" t="e">
        <f aca="false">#DIV/0!</f>
        <v>#DIV/0!</v>
      </c>
      <c r="J218" s="269" t="s">
        <v>681</v>
      </c>
      <c r="K218" s="27" t="n">
        <v>5000</v>
      </c>
      <c r="L218" s="27" t="n">
        <v>12800</v>
      </c>
      <c r="M218" s="45"/>
      <c r="N218" s="29" t="n">
        <v>12800</v>
      </c>
      <c r="O218" s="29" t="n">
        <v>12800</v>
      </c>
      <c r="P218" s="27" t="n">
        <v>0</v>
      </c>
      <c r="Q218" s="263" t="n">
        <v>45355</v>
      </c>
    </row>
    <row r="219" customFormat="false" ht="58.95" hidden="false" customHeight="false" outlineLevel="0" collapsed="false">
      <c r="A219" s="20" t="n">
        <v>1958</v>
      </c>
      <c r="B219" s="22" t="s">
        <v>691</v>
      </c>
      <c r="C219" s="22" t="s">
        <v>523</v>
      </c>
      <c r="D219" s="22"/>
      <c r="E219" s="23" t="n">
        <v>44945</v>
      </c>
      <c r="F219" s="23" t="n">
        <v>45331</v>
      </c>
      <c r="G219" s="37" t="n">
        <v>276</v>
      </c>
      <c r="H219" s="49" t="n">
        <v>240</v>
      </c>
      <c r="I219" s="49" t="n">
        <v>36</v>
      </c>
      <c r="J219" s="269" t="s">
        <v>849</v>
      </c>
      <c r="K219" s="30" t="n">
        <v>130000</v>
      </c>
      <c r="L219" s="30" t="n">
        <v>390000</v>
      </c>
      <c r="M219" s="28" t="n">
        <v>8125</v>
      </c>
      <c r="N219" s="40" t="n">
        <v>32250</v>
      </c>
      <c r="O219" s="40" t="n">
        <v>390000</v>
      </c>
      <c r="P219" s="30" t="n">
        <v>0</v>
      </c>
      <c r="Q219" s="263" t="n">
        <v>45355</v>
      </c>
    </row>
    <row r="220" customFormat="false" ht="26.1" hidden="false" customHeight="false" outlineLevel="0" collapsed="false">
      <c r="A220" s="52" t="n">
        <v>2520</v>
      </c>
      <c r="B220" s="22" t="s">
        <v>723</v>
      </c>
      <c r="C220" s="22" t="s">
        <v>809</v>
      </c>
      <c r="D220" s="22"/>
      <c r="E220" s="23" t="n">
        <v>45363</v>
      </c>
      <c r="F220" s="23" t="n">
        <v>45369</v>
      </c>
      <c r="G220" s="37" t="n">
        <v>4</v>
      </c>
      <c r="H220" s="77" t="e">
        <f aca="false">#DIV/0!</f>
        <v>#DIV/0!</v>
      </c>
      <c r="I220" s="77" t="e">
        <f aca="false">#DIV/0!</f>
        <v>#DIV/0!</v>
      </c>
      <c r="J220" s="269" t="s">
        <v>681</v>
      </c>
      <c r="K220" s="27" t="n">
        <v>20000</v>
      </c>
      <c r="L220" s="27" t="n">
        <v>26000</v>
      </c>
      <c r="M220" s="45"/>
      <c r="N220" s="29" t="n">
        <v>26000</v>
      </c>
      <c r="O220" s="29" t="n">
        <v>26000</v>
      </c>
      <c r="P220" s="27" t="n">
        <v>0</v>
      </c>
      <c r="Q220" s="263" t="n">
        <v>45362</v>
      </c>
    </row>
    <row r="221" customFormat="false" ht="26.1" hidden="false" customHeight="false" outlineLevel="0" collapsed="false">
      <c r="A221" s="20" t="n">
        <v>2326</v>
      </c>
      <c r="B221" s="22" t="s">
        <v>248</v>
      </c>
      <c r="C221" s="22" t="s">
        <v>249</v>
      </c>
      <c r="D221" s="22"/>
      <c r="E221" s="23" t="n">
        <v>45237</v>
      </c>
      <c r="F221" s="23" t="n">
        <v>45356</v>
      </c>
      <c r="G221" s="37" t="n">
        <v>85</v>
      </c>
      <c r="H221" s="77" t="n">
        <v>80</v>
      </c>
      <c r="I221" s="77" t="n">
        <v>5</v>
      </c>
      <c r="J221" s="269" t="s">
        <v>850</v>
      </c>
      <c r="K221" s="30" t="n">
        <v>30000</v>
      </c>
      <c r="L221" s="30" t="n">
        <v>64800</v>
      </c>
      <c r="M221" s="28" t="n">
        <v>4050</v>
      </c>
      <c r="N221" s="29" t="n">
        <v>16200</v>
      </c>
      <c r="O221" s="29" t="n">
        <v>64800</v>
      </c>
      <c r="P221" s="27" t="n">
        <v>0</v>
      </c>
      <c r="Q221" s="263" t="n">
        <v>45362</v>
      </c>
    </row>
    <row r="222" customFormat="false" ht="26.1" hidden="false" customHeight="false" outlineLevel="0" collapsed="false">
      <c r="A222" s="20" t="n">
        <v>2506</v>
      </c>
      <c r="B222" s="22" t="s">
        <v>589</v>
      </c>
      <c r="C222" s="22" t="s">
        <v>590</v>
      </c>
      <c r="D222" s="22" t="s">
        <v>311</v>
      </c>
      <c r="E222" s="23" t="n">
        <v>45353</v>
      </c>
      <c r="F222" s="23" t="n">
        <v>45359</v>
      </c>
      <c r="G222" s="37" t="n">
        <v>5</v>
      </c>
      <c r="H222" s="49" t="e">
        <f aca="false">#VALUE!</f>
        <v>#VALUE!</v>
      </c>
      <c r="I222" s="49" t="e">
        <f aca="false">#VALUE!</f>
        <v>#VALUE!</v>
      </c>
      <c r="J222" s="269" t="s">
        <v>681</v>
      </c>
      <c r="K222" s="27" t="n">
        <v>10000</v>
      </c>
      <c r="L222" s="27" t="n">
        <v>13000</v>
      </c>
      <c r="M222" s="45" t="s">
        <v>184</v>
      </c>
      <c r="N222" s="29" t="n">
        <v>13000</v>
      </c>
      <c r="O222" s="29" t="n">
        <v>13000</v>
      </c>
      <c r="P222" s="27" t="n">
        <v>0</v>
      </c>
      <c r="Q222" s="263" t="n">
        <v>45362</v>
      </c>
    </row>
    <row r="223" customFormat="false" ht="17.9" hidden="false" customHeight="false" outlineLevel="0" collapsed="false">
      <c r="A223" s="20" t="n">
        <v>2511</v>
      </c>
      <c r="B223" s="22" t="s">
        <v>363</v>
      </c>
      <c r="C223" s="22"/>
      <c r="D223" s="22"/>
      <c r="E223" s="23" t="n">
        <v>45359</v>
      </c>
      <c r="F223" s="23" t="n">
        <v>45366</v>
      </c>
      <c r="G223" s="37" t="n">
        <v>5</v>
      </c>
      <c r="H223" s="77" t="e">
        <f aca="false">#DIV/0!</f>
        <v>#DIV/0!</v>
      </c>
      <c r="I223" s="77" t="e">
        <f aca="false">#DIV/0!</f>
        <v>#DIV/0!</v>
      </c>
      <c r="J223" s="22" t="s">
        <v>681</v>
      </c>
      <c r="K223" s="30" t="n">
        <v>50000</v>
      </c>
      <c r="L223" s="30" t="n">
        <v>65000</v>
      </c>
      <c r="M223" s="28"/>
      <c r="N223" s="29" t="n">
        <v>65000</v>
      </c>
      <c r="O223" s="29" t="n">
        <v>65000</v>
      </c>
      <c r="P223" s="27" t="n">
        <v>0</v>
      </c>
      <c r="Q223" s="263" t="n">
        <v>45362</v>
      </c>
    </row>
    <row r="224" customFormat="false" ht="28.35" hidden="false" customHeight="false" outlineLevel="0" collapsed="false">
      <c r="A224" s="20" t="n">
        <v>2338</v>
      </c>
      <c r="B224" s="34" t="s">
        <v>360</v>
      </c>
      <c r="C224" s="34" t="s">
        <v>361</v>
      </c>
      <c r="D224" s="34"/>
      <c r="E224" s="23" t="n">
        <v>45246</v>
      </c>
      <c r="F224" s="42" t="n">
        <v>45362</v>
      </c>
      <c r="G224" s="37" t="n">
        <v>82</v>
      </c>
      <c r="H224" s="265" t="n">
        <v>0</v>
      </c>
      <c r="I224" s="77" t="n">
        <v>82</v>
      </c>
      <c r="J224" s="22" t="s">
        <v>851</v>
      </c>
      <c r="K224" s="22" t="n">
        <v>30000</v>
      </c>
      <c r="L224" s="30" t="n">
        <v>64800</v>
      </c>
      <c r="M224" s="28" t="n">
        <v>4050</v>
      </c>
      <c r="N224" s="29" t="n">
        <v>16200</v>
      </c>
      <c r="O224" s="29" t="n">
        <v>65400</v>
      </c>
      <c r="P224" s="27" t="n">
        <v>-600</v>
      </c>
      <c r="Q224" s="263" t="n">
        <v>45362</v>
      </c>
    </row>
    <row r="225" customFormat="false" ht="34.3" hidden="false" customHeight="false" outlineLevel="0" collapsed="false">
      <c r="A225" s="20" t="n">
        <v>2312</v>
      </c>
      <c r="B225" s="22" t="s">
        <v>382</v>
      </c>
      <c r="C225" s="22" t="s">
        <v>383</v>
      </c>
      <c r="D225" s="22"/>
      <c r="E225" s="23" t="n">
        <v>45225</v>
      </c>
      <c r="F225" s="23" t="n">
        <v>45327</v>
      </c>
      <c r="G225" s="37" t="n">
        <v>72</v>
      </c>
      <c r="H225" s="77" t="n">
        <v>72</v>
      </c>
      <c r="I225" s="77" t="n">
        <v>0</v>
      </c>
      <c r="J225" s="22" t="s">
        <v>560</v>
      </c>
      <c r="K225" s="27" t="n">
        <v>10000</v>
      </c>
      <c r="L225" s="27" t="n">
        <v>21600</v>
      </c>
      <c r="M225" s="45" t="n">
        <v>1500</v>
      </c>
      <c r="N225" s="29" t="n">
        <v>2600</v>
      </c>
      <c r="O225" s="29" t="n">
        <v>21600</v>
      </c>
      <c r="P225" s="27" t="n">
        <v>0</v>
      </c>
      <c r="Q225" s="263" t="n">
        <v>45362</v>
      </c>
    </row>
    <row r="226" customFormat="false" ht="42.5" hidden="false" customHeight="false" outlineLevel="0" collapsed="false">
      <c r="A226" s="20" t="n">
        <v>2295</v>
      </c>
      <c r="B226" s="22" t="s">
        <v>852</v>
      </c>
      <c r="C226" s="22" t="s">
        <v>853</v>
      </c>
      <c r="D226" s="22" t="s">
        <v>854</v>
      </c>
      <c r="E226" s="23" t="n">
        <v>45212</v>
      </c>
      <c r="F226" s="23" t="n">
        <v>45314</v>
      </c>
      <c r="G226" s="37" t="n">
        <v>72</v>
      </c>
      <c r="H226" s="77" t="n">
        <v>72</v>
      </c>
      <c r="I226" s="77" t="n">
        <v>0</v>
      </c>
      <c r="J226" s="22" t="s">
        <v>855</v>
      </c>
      <c r="K226" s="27" t="n">
        <v>45000</v>
      </c>
      <c r="L226" s="27" t="n">
        <v>97200</v>
      </c>
      <c r="M226" s="45" t="n">
        <v>6750</v>
      </c>
      <c r="N226" s="29" t="n">
        <v>24600</v>
      </c>
      <c r="O226" s="29" t="n">
        <v>97200</v>
      </c>
      <c r="P226" s="27" t="n">
        <v>0</v>
      </c>
      <c r="Q226" s="263" t="n">
        <v>45362</v>
      </c>
    </row>
    <row r="227" customFormat="false" ht="26.1" hidden="false" customHeight="false" outlineLevel="0" collapsed="false">
      <c r="A227" s="20" t="n">
        <v>2354</v>
      </c>
      <c r="B227" s="22" t="s">
        <v>856</v>
      </c>
      <c r="C227" s="22" t="s">
        <v>556</v>
      </c>
      <c r="D227" s="22"/>
      <c r="E227" s="23" t="n">
        <v>45259</v>
      </c>
      <c r="F227" s="23" t="n">
        <v>45359</v>
      </c>
      <c r="G227" s="37" t="n">
        <v>72</v>
      </c>
      <c r="H227" s="49" t="n">
        <v>72</v>
      </c>
      <c r="I227" s="49" t="n">
        <v>0</v>
      </c>
      <c r="J227" s="22" t="s">
        <v>679</v>
      </c>
      <c r="K227" s="30" t="n">
        <v>20000</v>
      </c>
      <c r="L227" s="30" t="n">
        <v>43200</v>
      </c>
      <c r="M227" s="45" t="n">
        <v>3000</v>
      </c>
      <c r="N227" s="29" t="n">
        <v>4200</v>
      </c>
      <c r="O227" s="29" t="n">
        <v>43200</v>
      </c>
      <c r="P227" s="27" t="n">
        <v>0</v>
      </c>
      <c r="Q227" s="263" t="n">
        <v>45362</v>
      </c>
    </row>
    <row r="228" customFormat="false" ht="26.1" hidden="false" customHeight="false" outlineLevel="0" collapsed="false">
      <c r="A228" s="20" t="n">
        <v>2317</v>
      </c>
      <c r="B228" s="22" t="s">
        <v>857</v>
      </c>
      <c r="C228" s="22" t="s">
        <v>182</v>
      </c>
      <c r="D228" s="22"/>
      <c r="E228" s="23" t="n">
        <v>45229</v>
      </c>
      <c r="F228" s="23" t="n">
        <v>45383</v>
      </c>
      <c r="G228" s="37" t="n">
        <v>110</v>
      </c>
      <c r="H228" s="77" t="n">
        <v>110</v>
      </c>
      <c r="I228" s="77" t="n">
        <v>0</v>
      </c>
      <c r="J228" s="22" t="s">
        <v>858</v>
      </c>
      <c r="K228" s="30" t="n">
        <v>50000</v>
      </c>
      <c r="L228" s="30" t="n">
        <v>132000</v>
      </c>
      <c r="M228" s="28" t="n">
        <v>6000</v>
      </c>
      <c r="N228" s="29" t="n">
        <v>24000</v>
      </c>
      <c r="O228" s="29" t="n">
        <v>132000</v>
      </c>
      <c r="P228" s="30" t="n">
        <v>0</v>
      </c>
      <c r="Q228" s="263" t="n">
        <v>45369</v>
      </c>
    </row>
    <row r="229" customFormat="false" ht="19.4" hidden="false" customHeight="false" outlineLevel="0" collapsed="false">
      <c r="A229" s="20" t="n">
        <v>2301</v>
      </c>
      <c r="B229" s="34" t="s">
        <v>701</v>
      </c>
      <c r="C229" s="34" t="s">
        <v>702</v>
      </c>
      <c r="D229" s="34"/>
      <c r="E229" s="23" t="n">
        <v>45108</v>
      </c>
      <c r="F229" s="42" t="n">
        <v>45209</v>
      </c>
      <c r="G229" s="37" t="n">
        <v>72</v>
      </c>
      <c r="H229" s="77" t="n">
        <v>80.3703703703704</v>
      </c>
      <c r="I229" s="77" t="n">
        <v>-8.37037037037037</v>
      </c>
      <c r="J229" s="285" t="s">
        <v>859</v>
      </c>
      <c r="K229" s="30" t="n">
        <v>30000</v>
      </c>
      <c r="L229" s="27" t="n">
        <v>64800</v>
      </c>
      <c r="M229" s="45" t="n">
        <v>4050</v>
      </c>
      <c r="N229" s="29" t="n">
        <v>4500</v>
      </c>
      <c r="O229" s="29" t="n">
        <v>65100</v>
      </c>
      <c r="P229" s="27" t="n">
        <v>-300</v>
      </c>
      <c r="Q229" s="263" t="n">
        <v>45369</v>
      </c>
    </row>
    <row r="230" customFormat="false" ht="17.9" hidden="false" customHeight="false" outlineLevel="0" collapsed="false">
      <c r="A230" s="20" t="n">
        <v>2523</v>
      </c>
      <c r="B230" s="22" t="s">
        <v>363</v>
      </c>
      <c r="C230" s="22"/>
      <c r="D230" s="22"/>
      <c r="E230" s="23" t="n">
        <v>45367</v>
      </c>
      <c r="F230" s="23" t="n">
        <v>45373</v>
      </c>
      <c r="G230" s="37" t="n">
        <v>5</v>
      </c>
      <c r="H230" s="77" t="e">
        <f aca="false">#DIV/0!</f>
        <v>#DIV/0!</v>
      </c>
      <c r="I230" s="77" t="e">
        <f aca="false">#DIV/0!</f>
        <v>#DIV/0!</v>
      </c>
      <c r="J230" s="22" t="s">
        <v>681</v>
      </c>
      <c r="K230" s="27" t="n">
        <v>20000</v>
      </c>
      <c r="L230" s="27" t="n">
        <v>26000</v>
      </c>
      <c r="M230" s="45"/>
      <c r="N230" s="29" t="n">
        <v>39000</v>
      </c>
      <c r="O230" s="29" t="n">
        <v>39000</v>
      </c>
      <c r="P230" s="27" t="n">
        <v>-13000</v>
      </c>
      <c r="Q230" s="263" t="n">
        <v>45369</v>
      </c>
    </row>
    <row r="231" customFormat="false" ht="34.3" hidden="false" customHeight="false" outlineLevel="0" collapsed="false">
      <c r="A231" s="20" t="n">
        <v>2353</v>
      </c>
      <c r="B231" s="22" t="s">
        <v>440</v>
      </c>
      <c r="C231" s="22" t="s">
        <v>207</v>
      </c>
      <c r="D231" s="22"/>
      <c r="E231" s="23" t="n">
        <v>45258</v>
      </c>
      <c r="F231" s="23" t="n">
        <v>45358</v>
      </c>
      <c r="G231" s="37" t="n">
        <v>72</v>
      </c>
      <c r="H231" s="77" t="n">
        <v>72.6111111111111</v>
      </c>
      <c r="I231" s="77" t="n">
        <v>-0.611111111111114</v>
      </c>
      <c r="J231" s="22" t="s">
        <v>675</v>
      </c>
      <c r="K231" s="30" t="n">
        <v>30000</v>
      </c>
      <c r="L231" s="30" t="n">
        <v>64800</v>
      </c>
      <c r="M231" s="28" t="n">
        <v>4500</v>
      </c>
      <c r="N231" s="29" t="n">
        <v>850</v>
      </c>
      <c r="O231" s="29" t="n">
        <v>65350</v>
      </c>
      <c r="P231" s="27" t="n">
        <v>-550</v>
      </c>
      <c r="Q231" s="263" t="n">
        <v>45369</v>
      </c>
    </row>
    <row r="232" customFormat="false" ht="42.5" hidden="false" customHeight="false" outlineLevel="0" collapsed="false">
      <c r="A232" s="20" t="n">
        <v>2359</v>
      </c>
      <c r="B232" s="22" t="s">
        <v>748</v>
      </c>
      <c r="C232" s="22" t="s">
        <v>493</v>
      </c>
      <c r="D232" s="22"/>
      <c r="E232" s="23" t="n">
        <v>45262</v>
      </c>
      <c r="F232" s="23" t="n">
        <v>45363</v>
      </c>
      <c r="G232" s="37" t="n">
        <v>72</v>
      </c>
      <c r="H232" s="49" t="n">
        <v>72</v>
      </c>
      <c r="I232" s="49" t="n">
        <v>0</v>
      </c>
      <c r="J232" s="22" t="s">
        <v>675</v>
      </c>
      <c r="K232" s="30" t="n">
        <v>30000</v>
      </c>
      <c r="L232" s="30" t="n">
        <v>64800</v>
      </c>
      <c r="M232" s="28" t="n">
        <v>4500</v>
      </c>
      <c r="N232" s="29" t="n">
        <v>5200</v>
      </c>
      <c r="O232" s="29" t="n">
        <v>64800</v>
      </c>
      <c r="P232" s="27" t="n">
        <v>0</v>
      </c>
      <c r="Q232" s="263" t="n">
        <v>45369</v>
      </c>
    </row>
    <row r="233" customFormat="false" ht="26.1" hidden="false" customHeight="false" outlineLevel="0" collapsed="false">
      <c r="A233" s="20" t="n">
        <v>2355</v>
      </c>
      <c r="B233" s="22" t="s">
        <v>499</v>
      </c>
      <c r="C233" s="22" t="s">
        <v>500</v>
      </c>
      <c r="D233" s="22" t="n">
        <v>24324078</v>
      </c>
      <c r="E233" s="23" t="n">
        <v>45259</v>
      </c>
      <c r="F233" s="23" t="s">
        <v>184</v>
      </c>
      <c r="G233" s="37" t="n">
        <v>72</v>
      </c>
      <c r="H233" s="49" t="n">
        <v>72</v>
      </c>
      <c r="I233" s="49" t="n">
        <v>0</v>
      </c>
      <c r="J233" s="22" t="s">
        <v>860</v>
      </c>
      <c r="K233" s="30" t="n">
        <v>50000</v>
      </c>
      <c r="L233" s="30" t="n">
        <v>111096</v>
      </c>
      <c r="M233" s="28" t="n">
        <v>7715</v>
      </c>
      <c r="N233" s="29" t="n">
        <v>6096</v>
      </c>
      <c r="O233" s="29" t="n">
        <v>111096</v>
      </c>
      <c r="P233" s="27" t="n">
        <v>0</v>
      </c>
      <c r="Q233" s="263" t="n">
        <v>45369</v>
      </c>
    </row>
    <row r="234" customFormat="false" ht="17.9" hidden="false" customHeight="false" outlineLevel="0" collapsed="false">
      <c r="A234" s="20" t="n">
        <v>2386</v>
      </c>
      <c r="B234" s="22" t="s">
        <v>519</v>
      </c>
      <c r="C234" s="22" t="s">
        <v>520</v>
      </c>
      <c r="D234" s="22"/>
      <c r="E234" s="23" t="n">
        <v>45282</v>
      </c>
      <c r="F234" s="23" t="n">
        <v>45384</v>
      </c>
      <c r="G234" s="37" t="n">
        <v>72</v>
      </c>
      <c r="H234" s="49" t="n">
        <v>72.2222222222222</v>
      </c>
      <c r="I234" s="49" t="n">
        <v>-0.222222222222229</v>
      </c>
      <c r="J234" s="22" t="s">
        <v>675</v>
      </c>
      <c r="K234" s="30" t="n">
        <v>30000</v>
      </c>
      <c r="L234" s="30" t="n">
        <v>64800</v>
      </c>
      <c r="M234" s="45" t="n">
        <v>4500</v>
      </c>
      <c r="N234" s="29" t="n">
        <v>2000</v>
      </c>
      <c r="O234" s="29" t="n">
        <v>65000</v>
      </c>
      <c r="P234" s="27" t="n">
        <v>-200</v>
      </c>
      <c r="Q234" s="263" t="n">
        <v>45369</v>
      </c>
    </row>
    <row r="235" customFormat="false" ht="26.1" hidden="false" customHeight="false" outlineLevel="0" collapsed="false">
      <c r="A235" s="20" t="n">
        <v>2239</v>
      </c>
      <c r="B235" s="22" t="s">
        <v>334</v>
      </c>
      <c r="C235" s="22" t="s">
        <v>725</v>
      </c>
      <c r="D235" s="22"/>
      <c r="E235" s="23" t="n">
        <v>45175</v>
      </c>
      <c r="F235" s="23" t="n">
        <v>45359</v>
      </c>
      <c r="G235" s="37" t="n">
        <v>132</v>
      </c>
      <c r="H235" s="77" t="n">
        <v>120</v>
      </c>
      <c r="I235" s="77" t="n">
        <v>12</v>
      </c>
      <c r="J235" s="269" t="s">
        <v>819</v>
      </c>
      <c r="K235" s="30" t="n">
        <v>30000</v>
      </c>
      <c r="L235" s="27" t="n">
        <v>79200</v>
      </c>
      <c r="M235" s="45" t="n">
        <v>3300</v>
      </c>
      <c r="N235" s="29" t="n">
        <v>13200</v>
      </c>
      <c r="O235" s="29" t="n">
        <v>79200</v>
      </c>
      <c r="P235" s="27" t="n">
        <v>0</v>
      </c>
      <c r="Q235" s="263" t="n">
        <v>45376</v>
      </c>
    </row>
    <row r="236" customFormat="false" ht="17.9" hidden="false" customHeight="false" outlineLevel="0" collapsed="false">
      <c r="A236" s="20" t="n">
        <v>2541</v>
      </c>
      <c r="B236" s="22" t="s">
        <v>363</v>
      </c>
      <c r="C236" s="22"/>
      <c r="D236" s="22"/>
      <c r="E236" s="23" t="n">
        <v>45374</v>
      </c>
      <c r="F236" s="23" t="n">
        <v>45380</v>
      </c>
      <c r="G236" s="37" t="n">
        <v>5</v>
      </c>
      <c r="H236" s="77" t="e">
        <f aca="false">#DIV/0!</f>
        <v>#DIV/0!</v>
      </c>
      <c r="I236" s="77" t="e">
        <f aca="false">#DIV/0!</f>
        <v>#DIV/0!</v>
      </c>
      <c r="J236" s="269" t="s">
        <v>681</v>
      </c>
      <c r="K236" s="27" t="n">
        <v>30000</v>
      </c>
      <c r="L236" s="27" t="n">
        <v>39000</v>
      </c>
      <c r="M236" s="45"/>
      <c r="N236" s="29" t="n">
        <v>39000</v>
      </c>
      <c r="O236" s="29" t="n">
        <v>39000</v>
      </c>
      <c r="P236" s="27" t="n">
        <v>0</v>
      </c>
      <c r="Q236" s="263" t="n">
        <v>45376</v>
      </c>
    </row>
    <row r="237" customFormat="false" ht="26.1" hidden="false" customHeight="false" outlineLevel="0" collapsed="false">
      <c r="A237" s="20" t="n">
        <v>2522</v>
      </c>
      <c r="B237" s="22" t="s">
        <v>861</v>
      </c>
      <c r="C237" s="22" t="s">
        <v>862</v>
      </c>
      <c r="D237" s="22" t="s">
        <v>863</v>
      </c>
      <c r="E237" s="23" t="n">
        <v>45367</v>
      </c>
      <c r="F237" s="23" t="n">
        <v>45464</v>
      </c>
      <c r="G237" s="24" t="n">
        <v>70</v>
      </c>
      <c r="H237" s="49" t="n">
        <v>70</v>
      </c>
      <c r="I237" s="49" t="n">
        <v>0</v>
      </c>
      <c r="J237" s="22" t="s">
        <v>864</v>
      </c>
      <c r="K237" s="27" t="n">
        <v>80000</v>
      </c>
      <c r="L237" s="27" t="n">
        <v>175000</v>
      </c>
      <c r="M237" s="45" t="n">
        <v>12500</v>
      </c>
      <c r="N237" s="29" t="n">
        <v>92500</v>
      </c>
      <c r="O237" s="29" t="n">
        <v>175000</v>
      </c>
      <c r="P237" s="27" t="n">
        <v>0</v>
      </c>
      <c r="Q237" s="263" t="n">
        <v>45376</v>
      </c>
    </row>
    <row r="238" customFormat="false" ht="17.9" hidden="false" customHeight="false" outlineLevel="0" collapsed="false">
      <c r="A238" s="20" t="n">
        <v>2363</v>
      </c>
      <c r="B238" s="22" t="s">
        <v>393</v>
      </c>
      <c r="C238" s="22"/>
      <c r="D238" s="22"/>
      <c r="E238" s="23" t="n">
        <v>45266</v>
      </c>
      <c r="F238" s="23" t="n">
        <v>45366</v>
      </c>
      <c r="G238" s="37" t="n">
        <v>72</v>
      </c>
      <c r="H238" s="77" t="n">
        <v>72</v>
      </c>
      <c r="I238" s="77" t="n">
        <v>0</v>
      </c>
      <c r="J238" s="22" t="s">
        <v>784</v>
      </c>
      <c r="K238" s="27" t="n">
        <v>40000</v>
      </c>
      <c r="L238" s="27" t="n">
        <v>86400</v>
      </c>
      <c r="M238" s="45" t="n">
        <v>6000</v>
      </c>
      <c r="N238" s="29" t="n">
        <v>2400</v>
      </c>
      <c r="O238" s="29" t="n">
        <v>86400</v>
      </c>
      <c r="P238" s="27" t="n">
        <v>0</v>
      </c>
      <c r="Q238" s="263" t="n">
        <v>45376</v>
      </c>
    </row>
    <row r="239" customFormat="false" ht="26.1" hidden="false" customHeight="false" outlineLevel="0" collapsed="false">
      <c r="A239" s="20" t="n">
        <v>2333</v>
      </c>
      <c r="B239" s="22" t="s">
        <v>682</v>
      </c>
      <c r="C239" s="22" t="s">
        <v>683</v>
      </c>
      <c r="D239" s="22"/>
      <c r="E239" s="23" t="n">
        <v>45239</v>
      </c>
      <c r="F239" s="23" t="n">
        <v>45341</v>
      </c>
      <c r="G239" s="37" t="n">
        <v>72</v>
      </c>
      <c r="H239" s="77" t="n">
        <v>72</v>
      </c>
      <c r="I239" s="77" t="n">
        <v>0</v>
      </c>
      <c r="J239" s="22" t="s">
        <v>675</v>
      </c>
      <c r="K239" s="30" t="n">
        <v>30000</v>
      </c>
      <c r="L239" s="30" t="n">
        <v>64800</v>
      </c>
      <c r="M239" s="45" t="n">
        <v>4500</v>
      </c>
      <c r="N239" s="29" t="n">
        <v>1800</v>
      </c>
      <c r="O239" s="29" t="n">
        <v>64800</v>
      </c>
      <c r="P239" s="27" t="n">
        <v>0</v>
      </c>
      <c r="Q239" s="263" t="n">
        <v>45376</v>
      </c>
    </row>
    <row r="240" customFormat="false" ht="34.3" hidden="false" customHeight="false" outlineLevel="0" collapsed="false">
      <c r="A240" s="20" t="n">
        <v>2352</v>
      </c>
      <c r="B240" s="22" t="s">
        <v>446</v>
      </c>
      <c r="C240" s="22" t="s">
        <v>805</v>
      </c>
      <c r="D240" s="22"/>
      <c r="E240" s="23" t="n">
        <v>45258</v>
      </c>
      <c r="F240" s="23" t="n">
        <v>45384</v>
      </c>
      <c r="G240" s="37" t="n">
        <v>90</v>
      </c>
      <c r="H240" s="77" t="n">
        <v>80</v>
      </c>
      <c r="I240" s="77" t="n">
        <v>10</v>
      </c>
      <c r="J240" s="269" t="s">
        <v>865</v>
      </c>
      <c r="K240" s="30" t="n">
        <v>15000</v>
      </c>
      <c r="L240" s="30" t="n">
        <v>32400</v>
      </c>
      <c r="M240" s="45" t="n">
        <v>2025</v>
      </c>
      <c r="N240" s="29" t="n">
        <v>8100</v>
      </c>
      <c r="O240" s="29" t="n">
        <v>32400</v>
      </c>
      <c r="P240" s="27" t="n">
        <v>0</v>
      </c>
      <c r="Q240" s="263" t="n">
        <v>45376</v>
      </c>
    </row>
    <row r="241" customFormat="false" ht="34.3" hidden="false" customHeight="false" outlineLevel="0" collapsed="false">
      <c r="A241" s="20" t="n">
        <v>2170</v>
      </c>
      <c r="B241" s="22" t="s">
        <v>866</v>
      </c>
      <c r="C241" s="22" t="s">
        <v>533</v>
      </c>
      <c r="D241" s="22"/>
      <c r="E241" s="23" t="n">
        <v>45122</v>
      </c>
      <c r="F241" s="23" t="n">
        <v>45275</v>
      </c>
      <c r="G241" s="37" t="n">
        <v>110</v>
      </c>
      <c r="H241" s="49" t="n">
        <v>111.666666666667</v>
      </c>
      <c r="I241" s="49" t="n">
        <v>-1.66666666666667</v>
      </c>
      <c r="J241" s="22" t="s">
        <v>858</v>
      </c>
      <c r="K241" s="30" t="n">
        <v>50000</v>
      </c>
      <c r="L241" s="30" t="n">
        <v>132000</v>
      </c>
      <c r="M241" s="28" t="n">
        <v>6000</v>
      </c>
      <c r="N241" s="29" t="n">
        <v>18000</v>
      </c>
      <c r="O241" s="29" t="n">
        <v>134000</v>
      </c>
      <c r="P241" s="27" t="n">
        <v>-2000</v>
      </c>
      <c r="Q241" s="263" t="n">
        <v>45376</v>
      </c>
    </row>
    <row r="242" customFormat="false" ht="26.1" hidden="false" customHeight="false" outlineLevel="0" collapsed="false">
      <c r="A242" s="20" t="n">
        <v>2509</v>
      </c>
      <c r="B242" s="22" t="s">
        <v>723</v>
      </c>
      <c r="C242" s="22" t="s">
        <v>809</v>
      </c>
      <c r="D242" s="22"/>
      <c r="E242" s="23" t="n">
        <v>45357</v>
      </c>
      <c r="F242" s="23" t="n">
        <v>45385</v>
      </c>
      <c r="G242" s="37" t="n">
        <v>20</v>
      </c>
      <c r="H242" s="77" t="e">
        <f aca="false">#DIV/0!</f>
        <v>#DIV/0!</v>
      </c>
      <c r="I242" s="77" t="e">
        <f aca="false">#DIV/0!</f>
        <v>#DIV/0!</v>
      </c>
      <c r="J242" s="269" t="s">
        <v>681</v>
      </c>
      <c r="K242" s="30" t="n">
        <v>100000</v>
      </c>
      <c r="L242" s="30" t="n">
        <v>150000</v>
      </c>
      <c r="M242" s="28"/>
      <c r="N242" s="29" t="n">
        <v>25000</v>
      </c>
      <c r="O242" s="29" t="n">
        <v>150000</v>
      </c>
      <c r="P242" s="27" t="n">
        <v>0</v>
      </c>
      <c r="Q242" s="263" t="n">
        <v>45383</v>
      </c>
    </row>
    <row r="243" customFormat="false" ht="34.3" hidden="false" customHeight="false" outlineLevel="0" collapsed="false">
      <c r="A243" s="20" t="n">
        <v>2368</v>
      </c>
      <c r="B243" s="22" t="s">
        <v>226</v>
      </c>
      <c r="C243" s="22" t="s">
        <v>227</v>
      </c>
      <c r="D243" s="22"/>
      <c r="E243" s="23" t="n">
        <v>45269</v>
      </c>
      <c r="F243" s="23" t="n">
        <v>45370</v>
      </c>
      <c r="G243" s="37" t="n">
        <v>72</v>
      </c>
      <c r="H243" s="77" t="n">
        <v>72</v>
      </c>
      <c r="I243" s="77" t="n">
        <v>0</v>
      </c>
      <c r="J243" s="22" t="s">
        <v>675</v>
      </c>
      <c r="K243" s="30" t="n">
        <v>30000</v>
      </c>
      <c r="L243" s="30" t="n">
        <v>64800</v>
      </c>
      <c r="M243" s="28" t="n">
        <v>4500</v>
      </c>
      <c r="N243" s="29" t="n">
        <v>1350</v>
      </c>
      <c r="O243" s="29" t="n">
        <v>64800</v>
      </c>
      <c r="P243" s="27" t="n">
        <v>0</v>
      </c>
      <c r="Q243" s="263" t="n">
        <v>45383</v>
      </c>
    </row>
    <row r="244" customFormat="false" ht="26.1" hidden="false" customHeight="false" outlineLevel="0" collapsed="false">
      <c r="A244" s="20" t="n">
        <v>2415</v>
      </c>
      <c r="B244" s="22" t="s">
        <v>291</v>
      </c>
      <c r="C244" s="22" t="s">
        <v>292</v>
      </c>
      <c r="D244" s="22"/>
      <c r="E244" s="23" t="n">
        <v>45302</v>
      </c>
      <c r="F244" s="23" t="n">
        <v>45404</v>
      </c>
      <c r="G244" s="37" t="n">
        <v>72</v>
      </c>
      <c r="H244" s="77" t="n">
        <v>72</v>
      </c>
      <c r="I244" s="77" t="n">
        <v>0</v>
      </c>
      <c r="J244" s="22" t="s">
        <v>560</v>
      </c>
      <c r="K244" s="30" t="n">
        <v>10000</v>
      </c>
      <c r="L244" s="30" t="n">
        <v>21600</v>
      </c>
      <c r="M244" s="28" t="n">
        <v>1500</v>
      </c>
      <c r="N244" s="29" t="n">
        <v>2100</v>
      </c>
      <c r="O244" s="29" t="n">
        <v>21600</v>
      </c>
      <c r="P244" s="27" t="n">
        <v>0</v>
      </c>
      <c r="Q244" s="263" t="n">
        <v>45383</v>
      </c>
    </row>
    <row r="245" customFormat="false" ht="34.3" hidden="false" customHeight="false" outlineLevel="0" collapsed="false">
      <c r="A245" s="52" t="n">
        <v>2548</v>
      </c>
      <c r="B245" s="22" t="s">
        <v>382</v>
      </c>
      <c r="C245" s="22" t="s">
        <v>383</v>
      </c>
      <c r="D245" s="22"/>
      <c r="E245" s="23" t="n">
        <v>45380</v>
      </c>
      <c r="F245" s="23" t="n">
        <v>45385</v>
      </c>
      <c r="G245" s="37" t="n">
        <v>3</v>
      </c>
      <c r="H245" s="49" t="e">
        <f aca="false">#VALUE!</f>
        <v>#VALUE!</v>
      </c>
      <c r="I245" s="77" t="e">
        <f aca="false">#VALUE!</f>
        <v>#VALUE!</v>
      </c>
      <c r="J245" s="269" t="s">
        <v>867</v>
      </c>
      <c r="K245" s="27" t="n">
        <v>10000</v>
      </c>
      <c r="L245" s="27" t="n">
        <v>13000</v>
      </c>
      <c r="M245" s="45" t="s">
        <v>184</v>
      </c>
      <c r="N245" s="29" t="n">
        <v>13000</v>
      </c>
      <c r="O245" s="29" t="n">
        <v>13000</v>
      </c>
      <c r="P245" s="27" t="n">
        <v>0</v>
      </c>
      <c r="Q245" s="263" t="n">
        <v>45383</v>
      </c>
    </row>
    <row r="246" customFormat="false" ht="42.5" hidden="false" customHeight="false" outlineLevel="0" collapsed="false">
      <c r="A246" s="20" t="n">
        <v>2344</v>
      </c>
      <c r="B246" s="22" t="s">
        <v>420</v>
      </c>
      <c r="C246" s="22" t="s">
        <v>210</v>
      </c>
      <c r="D246" s="22"/>
      <c r="E246" s="23" t="n">
        <v>45254</v>
      </c>
      <c r="F246" s="23" t="n">
        <v>45356</v>
      </c>
      <c r="G246" s="37" t="n">
        <v>72</v>
      </c>
      <c r="H246" s="77" t="n">
        <v>72</v>
      </c>
      <c r="I246" s="77" t="n">
        <v>0</v>
      </c>
      <c r="J246" s="22" t="s">
        <v>675</v>
      </c>
      <c r="K246" s="30" t="n">
        <v>30000</v>
      </c>
      <c r="L246" s="30" t="n">
        <v>64800</v>
      </c>
      <c r="M246" s="28" t="n">
        <v>4500</v>
      </c>
      <c r="N246" s="29" t="n">
        <v>9300</v>
      </c>
      <c r="O246" s="29" t="n">
        <v>64800</v>
      </c>
      <c r="P246" s="27" t="n">
        <v>0</v>
      </c>
      <c r="Q246" s="263" t="n">
        <v>45383</v>
      </c>
    </row>
    <row r="247" customFormat="false" ht="26.1" hidden="false" customHeight="false" outlineLevel="0" collapsed="false">
      <c r="A247" s="20" t="n">
        <v>2455</v>
      </c>
      <c r="B247" s="22" t="s">
        <v>684</v>
      </c>
      <c r="C247" s="22" t="s">
        <v>685</v>
      </c>
      <c r="D247" s="22"/>
      <c r="E247" s="23" t="n">
        <v>45324</v>
      </c>
      <c r="F247" s="23" t="n">
        <v>45352</v>
      </c>
      <c r="G247" s="37" t="n">
        <v>20</v>
      </c>
      <c r="H247" s="77" t="e">
        <f aca="false">#DIV/0!</f>
        <v>#DIV/0!</v>
      </c>
      <c r="I247" s="77" t="e">
        <f aca="false">#DIV/0!</f>
        <v>#DIV/0!</v>
      </c>
      <c r="J247" s="269" t="s">
        <v>681</v>
      </c>
      <c r="K247" s="27" t="n">
        <v>40000</v>
      </c>
      <c r="L247" s="27" t="n">
        <v>60000</v>
      </c>
      <c r="M247" s="45"/>
      <c r="N247" s="29" t="n">
        <v>20000</v>
      </c>
      <c r="O247" s="29" t="n">
        <v>60000</v>
      </c>
      <c r="P247" s="27" t="n">
        <v>0</v>
      </c>
      <c r="Q247" s="263" t="n">
        <v>45383</v>
      </c>
    </row>
    <row r="248" customFormat="false" ht="15" hidden="false" customHeight="false" outlineLevel="0" collapsed="false">
      <c r="A248" s="20" t="n">
        <v>2513</v>
      </c>
      <c r="B248" s="22" t="s">
        <v>791</v>
      </c>
      <c r="C248" s="22"/>
      <c r="D248" s="22"/>
      <c r="E248" s="23" t="n">
        <v>45359</v>
      </c>
      <c r="F248" s="23" t="n">
        <v>45387</v>
      </c>
      <c r="G248" s="37" t="n">
        <v>20</v>
      </c>
      <c r="H248" s="77" t="e">
        <f aca="false">#DIV/0!</f>
        <v>#DIV/0!</v>
      </c>
      <c r="I248" s="77" t="e">
        <f aca="false">#DIV/0!</f>
        <v>#DIV/0!</v>
      </c>
      <c r="J248" s="22" t="s">
        <v>681</v>
      </c>
      <c r="K248" s="30" t="n">
        <v>10000</v>
      </c>
      <c r="L248" s="30" t="n">
        <v>16000</v>
      </c>
      <c r="M248" s="28"/>
      <c r="N248" s="29" t="n">
        <v>16000</v>
      </c>
      <c r="O248" s="29" t="n">
        <v>16000</v>
      </c>
      <c r="P248" s="27" t="n">
        <v>0</v>
      </c>
      <c r="Q248" s="263" t="n">
        <v>45383</v>
      </c>
    </row>
    <row r="249" customFormat="false" ht="15" hidden="false" customHeight="false" outlineLevel="0" collapsed="false">
      <c r="A249" s="20" t="n">
        <v>2529</v>
      </c>
      <c r="B249" s="22" t="s">
        <v>791</v>
      </c>
      <c r="C249" s="22"/>
      <c r="D249" s="22"/>
      <c r="E249" s="23" t="n">
        <v>45369</v>
      </c>
      <c r="F249" s="23" t="n">
        <v>45390</v>
      </c>
      <c r="G249" s="24" t="n">
        <v>15</v>
      </c>
      <c r="H249" s="49"/>
      <c r="I249" s="49"/>
      <c r="J249" s="22" t="s">
        <v>681</v>
      </c>
      <c r="K249" s="30" t="n">
        <v>5000</v>
      </c>
      <c r="L249" s="30" t="n">
        <v>8000</v>
      </c>
      <c r="M249" s="45"/>
      <c r="N249" s="29" t="n">
        <v>8000</v>
      </c>
      <c r="O249" s="29" t="n">
        <v>8000</v>
      </c>
      <c r="P249" s="27" t="n">
        <v>0</v>
      </c>
      <c r="Q249" s="263" t="n">
        <v>45383</v>
      </c>
    </row>
    <row r="250" customFormat="false" ht="15" hidden="false" customHeight="false" outlineLevel="0" collapsed="false">
      <c r="A250" s="20" t="n">
        <v>2542</v>
      </c>
      <c r="B250" s="22" t="s">
        <v>791</v>
      </c>
      <c r="C250" s="22"/>
      <c r="D250" s="22"/>
      <c r="E250" s="286" t="n">
        <v>45376</v>
      </c>
      <c r="F250" s="23" t="n">
        <v>45390</v>
      </c>
      <c r="G250" s="24" t="n">
        <v>10</v>
      </c>
      <c r="H250" s="77" t="e">
        <f aca="false">#DIV/0!</f>
        <v>#DIV/0!</v>
      </c>
      <c r="I250" s="77" t="e">
        <f aca="false">#DIV/0!</f>
        <v>#DIV/0!</v>
      </c>
      <c r="J250" s="269" t="s">
        <v>681</v>
      </c>
      <c r="K250" s="27" t="n">
        <v>5000</v>
      </c>
      <c r="L250" s="27" t="n">
        <v>8000</v>
      </c>
      <c r="M250" s="45"/>
      <c r="N250" s="29" t="n">
        <v>8000</v>
      </c>
      <c r="O250" s="29" t="n">
        <v>8000</v>
      </c>
      <c r="P250" s="27" t="n">
        <v>0</v>
      </c>
      <c r="Q250" s="263" t="n">
        <v>45383</v>
      </c>
    </row>
    <row r="251" customFormat="false" ht="15" hidden="false" customHeight="false" outlineLevel="0" collapsed="false">
      <c r="A251" s="20" t="n">
        <v>2510</v>
      </c>
      <c r="B251" s="22" t="s">
        <v>481</v>
      </c>
      <c r="C251" s="22"/>
      <c r="D251" s="22"/>
      <c r="E251" s="23" t="n">
        <v>45359</v>
      </c>
      <c r="F251" s="23" t="n">
        <f aca="false">WORKDAY(E251,G251)</f>
        <v>45387</v>
      </c>
      <c r="G251" s="24" t="n">
        <v>20</v>
      </c>
      <c r="H251" s="77" t="e">
        <f aca="false">(CQ251* 5)/M251</f>
        <v>#DIV/0!</v>
      </c>
      <c r="I251" s="77" t="e">
        <f aca="false">G251-H251</f>
        <v>#DIV/0!</v>
      </c>
      <c r="J251" s="269" t="s">
        <v>681</v>
      </c>
      <c r="K251" s="27" t="n">
        <v>10000</v>
      </c>
      <c r="L251" s="27" t="n">
        <v>16000</v>
      </c>
      <c r="M251" s="45"/>
      <c r="N251" s="29" t="n">
        <v>16000</v>
      </c>
      <c r="O251" s="29" t="n">
        <v>16000</v>
      </c>
      <c r="P251" s="27" t="n">
        <v>0</v>
      </c>
      <c r="Q251" s="263" t="n">
        <v>45383</v>
      </c>
    </row>
    <row r="252" customFormat="false" ht="34.3" hidden="false" customHeight="false" outlineLevel="0" collapsed="false">
      <c r="A252" s="20" t="n">
        <v>2151</v>
      </c>
      <c r="B252" s="22" t="s">
        <v>486</v>
      </c>
      <c r="C252" s="22" t="s">
        <v>476</v>
      </c>
      <c r="D252" s="22"/>
      <c r="E252" s="23" t="n">
        <v>45113</v>
      </c>
      <c r="F252" s="23" t="n">
        <v>45302</v>
      </c>
      <c r="G252" s="37" t="n">
        <v>135</v>
      </c>
      <c r="H252" s="49" t="n">
        <v>138.181818181818</v>
      </c>
      <c r="I252" s="49" t="n">
        <v>-3.18181818181819</v>
      </c>
      <c r="J252" s="269" t="s">
        <v>868</v>
      </c>
      <c r="K252" s="30" t="n">
        <v>15000</v>
      </c>
      <c r="L252" s="30" t="n">
        <v>39600</v>
      </c>
      <c r="M252" s="45" t="n">
        <v>1650</v>
      </c>
      <c r="N252" s="29" t="n">
        <v>6600</v>
      </c>
      <c r="O252" s="29" t="n">
        <v>45600</v>
      </c>
      <c r="P252" s="27" t="n">
        <v>-6000</v>
      </c>
      <c r="Q252" s="263" t="n">
        <v>45383</v>
      </c>
    </row>
    <row r="253" customFormat="false" ht="17.9" hidden="false" customHeight="false" outlineLevel="0" collapsed="false">
      <c r="A253" s="20" t="n">
        <v>2409</v>
      </c>
      <c r="B253" s="22" t="s">
        <v>537</v>
      </c>
      <c r="C253" s="22"/>
      <c r="D253" s="22"/>
      <c r="E253" s="23" t="n">
        <v>45300</v>
      </c>
      <c r="F253" s="23" t="n">
        <v>45440</v>
      </c>
      <c r="G253" s="37" t="n">
        <v>100</v>
      </c>
      <c r="H253" s="49" t="n">
        <v>72</v>
      </c>
      <c r="I253" s="49" t="n">
        <v>28</v>
      </c>
      <c r="J253" s="22" t="s">
        <v>703</v>
      </c>
      <c r="K253" s="30" t="n">
        <v>25000</v>
      </c>
      <c r="L253" s="30" t="n">
        <v>54000</v>
      </c>
      <c r="M253" s="45" t="n">
        <v>3750</v>
      </c>
      <c r="N253" s="29" t="n">
        <v>1500</v>
      </c>
      <c r="O253" s="29" t="n">
        <v>54000</v>
      </c>
      <c r="P253" s="27" t="n">
        <v>0</v>
      </c>
      <c r="Q253" s="263" t="n">
        <v>45383</v>
      </c>
    </row>
    <row r="254" customFormat="false" ht="50.7" hidden="false" customHeight="false" outlineLevel="0" collapsed="false">
      <c r="A254" s="20" t="n">
        <v>2383</v>
      </c>
      <c r="B254" s="36" t="s">
        <v>185</v>
      </c>
      <c r="C254" s="22" t="s">
        <v>186</v>
      </c>
      <c r="D254" s="22"/>
      <c r="E254" s="23" t="n">
        <v>45280</v>
      </c>
      <c r="F254" s="23" t="n">
        <v>45380</v>
      </c>
      <c r="G254" s="37" t="n">
        <v>72</v>
      </c>
      <c r="H254" s="77" t="n">
        <v>80</v>
      </c>
      <c r="I254" s="77" t="n">
        <v>-8</v>
      </c>
      <c r="J254" s="269" t="s">
        <v>869</v>
      </c>
      <c r="K254" s="30" t="n">
        <v>50000</v>
      </c>
      <c r="L254" s="30" t="n">
        <v>108000</v>
      </c>
      <c r="M254" s="28" t="n">
        <v>6750</v>
      </c>
      <c r="N254" s="29" t="n">
        <v>27000</v>
      </c>
      <c r="O254" s="29" t="n">
        <v>108000</v>
      </c>
      <c r="P254" s="30" t="n">
        <v>0</v>
      </c>
      <c r="Q254" s="263" t="n">
        <v>45390</v>
      </c>
    </row>
    <row r="255" customFormat="false" ht="42.5" hidden="false" customHeight="false" outlineLevel="0" collapsed="false">
      <c r="A255" s="20" t="n">
        <v>2396</v>
      </c>
      <c r="B255" s="36" t="s">
        <v>193</v>
      </c>
      <c r="C255" s="22" t="s">
        <v>194</v>
      </c>
      <c r="D255" s="22"/>
      <c r="E255" s="23" t="n">
        <v>45290</v>
      </c>
      <c r="F255" s="23" t="n">
        <v>45292</v>
      </c>
      <c r="G255" s="37" t="n">
        <v>72</v>
      </c>
      <c r="H255" s="77" t="n">
        <v>75</v>
      </c>
      <c r="I255" s="77" t="n">
        <v>-3</v>
      </c>
      <c r="J255" s="22" t="s">
        <v>679</v>
      </c>
      <c r="K255" s="30" t="n">
        <v>20000</v>
      </c>
      <c r="L255" s="30" t="n">
        <v>43200</v>
      </c>
      <c r="M255" s="28" t="n">
        <v>3000</v>
      </c>
      <c r="N255" s="29" t="n">
        <v>3000</v>
      </c>
      <c r="O255" s="29" t="n">
        <v>45000</v>
      </c>
      <c r="P255" s="27" t="n">
        <v>-1800</v>
      </c>
      <c r="Q255" s="263" t="n">
        <v>45390</v>
      </c>
    </row>
    <row r="256" customFormat="false" ht="17.9" hidden="false" customHeight="false" outlineLevel="0" collapsed="false">
      <c r="A256" s="20" t="n">
        <v>2258</v>
      </c>
      <c r="B256" s="36" t="s">
        <v>240</v>
      </c>
      <c r="C256" s="22" t="s">
        <v>241</v>
      </c>
      <c r="D256" s="22"/>
      <c r="E256" s="23" t="n">
        <v>45188</v>
      </c>
      <c r="F256" s="23" t="n">
        <v>45370</v>
      </c>
      <c r="G256" s="37" t="n">
        <v>130</v>
      </c>
      <c r="H256" s="77" t="n">
        <v>130</v>
      </c>
      <c r="I256" s="77" t="n">
        <v>0</v>
      </c>
      <c r="J256" s="74" t="s">
        <v>870</v>
      </c>
      <c r="K256" s="30" t="n">
        <v>100000</v>
      </c>
      <c r="L256" s="30" t="n">
        <v>240110</v>
      </c>
      <c r="M256" s="28" t="n">
        <v>9235</v>
      </c>
      <c r="N256" s="29" t="n">
        <v>18470</v>
      </c>
      <c r="O256" s="29" t="n">
        <v>240110</v>
      </c>
      <c r="P256" s="27" t="n">
        <v>0</v>
      </c>
      <c r="Q256" s="263" t="n">
        <v>45390</v>
      </c>
    </row>
    <row r="257" customFormat="false" ht="83.55" hidden="false" customHeight="false" outlineLevel="0" collapsed="false">
      <c r="A257" s="20" t="n">
        <v>2426</v>
      </c>
      <c r="B257" s="36" t="s">
        <v>802</v>
      </c>
      <c r="C257" s="22" t="s">
        <v>260</v>
      </c>
      <c r="D257" s="22"/>
      <c r="E257" s="23" t="n">
        <v>45308</v>
      </c>
      <c r="F257" s="23" t="n">
        <v>45408</v>
      </c>
      <c r="G257" s="37" t="n">
        <v>72</v>
      </c>
      <c r="H257" s="77" t="n">
        <v>72</v>
      </c>
      <c r="I257" s="77" t="n">
        <v>0</v>
      </c>
      <c r="J257" s="22" t="s">
        <v>871</v>
      </c>
      <c r="K257" s="27" t="n">
        <v>500000</v>
      </c>
      <c r="L257" s="27" t="n">
        <v>1080000</v>
      </c>
      <c r="M257" s="45" t="n">
        <v>75000</v>
      </c>
      <c r="N257" s="29" t="n">
        <v>255000</v>
      </c>
      <c r="O257" s="29" t="n">
        <v>1080000</v>
      </c>
      <c r="P257" s="27" t="n">
        <v>0</v>
      </c>
      <c r="Q257" s="263" t="n">
        <v>45390</v>
      </c>
    </row>
    <row r="258" customFormat="false" ht="15" hidden="false" customHeight="false" outlineLevel="0" collapsed="false">
      <c r="A258" s="20" t="n">
        <v>2551</v>
      </c>
      <c r="B258" s="36" t="s">
        <v>363</v>
      </c>
      <c r="C258" s="22"/>
      <c r="D258" s="22"/>
      <c r="E258" s="23" t="n">
        <v>45384</v>
      </c>
      <c r="F258" s="23" t="n">
        <v>45394</v>
      </c>
      <c r="G258" s="24" t="n">
        <v>8</v>
      </c>
      <c r="H258" s="77" t="e">
        <f aca="false">#DIV/0!</f>
        <v>#DIV/0!</v>
      </c>
      <c r="I258" s="77" t="e">
        <f aca="false">#DIV/0!</f>
        <v>#DIV/0!</v>
      </c>
      <c r="J258" s="269" t="s">
        <v>681</v>
      </c>
      <c r="K258" s="287" t="n">
        <v>40000</v>
      </c>
      <c r="L258" s="30" t="n">
        <v>52000</v>
      </c>
      <c r="M258" s="45"/>
      <c r="N258" s="29" t="n">
        <v>22000</v>
      </c>
      <c r="O258" s="29" t="n">
        <v>52000</v>
      </c>
      <c r="P258" s="27" t="n">
        <v>0</v>
      </c>
      <c r="Q258" s="263" t="n">
        <v>45390</v>
      </c>
    </row>
    <row r="259" customFormat="false" ht="15" hidden="false" customHeight="false" outlineLevel="0" collapsed="false">
      <c r="A259" s="20" t="n">
        <v>2558</v>
      </c>
      <c r="B259" s="36" t="s">
        <v>363</v>
      </c>
      <c r="C259" s="22"/>
      <c r="D259" s="22"/>
      <c r="E259" s="23" t="n">
        <v>45387</v>
      </c>
      <c r="F259" s="23" t="n">
        <v>45394</v>
      </c>
      <c r="G259" s="24" t="n">
        <v>5</v>
      </c>
      <c r="H259" s="77" t="e">
        <f aca="false">#DIV/0!</f>
        <v>#DIV/0!</v>
      </c>
      <c r="I259" s="77" t="e">
        <f aca="false">#DIV/0!</f>
        <v>#DIV/0!</v>
      </c>
      <c r="J259" s="269" t="s">
        <v>681</v>
      </c>
      <c r="K259" s="30" t="n">
        <v>20000</v>
      </c>
      <c r="L259" s="30" t="n">
        <v>26000</v>
      </c>
      <c r="M259" s="28"/>
      <c r="N259" s="29" t="n">
        <v>26000</v>
      </c>
      <c r="O259" s="29" t="n">
        <v>26000</v>
      </c>
      <c r="P259" s="27" t="n">
        <v>0</v>
      </c>
      <c r="Q259" s="263" t="n">
        <v>45390</v>
      </c>
    </row>
    <row r="260" customFormat="false" ht="26.1" hidden="false" customHeight="false" outlineLevel="0" collapsed="false">
      <c r="A260" s="20" t="n">
        <v>2343</v>
      </c>
      <c r="B260" s="36" t="s">
        <v>371</v>
      </c>
      <c r="C260" s="22" t="s">
        <v>372</v>
      </c>
      <c r="D260" s="22"/>
      <c r="E260" s="23" t="n">
        <v>45253</v>
      </c>
      <c r="F260" s="23" t="n">
        <v>45355</v>
      </c>
      <c r="G260" s="37" t="n">
        <v>72</v>
      </c>
      <c r="H260" s="77" t="n">
        <v>72</v>
      </c>
      <c r="I260" s="77" t="n">
        <v>0</v>
      </c>
      <c r="J260" s="22" t="s">
        <v>784</v>
      </c>
      <c r="K260" s="30" t="n">
        <v>40000</v>
      </c>
      <c r="L260" s="27" t="n">
        <v>86400</v>
      </c>
      <c r="M260" s="45" t="n">
        <v>6000</v>
      </c>
      <c r="N260" s="29" t="n">
        <v>6400</v>
      </c>
      <c r="O260" s="29" t="n">
        <v>86400</v>
      </c>
      <c r="P260" s="27" t="n">
        <v>0</v>
      </c>
      <c r="Q260" s="263" t="n">
        <v>45390</v>
      </c>
    </row>
    <row r="261" customFormat="false" ht="34.3" hidden="false" customHeight="false" outlineLevel="0" collapsed="false">
      <c r="A261" s="20" t="n">
        <v>2329</v>
      </c>
      <c r="B261" s="36" t="s">
        <v>736</v>
      </c>
      <c r="C261" s="22" t="s">
        <v>383</v>
      </c>
      <c r="D261" s="22"/>
      <c r="E261" s="23" t="n">
        <v>45238</v>
      </c>
      <c r="F261" s="23" t="n">
        <v>45338</v>
      </c>
      <c r="G261" s="37" t="n">
        <v>72</v>
      </c>
      <c r="H261" s="77" t="n">
        <v>72</v>
      </c>
      <c r="I261" s="77" t="n">
        <v>0</v>
      </c>
      <c r="J261" s="22" t="s">
        <v>679</v>
      </c>
      <c r="K261" s="27" t="n">
        <v>20000</v>
      </c>
      <c r="L261" s="27" t="n">
        <v>43200</v>
      </c>
      <c r="M261" s="45" t="n">
        <v>3000</v>
      </c>
      <c r="N261" s="29" t="n">
        <v>5400</v>
      </c>
      <c r="O261" s="29" t="n">
        <v>43200</v>
      </c>
      <c r="P261" s="27" t="n">
        <v>0</v>
      </c>
      <c r="Q261" s="263" t="n">
        <v>45390</v>
      </c>
    </row>
    <row r="262" customFormat="false" ht="15" hidden="false" customHeight="false" outlineLevel="0" collapsed="false">
      <c r="A262" s="20" t="n">
        <v>2288</v>
      </c>
      <c r="B262" s="36" t="s">
        <v>872</v>
      </c>
      <c r="C262" s="22" t="s">
        <v>807</v>
      </c>
      <c r="D262" s="22"/>
      <c r="E262" s="23" t="n">
        <v>45209</v>
      </c>
      <c r="F262" s="23" t="n">
        <v>45309</v>
      </c>
      <c r="G262" s="37" t="n">
        <v>72</v>
      </c>
      <c r="H262" s="77" t="n">
        <v>72.2916666666667</v>
      </c>
      <c r="I262" s="77" t="n">
        <v>-0.291666666666671</v>
      </c>
      <c r="J262" s="22" t="s">
        <v>679</v>
      </c>
      <c r="K262" s="30" t="n">
        <v>20000</v>
      </c>
      <c r="L262" s="30" t="n">
        <v>43200</v>
      </c>
      <c r="M262" s="45" t="n">
        <v>3000</v>
      </c>
      <c r="N262" s="29" t="n">
        <v>8000</v>
      </c>
      <c r="O262" s="29" t="n">
        <v>43375</v>
      </c>
      <c r="P262" s="27" t="n">
        <v>-175</v>
      </c>
      <c r="Q262" s="263" t="n">
        <v>45390</v>
      </c>
    </row>
    <row r="263" customFormat="false" ht="26.1" hidden="false" customHeight="false" outlineLevel="0" collapsed="false">
      <c r="A263" s="20" t="n">
        <v>2298</v>
      </c>
      <c r="B263" s="36" t="s">
        <v>717</v>
      </c>
      <c r="C263" s="22" t="s">
        <v>432</v>
      </c>
      <c r="D263" s="22"/>
      <c r="E263" s="23" t="n">
        <v>45214</v>
      </c>
      <c r="F263" s="23" t="n">
        <v>45394</v>
      </c>
      <c r="G263" s="37" t="n">
        <v>130</v>
      </c>
      <c r="H263" s="77" t="n">
        <v>122.272727272727</v>
      </c>
      <c r="I263" s="77" t="n">
        <v>7.72727272727273</v>
      </c>
      <c r="J263" s="22" t="s">
        <v>786</v>
      </c>
      <c r="K263" s="27" t="n">
        <v>40000</v>
      </c>
      <c r="L263" s="27" t="n">
        <v>105600</v>
      </c>
      <c r="M263" s="45" t="n">
        <v>4400</v>
      </c>
      <c r="N263" s="29" t="n">
        <v>10500</v>
      </c>
      <c r="O263" s="29" t="n">
        <v>107600</v>
      </c>
      <c r="P263" s="27" t="n">
        <v>-2000</v>
      </c>
      <c r="Q263" s="263" t="n">
        <v>45390</v>
      </c>
    </row>
    <row r="264" customFormat="false" ht="17.9" hidden="false" customHeight="false" outlineLevel="0" collapsed="false">
      <c r="A264" s="20" t="n">
        <v>2261</v>
      </c>
      <c r="B264" s="36" t="s">
        <v>448</v>
      </c>
      <c r="C264" s="22" t="s">
        <v>207</v>
      </c>
      <c r="D264" s="22"/>
      <c r="E264" s="23" t="n">
        <v>45065</v>
      </c>
      <c r="F264" s="23" t="n">
        <v>45272</v>
      </c>
      <c r="G264" s="37" t="n">
        <v>147</v>
      </c>
      <c r="H264" s="77" t="n">
        <v>140</v>
      </c>
      <c r="I264" s="77" t="n">
        <v>7</v>
      </c>
      <c r="J264" s="269" t="s">
        <v>687</v>
      </c>
      <c r="K264" s="27" t="n">
        <v>70000</v>
      </c>
      <c r="L264" s="27" t="n">
        <v>184800</v>
      </c>
      <c r="M264" s="45" t="n">
        <v>6600</v>
      </c>
      <c r="N264" s="29" t="n">
        <v>26400</v>
      </c>
      <c r="O264" s="29" t="n">
        <v>184800</v>
      </c>
      <c r="P264" s="27" t="n">
        <v>0</v>
      </c>
      <c r="Q264" s="263" t="n">
        <v>45390</v>
      </c>
    </row>
    <row r="265" customFormat="false" ht="15" hidden="false" customHeight="false" outlineLevel="0" collapsed="false">
      <c r="A265" s="20" t="n">
        <v>2262</v>
      </c>
      <c r="B265" s="36" t="s">
        <v>452</v>
      </c>
      <c r="C265" s="22"/>
      <c r="D265" s="22"/>
      <c r="E265" s="23" t="n">
        <v>45194</v>
      </c>
      <c r="F265" s="23" t="n">
        <v>45390</v>
      </c>
      <c r="G265" s="37" t="n">
        <v>140</v>
      </c>
      <c r="H265" s="77" t="n">
        <v>120</v>
      </c>
      <c r="I265" s="77" t="n">
        <v>20</v>
      </c>
      <c r="J265" s="269" t="s">
        <v>708</v>
      </c>
      <c r="K265" s="30" t="n">
        <v>30000</v>
      </c>
      <c r="L265" s="30" t="n">
        <v>60000</v>
      </c>
      <c r="M265" s="45" t="n">
        <v>2500</v>
      </c>
      <c r="N265" s="29" t="n">
        <v>10000</v>
      </c>
      <c r="O265" s="29" t="n">
        <v>60000</v>
      </c>
      <c r="P265" s="27" t="n">
        <v>0</v>
      </c>
      <c r="Q265" s="263" t="n">
        <v>45390</v>
      </c>
    </row>
    <row r="266" customFormat="false" ht="15" hidden="false" customHeight="false" outlineLevel="0" collapsed="false">
      <c r="A266" s="20" t="n">
        <v>2316</v>
      </c>
      <c r="B266" s="36" t="s">
        <v>452</v>
      </c>
      <c r="C266" s="22"/>
      <c r="D266" s="22"/>
      <c r="E266" s="23" t="n">
        <v>45228</v>
      </c>
      <c r="F266" s="23" t="n">
        <v>45405</v>
      </c>
      <c r="G266" s="37" t="n">
        <v>127</v>
      </c>
      <c r="H266" s="77" t="n">
        <v>120</v>
      </c>
      <c r="I266" s="77" t="n">
        <v>7</v>
      </c>
      <c r="J266" s="269" t="s">
        <v>873</v>
      </c>
      <c r="K266" s="27" t="n">
        <v>25000</v>
      </c>
      <c r="L266" s="27" t="n">
        <v>50250</v>
      </c>
      <c r="M266" s="45" t="n">
        <v>2093.75</v>
      </c>
      <c r="N266" s="29" t="n">
        <v>8375</v>
      </c>
      <c r="O266" s="29" t="n">
        <v>50250</v>
      </c>
      <c r="P266" s="27" t="n">
        <v>0</v>
      </c>
      <c r="Q266" s="263" t="n">
        <v>45390</v>
      </c>
    </row>
    <row r="267" customFormat="false" ht="15" hidden="false" customHeight="false" outlineLevel="0" collapsed="false">
      <c r="A267" s="20" t="n">
        <v>2098</v>
      </c>
      <c r="B267" s="36" t="s">
        <v>457</v>
      </c>
      <c r="C267" s="22"/>
      <c r="D267" s="22"/>
      <c r="E267" s="23" t="n">
        <v>45066</v>
      </c>
      <c r="F267" s="23" t="n">
        <v>45392</v>
      </c>
      <c r="G267" s="37" t="n">
        <v>233</v>
      </c>
      <c r="H267" s="77" t="n">
        <v>200</v>
      </c>
      <c r="I267" s="77" t="n">
        <v>33</v>
      </c>
      <c r="J267" s="269" t="s">
        <v>874</v>
      </c>
      <c r="K267" s="30" t="n">
        <v>100000</v>
      </c>
      <c r="L267" s="30" t="n">
        <v>240000</v>
      </c>
      <c r="M267" s="28" t="n">
        <v>6000</v>
      </c>
      <c r="N267" s="29" t="n">
        <v>24000</v>
      </c>
      <c r="O267" s="29" t="n">
        <v>240000</v>
      </c>
      <c r="P267" s="27" t="n">
        <v>0</v>
      </c>
      <c r="Q267" s="263" t="n">
        <v>45390</v>
      </c>
    </row>
    <row r="268" customFormat="false" ht="26.1" hidden="false" customHeight="false" outlineLevel="0" collapsed="false">
      <c r="A268" s="20" t="n">
        <v>2313</v>
      </c>
      <c r="B268" s="36" t="s">
        <v>457</v>
      </c>
      <c r="C268" s="22" t="s">
        <v>760</v>
      </c>
      <c r="D268" s="22"/>
      <c r="E268" s="23" t="n">
        <v>45226</v>
      </c>
      <c r="F268" s="23" t="n">
        <v>45405</v>
      </c>
      <c r="G268" s="37" t="n">
        <v>127</v>
      </c>
      <c r="H268" s="77" t="n">
        <v>120</v>
      </c>
      <c r="I268" s="77" t="n">
        <v>7</v>
      </c>
      <c r="J268" s="269" t="s">
        <v>873</v>
      </c>
      <c r="K268" s="27" t="n">
        <v>25000</v>
      </c>
      <c r="L268" s="27" t="n">
        <v>50250</v>
      </c>
      <c r="M268" s="45" t="n">
        <v>2093.75</v>
      </c>
      <c r="N268" s="29" t="n">
        <v>8375</v>
      </c>
      <c r="O268" s="29" t="n">
        <v>50250</v>
      </c>
      <c r="P268" s="27" t="n">
        <v>0</v>
      </c>
      <c r="Q268" s="263" t="n">
        <v>45390</v>
      </c>
    </row>
    <row r="269" customFormat="false" ht="26.1" hidden="false" customHeight="false" outlineLevel="0" collapsed="false">
      <c r="A269" s="20" t="n">
        <v>2376</v>
      </c>
      <c r="B269" s="36" t="s">
        <v>459</v>
      </c>
      <c r="C269" s="22" t="s">
        <v>460</v>
      </c>
      <c r="D269" s="22"/>
      <c r="E269" s="23" t="n">
        <v>45276</v>
      </c>
      <c r="F269" s="23" t="n">
        <v>45377</v>
      </c>
      <c r="G269" s="37" t="n">
        <v>72</v>
      </c>
      <c r="H269" s="77" t="n">
        <v>72</v>
      </c>
      <c r="I269" s="77" t="n">
        <v>0</v>
      </c>
      <c r="J269" s="22" t="s">
        <v>333</v>
      </c>
      <c r="K269" s="30" t="n">
        <v>50000</v>
      </c>
      <c r="L269" s="30" t="n">
        <v>108000</v>
      </c>
      <c r="M269" s="28" t="n">
        <v>7500</v>
      </c>
      <c r="N269" s="29" t="n">
        <v>5700</v>
      </c>
      <c r="O269" s="29" t="n">
        <v>108000</v>
      </c>
      <c r="P269" s="27" t="n">
        <v>0</v>
      </c>
      <c r="Q269" s="263" t="n">
        <v>45390</v>
      </c>
    </row>
    <row r="270" customFormat="false" ht="34.3" hidden="false" customHeight="false" outlineLevel="0" collapsed="false">
      <c r="A270" s="20" t="n">
        <v>2268</v>
      </c>
      <c r="B270" s="36" t="s">
        <v>486</v>
      </c>
      <c r="C270" s="22" t="s">
        <v>476</v>
      </c>
      <c r="D270" s="22"/>
      <c r="E270" s="23" t="n">
        <v>45195</v>
      </c>
      <c r="F270" s="23" t="n">
        <v>45300</v>
      </c>
      <c r="G270" s="37" t="n">
        <v>75</v>
      </c>
      <c r="H270" s="77" t="n">
        <v>80</v>
      </c>
      <c r="I270" s="77" t="n">
        <v>-5</v>
      </c>
      <c r="J270" s="269" t="s">
        <v>875</v>
      </c>
      <c r="K270" s="30" t="n">
        <v>5000</v>
      </c>
      <c r="L270" s="30" t="n">
        <v>10800</v>
      </c>
      <c r="M270" s="28" t="n">
        <v>675</v>
      </c>
      <c r="N270" s="29" t="n">
        <v>4300</v>
      </c>
      <c r="O270" s="29" t="n">
        <v>10800</v>
      </c>
      <c r="P270" s="27" t="n">
        <v>0</v>
      </c>
      <c r="Q270" s="263" t="n">
        <v>45390</v>
      </c>
    </row>
    <row r="271" customFormat="false" ht="26.1" hidden="false" customHeight="false" outlineLevel="0" collapsed="false">
      <c r="A271" s="20" t="n">
        <v>2277</v>
      </c>
      <c r="B271" s="36" t="s">
        <v>876</v>
      </c>
      <c r="C271" s="22" t="s">
        <v>877</v>
      </c>
      <c r="D271" s="22" t="s">
        <v>878</v>
      </c>
      <c r="E271" s="23" t="n">
        <v>45202</v>
      </c>
      <c r="F271" s="23" t="n">
        <v>45370</v>
      </c>
      <c r="G271" s="37" t="n">
        <v>120</v>
      </c>
      <c r="H271" s="77" t="n">
        <v>120</v>
      </c>
      <c r="I271" s="77" t="n">
        <v>0</v>
      </c>
      <c r="J271" s="269" t="s">
        <v>879</v>
      </c>
      <c r="K271" s="27" t="n">
        <v>50000</v>
      </c>
      <c r="L271" s="27" t="n">
        <v>132000</v>
      </c>
      <c r="M271" s="45" t="n">
        <v>5500</v>
      </c>
      <c r="N271" s="29" t="n">
        <v>22000</v>
      </c>
      <c r="O271" s="29" t="n">
        <v>132000</v>
      </c>
      <c r="P271" s="27" t="n">
        <v>0</v>
      </c>
      <c r="Q271" s="263" t="n">
        <v>45390</v>
      </c>
    </row>
    <row r="272" customFormat="false" ht="26.1" hidden="false" customHeight="false" outlineLevel="0" collapsed="false">
      <c r="A272" s="20" t="n">
        <v>2394</v>
      </c>
      <c r="B272" s="36" t="s">
        <v>876</v>
      </c>
      <c r="C272" s="22" t="s">
        <v>877</v>
      </c>
      <c r="D272" s="22" t="s">
        <v>878</v>
      </c>
      <c r="E272" s="23" t="n">
        <v>45289</v>
      </c>
      <c r="F272" s="23" t="n">
        <v>45401</v>
      </c>
      <c r="G272" s="37" t="n">
        <v>80</v>
      </c>
      <c r="H272" s="77" t="n">
        <v>80</v>
      </c>
      <c r="I272" s="77" t="n">
        <v>0</v>
      </c>
      <c r="J272" s="269" t="s">
        <v>296</v>
      </c>
      <c r="K272" s="30" t="n">
        <v>20000</v>
      </c>
      <c r="L272" s="30" t="n">
        <v>43200</v>
      </c>
      <c r="M272" s="28" t="n">
        <v>2700</v>
      </c>
      <c r="N272" s="29" t="n">
        <v>10800</v>
      </c>
      <c r="O272" s="29" t="n">
        <v>43200</v>
      </c>
      <c r="P272" s="27" t="n">
        <v>0</v>
      </c>
      <c r="Q272" s="263" t="n">
        <v>45390</v>
      </c>
    </row>
    <row r="273" customFormat="false" ht="34.3" hidden="false" customHeight="false" outlineLevel="0" collapsed="false">
      <c r="A273" s="20" t="n">
        <v>2466</v>
      </c>
      <c r="B273" s="36" t="s">
        <v>209</v>
      </c>
      <c r="C273" s="22" t="s">
        <v>210</v>
      </c>
      <c r="D273" s="22"/>
      <c r="E273" s="23" t="n">
        <v>45331</v>
      </c>
      <c r="F273" s="23" t="n">
        <v>45373</v>
      </c>
      <c r="G273" s="37" t="n">
        <v>30</v>
      </c>
      <c r="H273" s="269" t="s">
        <v>822</v>
      </c>
      <c r="I273" s="30" t="n">
        <v>20000</v>
      </c>
      <c r="J273" s="30" t="n">
        <v>34000</v>
      </c>
      <c r="K273" s="28"/>
      <c r="L273" s="29" t="n">
        <v>20000</v>
      </c>
      <c r="M273" s="29" t="n">
        <v>34000</v>
      </c>
      <c r="N273" s="27" t="n">
        <v>0</v>
      </c>
      <c r="O273" s="288" t="e">
        <f aca="false">#DIV/0!</f>
        <v>#DIV/0!</v>
      </c>
      <c r="P273" s="288" t="e">
        <f aca="false">#DIV/0!</f>
        <v>#DIV/0!</v>
      </c>
      <c r="Q273" s="263" t="n">
        <v>45397</v>
      </c>
    </row>
    <row r="274" customFormat="false" ht="50.7" hidden="false" customHeight="false" outlineLevel="0" collapsed="false">
      <c r="A274" s="20" t="n">
        <v>2411</v>
      </c>
      <c r="B274" s="36" t="s">
        <v>232</v>
      </c>
      <c r="C274" s="22" t="s">
        <v>880</v>
      </c>
      <c r="D274" s="22"/>
      <c r="E274" s="23" t="n">
        <v>45301</v>
      </c>
      <c r="F274" s="23" t="n">
        <v>45401</v>
      </c>
      <c r="G274" s="37" t="n">
        <v>72</v>
      </c>
      <c r="H274" s="22" t="s">
        <v>333</v>
      </c>
      <c r="I274" s="30" t="n">
        <v>50000</v>
      </c>
      <c r="J274" s="30" t="n">
        <v>108000</v>
      </c>
      <c r="K274" s="28" t="n">
        <v>7500</v>
      </c>
      <c r="L274" s="29" t="n">
        <v>10500</v>
      </c>
      <c r="M274" s="29" t="n">
        <v>108000</v>
      </c>
      <c r="N274" s="27" t="n">
        <v>0</v>
      </c>
      <c r="O274" s="288" t="n">
        <v>14.4</v>
      </c>
      <c r="P274" s="288" t="n">
        <v>0</v>
      </c>
      <c r="Q274" s="263" t="n">
        <v>45397</v>
      </c>
    </row>
    <row r="275" customFormat="false" ht="26.1" hidden="false" customHeight="false" outlineLevel="0" collapsed="false">
      <c r="A275" s="20" t="n">
        <v>2533</v>
      </c>
      <c r="B275" s="36" t="s">
        <v>589</v>
      </c>
      <c r="C275" s="22" t="s">
        <v>590</v>
      </c>
      <c r="D275" s="22" t="s">
        <v>311</v>
      </c>
      <c r="E275" s="23" t="n">
        <v>45371</v>
      </c>
      <c r="F275" s="23" t="n">
        <v>45392</v>
      </c>
      <c r="G275" s="37" t="n">
        <v>15</v>
      </c>
      <c r="H275" s="269" t="s">
        <v>681</v>
      </c>
      <c r="I275" s="27" t="n">
        <v>15000</v>
      </c>
      <c r="J275" s="27" t="n">
        <v>23000</v>
      </c>
      <c r="K275" s="45" t="s">
        <v>184</v>
      </c>
      <c r="L275" s="29" t="n">
        <v>23000</v>
      </c>
      <c r="M275" s="29" t="n">
        <v>23000</v>
      </c>
      <c r="N275" s="27" t="n">
        <v>0</v>
      </c>
      <c r="O275" s="288" t="e">
        <f aca="false">#VALUE!</f>
        <v>#VALUE!</v>
      </c>
      <c r="P275" s="288" t="e">
        <f aca="false">#VALUE!</f>
        <v>#VALUE!</v>
      </c>
      <c r="Q275" s="263" t="n">
        <v>45397</v>
      </c>
    </row>
    <row r="276" customFormat="false" ht="26.1" hidden="false" customHeight="false" outlineLevel="0" collapsed="false">
      <c r="A276" s="20" t="n">
        <v>2309</v>
      </c>
      <c r="B276" s="36" t="s">
        <v>759</v>
      </c>
      <c r="C276" s="22" t="s">
        <v>760</v>
      </c>
      <c r="D276" s="22"/>
      <c r="E276" s="23" t="n">
        <v>45223</v>
      </c>
      <c r="F276" s="23" t="n">
        <v>45400</v>
      </c>
      <c r="G276" s="37" t="n">
        <v>127</v>
      </c>
      <c r="H276" s="269" t="s">
        <v>873</v>
      </c>
      <c r="I276" s="30" t="n">
        <v>25000</v>
      </c>
      <c r="J276" s="30" t="n">
        <v>50250</v>
      </c>
      <c r="K276" s="28" t="n">
        <v>2093.75</v>
      </c>
      <c r="L276" s="29" t="n">
        <v>8375</v>
      </c>
      <c r="M276" s="29" t="n">
        <v>50250</v>
      </c>
      <c r="N276" s="27" t="n">
        <v>0</v>
      </c>
      <c r="O276" s="288" t="n">
        <v>24</v>
      </c>
      <c r="P276" s="288" t="n">
        <v>1.4</v>
      </c>
      <c r="Q276" s="263" t="n">
        <v>45397</v>
      </c>
    </row>
    <row r="277" customFormat="false" ht="15" hidden="false" customHeight="false" outlineLevel="0" collapsed="false">
      <c r="A277" s="20" t="n">
        <v>2572</v>
      </c>
      <c r="B277" s="36" t="s">
        <v>363</v>
      </c>
      <c r="C277" s="22"/>
      <c r="D277" s="22"/>
      <c r="E277" s="23" t="n">
        <v>45384</v>
      </c>
      <c r="F277" s="23" t="n">
        <v>45394</v>
      </c>
      <c r="G277" s="24" t="n">
        <v>8</v>
      </c>
      <c r="H277" s="269" t="s">
        <v>681</v>
      </c>
      <c r="I277" s="50" t="n">
        <v>30000</v>
      </c>
      <c r="J277" s="27" t="n">
        <v>39000</v>
      </c>
      <c r="K277" s="45"/>
      <c r="L277" s="29" t="n">
        <v>39000</v>
      </c>
      <c r="M277" s="29" t="n">
        <v>39000</v>
      </c>
      <c r="N277" s="27" t="n">
        <v>0</v>
      </c>
      <c r="O277" s="288" t="e">
        <f aca="false">#DIV/0!</f>
        <v>#DIV/0!</v>
      </c>
      <c r="P277" s="288" t="e">
        <f aca="false">#DIV/0!</f>
        <v>#DIV/0!</v>
      </c>
      <c r="Q277" s="263" t="n">
        <v>45397</v>
      </c>
    </row>
    <row r="278" customFormat="false" ht="26.1" hidden="false" customHeight="false" outlineLevel="0" collapsed="false">
      <c r="A278" s="20" t="n">
        <v>2405</v>
      </c>
      <c r="B278" s="36" t="s">
        <v>459</v>
      </c>
      <c r="C278" s="22" t="s">
        <v>460</v>
      </c>
      <c r="D278" s="22"/>
      <c r="E278" s="23" t="n">
        <v>45299</v>
      </c>
      <c r="F278" s="23" t="n">
        <v>45399</v>
      </c>
      <c r="G278" s="37" t="n">
        <v>72</v>
      </c>
      <c r="H278" s="22" t="s">
        <v>675</v>
      </c>
      <c r="I278" s="30" t="n">
        <v>30000</v>
      </c>
      <c r="J278" s="30" t="n">
        <v>64800</v>
      </c>
      <c r="K278" s="28" t="n">
        <v>4500</v>
      </c>
      <c r="L278" s="29" t="n">
        <v>15000</v>
      </c>
      <c r="M278" s="29" t="n">
        <v>64800</v>
      </c>
      <c r="N278" s="27" t="n">
        <v>0</v>
      </c>
      <c r="O278" s="288" t="n">
        <v>14.4</v>
      </c>
      <c r="P278" s="288" t="n">
        <v>0</v>
      </c>
      <c r="Q278" s="263" t="n">
        <v>45397</v>
      </c>
    </row>
    <row r="279" customFormat="false" ht="26.1" hidden="false" customHeight="false" outlineLevel="0" collapsed="false">
      <c r="A279" s="20" t="n">
        <v>2424</v>
      </c>
      <c r="B279" s="36" t="s">
        <v>459</v>
      </c>
      <c r="C279" s="22" t="s">
        <v>460</v>
      </c>
      <c r="D279" s="22"/>
      <c r="E279" s="23" t="n">
        <v>45306</v>
      </c>
      <c r="F279" s="23" t="n">
        <v>45406</v>
      </c>
      <c r="G279" s="37" t="n">
        <v>72</v>
      </c>
      <c r="H279" s="22" t="s">
        <v>333</v>
      </c>
      <c r="I279" s="27" t="n">
        <v>50000</v>
      </c>
      <c r="J279" s="27" t="n">
        <v>108000</v>
      </c>
      <c r="K279" s="45" t="n">
        <v>7500</v>
      </c>
      <c r="L279" s="29" t="n">
        <v>18000</v>
      </c>
      <c r="M279" s="29" t="n">
        <v>108000</v>
      </c>
      <c r="N279" s="27" t="n">
        <v>0</v>
      </c>
      <c r="O279" s="288" t="n">
        <v>14.4</v>
      </c>
      <c r="P279" s="288" t="n">
        <v>0</v>
      </c>
      <c r="Q279" s="263" t="n">
        <v>45397</v>
      </c>
    </row>
    <row r="280" customFormat="false" ht="26.1" hidden="false" customHeight="false" outlineLevel="0" collapsed="false">
      <c r="A280" s="20" t="n">
        <v>2437</v>
      </c>
      <c r="B280" s="36" t="s">
        <v>814</v>
      </c>
      <c r="C280" s="22" t="s">
        <v>470</v>
      </c>
      <c r="D280" s="22" t="s">
        <v>471</v>
      </c>
      <c r="E280" s="23" t="n">
        <v>45314</v>
      </c>
      <c r="F280" s="42" t="n">
        <v>45414</v>
      </c>
      <c r="G280" s="37" t="n">
        <v>72</v>
      </c>
      <c r="H280" s="22" t="s">
        <v>720</v>
      </c>
      <c r="I280" s="30" t="n">
        <v>60000</v>
      </c>
      <c r="J280" s="30" t="n">
        <v>129600</v>
      </c>
      <c r="K280" s="45" t="n">
        <v>9000</v>
      </c>
      <c r="L280" s="29" t="n">
        <v>34100</v>
      </c>
      <c r="M280" s="29" t="n">
        <v>129600</v>
      </c>
      <c r="N280" s="27" t="n">
        <v>0</v>
      </c>
      <c r="O280" s="288" t="n">
        <v>14.4</v>
      </c>
      <c r="P280" s="288" t="n">
        <v>0</v>
      </c>
      <c r="Q280" s="263" t="n">
        <v>45397</v>
      </c>
    </row>
    <row r="281" customFormat="false" ht="34.3" hidden="false" customHeight="false" outlineLevel="0" collapsed="false">
      <c r="A281" s="20" t="n">
        <v>2464</v>
      </c>
      <c r="B281" s="36" t="s">
        <v>881</v>
      </c>
      <c r="C281" s="22" t="s">
        <v>263</v>
      </c>
      <c r="D281" s="22"/>
      <c r="E281" s="23" t="n">
        <v>45329</v>
      </c>
      <c r="F281" s="23" t="n">
        <v>45408</v>
      </c>
      <c r="G281" s="37" t="n">
        <v>57</v>
      </c>
      <c r="H281" s="77" t="n">
        <v>62.6865671641791</v>
      </c>
      <c r="I281" s="77" t="n">
        <v>-5.6865671641791</v>
      </c>
      <c r="J281" s="269" t="s">
        <v>882</v>
      </c>
      <c r="K281" s="30" t="n">
        <v>50000</v>
      </c>
      <c r="L281" s="30" t="n">
        <v>105000</v>
      </c>
      <c r="M281" s="45" t="n">
        <v>8375</v>
      </c>
      <c r="N281" s="29" t="n">
        <v>34000</v>
      </c>
      <c r="O281" s="29" t="n">
        <v>105000</v>
      </c>
      <c r="P281" s="27" t="n">
        <v>0</v>
      </c>
      <c r="Q281" s="263" t="n">
        <v>45404</v>
      </c>
    </row>
    <row r="282" customFormat="false" ht="15" hidden="false" customHeight="false" outlineLevel="0" collapsed="false">
      <c r="A282" s="20" t="n">
        <v>2583</v>
      </c>
      <c r="B282" s="36" t="s">
        <v>363</v>
      </c>
      <c r="C282" s="22"/>
      <c r="D282" s="22"/>
      <c r="E282" s="23" t="n">
        <v>45400</v>
      </c>
      <c r="F282" s="23" t="n">
        <v>45407</v>
      </c>
      <c r="G282" s="24" t="n">
        <v>5</v>
      </c>
      <c r="H282" s="77" t="e">
        <f aca="false">#DIV/0!</f>
        <v>#DIV/0!</v>
      </c>
      <c r="I282" s="77" t="e">
        <f aca="false">#DIV/0!</f>
        <v>#DIV/0!</v>
      </c>
      <c r="J282" s="269" t="s">
        <v>681</v>
      </c>
      <c r="K282" s="55" t="n">
        <v>20000</v>
      </c>
      <c r="L282" s="30" t="n">
        <v>26000</v>
      </c>
      <c r="M282" s="28"/>
      <c r="N282" s="29" t="n">
        <v>26000</v>
      </c>
      <c r="O282" s="29" t="n">
        <v>26000</v>
      </c>
      <c r="P282" s="27" t="n">
        <v>0</v>
      </c>
      <c r="Q282" s="263" t="n">
        <v>45404</v>
      </c>
    </row>
    <row r="283" customFormat="false" ht="34.3" hidden="false" customHeight="false" outlineLevel="0" collapsed="false">
      <c r="A283" s="20" t="n">
        <v>2370</v>
      </c>
      <c r="B283" s="36" t="s">
        <v>382</v>
      </c>
      <c r="C283" s="22" t="s">
        <v>383</v>
      </c>
      <c r="D283" s="22"/>
      <c r="E283" s="23" t="n">
        <v>45273</v>
      </c>
      <c r="F283" s="23" t="n">
        <v>45373</v>
      </c>
      <c r="G283" s="37" t="n">
        <v>72</v>
      </c>
      <c r="H283" s="77" t="n">
        <v>72</v>
      </c>
      <c r="I283" s="77" t="n">
        <v>0</v>
      </c>
      <c r="J283" s="22" t="s">
        <v>560</v>
      </c>
      <c r="K283" s="30" t="n">
        <v>10000</v>
      </c>
      <c r="L283" s="30" t="n">
        <v>21600</v>
      </c>
      <c r="M283" s="45" t="n">
        <v>1500</v>
      </c>
      <c r="N283" s="29" t="n">
        <v>3600</v>
      </c>
      <c r="O283" s="29" t="n">
        <v>21600</v>
      </c>
      <c r="P283" s="27" t="n">
        <v>0</v>
      </c>
      <c r="Q283" s="263" t="n">
        <v>45404</v>
      </c>
    </row>
    <row r="284" customFormat="false" ht="34.3" hidden="false" customHeight="false" outlineLevel="0" collapsed="false">
      <c r="A284" s="20" t="n">
        <v>2586</v>
      </c>
      <c r="B284" s="36" t="s">
        <v>382</v>
      </c>
      <c r="C284" s="22" t="s">
        <v>383</v>
      </c>
      <c r="D284" s="22"/>
      <c r="E284" s="23" t="n">
        <v>45402</v>
      </c>
      <c r="F284" s="23" t="n">
        <v>45503</v>
      </c>
      <c r="G284" s="37" t="n">
        <v>72</v>
      </c>
      <c r="H284" s="77" t="e">
        <f aca="false">#VALUE!</f>
        <v>#VALUE!</v>
      </c>
      <c r="I284" s="77" t="e">
        <f aca="false">#VALUE!</f>
        <v>#VALUE!</v>
      </c>
      <c r="J284" s="22" t="s">
        <v>560</v>
      </c>
      <c r="K284" s="27" t="n">
        <v>10000</v>
      </c>
      <c r="L284" s="27" t="n">
        <v>11500</v>
      </c>
      <c r="M284" s="45" t="s">
        <v>184</v>
      </c>
      <c r="N284" s="29" t="n">
        <v>11500</v>
      </c>
      <c r="O284" s="29" t="n">
        <v>11500</v>
      </c>
      <c r="P284" s="27" t="n">
        <v>0</v>
      </c>
      <c r="Q284" s="263" t="n">
        <v>45404</v>
      </c>
    </row>
    <row r="285" customFormat="false" ht="34.3" hidden="false" customHeight="false" outlineLevel="0" collapsed="false">
      <c r="A285" s="20" t="n">
        <v>2264</v>
      </c>
      <c r="B285" s="36" t="s">
        <v>763</v>
      </c>
      <c r="C285" s="22" t="s">
        <v>389</v>
      </c>
      <c r="D285" s="22"/>
      <c r="E285" s="23" t="n">
        <v>45194</v>
      </c>
      <c r="F285" s="23" t="n">
        <v>45446</v>
      </c>
      <c r="G285" s="37" t="n">
        <v>180</v>
      </c>
      <c r="H285" s="77" t="n">
        <v>160</v>
      </c>
      <c r="I285" s="77" t="n">
        <v>20</v>
      </c>
      <c r="J285" s="269" t="s">
        <v>828</v>
      </c>
      <c r="K285" s="27" t="n">
        <v>40000</v>
      </c>
      <c r="L285" s="27" t="n">
        <v>120000</v>
      </c>
      <c r="M285" s="45" t="n">
        <v>3750</v>
      </c>
      <c r="N285" s="29" t="n">
        <v>1450</v>
      </c>
      <c r="O285" s="29" t="n">
        <v>120000</v>
      </c>
      <c r="P285" s="27" t="n">
        <v>0</v>
      </c>
      <c r="Q285" s="263" t="n">
        <v>45404</v>
      </c>
    </row>
    <row r="286" customFormat="false" ht="15" hidden="false" customHeight="false" outlineLevel="0" collapsed="false">
      <c r="A286" s="20" t="n">
        <v>2452</v>
      </c>
      <c r="B286" s="36" t="s">
        <v>409</v>
      </c>
      <c r="C286" s="22" t="s">
        <v>883</v>
      </c>
      <c r="D286" s="22"/>
      <c r="E286" s="23" t="n">
        <v>45322</v>
      </c>
      <c r="F286" s="23" t="n">
        <v>45422</v>
      </c>
      <c r="G286" s="37" t="n">
        <v>72</v>
      </c>
      <c r="H286" s="77" t="n">
        <v>72</v>
      </c>
      <c r="I286" s="77" t="n">
        <v>0</v>
      </c>
      <c r="J286" s="22" t="s">
        <v>333</v>
      </c>
      <c r="K286" s="27" t="n">
        <v>50000</v>
      </c>
      <c r="L286" s="27" t="n">
        <v>108000</v>
      </c>
      <c r="M286" s="45" t="n">
        <v>7500</v>
      </c>
      <c r="N286" s="29" t="n">
        <v>25500</v>
      </c>
      <c r="O286" s="29" t="n">
        <v>108000</v>
      </c>
      <c r="P286" s="27" t="n">
        <v>0</v>
      </c>
      <c r="Q286" s="263" t="n">
        <v>45404</v>
      </c>
    </row>
    <row r="287" customFormat="false" ht="15" hidden="false" customHeight="false" outlineLevel="0" collapsed="false">
      <c r="A287" s="20" t="n">
        <v>2528</v>
      </c>
      <c r="B287" s="36" t="s">
        <v>688</v>
      </c>
      <c r="C287" s="22"/>
      <c r="D287" s="22"/>
      <c r="E287" s="23" t="n">
        <v>45369</v>
      </c>
      <c r="F287" s="23" t="n">
        <v>45390</v>
      </c>
      <c r="G287" s="24" t="n">
        <v>15</v>
      </c>
      <c r="H287" s="77" t="e">
        <f aca="false">#DIV/0!</f>
        <v>#DIV/0!</v>
      </c>
      <c r="I287" s="77" t="e">
        <f aca="false">#DIV/0!</f>
        <v>#DIV/0!</v>
      </c>
      <c r="J287" s="269" t="s">
        <v>681</v>
      </c>
      <c r="K287" s="30" t="n">
        <v>10000</v>
      </c>
      <c r="L287" s="30" t="n">
        <v>16000</v>
      </c>
      <c r="M287" s="45"/>
      <c r="N287" s="29" t="n">
        <v>2000</v>
      </c>
      <c r="O287" s="29" t="n">
        <v>16000</v>
      </c>
      <c r="P287" s="27" t="n">
        <v>0</v>
      </c>
      <c r="Q287" s="263" t="n">
        <v>45404</v>
      </c>
    </row>
    <row r="288" customFormat="false" ht="26.1" hidden="false" customHeight="false" outlineLevel="0" collapsed="false">
      <c r="A288" s="20" t="n">
        <v>2536</v>
      </c>
      <c r="B288" s="36" t="s">
        <v>688</v>
      </c>
      <c r="C288" s="22" t="s">
        <v>884</v>
      </c>
      <c r="D288" s="22"/>
      <c r="E288" s="23" t="n">
        <v>45372</v>
      </c>
      <c r="F288" s="23" t="n">
        <v>45390</v>
      </c>
      <c r="G288" s="24" t="n">
        <v>12</v>
      </c>
      <c r="H288" s="77" t="e">
        <f aca="false">#DIV/0!</f>
        <v>#DIV/0!</v>
      </c>
      <c r="I288" s="77" t="e">
        <f aca="false">#DIV/0!</f>
        <v>#DIV/0!</v>
      </c>
      <c r="J288" s="269" t="s">
        <v>681</v>
      </c>
      <c r="K288" s="27" t="n">
        <v>25000</v>
      </c>
      <c r="L288" s="27" t="n">
        <v>40000</v>
      </c>
      <c r="M288" s="45"/>
      <c r="N288" s="29" t="n">
        <v>44900</v>
      </c>
      <c r="O288" s="29" t="n">
        <v>44900</v>
      </c>
      <c r="P288" s="27" t="n">
        <v>-4900</v>
      </c>
      <c r="Q288" s="263" t="n">
        <v>45404</v>
      </c>
    </row>
    <row r="289" customFormat="false" ht="17.9" hidden="false" customHeight="false" outlineLevel="0" collapsed="false">
      <c r="A289" s="20" t="n">
        <v>2439</v>
      </c>
      <c r="B289" s="22" t="s">
        <v>277</v>
      </c>
      <c r="C289" s="22" t="s">
        <v>278</v>
      </c>
      <c r="D289" s="22" t="n">
        <v>14154231</v>
      </c>
      <c r="E289" s="23" t="n">
        <v>44950</v>
      </c>
      <c r="F289" s="23" t="n">
        <v>45050</v>
      </c>
      <c r="G289" s="37" t="n">
        <v>72</v>
      </c>
      <c r="H289" s="77" t="n">
        <v>72</v>
      </c>
      <c r="I289" s="77" t="n">
        <v>0</v>
      </c>
      <c r="J289" s="22" t="s">
        <v>675</v>
      </c>
      <c r="K289" s="27" t="n">
        <v>30000</v>
      </c>
      <c r="L289" s="27" t="n">
        <v>64800</v>
      </c>
      <c r="M289" s="45" t="n">
        <v>4500</v>
      </c>
      <c r="N289" s="29"/>
      <c r="O289" s="29" t="n">
        <v>64800</v>
      </c>
      <c r="P289" s="27" t="n">
        <v>0</v>
      </c>
      <c r="Q289" s="263" t="n">
        <v>45411</v>
      </c>
    </row>
    <row r="290" customFormat="false" ht="50.7" hidden="false" customHeight="false" outlineLevel="0" collapsed="false">
      <c r="A290" s="20" t="n">
        <v>2417</v>
      </c>
      <c r="B290" s="22" t="s">
        <v>885</v>
      </c>
      <c r="C290" s="22" t="s">
        <v>309</v>
      </c>
      <c r="D290" s="22" t="n">
        <v>27313552360</v>
      </c>
      <c r="E290" s="23" t="n">
        <v>45303</v>
      </c>
      <c r="F290" s="23" t="n">
        <v>45405</v>
      </c>
      <c r="G290" s="37" t="n">
        <v>72</v>
      </c>
      <c r="H290" s="77" t="n">
        <v>80</v>
      </c>
      <c r="I290" s="77" t="n">
        <v>-8</v>
      </c>
      <c r="J290" s="269" t="s">
        <v>886</v>
      </c>
      <c r="K290" s="30" t="n">
        <v>100000</v>
      </c>
      <c r="L290" s="30" t="n">
        <v>216000</v>
      </c>
      <c r="M290" s="45" t="n">
        <v>13500</v>
      </c>
      <c r="N290" s="29"/>
      <c r="O290" s="29" t="n">
        <v>216000</v>
      </c>
      <c r="P290" s="27" t="n">
        <v>0</v>
      </c>
      <c r="Q290" s="263" t="n">
        <v>45411</v>
      </c>
    </row>
    <row r="291" customFormat="false" ht="34.3" hidden="false" customHeight="false" outlineLevel="0" collapsed="false">
      <c r="A291" s="20" t="n">
        <v>2349</v>
      </c>
      <c r="B291" s="22" t="s">
        <v>887</v>
      </c>
      <c r="C291" s="22" t="s">
        <v>252</v>
      </c>
      <c r="D291" s="22"/>
      <c r="E291" s="23" t="n">
        <v>45255</v>
      </c>
      <c r="F291" s="23" t="n">
        <v>45408</v>
      </c>
      <c r="G291" s="37" t="n">
        <v>110</v>
      </c>
      <c r="H291" s="77" t="n">
        <v>110</v>
      </c>
      <c r="I291" s="77" t="n">
        <v>0</v>
      </c>
      <c r="J291" s="22" t="s">
        <v>888</v>
      </c>
      <c r="K291" s="27" t="n">
        <v>60000</v>
      </c>
      <c r="L291" s="27" t="n">
        <v>158400</v>
      </c>
      <c r="M291" s="45" t="n">
        <v>7200</v>
      </c>
      <c r="N291" s="29"/>
      <c r="O291" s="29" t="n">
        <v>158400</v>
      </c>
      <c r="P291" s="27" t="n">
        <v>0</v>
      </c>
      <c r="Q291" s="263" t="n">
        <v>45411</v>
      </c>
    </row>
    <row r="292" customFormat="false" ht="26.1" hidden="false" customHeight="false" outlineLevel="0" collapsed="false">
      <c r="A292" s="20" t="n">
        <v>2304</v>
      </c>
      <c r="B292" s="22" t="s">
        <v>334</v>
      </c>
      <c r="C292" s="22" t="s">
        <v>725</v>
      </c>
      <c r="D292" s="22"/>
      <c r="E292" s="23" t="n">
        <v>45219</v>
      </c>
      <c r="F292" s="23" t="n">
        <v>45380</v>
      </c>
      <c r="G292" s="37" t="n">
        <v>115</v>
      </c>
      <c r="H292" s="77" t="n">
        <v>110</v>
      </c>
      <c r="I292" s="77" t="n">
        <v>5</v>
      </c>
      <c r="J292" s="269" t="s">
        <v>726</v>
      </c>
      <c r="K292" s="30" t="n">
        <v>15000</v>
      </c>
      <c r="L292" s="30" t="n">
        <v>39600</v>
      </c>
      <c r="M292" s="28" t="n">
        <v>1800</v>
      </c>
      <c r="N292" s="29"/>
      <c r="O292" s="29" t="n">
        <v>39600</v>
      </c>
      <c r="P292" s="27" t="n">
        <v>0</v>
      </c>
      <c r="Q292" s="263" t="n">
        <v>45411</v>
      </c>
    </row>
    <row r="293" customFormat="false" ht="26.1" hidden="false" customHeight="false" outlineLevel="0" collapsed="false">
      <c r="A293" s="20" t="n">
        <v>2365</v>
      </c>
      <c r="B293" s="22" t="s">
        <v>334</v>
      </c>
      <c r="C293" s="22" t="s">
        <v>725</v>
      </c>
      <c r="D293" s="22"/>
      <c r="E293" s="23" t="n">
        <v>45268</v>
      </c>
      <c r="F293" s="23" t="n">
        <v>45454</v>
      </c>
      <c r="G293" s="37" t="n">
        <v>132</v>
      </c>
      <c r="H293" s="77" t="n">
        <v>80</v>
      </c>
      <c r="I293" s="77" t="n">
        <v>52</v>
      </c>
      <c r="J293" s="269" t="s">
        <v>889</v>
      </c>
      <c r="K293" s="30" t="n">
        <v>20000</v>
      </c>
      <c r="L293" s="30" t="n">
        <v>43200</v>
      </c>
      <c r="M293" s="28" t="n">
        <v>2700</v>
      </c>
      <c r="N293" s="29"/>
      <c r="O293" s="29" t="n">
        <v>43200</v>
      </c>
      <c r="P293" s="27" t="n">
        <v>0</v>
      </c>
      <c r="Q293" s="263" t="n">
        <v>45411</v>
      </c>
    </row>
    <row r="294" customFormat="false" ht="17.9" hidden="false" customHeight="false" outlineLevel="0" collapsed="false">
      <c r="A294" s="20" t="n">
        <v>2596</v>
      </c>
      <c r="B294" s="22" t="s">
        <v>363</v>
      </c>
      <c r="C294" s="22"/>
      <c r="D294" s="22"/>
      <c r="E294" s="23" t="n">
        <v>45408</v>
      </c>
      <c r="F294" s="23" t="n">
        <v>45415</v>
      </c>
      <c r="G294" s="24" t="n">
        <v>5</v>
      </c>
      <c r="H294" s="77" t="e">
        <f aca="false">#DIV/0!</f>
        <v>#DIV/0!</v>
      </c>
      <c r="I294" s="77" t="e">
        <f aca="false">#DIV/0!</f>
        <v>#DIV/0!</v>
      </c>
      <c r="J294" s="269" t="s">
        <v>681</v>
      </c>
      <c r="K294" s="55" t="n">
        <v>30000</v>
      </c>
      <c r="L294" s="30" t="n">
        <v>39000</v>
      </c>
      <c r="M294" s="28"/>
      <c r="N294" s="29"/>
      <c r="O294" s="29" t="n">
        <v>39000</v>
      </c>
      <c r="P294" s="27" t="n">
        <v>0</v>
      </c>
      <c r="Q294" s="263" t="n">
        <v>45411</v>
      </c>
    </row>
    <row r="295" customFormat="false" ht="42.5" hidden="false" customHeight="false" outlineLevel="0" collapsed="false">
      <c r="A295" s="20" t="n">
        <v>2276</v>
      </c>
      <c r="B295" s="22" t="s">
        <v>763</v>
      </c>
      <c r="C295" s="22" t="s">
        <v>389</v>
      </c>
      <c r="D295" s="22"/>
      <c r="E295" s="23" t="n">
        <v>45201</v>
      </c>
      <c r="F295" s="23" t="n">
        <v>45453</v>
      </c>
      <c r="G295" s="37" t="n">
        <v>180</v>
      </c>
      <c r="H295" s="77" t="n">
        <v>177.746666666667</v>
      </c>
      <c r="I295" s="77" t="n">
        <v>2.25333333333333</v>
      </c>
      <c r="J295" s="269" t="s">
        <v>828</v>
      </c>
      <c r="K295" s="27" t="n">
        <v>40000</v>
      </c>
      <c r="L295" s="27" t="n">
        <v>120000</v>
      </c>
      <c r="M295" s="45" t="n">
        <v>3750</v>
      </c>
      <c r="N295" s="29"/>
      <c r="O295" s="29" t="n">
        <v>133310</v>
      </c>
      <c r="P295" s="27" t="n">
        <v>-13310</v>
      </c>
      <c r="Q295" s="263" t="n">
        <v>45411</v>
      </c>
    </row>
    <row r="296" customFormat="false" ht="26.1" hidden="false" customHeight="false" outlineLevel="0" collapsed="false">
      <c r="A296" s="20" t="n">
        <v>2555</v>
      </c>
      <c r="B296" s="22" t="s">
        <v>684</v>
      </c>
      <c r="C296" s="22" t="s">
        <v>685</v>
      </c>
      <c r="D296" s="22"/>
      <c r="E296" s="23" t="n">
        <v>45386</v>
      </c>
      <c r="F296" s="23" t="n">
        <v>45414</v>
      </c>
      <c r="G296" s="37" t="n">
        <v>20</v>
      </c>
      <c r="H296" s="77" t="e">
        <f aca="false">#DIV/0!</f>
        <v>#DIV/0!</v>
      </c>
      <c r="I296" s="77" t="e">
        <f aca="false">#DIV/0!</f>
        <v>#DIV/0!</v>
      </c>
      <c r="J296" s="269" t="s">
        <v>681</v>
      </c>
      <c r="K296" s="27" t="n">
        <v>40000</v>
      </c>
      <c r="L296" s="27" t="n">
        <v>60000</v>
      </c>
      <c r="M296" s="45"/>
      <c r="N296" s="29"/>
      <c r="O296" s="29" t="n">
        <v>60000</v>
      </c>
      <c r="P296" s="27" t="n">
        <v>0</v>
      </c>
      <c r="Q296" s="263" t="n">
        <v>45411</v>
      </c>
    </row>
    <row r="297" customFormat="false" ht="26.1" hidden="false" customHeight="false" outlineLevel="0" collapsed="false">
      <c r="A297" s="20" t="n">
        <v>2560</v>
      </c>
      <c r="B297" s="22" t="s">
        <v>684</v>
      </c>
      <c r="C297" s="22" t="s">
        <v>685</v>
      </c>
      <c r="D297" s="22"/>
      <c r="E297" s="23" t="n">
        <v>45388</v>
      </c>
      <c r="F297" s="23" t="n">
        <v>45394</v>
      </c>
      <c r="G297" s="37" t="n">
        <v>5</v>
      </c>
      <c r="H297" s="77" t="e">
        <f aca="false">#DIV/0!</f>
        <v>#DIV/0!</v>
      </c>
      <c r="I297" s="77" t="e">
        <f aca="false">#DIV/0!</f>
        <v>#DIV/0!</v>
      </c>
      <c r="J297" s="269" t="s">
        <v>681</v>
      </c>
      <c r="K297" s="27" t="n">
        <v>40000</v>
      </c>
      <c r="L297" s="27" t="n">
        <v>47000</v>
      </c>
      <c r="M297" s="45"/>
      <c r="N297" s="29"/>
      <c r="O297" s="29" t="n">
        <v>47000</v>
      </c>
      <c r="P297" s="27" t="n">
        <v>0</v>
      </c>
      <c r="Q297" s="263" t="n">
        <v>45411</v>
      </c>
    </row>
    <row r="298" customFormat="false" ht="26.1" hidden="false" customHeight="false" outlineLevel="0" collapsed="false">
      <c r="A298" s="20" t="n">
        <v>2451</v>
      </c>
      <c r="B298" s="22" t="s">
        <v>459</v>
      </c>
      <c r="C298" s="22" t="s">
        <v>460</v>
      </c>
      <c r="D298" s="22"/>
      <c r="E298" s="23" t="n">
        <v>45322</v>
      </c>
      <c r="F298" s="23" t="n">
        <v>45422</v>
      </c>
      <c r="G298" s="37" t="n">
        <v>72</v>
      </c>
      <c r="H298" s="77" t="n">
        <v>72</v>
      </c>
      <c r="I298" s="77" t="n">
        <v>0</v>
      </c>
      <c r="J298" s="22" t="s">
        <v>333</v>
      </c>
      <c r="K298" s="27" t="n">
        <v>50000</v>
      </c>
      <c r="L298" s="27" t="n">
        <v>108000</v>
      </c>
      <c r="M298" s="45" t="n">
        <v>7500</v>
      </c>
      <c r="N298" s="29"/>
      <c r="O298" s="29" t="n">
        <v>108000</v>
      </c>
      <c r="P298" s="27" t="n">
        <v>0</v>
      </c>
      <c r="Q298" s="263" t="n">
        <v>45411</v>
      </c>
    </row>
    <row r="299" customFormat="false" ht="42.5" hidden="false" customHeight="false" outlineLevel="0" collapsed="false">
      <c r="A299" s="20" t="n">
        <v>2372</v>
      </c>
      <c r="B299" s="22" t="s">
        <v>815</v>
      </c>
      <c r="C299" s="22" t="s">
        <v>816</v>
      </c>
      <c r="D299" s="22" t="n">
        <v>24172612</v>
      </c>
      <c r="E299" s="23" t="n">
        <v>45275</v>
      </c>
      <c r="F299" s="23" t="n">
        <v>45377</v>
      </c>
      <c r="G299" s="37" t="n">
        <v>72</v>
      </c>
      <c r="H299" s="77" t="n">
        <v>72</v>
      </c>
      <c r="I299" s="77" t="n">
        <v>0</v>
      </c>
      <c r="J299" s="22" t="s">
        <v>784</v>
      </c>
      <c r="K299" s="30" t="n">
        <v>40000</v>
      </c>
      <c r="L299" s="30" t="n">
        <v>86400</v>
      </c>
      <c r="M299" s="45" t="n">
        <v>6000</v>
      </c>
      <c r="N299" s="29"/>
      <c r="O299" s="29" t="n">
        <v>86400</v>
      </c>
      <c r="P299" s="27" t="n">
        <v>0</v>
      </c>
      <c r="Q299" s="263" t="n">
        <v>45411</v>
      </c>
    </row>
    <row r="300" customFormat="false" ht="26.1" hidden="false" customHeight="false" outlineLevel="0" collapsed="false">
      <c r="A300" s="289" t="n">
        <v>2559</v>
      </c>
      <c r="B300" s="22" t="s">
        <v>723</v>
      </c>
      <c r="C300" s="22" t="s">
        <v>809</v>
      </c>
      <c r="D300" s="22"/>
      <c r="E300" s="23" t="n">
        <v>45388</v>
      </c>
      <c r="F300" s="23" t="n">
        <v>45415</v>
      </c>
      <c r="G300" s="37" t="n">
        <v>20</v>
      </c>
      <c r="H300" s="49" t="e">
        <f aca="false">#DIV/0!</f>
        <v>#DIV/0!</v>
      </c>
      <c r="I300" s="49" t="e">
        <f aca="false">#DIV/0!</f>
        <v>#DIV/0!</v>
      </c>
      <c r="J300" s="269" t="s">
        <v>681</v>
      </c>
      <c r="K300" s="30" t="n">
        <v>50000</v>
      </c>
      <c r="L300" s="30" t="n">
        <v>75000</v>
      </c>
      <c r="M300" s="28"/>
      <c r="N300" s="29" t="n">
        <v>40000</v>
      </c>
      <c r="O300" s="29" t="n">
        <v>75000</v>
      </c>
      <c r="P300" s="27" t="n">
        <v>0</v>
      </c>
      <c r="Q300" s="263" t="n">
        <v>45418</v>
      </c>
    </row>
    <row r="301" customFormat="false" ht="26.1" hidden="false" customHeight="false" outlineLevel="0" collapsed="false">
      <c r="A301" s="289" t="n">
        <v>2581</v>
      </c>
      <c r="B301" s="22" t="s">
        <v>216</v>
      </c>
      <c r="C301" s="22" t="s">
        <v>217</v>
      </c>
      <c r="D301" s="22" t="s">
        <v>218</v>
      </c>
      <c r="E301" s="23" t="n">
        <v>45400</v>
      </c>
      <c r="F301" s="23" t="n">
        <v>45422</v>
      </c>
      <c r="G301" s="37" t="n">
        <v>16</v>
      </c>
      <c r="H301" s="49" t="e">
        <f aca="false">#DIV/0!</f>
        <v>#DIV/0!</v>
      </c>
      <c r="I301" s="49" t="e">
        <f aca="false">#DIV/0!</f>
        <v>#DIV/0!</v>
      </c>
      <c r="J301" s="269" t="s">
        <v>681</v>
      </c>
      <c r="K301" s="30" t="n">
        <v>20000</v>
      </c>
      <c r="L301" s="30" t="n">
        <v>30000</v>
      </c>
      <c r="M301" s="28"/>
      <c r="N301" s="29" t="n">
        <v>30000</v>
      </c>
      <c r="O301" s="29" t="n">
        <v>30000</v>
      </c>
      <c r="P301" s="27" t="n">
        <v>0</v>
      </c>
      <c r="Q301" s="263" t="n">
        <v>45418</v>
      </c>
    </row>
    <row r="302" customFormat="false" ht="26.1" hidden="false" customHeight="false" outlineLevel="0" collapsed="false">
      <c r="A302" s="289" t="n">
        <v>2607</v>
      </c>
      <c r="B302" s="22" t="s">
        <v>216</v>
      </c>
      <c r="C302" s="22" t="s">
        <v>217</v>
      </c>
      <c r="D302" s="22" t="s">
        <v>218</v>
      </c>
      <c r="E302" s="23" t="n">
        <v>45409</v>
      </c>
      <c r="F302" s="23" t="n">
        <v>45422</v>
      </c>
      <c r="G302" s="37" t="n">
        <v>10</v>
      </c>
      <c r="H302" s="49" t="e">
        <f aca="false">#DIV/0!</f>
        <v>#DIV/0!</v>
      </c>
      <c r="I302" s="49" t="e">
        <f aca="false">#DIV/0!</f>
        <v>#DIV/0!</v>
      </c>
      <c r="J302" s="269" t="s">
        <v>681</v>
      </c>
      <c r="K302" s="27" t="n">
        <v>10000</v>
      </c>
      <c r="L302" s="27" t="n">
        <v>16000</v>
      </c>
      <c r="M302" s="45"/>
      <c r="N302" s="29" t="n">
        <v>16000</v>
      </c>
      <c r="O302" s="29" t="n">
        <v>16000</v>
      </c>
      <c r="P302" s="27" t="n">
        <v>0</v>
      </c>
      <c r="Q302" s="263" t="n">
        <v>45418</v>
      </c>
    </row>
    <row r="303" customFormat="false" ht="34.3" hidden="false" customHeight="false" outlineLevel="0" collapsed="false">
      <c r="A303" s="289" t="n">
        <v>2364</v>
      </c>
      <c r="B303" s="22" t="s">
        <v>262</v>
      </c>
      <c r="C303" s="22" t="s">
        <v>263</v>
      </c>
      <c r="D303" s="22"/>
      <c r="E303" s="23" t="n">
        <v>45267</v>
      </c>
      <c r="F303" s="23" t="n">
        <v>45428</v>
      </c>
      <c r="G303" s="37" t="n">
        <v>115</v>
      </c>
      <c r="H303" s="49" t="n">
        <v>109.259259259259</v>
      </c>
      <c r="I303" s="49" t="n">
        <v>5.74074074074075</v>
      </c>
      <c r="J303" s="269" t="s">
        <v>890</v>
      </c>
      <c r="K303" s="27" t="n">
        <v>100000</v>
      </c>
      <c r="L303" s="27" t="n">
        <v>216000</v>
      </c>
      <c r="M303" s="45" t="n">
        <v>10800</v>
      </c>
      <c r="N303" s="29" t="n">
        <v>43200</v>
      </c>
      <c r="O303" s="29" t="n">
        <v>236000</v>
      </c>
      <c r="P303" s="27" t="n">
        <v>-20000</v>
      </c>
      <c r="Q303" s="263" t="n">
        <v>45418</v>
      </c>
    </row>
    <row r="304" customFormat="false" ht="17.9" hidden="false" customHeight="false" outlineLevel="0" collapsed="false">
      <c r="A304" s="289" t="n">
        <v>2598</v>
      </c>
      <c r="B304" s="22" t="s">
        <v>363</v>
      </c>
      <c r="C304" s="22"/>
      <c r="D304" s="22"/>
      <c r="E304" s="23" t="n">
        <v>45409</v>
      </c>
      <c r="F304" s="23" t="n">
        <v>45415</v>
      </c>
      <c r="G304" s="37" t="n">
        <v>5</v>
      </c>
      <c r="H304" s="49" t="e">
        <f aca="false">#DIV/0!</f>
        <v>#DIV/0!</v>
      </c>
      <c r="I304" s="49" t="e">
        <f aca="false">#DIV/0!</f>
        <v>#DIV/0!</v>
      </c>
      <c r="J304" s="269" t="s">
        <v>681</v>
      </c>
      <c r="K304" s="50" t="n">
        <v>50000</v>
      </c>
      <c r="L304" s="27" t="n">
        <v>65000</v>
      </c>
      <c r="M304" s="45"/>
      <c r="N304" s="29" t="n">
        <v>68000</v>
      </c>
      <c r="O304" s="29" t="n">
        <v>68000</v>
      </c>
      <c r="P304" s="27" t="n">
        <v>-3000</v>
      </c>
      <c r="Q304" s="263" t="n">
        <v>45418</v>
      </c>
    </row>
    <row r="305" customFormat="false" ht="50.7" hidden="false" customHeight="false" outlineLevel="0" collapsed="false">
      <c r="A305" s="289" t="n">
        <v>2412</v>
      </c>
      <c r="B305" s="22" t="s">
        <v>804</v>
      </c>
      <c r="C305" s="22" t="s">
        <v>805</v>
      </c>
      <c r="D305" s="22"/>
      <c r="E305" s="23" t="n">
        <v>45302</v>
      </c>
      <c r="F305" s="23" t="n">
        <v>45400</v>
      </c>
      <c r="G305" s="37" t="n">
        <v>70</v>
      </c>
      <c r="H305" s="49" t="n">
        <v>70</v>
      </c>
      <c r="I305" s="49" t="n">
        <v>0</v>
      </c>
      <c r="J305" s="22" t="s">
        <v>891</v>
      </c>
      <c r="K305" s="30" t="n">
        <v>50000</v>
      </c>
      <c r="L305" s="30" t="n">
        <v>122500</v>
      </c>
      <c r="M305" s="28" t="n">
        <v>8750</v>
      </c>
      <c r="N305" s="29" t="n">
        <v>70000</v>
      </c>
      <c r="O305" s="29" t="n">
        <v>122500</v>
      </c>
      <c r="P305" s="27" t="n">
        <v>0</v>
      </c>
      <c r="Q305" s="263" t="n">
        <v>45418</v>
      </c>
    </row>
    <row r="306" customFormat="false" ht="26.1" hidden="false" customHeight="false" outlineLevel="0" collapsed="false">
      <c r="A306" s="289" t="n">
        <v>2335</v>
      </c>
      <c r="B306" s="22" t="s">
        <v>892</v>
      </c>
      <c r="C306" s="22" t="s">
        <v>893</v>
      </c>
      <c r="D306" s="22" t="s">
        <v>894</v>
      </c>
      <c r="E306" s="23" t="n">
        <v>45241</v>
      </c>
      <c r="F306" s="23" t="n">
        <v>45342</v>
      </c>
      <c r="G306" s="37" t="n">
        <v>72</v>
      </c>
      <c r="H306" s="49" t="n">
        <v>80.1666666666667</v>
      </c>
      <c r="I306" s="49" t="n">
        <v>-8.16666666666667</v>
      </c>
      <c r="J306" s="22" t="s">
        <v>716</v>
      </c>
      <c r="K306" s="27" t="n">
        <v>15000</v>
      </c>
      <c r="L306" s="27" t="n">
        <v>32400</v>
      </c>
      <c r="M306" s="45" t="n">
        <v>2250</v>
      </c>
      <c r="N306" s="29" t="n">
        <v>10000</v>
      </c>
      <c r="O306" s="29" t="n">
        <v>36075</v>
      </c>
      <c r="P306" s="27" t="n">
        <v>-3675</v>
      </c>
      <c r="Q306" s="263" t="n">
        <v>45418</v>
      </c>
    </row>
    <row r="307" customFormat="false" ht="17.9" hidden="false" customHeight="false" outlineLevel="0" collapsed="false">
      <c r="A307" s="289" t="n">
        <v>2430</v>
      </c>
      <c r="B307" s="22" t="s">
        <v>393</v>
      </c>
      <c r="C307" s="22"/>
      <c r="D307" s="22"/>
      <c r="E307" s="23" t="n">
        <v>45309</v>
      </c>
      <c r="F307" s="23" t="n">
        <v>45411</v>
      </c>
      <c r="G307" s="37" t="n">
        <v>72</v>
      </c>
      <c r="H307" s="49" t="n">
        <v>72</v>
      </c>
      <c r="I307" s="49" t="n">
        <v>0</v>
      </c>
      <c r="J307" s="22" t="s">
        <v>675</v>
      </c>
      <c r="K307" s="27" t="n">
        <v>30000</v>
      </c>
      <c r="L307" s="27" t="n">
        <v>64800</v>
      </c>
      <c r="M307" s="45" t="n">
        <v>4500</v>
      </c>
      <c r="N307" s="29" t="n">
        <v>10800</v>
      </c>
      <c r="O307" s="29" t="n">
        <v>64800</v>
      </c>
      <c r="P307" s="27" t="n">
        <v>0</v>
      </c>
      <c r="Q307" s="263" t="n">
        <v>45418</v>
      </c>
    </row>
    <row r="308" customFormat="false" ht="34.3" hidden="false" customHeight="false" outlineLevel="0" collapsed="false">
      <c r="A308" s="289" t="n">
        <v>2314</v>
      </c>
      <c r="B308" s="22" t="s">
        <v>405</v>
      </c>
      <c r="C308" s="22" t="s">
        <v>406</v>
      </c>
      <c r="D308" s="22"/>
      <c r="E308" s="23" t="n">
        <v>45226</v>
      </c>
      <c r="F308" s="23" t="n">
        <v>45394</v>
      </c>
      <c r="G308" s="37" t="n">
        <v>120</v>
      </c>
      <c r="H308" s="49" t="n">
        <v>120</v>
      </c>
      <c r="I308" s="49" t="n">
        <v>0</v>
      </c>
      <c r="J308" s="74" t="s">
        <v>895</v>
      </c>
      <c r="K308" s="27" t="n">
        <v>50000</v>
      </c>
      <c r="L308" s="27" t="n">
        <v>110400</v>
      </c>
      <c r="M308" s="45" t="n">
        <v>4600</v>
      </c>
      <c r="N308" s="29" t="n">
        <v>9200</v>
      </c>
      <c r="O308" s="29" t="n">
        <v>110400</v>
      </c>
      <c r="P308" s="27" t="n">
        <v>0</v>
      </c>
      <c r="Q308" s="263" t="n">
        <v>45418</v>
      </c>
    </row>
    <row r="309" customFormat="false" ht="42.5" hidden="false" customHeight="false" outlineLevel="0" collapsed="false">
      <c r="A309" s="289" t="n">
        <v>2387</v>
      </c>
      <c r="B309" s="22" t="s">
        <v>896</v>
      </c>
      <c r="C309" s="22" t="s">
        <v>897</v>
      </c>
      <c r="D309" s="22"/>
      <c r="E309" s="23" t="n">
        <v>45282</v>
      </c>
      <c r="F309" s="23" t="n">
        <v>45384</v>
      </c>
      <c r="G309" s="37" t="n">
        <v>72</v>
      </c>
      <c r="H309" s="49" t="n">
        <v>72</v>
      </c>
      <c r="I309" s="49" t="n">
        <v>0</v>
      </c>
      <c r="J309" s="22" t="s">
        <v>679</v>
      </c>
      <c r="K309" s="30" t="n">
        <v>20000</v>
      </c>
      <c r="L309" s="30" t="n">
        <v>43200</v>
      </c>
      <c r="M309" s="45" t="n">
        <v>3000</v>
      </c>
      <c r="N309" s="29" t="n">
        <v>7200</v>
      </c>
      <c r="O309" s="29" t="n">
        <v>43200</v>
      </c>
      <c r="P309" s="27" t="n">
        <v>0</v>
      </c>
      <c r="Q309" s="263" t="n">
        <v>45418</v>
      </c>
    </row>
    <row r="310" customFormat="false" ht="50.7" hidden="false" customHeight="false" outlineLevel="0" collapsed="false">
      <c r="A310" s="289" t="n">
        <v>2545</v>
      </c>
      <c r="B310" s="22" t="s">
        <v>898</v>
      </c>
      <c r="C310" s="22" t="s">
        <v>899</v>
      </c>
      <c r="D310" s="22" t="n">
        <v>27242809519</v>
      </c>
      <c r="E310" s="23" t="n">
        <v>45378</v>
      </c>
      <c r="F310" s="23" t="n">
        <v>45422</v>
      </c>
      <c r="G310" s="37" t="n">
        <v>32</v>
      </c>
      <c r="H310" s="49" t="n">
        <v>20.6666666666667</v>
      </c>
      <c r="I310" s="49" t="n">
        <v>11.3333333333333</v>
      </c>
      <c r="J310" s="269" t="s">
        <v>900</v>
      </c>
      <c r="K310" s="30" t="n">
        <v>25000</v>
      </c>
      <c r="L310" s="30" t="n">
        <v>37500</v>
      </c>
      <c r="M310" s="28" t="n">
        <v>9375</v>
      </c>
      <c r="N310" s="29" t="n">
        <v>18750</v>
      </c>
      <c r="O310" s="29" t="n">
        <v>38750</v>
      </c>
      <c r="P310" s="27" t="n">
        <v>-1250</v>
      </c>
      <c r="Q310" s="263" t="n">
        <v>45418</v>
      </c>
    </row>
    <row r="311" customFormat="false" ht="34.3" hidden="false" customHeight="false" outlineLevel="0" collapsed="false">
      <c r="A311" s="289" t="n">
        <v>2339</v>
      </c>
      <c r="B311" s="22" t="s">
        <v>452</v>
      </c>
      <c r="C311" s="22"/>
      <c r="D311" s="22"/>
      <c r="E311" s="23" t="n">
        <v>45251</v>
      </c>
      <c r="F311" s="23" t="n">
        <v>45422</v>
      </c>
      <c r="G311" s="37" t="n">
        <v>123</v>
      </c>
      <c r="H311" s="49" t="n">
        <v>120</v>
      </c>
      <c r="I311" s="49" t="n">
        <v>3</v>
      </c>
      <c r="J311" s="269" t="s">
        <v>847</v>
      </c>
      <c r="K311" s="27" t="n">
        <v>30000</v>
      </c>
      <c r="L311" s="27" t="n">
        <v>64800</v>
      </c>
      <c r="M311" s="45" t="n">
        <v>2700</v>
      </c>
      <c r="N311" s="29" t="n">
        <v>10800</v>
      </c>
      <c r="O311" s="29" t="n">
        <v>64800</v>
      </c>
      <c r="P311" s="27" t="n">
        <v>0</v>
      </c>
      <c r="Q311" s="263" t="n">
        <v>45418</v>
      </c>
    </row>
    <row r="312" customFormat="false" ht="17.9" hidden="false" customHeight="false" outlineLevel="0" collapsed="false">
      <c r="A312" s="289" t="n">
        <v>2340</v>
      </c>
      <c r="B312" s="22" t="s">
        <v>457</v>
      </c>
      <c r="C312" s="22"/>
      <c r="D312" s="22"/>
      <c r="E312" s="23" t="n">
        <v>45251</v>
      </c>
      <c r="F312" s="23" t="n">
        <v>45422</v>
      </c>
      <c r="G312" s="37" t="n">
        <v>123</v>
      </c>
      <c r="H312" s="49" t="n">
        <v>120</v>
      </c>
      <c r="I312" s="49" t="n">
        <v>3</v>
      </c>
      <c r="J312" s="269" t="s">
        <v>901</v>
      </c>
      <c r="K312" s="30" t="n">
        <v>50000</v>
      </c>
      <c r="L312" s="30" t="n">
        <v>108000</v>
      </c>
      <c r="M312" s="28" t="n">
        <v>4500</v>
      </c>
      <c r="N312" s="29" t="n">
        <v>18000</v>
      </c>
      <c r="O312" s="29" t="n">
        <v>108000</v>
      </c>
      <c r="P312" s="27" t="n">
        <v>0</v>
      </c>
      <c r="Q312" s="263" t="n">
        <v>45418</v>
      </c>
    </row>
    <row r="313" customFormat="false" ht="26.1" hidden="false" customHeight="false" outlineLevel="0" collapsed="false">
      <c r="A313" s="289" t="n">
        <v>2280</v>
      </c>
      <c r="B313" s="22" t="s">
        <v>709</v>
      </c>
      <c r="C313" s="22" t="s">
        <v>710</v>
      </c>
      <c r="D313" s="22"/>
      <c r="E313" s="23" t="n">
        <v>45204</v>
      </c>
      <c r="F313" s="23" t="n">
        <v>45378</v>
      </c>
      <c r="G313" s="37" t="n">
        <v>124</v>
      </c>
      <c r="H313" s="49" t="n">
        <v>139.056818181818</v>
      </c>
      <c r="I313" s="49" t="n">
        <v>-15.0568181818182</v>
      </c>
      <c r="J313" s="269" t="s">
        <v>711</v>
      </c>
      <c r="K313" s="27" t="n">
        <v>20000</v>
      </c>
      <c r="L313" s="27" t="n">
        <v>52800</v>
      </c>
      <c r="M313" s="45" t="n">
        <v>2200</v>
      </c>
      <c r="N313" s="29" t="n">
        <v>8800</v>
      </c>
      <c r="O313" s="29" t="n">
        <v>61185</v>
      </c>
      <c r="P313" s="27" t="n">
        <v>-8385</v>
      </c>
      <c r="Q313" s="263" t="n">
        <v>45418</v>
      </c>
    </row>
    <row r="314" customFormat="false" ht="26.1" hidden="false" customHeight="false" outlineLevel="0" collapsed="false">
      <c r="A314" s="289" t="n">
        <v>2418</v>
      </c>
      <c r="B314" s="22" t="s">
        <v>709</v>
      </c>
      <c r="C314" s="22" t="s">
        <v>710</v>
      </c>
      <c r="D314" s="22"/>
      <c r="E314" s="23" t="n">
        <v>45303</v>
      </c>
      <c r="F314" s="23" t="n">
        <v>45415</v>
      </c>
      <c r="G314" s="37" t="n">
        <v>80</v>
      </c>
      <c r="H314" s="49" t="n">
        <v>80</v>
      </c>
      <c r="I314" s="49" t="n">
        <v>0</v>
      </c>
      <c r="J314" s="269" t="s">
        <v>902</v>
      </c>
      <c r="K314" s="27" t="n">
        <v>25000</v>
      </c>
      <c r="L314" s="27" t="n">
        <v>54000</v>
      </c>
      <c r="M314" s="45" t="n">
        <v>3375</v>
      </c>
      <c r="N314" s="29" t="n">
        <v>13500</v>
      </c>
      <c r="O314" s="29" t="n">
        <v>54000</v>
      </c>
      <c r="P314" s="27" t="n">
        <v>0</v>
      </c>
      <c r="Q314" s="263" t="n">
        <v>45418</v>
      </c>
    </row>
    <row r="315" customFormat="false" ht="26.1" hidden="false" customHeight="false" outlineLevel="0" collapsed="false">
      <c r="A315" s="289" t="n">
        <v>2431</v>
      </c>
      <c r="B315" s="22" t="s">
        <v>709</v>
      </c>
      <c r="C315" s="22" t="s">
        <v>710</v>
      </c>
      <c r="D315" s="22"/>
      <c r="E315" s="23" t="n">
        <v>45309</v>
      </c>
      <c r="F315" s="23" t="n">
        <v>45421</v>
      </c>
      <c r="G315" s="37" t="n">
        <v>80</v>
      </c>
      <c r="H315" s="49" t="n">
        <v>80</v>
      </c>
      <c r="I315" s="49" t="n">
        <v>0</v>
      </c>
      <c r="J315" s="269" t="s">
        <v>903</v>
      </c>
      <c r="K315" s="27" t="n">
        <v>30000</v>
      </c>
      <c r="L315" s="27" t="n">
        <v>64800</v>
      </c>
      <c r="M315" s="45" t="n">
        <v>4050</v>
      </c>
      <c r="N315" s="29" t="n">
        <v>16200</v>
      </c>
      <c r="O315" s="29" t="n">
        <v>64800</v>
      </c>
      <c r="P315" s="27" t="n">
        <v>0</v>
      </c>
      <c r="Q315" s="263" t="n">
        <v>45418</v>
      </c>
    </row>
    <row r="316" customFormat="false" ht="42.5" hidden="false" customHeight="false" outlineLevel="0" collapsed="false">
      <c r="A316" s="289" t="n">
        <v>2399</v>
      </c>
      <c r="B316" s="22" t="s">
        <v>748</v>
      </c>
      <c r="C316" s="22" t="s">
        <v>493</v>
      </c>
      <c r="D316" s="22"/>
      <c r="E316" s="23" t="n">
        <v>45295</v>
      </c>
      <c r="F316" s="23" t="n">
        <v>45397</v>
      </c>
      <c r="G316" s="37" t="n">
        <v>72</v>
      </c>
      <c r="H316" s="49" t="n">
        <v>72</v>
      </c>
      <c r="I316" s="49" t="n">
        <v>0</v>
      </c>
      <c r="J316" s="22" t="s">
        <v>333</v>
      </c>
      <c r="K316" s="27" t="n">
        <v>50000</v>
      </c>
      <c r="L316" s="27" t="n">
        <v>108000</v>
      </c>
      <c r="M316" s="45" t="n">
        <v>7500</v>
      </c>
      <c r="N316" s="29" t="n">
        <v>2400</v>
      </c>
      <c r="O316" s="29" t="n">
        <v>108000</v>
      </c>
      <c r="P316" s="27" t="n">
        <v>0</v>
      </c>
      <c r="Q316" s="263" t="n">
        <v>45418</v>
      </c>
    </row>
    <row r="317" customFormat="false" ht="42.5" hidden="false" customHeight="false" outlineLevel="0" collapsed="false">
      <c r="A317" s="289" t="n">
        <v>2407</v>
      </c>
      <c r="B317" s="22" t="s">
        <v>748</v>
      </c>
      <c r="C317" s="22" t="s">
        <v>493</v>
      </c>
      <c r="D317" s="22"/>
      <c r="E317" s="23" t="n">
        <v>45300</v>
      </c>
      <c r="F317" s="23" t="n">
        <v>45400</v>
      </c>
      <c r="G317" s="37" t="n">
        <v>72</v>
      </c>
      <c r="H317" s="49" t="n">
        <v>72</v>
      </c>
      <c r="I317" s="49" t="n">
        <v>0</v>
      </c>
      <c r="J317" s="22" t="s">
        <v>333</v>
      </c>
      <c r="K317" s="27" t="n">
        <v>50000</v>
      </c>
      <c r="L317" s="27" t="n">
        <v>108000</v>
      </c>
      <c r="M317" s="45" t="n">
        <v>7500</v>
      </c>
      <c r="N317" s="29" t="n">
        <v>3000</v>
      </c>
      <c r="O317" s="29" t="n">
        <v>108000</v>
      </c>
      <c r="P317" s="27" t="n">
        <v>0</v>
      </c>
      <c r="Q317" s="263" t="n">
        <v>45418</v>
      </c>
    </row>
    <row r="318" customFormat="false" ht="34.3" hidden="false" customHeight="false" outlineLevel="0" collapsed="false">
      <c r="A318" s="289" t="n">
        <v>1913</v>
      </c>
      <c r="B318" s="22" t="s">
        <v>904</v>
      </c>
      <c r="C318" s="22" t="s">
        <v>380</v>
      </c>
      <c r="D318" s="22"/>
      <c r="E318" s="23" t="n">
        <v>44914</v>
      </c>
      <c r="F318" s="23" t="n">
        <v>45148</v>
      </c>
      <c r="G318" s="37" t="n">
        <v>168</v>
      </c>
      <c r="H318" s="49" t="n">
        <v>119.487179487179</v>
      </c>
      <c r="I318" s="49" t="n">
        <v>48.5128205128205</v>
      </c>
      <c r="J318" s="269" t="s">
        <v>905</v>
      </c>
      <c r="K318" s="30" t="n">
        <v>50000</v>
      </c>
      <c r="L318" s="30" t="n">
        <v>116000</v>
      </c>
      <c r="M318" s="28" t="n">
        <v>4875</v>
      </c>
      <c r="N318" s="29" t="n">
        <v>32000</v>
      </c>
      <c r="O318" s="29" t="n">
        <v>116500</v>
      </c>
      <c r="P318" s="27" t="n">
        <v>-500</v>
      </c>
      <c r="Q318" s="263" t="n">
        <v>45418</v>
      </c>
    </row>
    <row r="319" customFormat="false" ht="42.5" hidden="false" customHeight="false" outlineLevel="0" collapsed="false">
      <c r="A319" s="289" t="n">
        <v>2588</v>
      </c>
      <c r="B319" s="22" t="s">
        <v>581</v>
      </c>
      <c r="C319" s="22" t="s">
        <v>351</v>
      </c>
      <c r="D319" s="22"/>
      <c r="E319" s="23" t="n">
        <v>45404</v>
      </c>
      <c r="F319" s="23" t="n">
        <v>45432</v>
      </c>
      <c r="G319" s="37" t="n">
        <v>20</v>
      </c>
      <c r="H319" s="49" t="e">
        <f aca="false">#VALUE!</f>
        <v>#VALUE!</v>
      </c>
      <c r="I319" s="49" t="e">
        <f aca="false">#VALUE!</f>
        <v>#VALUE!</v>
      </c>
      <c r="J319" s="269" t="s">
        <v>681</v>
      </c>
      <c r="K319" s="290" t="n">
        <v>30000</v>
      </c>
      <c r="L319" s="27" t="n">
        <v>45000</v>
      </c>
      <c r="M319" s="45" t="s">
        <v>184</v>
      </c>
      <c r="N319" s="29" t="n">
        <v>45000</v>
      </c>
      <c r="O319" s="29" t="n">
        <v>45000</v>
      </c>
      <c r="P319" s="27" t="n">
        <v>0</v>
      </c>
      <c r="Q319" s="263" t="n">
        <v>45425</v>
      </c>
    </row>
    <row r="320" customFormat="false" ht="17.9" hidden="false" customHeight="false" outlineLevel="0" collapsed="false">
      <c r="A320" s="289" t="n">
        <v>2613</v>
      </c>
      <c r="B320" s="22" t="s">
        <v>363</v>
      </c>
      <c r="C320" s="22"/>
      <c r="D320" s="22"/>
      <c r="E320" s="23" t="n">
        <v>45421</v>
      </c>
      <c r="F320" s="23" t="n">
        <v>45428</v>
      </c>
      <c r="G320" s="37" t="n">
        <v>5</v>
      </c>
      <c r="H320" s="49" t="e">
        <f aca="false">#DIV/0!</f>
        <v>#DIV/0!</v>
      </c>
      <c r="I320" s="49" t="e">
        <f aca="false">#DIV/0!</f>
        <v>#DIV/0!</v>
      </c>
      <c r="J320" s="269" t="s">
        <v>681</v>
      </c>
      <c r="K320" s="50" t="n">
        <v>20000</v>
      </c>
      <c r="L320" s="27" t="n">
        <v>26000</v>
      </c>
      <c r="M320" s="45"/>
      <c r="N320" s="29" t="n">
        <v>26000</v>
      </c>
      <c r="O320" s="29" t="n">
        <v>26000</v>
      </c>
      <c r="P320" s="27" t="n">
        <v>0</v>
      </c>
      <c r="Q320" s="263" t="n">
        <v>45425</v>
      </c>
    </row>
    <row r="321" customFormat="false" ht="26.1" hidden="false" customHeight="false" outlineLevel="0" collapsed="false">
      <c r="A321" s="289" t="n">
        <v>2468</v>
      </c>
      <c r="B321" s="22" t="s">
        <v>906</v>
      </c>
      <c r="C321" s="22" t="s">
        <v>907</v>
      </c>
      <c r="D321" s="22" t="s">
        <v>908</v>
      </c>
      <c r="E321" s="23" t="n">
        <v>45332</v>
      </c>
      <c r="F321" s="23" t="n">
        <v>45429</v>
      </c>
      <c r="G321" s="37" t="n">
        <v>70</v>
      </c>
      <c r="H321" s="49" t="n">
        <v>70</v>
      </c>
      <c r="I321" s="49" t="n">
        <v>0</v>
      </c>
      <c r="J321" s="22" t="s">
        <v>891</v>
      </c>
      <c r="K321" s="30" t="n">
        <v>50000</v>
      </c>
      <c r="L321" s="30" t="n">
        <v>122500</v>
      </c>
      <c r="M321" s="28" t="n">
        <v>8750</v>
      </c>
      <c r="N321" s="29"/>
      <c r="O321" s="29" t="n">
        <v>122500</v>
      </c>
      <c r="P321" s="27" t="n">
        <v>0</v>
      </c>
      <c r="Q321" s="263" t="n">
        <v>45425</v>
      </c>
    </row>
    <row r="322" customFormat="false" ht="34.3" hidden="false" customHeight="false" outlineLevel="0" collapsed="false">
      <c r="A322" s="289" t="n">
        <v>2432</v>
      </c>
      <c r="B322" s="22" t="s">
        <v>417</v>
      </c>
      <c r="C322" s="22" t="s">
        <v>415</v>
      </c>
      <c r="D322" s="22"/>
      <c r="E322" s="23" t="n">
        <v>45309</v>
      </c>
      <c r="F322" s="23" t="n">
        <v>45411</v>
      </c>
      <c r="G322" s="37" t="n">
        <v>72</v>
      </c>
      <c r="H322" s="49" t="n">
        <v>72</v>
      </c>
      <c r="I322" s="49" t="n">
        <v>0</v>
      </c>
      <c r="J322" s="269" t="s">
        <v>720</v>
      </c>
      <c r="K322" s="27" t="n">
        <v>50000</v>
      </c>
      <c r="L322" s="27" t="n">
        <v>129600</v>
      </c>
      <c r="M322" s="45" t="n">
        <v>9000</v>
      </c>
      <c r="N322" s="29" t="n">
        <v>4600</v>
      </c>
      <c r="O322" s="29" t="n">
        <v>129600</v>
      </c>
      <c r="P322" s="27" t="n">
        <v>0</v>
      </c>
      <c r="Q322" s="263" t="n">
        <v>45425</v>
      </c>
    </row>
    <row r="323" customFormat="false" ht="15" hidden="false" customHeight="false" outlineLevel="0" collapsed="false">
      <c r="A323" s="289" t="n">
        <v>2561</v>
      </c>
      <c r="B323" s="22" t="s">
        <v>791</v>
      </c>
      <c r="C323" s="22"/>
      <c r="D323" s="22"/>
      <c r="E323" s="23" t="n">
        <v>45388</v>
      </c>
      <c r="F323" s="23" t="n">
        <v>45419</v>
      </c>
      <c r="G323" s="37" t="n">
        <v>22</v>
      </c>
      <c r="H323" s="49" t="e">
        <f aca="false">#DIV/0!</f>
        <v>#DIV/0!</v>
      </c>
      <c r="I323" s="49" t="e">
        <f aca="false">#DIV/0!</f>
        <v>#DIV/0!</v>
      </c>
      <c r="J323" s="269" t="s">
        <v>681</v>
      </c>
      <c r="K323" s="27" t="n">
        <v>16000</v>
      </c>
      <c r="L323" s="27" t="n">
        <v>24000</v>
      </c>
      <c r="M323" s="45"/>
      <c r="N323" s="29" t="n">
        <v>24000</v>
      </c>
      <c r="O323" s="29" t="n">
        <v>24000</v>
      </c>
      <c r="P323" s="27" t="n">
        <v>0</v>
      </c>
      <c r="Q323" s="263" t="n">
        <v>45425</v>
      </c>
    </row>
    <row r="324" customFormat="false" ht="15" hidden="false" customHeight="false" outlineLevel="0" collapsed="false">
      <c r="A324" s="289" t="n">
        <v>2565</v>
      </c>
      <c r="B324" s="22" t="s">
        <v>791</v>
      </c>
      <c r="C324" s="22"/>
      <c r="D324" s="22"/>
      <c r="E324" s="23" t="n">
        <v>45391</v>
      </c>
      <c r="F324" s="23" t="n">
        <v>45421</v>
      </c>
      <c r="G324" s="37" t="n">
        <v>22</v>
      </c>
      <c r="H324" s="49" t="e">
        <f aca="false">#DIV/0!</f>
        <v>#DIV/0!</v>
      </c>
      <c r="I324" s="49" t="e">
        <f aca="false">#DIV/0!</f>
        <v>#DIV/0!</v>
      </c>
      <c r="J324" s="269" t="s">
        <v>681</v>
      </c>
      <c r="K324" s="27" t="n">
        <v>30000</v>
      </c>
      <c r="L324" s="27" t="n">
        <v>48000</v>
      </c>
      <c r="M324" s="45"/>
      <c r="N324" s="29" t="n">
        <v>48000</v>
      </c>
      <c r="O324" s="29" t="n">
        <v>48000</v>
      </c>
      <c r="P324" s="27" t="n">
        <v>0</v>
      </c>
      <c r="Q324" s="263" t="n">
        <v>45425</v>
      </c>
    </row>
    <row r="325" customFormat="false" ht="15" hidden="false" customHeight="false" outlineLevel="0" collapsed="false">
      <c r="A325" s="289" t="n">
        <v>2593</v>
      </c>
      <c r="B325" s="22" t="s">
        <v>791</v>
      </c>
      <c r="C325" s="22"/>
      <c r="D325" s="22"/>
      <c r="E325" s="23" t="n">
        <v>45406</v>
      </c>
      <c r="F325" s="23" t="n">
        <v>45436</v>
      </c>
      <c r="G325" s="37" t="n">
        <v>22</v>
      </c>
      <c r="H325" s="49" t="e">
        <f aca="false">#DIV/0!</f>
        <v>#DIV/0!</v>
      </c>
      <c r="I325" s="49" t="e">
        <f aca="false">#DIV/0!</f>
        <v>#DIV/0!</v>
      </c>
      <c r="J325" s="269" t="s">
        <v>681</v>
      </c>
      <c r="K325" s="30" t="n">
        <v>30000</v>
      </c>
      <c r="L325" s="30" t="n">
        <v>45000</v>
      </c>
      <c r="M325" s="45"/>
      <c r="N325" s="29" t="n">
        <v>45000</v>
      </c>
      <c r="O325" s="29" t="n">
        <v>45000</v>
      </c>
      <c r="P325" s="27" t="n">
        <v>0</v>
      </c>
      <c r="Q325" s="263" t="n">
        <v>45425</v>
      </c>
    </row>
    <row r="326" customFormat="false" ht="26.1" hidden="false" customHeight="false" outlineLevel="0" collapsed="false">
      <c r="A326" s="289" t="n">
        <v>2597</v>
      </c>
      <c r="B326" s="22" t="s">
        <v>688</v>
      </c>
      <c r="C326" s="22"/>
      <c r="D326" s="22"/>
      <c r="E326" s="23" t="n">
        <v>45409</v>
      </c>
      <c r="F326" s="23" t="n">
        <v>45425</v>
      </c>
      <c r="G326" s="37" t="n">
        <v>11</v>
      </c>
      <c r="H326" s="49" t="e">
        <f aca="false">#DIV/0!</f>
        <v>#DIV/0!</v>
      </c>
      <c r="I326" s="49" t="e">
        <f aca="false">#DIV/0!</f>
        <v>#DIV/0!</v>
      </c>
      <c r="J326" s="269" t="s">
        <v>681</v>
      </c>
      <c r="K326" s="27" t="n">
        <v>15000</v>
      </c>
      <c r="L326" s="27" t="n">
        <v>22000</v>
      </c>
      <c r="M326" s="45"/>
      <c r="N326" s="29" t="n">
        <v>22000</v>
      </c>
      <c r="O326" s="29" t="n">
        <v>22000</v>
      </c>
      <c r="P326" s="27" t="n">
        <v>0</v>
      </c>
      <c r="Q326" s="263" t="n">
        <v>45425</v>
      </c>
    </row>
    <row r="327" customFormat="false" ht="17.9" hidden="false" customHeight="false" outlineLevel="0" collapsed="false">
      <c r="A327" s="289" t="n">
        <v>2571</v>
      </c>
      <c r="B327" s="22" t="s">
        <v>909</v>
      </c>
      <c r="C327" s="22"/>
      <c r="D327" s="22"/>
      <c r="E327" s="23" t="n">
        <v>45394</v>
      </c>
      <c r="F327" s="23" t="n">
        <v>45422</v>
      </c>
      <c r="G327" s="37" t="n">
        <v>20</v>
      </c>
      <c r="H327" s="49" t="e">
        <f aca="false">#DIV/0!</f>
        <v>#DIV/0!</v>
      </c>
      <c r="I327" s="49" t="e">
        <f aca="false">#DIV/0!</f>
        <v>#DIV/0!</v>
      </c>
      <c r="J327" s="269" t="s">
        <v>681</v>
      </c>
      <c r="K327" s="30" t="n">
        <v>16000</v>
      </c>
      <c r="L327" s="30" t="n">
        <v>24000</v>
      </c>
      <c r="M327" s="28"/>
      <c r="N327" s="29" t="n">
        <v>24000</v>
      </c>
      <c r="O327" s="29" t="n">
        <v>24000</v>
      </c>
      <c r="P327" s="27" t="n">
        <v>0</v>
      </c>
      <c r="Q327" s="263" t="n">
        <v>45425</v>
      </c>
    </row>
    <row r="328" customFormat="false" ht="58.95" hidden="false" customHeight="false" outlineLevel="0" collapsed="false">
      <c r="A328" s="289" t="n">
        <v>2074</v>
      </c>
      <c r="B328" s="22" t="s">
        <v>522</v>
      </c>
      <c r="C328" s="22" t="s">
        <v>523</v>
      </c>
      <c r="D328" s="22"/>
      <c r="E328" s="23" t="n">
        <v>45043</v>
      </c>
      <c r="F328" s="23" t="n">
        <v>45379</v>
      </c>
      <c r="G328" s="37" t="n">
        <v>240</v>
      </c>
      <c r="H328" s="49" t="n">
        <v>243.588541666667</v>
      </c>
      <c r="I328" s="49" t="n">
        <v>-3.58854166666666</v>
      </c>
      <c r="J328" s="22" t="s">
        <v>910</v>
      </c>
      <c r="K328" s="30" t="n">
        <v>200000</v>
      </c>
      <c r="L328" s="30" t="n">
        <v>460800</v>
      </c>
      <c r="M328" s="45" t="n">
        <v>9600</v>
      </c>
      <c r="N328" s="29" t="n">
        <v>9600</v>
      </c>
      <c r="O328" s="29" t="n">
        <v>467690</v>
      </c>
      <c r="P328" s="27" t="n">
        <v>-6890</v>
      </c>
      <c r="Q328" s="263" t="n">
        <v>45425</v>
      </c>
    </row>
    <row r="329" customFormat="false" ht="26.1" hidden="false" customHeight="false" outlineLevel="0" collapsed="false">
      <c r="A329" s="289" t="n">
        <v>2356</v>
      </c>
      <c r="B329" s="22" t="s">
        <v>291</v>
      </c>
      <c r="C329" s="22" t="s">
        <v>292</v>
      </c>
      <c r="D329" s="22"/>
      <c r="E329" s="23" t="n">
        <v>45261</v>
      </c>
      <c r="F329" s="23" t="n">
        <v>45485</v>
      </c>
      <c r="G329" s="37" t="n">
        <v>160</v>
      </c>
      <c r="H329" s="49" t="n">
        <v>120</v>
      </c>
      <c r="I329" s="49" t="n">
        <v>40</v>
      </c>
      <c r="J329" s="269" t="s">
        <v>911</v>
      </c>
      <c r="K329" s="30" t="n">
        <v>41530</v>
      </c>
      <c r="L329" s="30" t="n">
        <v>109620</v>
      </c>
      <c r="M329" s="28" t="n">
        <v>4567.5</v>
      </c>
      <c r="N329" s="29" t="n">
        <v>18810</v>
      </c>
      <c r="O329" s="29" t="n">
        <v>109620</v>
      </c>
      <c r="P329" s="27" t="n">
        <v>0</v>
      </c>
      <c r="Q329" s="263" t="n">
        <v>45432</v>
      </c>
    </row>
    <row r="330" customFormat="false" ht="26.1" hidden="false" customHeight="false" outlineLevel="0" collapsed="false">
      <c r="A330" s="289" t="n">
        <v>2470</v>
      </c>
      <c r="B330" s="22" t="s">
        <v>291</v>
      </c>
      <c r="C330" s="22" t="s">
        <v>292</v>
      </c>
      <c r="D330" s="22"/>
      <c r="E330" s="23" t="n">
        <v>45335</v>
      </c>
      <c r="F330" s="23" t="n">
        <v>45435</v>
      </c>
      <c r="G330" s="37" t="n">
        <v>72</v>
      </c>
      <c r="H330" s="49" t="n">
        <v>72</v>
      </c>
      <c r="I330" s="49" t="n">
        <v>0</v>
      </c>
      <c r="J330" s="22" t="s">
        <v>679</v>
      </c>
      <c r="K330" s="30" t="n">
        <v>20000</v>
      </c>
      <c r="L330" s="30" t="n">
        <v>43200</v>
      </c>
      <c r="M330" s="28" t="n">
        <v>3000</v>
      </c>
      <c r="N330" s="29" t="n">
        <v>19740</v>
      </c>
      <c r="O330" s="29" t="n">
        <v>43200</v>
      </c>
      <c r="P330" s="27" t="n">
        <v>0</v>
      </c>
      <c r="Q330" s="263" t="n">
        <v>45432</v>
      </c>
    </row>
    <row r="331" customFormat="false" ht="17.9" hidden="false" customHeight="false" outlineLevel="0" collapsed="false">
      <c r="A331" s="291" t="n">
        <v>2153</v>
      </c>
      <c r="B331" s="22" t="s">
        <v>324</v>
      </c>
      <c r="C331" s="22"/>
      <c r="D331" s="22"/>
      <c r="E331" s="23" t="n">
        <v>45117</v>
      </c>
      <c r="F331" s="23" t="n">
        <v>45397</v>
      </c>
      <c r="G331" s="37" t="n">
        <v>200</v>
      </c>
      <c r="H331" s="49" t="n">
        <v>200</v>
      </c>
      <c r="I331" s="49" t="n">
        <v>0</v>
      </c>
      <c r="J331" s="269" t="s">
        <v>912</v>
      </c>
      <c r="K331" s="30" t="n">
        <v>100000</v>
      </c>
      <c r="L331" s="30" t="n">
        <v>270000</v>
      </c>
      <c r="M331" s="28" t="n">
        <v>6750</v>
      </c>
      <c r="N331" s="29" t="n">
        <v>27000</v>
      </c>
      <c r="O331" s="29" t="n">
        <v>270000</v>
      </c>
      <c r="P331" s="27" t="n">
        <v>0</v>
      </c>
      <c r="Q331" s="263" t="n">
        <v>45432</v>
      </c>
    </row>
    <row r="332" customFormat="false" ht="42.5" hidden="false" customHeight="false" outlineLevel="0" collapsed="false">
      <c r="A332" s="289" t="n">
        <v>2198</v>
      </c>
      <c r="B332" s="22" t="s">
        <v>350</v>
      </c>
      <c r="C332" s="22" t="s">
        <v>351</v>
      </c>
      <c r="D332" s="22"/>
      <c r="E332" s="23" t="n">
        <v>45146</v>
      </c>
      <c r="F332" s="23" t="n">
        <v>45300</v>
      </c>
      <c r="G332" s="37" t="n">
        <v>110</v>
      </c>
      <c r="H332" s="49" t="n">
        <v>119.69696969697</v>
      </c>
      <c r="I332" s="49" t="n">
        <v>-9.6969696969697</v>
      </c>
      <c r="J332" s="74" t="s">
        <v>913</v>
      </c>
      <c r="K332" s="27" t="n">
        <v>30000</v>
      </c>
      <c r="L332" s="27" t="n">
        <v>79200</v>
      </c>
      <c r="M332" s="45" t="n">
        <v>3300</v>
      </c>
      <c r="N332" s="29" t="n">
        <v>32000</v>
      </c>
      <c r="O332" s="29" t="n">
        <v>79000</v>
      </c>
      <c r="P332" s="27" t="n">
        <v>200</v>
      </c>
      <c r="Q332" s="263" t="n">
        <v>45432</v>
      </c>
    </row>
    <row r="333" customFormat="false" ht="42.5" hidden="false" customHeight="false" outlineLevel="0" collapsed="false">
      <c r="A333" s="289" t="n">
        <v>2322</v>
      </c>
      <c r="B333" s="22" t="s">
        <v>350</v>
      </c>
      <c r="C333" s="22" t="s">
        <v>351</v>
      </c>
      <c r="D333" s="22"/>
      <c r="E333" s="23" t="n">
        <v>45233</v>
      </c>
      <c r="F333" s="23" t="n">
        <v>45387</v>
      </c>
      <c r="G333" s="37" t="n">
        <v>110</v>
      </c>
      <c r="H333" s="49" t="n">
        <v>112.8125</v>
      </c>
      <c r="I333" s="49" t="n">
        <v>-2.8125</v>
      </c>
      <c r="J333" s="74" t="s">
        <v>508</v>
      </c>
      <c r="K333" s="30" t="n">
        <v>200000</v>
      </c>
      <c r="L333" s="30" t="n">
        <v>528000</v>
      </c>
      <c r="M333" s="45" t="n">
        <v>24000</v>
      </c>
      <c r="N333" s="29" t="n">
        <v>20500</v>
      </c>
      <c r="O333" s="29" t="n">
        <v>541500</v>
      </c>
      <c r="P333" s="27" t="n">
        <v>-13500</v>
      </c>
      <c r="Q333" s="263" t="n">
        <v>45432</v>
      </c>
    </row>
    <row r="334" customFormat="false" ht="17.9" hidden="false" customHeight="false" outlineLevel="0" collapsed="false">
      <c r="A334" s="289" t="n">
        <v>2630</v>
      </c>
      <c r="B334" s="22" t="s">
        <v>363</v>
      </c>
      <c r="C334" s="22"/>
      <c r="D334" s="22"/>
      <c r="E334" s="23" t="n">
        <v>45429</v>
      </c>
      <c r="F334" s="23" t="n">
        <v>45436</v>
      </c>
      <c r="G334" s="37" t="n">
        <v>5</v>
      </c>
      <c r="H334" s="49" t="e">
        <f aca="false">#DIV/0!</f>
        <v>#DIV/0!</v>
      </c>
      <c r="I334" s="49" t="e">
        <f aca="false">#DIV/0!</f>
        <v>#DIV/0!</v>
      </c>
      <c r="J334" s="269" t="s">
        <v>681</v>
      </c>
      <c r="K334" s="55" t="n">
        <v>50000</v>
      </c>
      <c r="L334" s="30" t="n">
        <v>65000</v>
      </c>
      <c r="M334" s="28"/>
      <c r="N334" s="29" t="n">
        <v>65000</v>
      </c>
      <c r="O334" s="29" t="n">
        <v>65000</v>
      </c>
      <c r="P334" s="27" t="n">
        <v>0</v>
      </c>
      <c r="Q334" s="263" t="n">
        <v>45432</v>
      </c>
    </row>
    <row r="335" customFormat="false" ht="34.3" hidden="false" customHeight="false" outlineLevel="0" collapsed="false">
      <c r="A335" s="289" t="n">
        <v>2377</v>
      </c>
      <c r="B335" s="22" t="s">
        <v>717</v>
      </c>
      <c r="C335" s="22" t="s">
        <v>432</v>
      </c>
      <c r="D335" s="22"/>
      <c r="E335" s="23" t="n">
        <v>45279</v>
      </c>
      <c r="F335" s="23" t="n">
        <v>45461</v>
      </c>
      <c r="G335" s="37" t="n">
        <v>130</v>
      </c>
      <c r="H335" s="49" t="n">
        <v>130.010834236186</v>
      </c>
      <c r="I335" s="49" t="n">
        <v>-0.0108342361863549</v>
      </c>
      <c r="J335" s="22" t="s">
        <v>914</v>
      </c>
      <c r="K335" s="27" t="n">
        <v>100000</v>
      </c>
      <c r="L335" s="27" t="n">
        <v>264000</v>
      </c>
      <c r="M335" s="45" t="n">
        <v>10153</v>
      </c>
      <c r="N335" s="29" t="n">
        <v>61000</v>
      </c>
      <c r="O335" s="29" t="n">
        <v>264000</v>
      </c>
      <c r="P335" s="27" t="n">
        <v>0</v>
      </c>
      <c r="Q335" s="263" t="n">
        <v>45432</v>
      </c>
    </row>
    <row r="336" customFormat="false" ht="17.9" hidden="false" customHeight="false" outlineLevel="0" collapsed="false">
      <c r="A336" s="289" t="n">
        <v>2501</v>
      </c>
      <c r="B336" s="22" t="s">
        <v>537</v>
      </c>
      <c r="C336" s="22"/>
      <c r="D336" s="22"/>
      <c r="E336" s="23" t="n">
        <v>45350</v>
      </c>
      <c r="F336" s="23" t="n">
        <v>45450</v>
      </c>
      <c r="G336" s="37" t="n">
        <v>72</v>
      </c>
      <c r="H336" s="49" t="n">
        <v>72</v>
      </c>
      <c r="I336" s="49" t="n">
        <v>0</v>
      </c>
      <c r="J336" s="22" t="s">
        <v>703</v>
      </c>
      <c r="K336" s="27" t="n">
        <v>25000</v>
      </c>
      <c r="L336" s="27" t="n">
        <v>54000</v>
      </c>
      <c r="M336" s="45" t="n">
        <v>3750</v>
      </c>
      <c r="N336" s="29" t="n">
        <v>9000</v>
      </c>
      <c r="O336" s="29" t="n">
        <v>54000</v>
      </c>
      <c r="P336" s="27" t="n">
        <v>0</v>
      </c>
      <c r="Q336" s="263" t="n">
        <v>45432</v>
      </c>
    </row>
    <row r="337" customFormat="false" ht="17.9" hidden="false" customHeight="false" outlineLevel="0" collapsed="false">
      <c r="A337" s="289" t="n">
        <v>2637</v>
      </c>
      <c r="B337" s="22" t="s">
        <v>363</v>
      </c>
      <c r="C337" s="22"/>
      <c r="D337" s="22"/>
      <c r="E337" s="23" t="n">
        <v>45437</v>
      </c>
      <c r="F337" s="23" t="n">
        <v>45443</v>
      </c>
      <c r="G337" s="37" t="n">
        <v>5</v>
      </c>
      <c r="H337" s="49" t="e">
        <f aca="false">#DIV/0!</f>
        <v>#DIV/0!</v>
      </c>
      <c r="I337" s="49" t="e">
        <f aca="false">#DIV/0!</f>
        <v>#DIV/0!</v>
      </c>
      <c r="J337" s="269" t="s">
        <v>681</v>
      </c>
      <c r="K337" s="50" t="n">
        <v>50000</v>
      </c>
      <c r="L337" s="27" t="n">
        <v>65000</v>
      </c>
      <c r="M337" s="45"/>
      <c r="N337" s="29" t="n">
        <v>65000</v>
      </c>
      <c r="O337" s="29" t="n">
        <v>65000</v>
      </c>
      <c r="P337" s="27" t="n">
        <v>0</v>
      </c>
      <c r="Q337" s="263" t="n">
        <v>45439</v>
      </c>
    </row>
    <row r="338" customFormat="false" ht="42.5" hidden="false" customHeight="false" outlineLevel="0" collapsed="false">
      <c r="A338" s="289" t="n">
        <v>2480</v>
      </c>
      <c r="B338" s="22" t="s">
        <v>364</v>
      </c>
      <c r="C338" s="22" t="s">
        <v>365</v>
      </c>
      <c r="D338" s="22"/>
      <c r="E338" s="23" t="n">
        <v>45339</v>
      </c>
      <c r="F338" s="23" t="n">
        <v>45450</v>
      </c>
      <c r="G338" s="37" t="n">
        <v>80</v>
      </c>
      <c r="H338" s="49" t="n">
        <v>80</v>
      </c>
      <c r="I338" s="49" t="n">
        <v>0</v>
      </c>
      <c r="J338" s="292" t="s">
        <v>859</v>
      </c>
      <c r="K338" s="27" t="n">
        <v>30000</v>
      </c>
      <c r="L338" s="27" t="n">
        <v>64800</v>
      </c>
      <c r="M338" s="45" t="n">
        <v>4050</v>
      </c>
      <c r="N338" s="29" t="n">
        <v>16200</v>
      </c>
      <c r="O338" s="29" t="n">
        <v>64800</v>
      </c>
      <c r="P338" s="27" t="n">
        <v>0</v>
      </c>
      <c r="Q338" s="263" t="n">
        <v>45439</v>
      </c>
    </row>
    <row r="339" customFormat="false" ht="42.5" hidden="false" customHeight="false" outlineLevel="0" collapsed="false">
      <c r="A339" s="289" t="n">
        <v>2495</v>
      </c>
      <c r="B339" s="22" t="s">
        <v>364</v>
      </c>
      <c r="C339" s="22" t="s">
        <v>365</v>
      </c>
      <c r="D339" s="22"/>
      <c r="E339" s="293" t="n">
        <v>45347</v>
      </c>
      <c r="F339" s="23" t="n">
        <v>45454</v>
      </c>
      <c r="G339" s="37" t="n">
        <v>77</v>
      </c>
      <c r="H339" s="49" t="n">
        <v>80</v>
      </c>
      <c r="I339" s="49" t="n">
        <v>-3</v>
      </c>
      <c r="J339" s="292" t="s">
        <v>915</v>
      </c>
      <c r="K339" s="30" t="n">
        <v>20000</v>
      </c>
      <c r="L339" s="30" t="n">
        <v>43200</v>
      </c>
      <c r="M339" s="45" t="n">
        <v>2700</v>
      </c>
      <c r="N339" s="29" t="n">
        <v>10800</v>
      </c>
      <c r="O339" s="29" t="n">
        <v>43200</v>
      </c>
      <c r="P339" s="27" t="n">
        <v>0</v>
      </c>
      <c r="Q339" s="263" t="n">
        <v>45439</v>
      </c>
    </row>
    <row r="340" customFormat="false" ht="34.3" hidden="false" customHeight="false" outlineLevel="0" collapsed="false">
      <c r="A340" s="289" t="n">
        <v>2447</v>
      </c>
      <c r="B340" s="22" t="s">
        <v>382</v>
      </c>
      <c r="C340" s="22" t="s">
        <v>383</v>
      </c>
      <c r="D340" s="22"/>
      <c r="E340" s="23" t="n">
        <v>45320</v>
      </c>
      <c r="F340" s="23" t="n">
        <v>45420</v>
      </c>
      <c r="G340" s="37" t="n">
        <v>72</v>
      </c>
      <c r="H340" s="49" t="n">
        <v>72</v>
      </c>
      <c r="I340" s="49" t="n">
        <v>0</v>
      </c>
      <c r="J340" s="22" t="s">
        <v>560</v>
      </c>
      <c r="K340" s="27" t="n">
        <v>10000</v>
      </c>
      <c r="L340" s="27" t="n">
        <v>21600</v>
      </c>
      <c r="M340" s="45" t="n">
        <v>1500</v>
      </c>
      <c r="N340" s="29" t="n">
        <v>2600</v>
      </c>
      <c r="O340" s="29" t="n">
        <v>21600</v>
      </c>
      <c r="P340" s="27" t="n">
        <v>0</v>
      </c>
      <c r="Q340" s="263" t="n">
        <v>45439</v>
      </c>
    </row>
    <row r="341" customFormat="false" ht="26.1" hidden="false" customHeight="false" outlineLevel="0" collapsed="false">
      <c r="A341" s="289" t="n">
        <v>2471</v>
      </c>
      <c r="B341" s="22" t="s">
        <v>916</v>
      </c>
      <c r="C341" s="22" t="s">
        <v>252</v>
      </c>
      <c r="D341" s="22"/>
      <c r="E341" s="23" t="n">
        <v>45335</v>
      </c>
      <c r="F341" s="23" t="n">
        <v>45435</v>
      </c>
      <c r="G341" s="37" t="n">
        <v>72</v>
      </c>
      <c r="H341" s="49" t="n">
        <v>72</v>
      </c>
      <c r="I341" s="49" t="n">
        <v>0</v>
      </c>
      <c r="J341" s="22" t="s">
        <v>784</v>
      </c>
      <c r="K341" s="27" t="n">
        <v>40000</v>
      </c>
      <c r="L341" s="27" t="n">
        <v>86400</v>
      </c>
      <c r="M341" s="45" t="n">
        <v>6000</v>
      </c>
      <c r="N341" s="29" t="n">
        <v>6000</v>
      </c>
      <c r="O341" s="29" t="n">
        <v>86400</v>
      </c>
      <c r="P341" s="27" t="n">
        <v>0</v>
      </c>
      <c r="Q341" s="263" t="n">
        <v>45439</v>
      </c>
    </row>
    <row r="342" customFormat="false" ht="26.1" hidden="false" customHeight="false" outlineLevel="0" collapsed="false">
      <c r="A342" s="294" t="n">
        <v>2614</v>
      </c>
      <c r="B342" s="22" t="s">
        <v>723</v>
      </c>
      <c r="C342" s="22" t="s">
        <v>809</v>
      </c>
      <c r="D342" s="22"/>
      <c r="E342" s="23" t="n">
        <v>45421</v>
      </c>
      <c r="F342" s="23" t="n">
        <v>45449</v>
      </c>
      <c r="G342" s="53" t="n">
        <v>20</v>
      </c>
      <c r="H342" s="49" t="e">
        <f aca="false">#DIV/0!</f>
        <v>#DIV/0!</v>
      </c>
      <c r="I342" s="49" t="e">
        <f aca="false">#DIV/0!</f>
        <v>#DIV/0!</v>
      </c>
      <c r="J342" s="269" t="s">
        <v>681</v>
      </c>
      <c r="K342" s="30" t="n">
        <v>50000</v>
      </c>
      <c r="L342" s="30" t="n">
        <v>85000</v>
      </c>
      <c r="M342" s="28"/>
      <c r="N342" s="29"/>
      <c r="O342" s="29" t="n">
        <v>85000</v>
      </c>
      <c r="P342" s="27" t="n">
        <v>0</v>
      </c>
      <c r="Q342" s="263" t="n">
        <v>45446</v>
      </c>
    </row>
    <row r="343" customFormat="false" ht="17.9" hidden="false" customHeight="false" outlineLevel="0" collapsed="false">
      <c r="A343" s="294" t="n">
        <v>2257</v>
      </c>
      <c r="B343" s="22" t="s">
        <v>342</v>
      </c>
      <c r="C343" s="22" t="s">
        <v>343</v>
      </c>
      <c r="D343" s="22"/>
      <c r="E343" s="23" t="n">
        <v>45187</v>
      </c>
      <c r="F343" s="23" t="n">
        <v>45411</v>
      </c>
      <c r="G343" s="53" t="n">
        <v>160</v>
      </c>
      <c r="H343" s="49" t="n">
        <v>160</v>
      </c>
      <c r="I343" s="49" t="n">
        <v>0</v>
      </c>
      <c r="J343" s="74" t="s">
        <v>917</v>
      </c>
      <c r="K343" s="30" t="n">
        <v>40000</v>
      </c>
      <c r="L343" s="30" t="n">
        <v>124800</v>
      </c>
      <c r="M343" s="28" t="n">
        <v>3900</v>
      </c>
      <c r="N343" s="29"/>
      <c r="O343" s="29" t="n">
        <v>124800</v>
      </c>
      <c r="P343" s="27" t="n">
        <v>0</v>
      </c>
      <c r="Q343" s="263" t="n">
        <v>45446</v>
      </c>
    </row>
    <row r="344" customFormat="false" ht="17.9" hidden="false" customHeight="false" outlineLevel="0" collapsed="false">
      <c r="A344" s="294" t="n">
        <v>2650</v>
      </c>
      <c r="B344" s="22" t="s">
        <v>363</v>
      </c>
      <c r="C344" s="22"/>
      <c r="D344" s="22"/>
      <c r="E344" s="23" t="n">
        <v>45443</v>
      </c>
      <c r="F344" s="23" t="n">
        <v>45450</v>
      </c>
      <c r="G344" s="53" t="n">
        <v>5</v>
      </c>
      <c r="H344" s="49" t="e">
        <f aca="false">#VALUE!</f>
        <v>#VALUE!</v>
      </c>
      <c r="I344" s="49" t="e">
        <f aca="false">#VALUE!</f>
        <v>#VALUE!</v>
      </c>
      <c r="J344" s="269" t="s">
        <v>918</v>
      </c>
      <c r="K344" s="55" t="n">
        <v>20000</v>
      </c>
      <c r="L344" s="30" t="n">
        <v>26000</v>
      </c>
      <c r="M344" s="28" t="s">
        <v>184</v>
      </c>
      <c r="N344" s="29"/>
      <c r="O344" s="29" t="n">
        <v>26000</v>
      </c>
      <c r="P344" s="27" t="n">
        <v>0</v>
      </c>
      <c r="Q344" s="263" t="n">
        <v>45446</v>
      </c>
    </row>
    <row r="345" customFormat="false" ht="34.3" hidden="false" customHeight="false" outlineLevel="0" collapsed="false">
      <c r="A345" s="294" t="n">
        <v>2367</v>
      </c>
      <c r="B345" s="22" t="s">
        <v>379</v>
      </c>
      <c r="C345" s="22" t="s">
        <v>380</v>
      </c>
      <c r="D345" s="22"/>
      <c r="E345" s="23" t="n">
        <v>45268</v>
      </c>
      <c r="F345" s="23" t="n">
        <v>45429</v>
      </c>
      <c r="G345" s="53" t="n">
        <v>115</v>
      </c>
      <c r="H345" s="49" t="n">
        <v>115</v>
      </c>
      <c r="I345" s="49" t="n">
        <v>0</v>
      </c>
      <c r="J345" s="22" t="s">
        <v>919</v>
      </c>
      <c r="K345" s="27" t="n">
        <v>100000</v>
      </c>
      <c r="L345" s="27" t="n">
        <v>264500</v>
      </c>
      <c r="M345" s="28" t="n">
        <v>11500</v>
      </c>
      <c r="N345" s="29"/>
      <c r="O345" s="29" t="n">
        <v>264500</v>
      </c>
      <c r="P345" s="27" t="n">
        <v>0</v>
      </c>
      <c r="Q345" s="263" t="n">
        <v>45446</v>
      </c>
    </row>
    <row r="346" customFormat="false" ht="42.5" hidden="false" customHeight="false" outlineLevel="0" collapsed="false">
      <c r="A346" s="294" t="n">
        <v>2378</v>
      </c>
      <c r="B346" s="22" t="s">
        <v>763</v>
      </c>
      <c r="C346" s="22" t="s">
        <v>389</v>
      </c>
      <c r="D346" s="22"/>
      <c r="E346" s="23" t="n">
        <v>45279</v>
      </c>
      <c r="F346" s="23" t="n">
        <v>45461</v>
      </c>
      <c r="G346" s="53" t="n">
        <v>130</v>
      </c>
      <c r="H346" s="49" t="n">
        <v>130.00013000013</v>
      </c>
      <c r="I346" s="49" t="n">
        <v>-0.000130000129985319</v>
      </c>
      <c r="J346" s="269" t="s">
        <v>920</v>
      </c>
      <c r="K346" s="27" t="n">
        <v>40000</v>
      </c>
      <c r="L346" s="27" t="n">
        <v>120000</v>
      </c>
      <c r="M346" s="45" t="n">
        <v>4615.38</v>
      </c>
      <c r="N346" s="29"/>
      <c r="O346" s="29" t="n">
        <v>120000</v>
      </c>
      <c r="P346" s="27" t="n">
        <v>0</v>
      </c>
      <c r="Q346" s="263" t="n">
        <v>45446</v>
      </c>
    </row>
    <row r="347" customFormat="false" ht="26.1" hidden="false" customHeight="false" outlineLevel="0" collapsed="false">
      <c r="A347" s="294" t="n">
        <v>2606</v>
      </c>
      <c r="B347" s="22" t="s">
        <v>684</v>
      </c>
      <c r="C347" s="22" t="s">
        <v>685</v>
      </c>
      <c r="D347" s="22"/>
      <c r="E347" s="23" t="n">
        <v>45415</v>
      </c>
      <c r="F347" s="23" t="n">
        <v>45443</v>
      </c>
      <c r="G347" s="53" t="n">
        <v>20</v>
      </c>
      <c r="H347" s="49" t="e">
        <f aca="false">#DIV/0!</f>
        <v>#DIV/0!</v>
      </c>
      <c r="I347" s="49" t="e">
        <f aca="false">#DIV/0!</f>
        <v>#DIV/0!</v>
      </c>
      <c r="J347" s="269" t="s">
        <v>681</v>
      </c>
      <c r="K347" s="27" t="n">
        <v>40000</v>
      </c>
      <c r="L347" s="27" t="n">
        <v>60000</v>
      </c>
      <c r="M347" s="45"/>
      <c r="N347" s="29"/>
      <c r="O347" s="29" t="n">
        <v>60000</v>
      </c>
      <c r="P347" s="27" t="n">
        <v>0</v>
      </c>
      <c r="Q347" s="263" t="n">
        <v>45446</v>
      </c>
    </row>
    <row r="348" customFormat="false" ht="34.3" hidden="false" customHeight="false" outlineLevel="0" collapsed="false">
      <c r="A348" s="294" t="n">
        <v>2500</v>
      </c>
      <c r="B348" s="22" t="s">
        <v>440</v>
      </c>
      <c r="C348" s="22" t="s">
        <v>207</v>
      </c>
      <c r="D348" s="22"/>
      <c r="E348" s="23" t="n">
        <v>45350</v>
      </c>
      <c r="F348" s="23" t="n">
        <v>45450</v>
      </c>
      <c r="G348" s="53" t="n">
        <v>72</v>
      </c>
      <c r="H348" s="49" t="n">
        <v>72</v>
      </c>
      <c r="I348" s="49" t="n">
        <v>0</v>
      </c>
      <c r="J348" s="22" t="s">
        <v>495</v>
      </c>
      <c r="K348" s="30" t="n">
        <v>70000</v>
      </c>
      <c r="L348" s="30" t="n">
        <v>151200</v>
      </c>
      <c r="M348" s="28" t="n">
        <v>10500</v>
      </c>
      <c r="N348" s="29"/>
      <c r="O348" s="29" t="n">
        <v>151200</v>
      </c>
      <c r="P348" s="27" t="n">
        <v>0</v>
      </c>
      <c r="Q348" s="263" t="n">
        <v>45446</v>
      </c>
    </row>
    <row r="349" customFormat="false" ht="26.1" hidden="false" customHeight="false" outlineLevel="0" collapsed="false">
      <c r="A349" s="294" t="n">
        <v>2347</v>
      </c>
      <c r="B349" s="22" t="s">
        <v>448</v>
      </c>
      <c r="C349" s="22" t="s">
        <v>207</v>
      </c>
      <c r="D349" s="22"/>
      <c r="E349" s="23" t="n">
        <v>45254</v>
      </c>
      <c r="F349" s="23" t="n">
        <v>45450</v>
      </c>
      <c r="G349" s="53" t="n">
        <v>140</v>
      </c>
      <c r="H349" s="49" t="n">
        <v>140</v>
      </c>
      <c r="I349" s="49" t="n">
        <v>0</v>
      </c>
      <c r="J349" s="269" t="s">
        <v>921</v>
      </c>
      <c r="K349" s="27" t="n">
        <v>100000</v>
      </c>
      <c r="L349" s="27" t="n">
        <v>264005</v>
      </c>
      <c r="M349" s="28" t="n">
        <v>9428.75</v>
      </c>
      <c r="N349" s="29"/>
      <c r="O349" s="29" t="n">
        <v>264005</v>
      </c>
      <c r="P349" s="27" t="n">
        <v>0</v>
      </c>
      <c r="Q349" s="263" t="n">
        <v>45446</v>
      </c>
    </row>
    <row r="350" customFormat="false" ht="26.1" hidden="false" customHeight="false" outlineLevel="0" collapsed="false">
      <c r="A350" s="294" t="n">
        <v>2389</v>
      </c>
      <c r="B350" s="22" t="s">
        <v>216</v>
      </c>
      <c r="C350" s="22" t="s">
        <v>217</v>
      </c>
      <c r="D350" s="22" t="s">
        <v>218</v>
      </c>
      <c r="E350" s="23" t="n">
        <v>45288</v>
      </c>
      <c r="F350" s="23" t="n">
        <v>45428</v>
      </c>
      <c r="G350" s="53" t="n">
        <v>100</v>
      </c>
      <c r="H350" s="49" t="n">
        <v>100</v>
      </c>
      <c r="I350" s="49" t="n">
        <v>0</v>
      </c>
      <c r="J350" s="269" t="s">
        <v>922</v>
      </c>
      <c r="K350" s="30" t="n">
        <v>50000</v>
      </c>
      <c r="L350" s="30" t="n">
        <v>110000</v>
      </c>
      <c r="M350" s="28" t="n">
        <v>5500</v>
      </c>
      <c r="N350" s="29" t="n">
        <v>22000</v>
      </c>
      <c r="O350" s="29" t="n">
        <v>110000</v>
      </c>
      <c r="P350" s="27" t="n">
        <v>0</v>
      </c>
      <c r="Q350" s="263" t="n">
        <v>45453</v>
      </c>
    </row>
    <row r="351" customFormat="false" ht="34.3" hidden="false" customHeight="false" outlineLevel="0" collapsed="false">
      <c r="A351" s="294" t="n">
        <v>2369</v>
      </c>
      <c r="B351" s="22" t="s">
        <v>262</v>
      </c>
      <c r="C351" s="22" t="s">
        <v>263</v>
      </c>
      <c r="D351" s="22"/>
      <c r="E351" s="23" t="n">
        <v>45267</v>
      </c>
      <c r="F351" s="23" t="n">
        <v>45407</v>
      </c>
      <c r="G351" s="53" t="n">
        <v>100</v>
      </c>
      <c r="H351" s="49" t="n">
        <v>100</v>
      </c>
      <c r="I351" s="49" t="n">
        <v>0</v>
      </c>
      <c r="J351" s="269" t="s">
        <v>923</v>
      </c>
      <c r="K351" s="30" t="n">
        <v>200000</v>
      </c>
      <c r="L351" s="30" t="n">
        <v>432000</v>
      </c>
      <c r="M351" s="28" t="n">
        <v>21600</v>
      </c>
      <c r="N351" s="29"/>
      <c r="O351" s="29" t="n">
        <v>432000</v>
      </c>
      <c r="P351" s="27" t="n">
        <v>0</v>
      </c>
      <c r="Q351" s="263" t="n">
        <v>45453</v>
      </c>
    </row>
    <row r="352" customFormat="false" ht="17.9" hidden="false" customHeight="false" outlineLevel="0" collapsed="false">
      <c r="A352" s="294" t="n">
        <v>2658</v>
      </c>
      <c r="B352" s="22" t="s">
        <v>363</v>
      </c>
      <c r="C352" s="22"/>
      <c r="D352" s="22"/>
      <c r="E352" s="23" t="n">
        <v>45451</v>
      </c>
      <c r="F352" s="23" t="n">
        <v>45457</v>
      </c>
      <c r="G352" s="53" t="n">
        <v>5</v>
      </c>
      <c r="H352" s="49" t="e">
        <f aca="false">#DIV/0!</f>
        <v>#DIV/0!</v>
      </c>
      <c r="I352" s="49" t="e">
        <f aca="false">#DIV/0!</f>
        <v>#DIV/0!</v>
      </c>
      <c r="J352" s="269" t="s">
        <v>924</v>
      </c>
      <c r="K352" s="55" t="n">
        <v>30000</v>
      </c>
      <c r="L352" s="30" t="n">
        <v>39000</v>
      </c>
      <c r="M352" s="28"/>
      <c r="N352" s="29" t="n">
        <v>39000</v>
      </c>
      <c r="O352" s="29" t="n">
        <v>39000</v>
      </c>
      <c r="P352" s="27" t="n">
        <v>0</v>
      </c>
      <c r="Q352" s="263" t="n">
        <v>45453</v>
      </c>
    </row>
    <row r="353" customFormat="false" ht="42.5" hidden="false" customHeight="false" outlineLevel="0" collapsed="false">
      <c r="A353" s="294" t="n">
        <v>2318</v>
      </c>
      <c r="B353" s="22" t="s">
        <v>763</v>
      </c>
      <c r="C353" s="22" t="s">
        <v>389</v>
      </c>
      <c r="D353" s="22"/>
      <c r="E353" s="23" t="n">
        <v>45229</v>
      </c>
      <c r="F353" s="23" t="n">
        <v>45453</v>
      </c>
      <c r="G353" s="53" t="n">
        <v>160</v>
      </c>
      <c r="H353" s="49" t="n">
        <v>160</v>
      </c>
      <c r="I353" s="49" t="n">
        <v>0</v>
      </c>
      <c r="J353" s="269" t="s">
        <v>841</v>
      </c>
      <c r="K353" s="30" t="n">
        <v>50000</v>
      </c>
      <c r="L353" s="30" t="n">
        <v>132000</v>
      </c>
      <c r="M353" s="28" t="n">
        <v>4125</v>
      </c>
      <c r="N353" s="29" t="n">
        <v>16500</v>
      </c>
      <c r="O353" s="29" t="n">
        <v>132000</v>
      </c>
      <c r="P353" s="27" t="n">
        <v>0</v>
      </c>
      <c r="Q353" s="263" t="n">
        <v>45453</v>
      </c>
    </row>
    <row r="354" customFormat="false" ht="42.5" hidden="false" customHeight="false" outlineLevel="0" collapsed="false">
      <c r="A354" s="294" t="n">
        <v>2436</v>
      </c>
      <c r="B354" s="22" t="s">
        <v>763</v>
      </c>
      <c r="C354" s="22" t="s">
        <v>389</v>
      </c>
      <c r="D354" s="22"/>
      <c r="E354" s="23" t="n">
        <v>45314</v>
      </c>
      <c r="F354" s="23" t="n">
        <v>45426</v>
      </c>
      <c r="G354" s="53" t="n">
        <v>80</v>
      </c>
      <c r="H354" s="49" t="n">
        <v>80</v>
      </c>
      <c r="I354" s="49" t="n">
        <v>0</v>
      </c>
      <c r="J354" s="269" t="s">
        <v>925</v>
      </c>
      <c r="K354" s="30" t="n">
        <v>50000</v>
      </c>
      <c r="L354" s="30" t="n">
        <v>108000</v>
      </c>
      <c r="M354" s="45" t="n">
        <v>6750</v>
      </c>
      <c r="N354" s="29" t="n">
        <v>14750</v>
      </c>
      <c r="O354" s="29" t="n">
        <v>108000</v>
      </c>
      <c r="P354" s="27" t="n">
        <v>0</v>
      </c>
      <c r="Q354" s="263" t="n">
        <v>45453</v>
      </c>
    </row>
    <row r="355" customFormat="false" ht="15" hidden="false" customHeight="false" outlineLevel="0" collapsed="false">
      <c r="A355" s="294" t="n">
        <v>2640</v>
      </c>
      <c r="B355" s="22" t="s">
        <v>791</v>
      </c>
      <c r="C355" s="22"/>
      <c r="D355" s="22"/>
      <c r="E355" s="23" t="n">
        <v>45439</v>
      </c>
      <c r="F355" s="23" t="n">
        <v>45456</v>
      </c>
      <c r="G355" s="53" t="n">
        <v>13</v>
      </c>
      <c r="H355" s="49" t="e">
        <f aca="false">#DIV/0!</f>
        <v>#DIV/0!</v>
      </c>
      <c r="I355" s="49" t="e">
        <f aca="false">#DIV/0!</f>
        <v>#DIV/0!</v>
      </c>
      <c r="J355" s="269" t="s">
        <v>681</v>
      </c>
      <c r="K355" s="27" t="n">
        <v>15000</v>
      </c>
      <c r="L355" s="27" t="n">
        <v>22500</v>
      </c>
      <c r="M355" s="45"/>
      <c r="N355" s="29" t="n">
        <v>22500</v>
      </c>
      <c r="O355" s="29" t="n">
        <v>22500</v>
      </c>
      <c r="P355" s="27" t="n">
        <v>0</v>
      </c>
      <c r="Q355" s="263" t="n">
        <v>45453</v>
      </c>
    </row>
    <row r="356" customFormat="false" ht="15" hidden="false" customHeight="false" outlineLevel="0" collapsed="false">
      <c r="A356" s="294" t="n">
        <v>2651</v>
      </c>
      <c r="B356" s="22" t="s">
        <v>791</v>
      </c>
      <c r="C356" s="22"/>
      <c r="D356" s="22"/>
      <c r="E356" s="23" t="n">
        <v>45443</v>
      </c>
      <c r="F356" s="23" t="n">
        <v>45450</v>
      </c>
      <c r="G356" s="53" t="n">
        <v>5</v>
      </c>
      <c r="H356" s="49" t="e">
        <f aca="false">#DIV/0!</f>
        <v>#DIV/0!</v>
      </c>
      <c r="I356" s="49" t="e">
        <f aca="false">#DIV/0!</f>
        <v>#DIV/0!</v>
      </c>
      <c r="J356" s="269" t="s">
        <v>681</v>
      </c>
      <c r="K356" s="30" t="n">
        <v>20000</v>
      </c>
      <c r="L356" s="30" t="n">
        <v>32000</v>
      </c>
      <c r="M356" s="28"/>
      <c r="N356" s="29" t="n">
        <v>32000</v>
      </c>
      <c r="O356" s="29" t="n">
        <v>32000</v>
      </c>
      <c r="P356" s="27" t="n">
        <v>0</v>
      </c>
      <c r="Q356" s="263" t="n">
        <v>45453</v>
      </c>
    </row>
    <row r="357" customFormat="false" ht="17.9" hidden="false" customHeight="false" outlineLevel="0" collapsed="false">
      <c r="A357" s="294" t="n">
        <v>2454</v>
      </c>
      <c r="B357" s="22" t="s">
        <v>457</v>
      </c>
      <c r="C357" s="22"/>
      <c r="D357" s="22"/>
      <c r="E357" s="23" t="n">
        <v>45323</v>
      </c>
      <c r="F357" s="23" t="n">
        <v>45435</v>
      </c>
      <c r="G357" s="53" t="n">
        <v>80</v>
      </c>
      <c r="H357" s="49" t="n">
        <v>80</v>
      </c>
      <c r="I357" s="49" t="n">
        <v>0</v>
      </c>
      <c r="J357" s="269" t="s">
        <v>250</v>
      </c>
      <c r="K357" s="30" t="n">
        <v>100000</v>
      </c>
      <c r="L357" s="30" t="n">
        <v>216000</v>
      </c>
      <c r="M357" s="28" t="n">
        <v>13500</v>
      </c>
      <c r="N357" s="29" t="n">
        <v>54000</v>
      </c>
      <c r="O357" s="29" t="n">
        <v>216000</v>
      </c>
      <c r="P357" s="27" t="n">
        <v>0</v>
      </c>
      <c r="Q357" s="263" t="n">
        <v>45453</v>
      </c>
    </row>
    <row r="358" customFormat="false" ht="42.5" hidden="false" customHeight="false" outlineLevel="0" collapsed="false">
      <c r="A358" s="294" t="n">
        <v>2508</v>
      </c>
      <c r="B358" s="22" t="s">
        <v>814</v>
      </c>
      <c r="C358" s="22" t="s">
        <v>470</v>
      </c>
      <c r="D358" s="22" t="s">
        <v>471</v>
      </c>
      <c r="E358" s="23" t="n">
        <v>45355</v>
      </c>
      <c r="F358" s="23" t="n">
        <v>45455</v>
      </c>
      <c r="G358" s="53" t="n">
        <v>72</v>
      </c>
      <c r="H358" s="49" t="n">
        <v>72</v>
      </c>
      <c r="I358" s="49" t="n">
        <v>0</v>
      </c>
      <c r="J358" s="22" t="s">
        <v>188</v>
      </c>
      <c r="K358" s="27" t="n">
        <v>100000</v>
      </c>
      <c r="L358" s="27" t="n">
        <v>216000</v>
      </c>
      <c r="M358" s="28" t="n">
        <v>15000</v>
      </c>
      <c r="N358" s="29" t="n">
        <v>21000</v>
      </c>
      <c r="O358" s="29" t="n">
        <v>216000</v>
      </c>
      <c r="P358" s="27" t="n">
        <v>0</v>
      </c>
      <c r="Q358" s="263" t="n">
        <v>45453</v>
      </c>
    </row>
    <row r="359" customFormat="false" ht="42.5" hidden="false" customHeight="false" outlineLevel="0" collapsed="false">
      <c r="A359" s="294" t="n">
        <v>2577</v>
      </c>
      <c r="B359" s="22" t="s">
        <v>814</v>
      </c>
      <c r="C359" s="22" t="s">
        <v>470</v>
      </c>
      <c r="D359" s="22" t="s">
        <v>471</v>
      </c>
      <c r="E359" s="23" t="n">
        <v>45398</v>
      </c>
      <c r="F359" s="23" t="n">
        <v>45498</v>
      </c>
      <c r="G359" s="53" t="n">
        <v>72</v>
      </c>
      <c r="H359" s="49" t="n">
        <v>72</v>
      </c>
      <c r="I359" s="49" t="n">
        <v>0</v>
      </c>
      <c r="J359" s="22" t="s">
        <v>188</v>
      </c>
      <c r="K359" s="27" t="n">
        <v>100000</v>
      </c>
      <c r="L359" s="27" t="n">
        <v>216000</v>
      </c>
      <c r="M359" s="28" t="n">
        <v>15000</v>
      </c>
      <c r="N359" s="29" t="n">
        <v>111000</v>
      </c>
      <c r="O359" s="29" t="n">
        <v>216000</v>
      </c>
      <c r="P359" s="27" t="n">
        <v>0</v>
      </c>
      <c r="Q359" s="263" t="n">
        <v>45453</v>
      </c>
    </row>
    <row r="360" customFormat="false" ht="26.1" hidden="false" customHeight="false" outlineLevel="0" collapsed="false">
      <c r="A360" s="294" t="n">
        <v>2496</v>
      </c>
      <c r="B360" s="22" t="s">
        <v>709</v>
      </c>
      <c r="C360" s="22" t="s">
        <v>710</v>
      </c>
      <c r="D360" s="22"/>
      <c r="E360" s="286" t="n">
        <v>45348</v>
      </c>
      <c r="F360" s="23" t="n">
        <v>45460</v>
      </c>
      <c r="G360" s="53" t="n">
        <v>80</v>
      </c>
      <c r="H360" s="49" t="n">
        <v>80</v>
      </c>
      <c r="I360" s="49" t="n">
        <v>0</v>
      </c>
      <c r="J360" s="269" t="s">
        <v>903</v>
      </c>
      <c r="K360" s="27" t="n">
        <v>30000</v>
      </c>
      <c r="L360" s="27" t="n">
        <v>64800</v>
      </c>
      <c r="M360" s="45" t="n">
        <v>4050</v>
      </c>
      <c r="N360" s="29" t="n">
        <v>16200</v>
      </c>
      <c r="O360" s="29" t="n">
        <v>64800</v>
      </c>
      <c r="P360" s="27" t="n">
        <v>0</v>
      </c>
      <c r="Q360" s="263" t="n">
        <v>45453</v>
      </c>
    </row>
    <row r="361" customFormat="false" ht="17.9" hidden="false" customHeight="false" outlineLevel="0" collapsed="false">
      <c r="A361" s="294" t="n">
        <v>2643</v>
      </c>
      <c r="B361" s="22" t="s">
        <v>909</v>
      </c>
      <c r="C361" s="22"/>
      <c r="D361" s="22"/>
      <c r="E361" s="23" t="n">
        <v>45439</v>
      </c>
      <c r="F361" s="23" t="n">
        <v>45456</v>
      </c>
      <c r="G361" s="53" t="n">
        <v>13</v>
      </c>
      <c r="H361" s="49" t="e">
        <f aca="false">#DIV/0!</f>
        <v>#DIV/0!</v>
      </c>
      <c r="I361" s="49" t="e">
        <f aca="false">#DIV/0!</f>
        <v>#DIV/0!</v>
      </c>
      <c r="J361" s="269" t="s">
        <v>926</v>
      </c>
      <c r="K361" s="27" t="n">
        <v>10000</v>
      </c>
      <c r="L361" s="27" t="n">
        <v>15000</v>
      </c>
      <c r="M361" s="28"/>
      <c r="N361" s="29" t="n">
        <v>15000</v>
      </c>
      <c r="O361" s="29" t="n">
        <v>15000</v>
      </c>
      <c r="P361" s="27" t="n">
        <v>0</v>
      </c>
      <c r="Q361" s="263" t="n">
        <v>45453</v>
      </c>
    </row>
    <row r="362" customFormat="false" ht="17.9" hidden="false" customHeight="false" outlineLevel="0" collapsed="false">
      <c r="A362" s="294" t="n">
        <v>2663</v>
      </c>
      <c r="B362" s="22" t="s">
        <v>909</v>
      </c>
      <c r="C362" s="22"/>
      <c r="D362" s="22"/>
      <c r="E362" s="23" t="n">
        <v>45455</v>
      </c>
      <c r="F362" s="23" t="n">
        <v>45457</v>
      </c>
      <c r="G362" s="53" t="n">
        <v>2</v>
      </c>
      <c r="H362" s="49" t="e">
        <f aca="false">#VALUE!</f>
        <v>#VALUE!</v>
      </c>
      <c r="I362" s="49" t="e">
        <f aca="false">#VALUE!</f>
        <v>#VALUE!</v>
      </c>
      <c r="J362" s="269" t="s">
        <v>926</v>
      </c>
      <c r="K362" s="27" t="n">
        <v>10000</v>
      </c>
      <c r="L362" s="27" t="n">
        <v>15000</v>
      </c>
      <c r="M362" s="28" t="s">
        <v>184</v>
      </c>
      <c r="N362" s="29" t="n">
        <v>15000</v>
      </c>
      <c r="O362" s="29" t="n">
        <v>15000</v>
      </c>
      <c r="P362" s="27" t="n">
        <v>0</v>
      </c>
      <c r="Q362" s="263" t="n">
        <v>45453</v>
      </c>
    </row>
    <row r="363" customFormat="false" ht="17.9" hidden="false" customHeight="false" outlineLevel="0" collapsed="false">
      <c r="A363" s="294" t="n">
        <v>2392</v>
      </c>
      <c r="B363" s="22" t="s">
        <v>568</v>
      </c>
      <c r="C363" s="22" t="s">
        <v>778</v>
      </c>
      <c r="D363" s="22"/>
      <c r="E363" s="23" t="n">
        <v>45289</v>
      </c>
      <c r="F363" s="23" t="n">
        <v>45391</v>
      </c>
      <c r="G363" s="53" t="n">
        <v>72</v>
      </c>
      <c r="H363" s="49" t="n">
        <v>74.6666666666667</v>
      </c>
      <c r="I363" s="49" t="n">
        <v>-2.66666666666667</v>
      </c>
      <c r="J363" s="22" t="s">
        <v>333</v>
      </c>
      <c r="K363" s="30" t="n">
        <v>50000</v>
      </c>
      <c r="L363" s="30" t="n">
        <v>108000</v>
      </c>
      <c r="M363" s="28" t="n">
        <v>7500</v>
      </c>
      <c r="N363" s="29" t="n">
        <v>7500</v>
      </c>
      <c r="O363" s="29" t="n">
        <v>112000</v>
      </c>
      <c r="P363" s="27" t="n">
        <v>-4000</v>
      </c>
      <c r="Q363" s="263" t="n">
        <v>45453</v>
      </c>
    </row>
    <row r="364" customFormat="false" ht="42.5" hidden="false" customHeight="false" outlineLevel="0" collapsed="false">
      <c r="A364" s="294" t="n">
        <v>2505</v>
      </c>
      <c r="B364" s="22" t="s">
        <v>193</v>
      </c>
      <c r="C364" s="22" t="s">
        <v>194</v>
      </c>
      <c r="D364" s="23" t="n">
        <v>45353</v>
      </c>
      <c r="E364" s="23" t="n">
        <v>45454</v>
      </c>
      <c r="F364" s="295" t="n">
        <f aca="false">WORKDAY(E364,G364)</f>
        <v>45554</v>
      </c>
      <c r="G364" s="53" t="n">
        <v>72</v>
      </c>
      <c r="H364" s="49" t="n">
        <v>75</v>
      </c>
      <c r="I364" s="49" t="n">
        <v>-3</v>
      </c>
      <c r="J364" s="22" t="s">
        <v>720</v>
      </c>
      <c r="K364" s="27" t="n">
        <v>60000</v>
      </c>
      <c r="L364" s="27" t="n">
        <v>129600</v>
      </c>
      <c r="M364" s="45" t="n">
        <v>9000</v>
      </c>
      <c r="N364" s="29" t="n">
        <v>9000</v>
      </c>
      <c r="O364" s="29" t="n">
        <v>135000</v>
      </c>
      <c r="P364" s="27" t="n">
        <v>-5400</v>
      </c>
      <c r="Q364" s="263" t="n">
        <v>45460</v>
      </c>
    </row>
    <row r="365" customFormat="false" ht="26.1" hidden="false" customHeight="false" outlineLevel="0" collapsed="false">
      <c r="A365" s="294" t="n">
        <v>2655</v>
      </c>
      <c r="B365" s="22" t="s">
        <v>723</v>
      </c>
      <c r="C365" s="22" t="s">
        <v>809</v>
      </c>
      <c r="D365" s="23" t="n">
        <v>45450</v>
      </c>
      <c r="E365" s="23" t="n">
        <v>45463</v>
      </c>
      <c r="F365" s="295" t="n">
        <f aca="false">WORKDAY(E365,G365)</f>
        <v>45476</v>
      </c>
      <c r="G365" s="53" t="n">
        <v>9</v>
      </c>
      <c r="H365" s="49" t="e">
        <f aca="false">#DIV/0!</f>
        <v>#DIV/0!</v>
      </c>
      <c r="I365" s="49" t="e">
        <f aca="false">#DIV/0!</f>
        <v>#DIV/0!</v>
      </c>
      <c r="J365" s="269" t="s">
        <v>681</v>
      </c>
      <c r="K365" s="30" t="n">
        <v>50000</v>
      </c>
      <c r="L365" s="30" t="n">
        <v>75000</v>
      </c>
      <c r="M365" s="28"/>
      <c r="N365" s="29" t="n">
        <v>75000</v>
      </c>
      <c r="O365" s="29" t="n">
        <v>75000</v>
      </c>
      <c r="P365" s="27" t="n">
        <v>0</v>
      </c>
      <c r="Q365" s="263" t="n">
        <v>45460</v>
      </c>
    </row>
    <row r="366" customFormat="false" ht="34.3" hidden="false" customHeight="false" outlineLevel="0" collapsed="false">
      <c r="A366" s="294" t="n">
        <v>2488</v>
      </c>
      <c r="B366" s="22" t="s">
        <v>226</v>
      </c>
      <c r="C366" s="22" t="s">
        <v>227</v>
      </c>
      <c r="D366" s="23" t="n">
        <v>45343</v>
      </c>
      <c r="E366" s="23" t="n">
        <v>45443</v>
      </c>
      <c r="F366" s="295" t="n">
        <f aca="false">WORKDAY(E366,G366)</f>
        <v>45545</v>
      </c>
      <c r="G366" s="53" t="n">
        <v>72</v>
      </c>
      <c r="H366" s="49" t="n">
        <v>72</v>
      </c>
      <c r="I366" s="49" t="n">
        <v>0</v>
      </c>
      <c r="J366" s="22" t="s">
        <v>703</v>
      </c>
      <c r="K366" s="27" t="n">
        <v>25000</v>
      </c>
      <c r="L366" s="27" t="n">
        <v>54000</v>
      </c>
      <c r="M366" s="28" t="n">
        <v>3750</v>
      </c>
      <c r="N366" s="29" t="n">
        <v>1450</v>
      </c>
      <c r="O366" s="29" t="n">
        <v>54000</v>
      </c>
      <c r="P366" s="27" t="n">
        <v>0</v>
      </c>
      <c r="Q366" s="263" t="n">
        <v>45460</v>
      </c>
    </row>
    <row r="367" customFormat="false" ht="26.1" hidden="false" customHeight="false" outlineLevel="0" collapsed="false">
      <c r="A367" s="294" t="n">
        <v>2547</v>
      </c>
      <c r="B367" s="22" t="s">
        <v>248</v>
      </c>
      <c r="C367" s="22" t="s">
        <v>249</v>
      </c>
      <c r="D367" s="23" t="n">
        <v>45379</v>
      </c>
      <c r="E367" s="23" t="n">
        <v>45463</v>
      </c>
      <c r="F367" s="295" t="n">
        <f aca="false">WORKDAY(E367,G367)</f>
        <v>45547</v>
      </c>
      <c r="G367" s="53" t="n">
        <v>60</v>
      </c>
      <c r="H367" s="49" t="n">
        <v>60</v>
      </c>
      <c r="I367" s="49" t="n">
        <v>0</v>
      </c>
      <c r="J367" s="269" t="s">
        <v>927</v>
      </c>
      <c r="K367" s="27" t="n">
        <v>30000</v>
      </c>
      <c r="L367" s="27" t="n">
        <v>64800</v>
      </c>
      <c r="M367" s="45" t="n">
        <v>5400</v>
      </c>
      <c r="N367" s="29"/>
      <c r="O367" s="29" t="n">
        <v>64800</v>
      </c>
      <c r="P367" s="27" t="n">
        <v>0</v>
      </c>
      <c r="Q367" s="263" t="n">
        <v>45460</v>
      </c>
    </row>
    <row r="368" customFormat="false" ht="83.55" hidden="false" customHeight="false" outlineLevel="0" collapsed="false">
      <c r="A368" s="294" t="n">
        <v>2474</v>
      </c>
      <c r="B368" s="22" t="s">
        <v>928</v>
      </c>
      <c r="C368" s="22" t="s">
        <v>260</v>
      </c>
      <c r="D368" s="23" t="n">
        <v>45337</v>
      </c>
      <c r="E368" s="23" t="n">
        <v>45439</v>
      </c>
      <c r="F368" s="295" t="n">
        <f aca="false">WORKDAY(E368,G368)</f>
        <v>45539</v>
      </c>
      <c r="G368" s="53" t="n">
        <v>72</v>
      </c>
      <c r="H368" s="49" t="n">
        <v>72.3317972350231</v>
      </c>
      <c r="I368" s="49" t="n">
        <v>-0.331797235023046</v>
      </c>
      <c r="J368" s="22" t="s">
        <v>871</v>
      </c>
      <c r="K368" s="27" t="n">
        <v>500000</v>
      </c>
      <c r="L368" s="27" t="n">
        <v>1085000</v>
      </c>
      <c r="M368" s="45" t="n">
        <v>75347.2222222222</v>
      </c>
      <c r="N368" s="29" t="n">
        <v>30000</v>
      </c>
      <c r="O368" s="29" t="n">
        <v>1090000</v>
      </c>
      <c r="P368" s="27" t="n">
        <v>-5000</v>
      </c>
      <c r="Q368" s="263" t="n">
        <v>45460</v>
      </c>
    </row>
    <row r="369" customFormat="false" ht="17.9" hidden="false" customHeight="false" outlineLevel="0" collapsed="false">
      <c r="A369" s="294" t="n">
        <v>2461</v>
      </c>
      <c r="B369" s="22" t="s">
        <v>393</v>
      </c>
      <c r="C369" s="22"/>
      <c r="D369" s="23" t="n">
        <v>45328</v>
      </c>
      <c r="E369" s="23" t="n">
        <v>45428</v>
      </c>
      <c r="F369" s="295" t="n">
        <f aca="false">WORKDAY(E369,G369)</f>
        <v>45530</v>
      </c>
      <c r="G369" s="53" t="n">
        <v>72</v>
      </c>
      <c r="H369" s="49" t="n">
        <v>72</v>
      </c>
      <c r="I369" s="49" t="n">
        <v>0</v>
      </c>
      <c r="J369" s="22" t="s">
        <v>703</v>
      </c>
      <c r="K369" s="27" t="n">
        <v>25000</v>
      </c>
      <c r="L369" s="27" t="n">
        <v>54000</v>
      </c>
      <c r="M369" s="28" t="n">
        <v>3750</v>
      </c>
      <c r="N369" s="29" t="n">
        <v>700</v>
      </c>
      <c r="O369" s="29" t="n">
        <v>54000</v>
      </c>
      <c r="P369" s="27" t="n">
        <v>0</v>
      </c>
      <c r="Q369" s="263" t="n">
        <v>45460</v>
      </c>
    </row>
    <row r="370" customFormat="false" ht="67.15" hidden="false" customHeight="false" outlineLevel="0" collapsed="false">
      <c r="A370" s="294" t="n">
        <v>2503</v>
      </c>
      <c r="B370" s="22" t="s">
        <v>399</v>
      </c>
      <c r="C370" s="22" t="s">
        <v>400</v>
      </c>
      <c r="D370" s="23" t="n">
        <v>45351</v>
      </c>
      <c r="E370" s="23" t="n">
        <v>45453</v>
      </c>
      <c r="F370" s="295" t="n">
        <f aca="false">WORKDAY(E370,G370)</f>
        <v>45553</v>
      </c>
      <c r="G370" s="53" t="n">
        <v>72</v>
      </c>
      <c r="H370" s="49" t="n">
        <v>72.3888888888889</v>
      </c>
      <c r="I370" s="49" t="n">
        <v>-0.388888888888886</v>
      </c>
      <c r="J370" s="22" t="s">
        <v>675</v>
      </c>
      <c r="K370" s="27" t="n">
        <v>30000</v>
      </c>
      <c r="L370" s="27" t="n">
        <v>64800</v>
      </c>
      <c r="M370" s="28" t="n">
        <v>4500</v>
      </c>
      <c r="N370" s="29" t="n">
        <v>24500</v>
      </c>
      <c r="O370" s="29" t="n">
        <v>65150</v>
      </c>
      <c r="P370" s="27" t="n">
        <v>-350</v>
      </c>
      <c r="Q370" s="263" t="n">
        <v>45460</v>
      </c>
    </row>
    <row r="371" customFormat="false" ht="26.1" hidden="false" customHeight="false" outlineLevel="0" collapsed="false">
      <c r="A371" s="294" t="n">
        <v>2631</v>
      </c>
      <c r="B371" s="22" t="s">
        <v>688</v>
      </c>
      <c r="C371" s="22"/>
      <c r="D371" s="23" t="n">
        <v>45430</v>
      </c>
      <c r="E371" s="23" t="n">
        <v>45457</v>
      </c>
      <c r="F371" s="295" t="n">
        <f aca="false">WORKDAY(E371,G371)</f>
        <v>45485</v>
      </c>
      <c r="G371" s="53" t="n">
        <v>20</v>
      </c>
      <c r="H371" s="49" t="e">
        <f aca="false">#DIV/0!</f>
        <v>#DIV/0!</v>
      </c>
      <c r="I371" s="49" t="e">
        <f aca="false">#DIV/0!</f>
        <v>#DIV/0!</v>
      </c>
      <c r="J371" s="22" t="s">
        <v>681</v>
      </c>
      <c r="K371" s="27" t="n">
        <v>20000</v>
      </c>
      <c r="L371" s="27" t="n">
        <v>32000</v>
      </c>
      <c r="M371" s="28"/>
      <c r="N371" s="29" t="n">
        <v>32000</v>
      </c>
      <c r="O371" s="29" t="n">
        <v>32000</v>
      </c>
      <c r="P371" s="27" t="n">
        <v>0</v>
      </c>
      <c r="Q371" s="263" t="n">
        <v>45460</v>
      </c>
    </row>
    <row r="372" customFormat="false" ht="26.1" hidden="false" customHeight="false" outlineLevel="0" collapsed="false">
      <c r="A372" s="294" t="n">
        <v>2639</v>
      </c>
      <c r="B372" s="22" t="s">
        <v>688</v>
      </c>
      <c r="C372" s="22"/>
      <c r="D372" s="23" t="n">
        <v>45439</v>
      </c>
      <c r="E372" s="23" t="n">
        <v>45456</v>
      </c>
      <c r="F372" s="295" t="n">
        <f aca="false">WORKDAY(E372,G372)</f>
        <v>45475</v>
      </c>
      <c r="G372" s="53" t="n">
        <v>13</v>
      </c>
      <c r="H372" s="49" t="e">
        <f aca="false">#DIV/0!</f>
        <v>#DIV/0!</v>
      </c>
      <c r="I372" s="49" t="e">
        <f aca="false">#DIV/0!</f>
        <v>#DIV/0!</v>
      </c>
      <c r="J372" s="269" t="s">
        <v>681</v>
      </c>
      <c r="K372" s="27" t="n">
        <v>15000</v>
      </c>
      <c r="L372" s="27" t="n">
        <v>22500</v>
      </c>
      <c r="M372" s="28"/>
      <c r="N372" s="29" t="n">
        <v>22500</v>
      </c>
      <c r="O372" s="29" t="n">
        <v>22500</v>
      </c>
      <c r="P372" s="27" t="n">
        <v>0</v>
      </c>
      <c r="Q372" s="263" t="n">
        <v>45460</v>
      </c>
    </row>
    <row r="373" customFormat="false" ht="26.1" hidden="false" customHeight="false" outlineLevel="0" collapsed="false">
      <c r="A373" s="294" t="n">
        <v>2652</v>
      </c>
      <c r="B373" s="22" t="s">
        <v>688</v>
      </c>
      <c r="C373" s="22"/>
      <c r="D373" s="23" t="n">
        <v>45446</v>
      </c>
      <c r="E373" s="23" t="n">
        <v>45460</v>
      </c>
      <c r="F373" s="295" t="n">
        <f aca="false">WORKDAY(E373,G373)</f>
        <v>45474</v>
      </c>
      <c r="G373" s="53" t="n">
        <v>10</v>
      </c>
      <c r="H373" s="49" t="e">
        <f aca="false">#DIV/0!</f>
        <v>#DIV/0!</v>
      </c>
      <c r="I373" s="296" t="e">
        <f aca="false">#DIV/0!</f>
        <v>#DIV/0!</v>
      </c>
      <c r="J373" s="269" t="s">
        <v>681</v>
      </c>
      <c r="K373" s="57" t="n">
        <v>15000</v>
      </c>
      <c r="L373" s="27" t="n">
        <v>22500</v>
      </c>
      <c r="M373" s="28"/>
      <c r="N373" s="29" t="n">
        <v>10500</v>
      </c>
      <c r="O373" s="29" t="n">
        <v>22500</v>
      </c>
      <c r="P373" s="27" t="n">
        <v>0</v>
      </c>
      <c r="Q373" s="263" t="n">
        <v>45460</v>
      </c>
    </row>
    <row r="374" customFormat="false" ht="26.1" hidden="false" customHeight="false" outlineLevel="0" collapsed="false">
      <c r="A374" s="294" t="n">
        <v>2484</v>
      </c>
      <c r="B374" s="22" t="s">
        <v>499</v>
      </c>
      <c r="C374" s="22" t="s">
        <v>500</v>
      </c>
      <c r="D374" s="23" t="n">
        <v>45342</v>
      </c>
      <c r="E374" s="23" t="n">
        <v>45442</v>
      </c>
      <c r="F374" s="53" t="n">
        <v>72</v>
      </c>
      <c r="G374" s="49" t="n">
        <v>74.8152948801037</v>
      </c>
      <c r="H374" s="49" t="n">
        <v>-2.81529488010369</v>
      </c>
      <c r="I374" s="297"/>
      <c r="J374" s="22" t="s">
        <v>860</v>
      </c>
      <c r="K374" s="27" t="n">
        <v>50000</v>
      </c>
      <c r="L374" s="27" t="n">
        <v>111096</v>
      </c>
      <c r="M374" s="28" t="n">
        <v>7715</v>
      </c>
      <c r="N374" s="29" t="n">
        <v>30860</v>
      </c>
      <c r="O374" s="29" t="n">
        <v>115440</v>
      </c>
      <c r="P374" s="27" t="n">
        <v>-4344</v>
      </c>
      <c r="Q374" s="263" t="n">
        <v>45460</v>
      </c>
    </row>
    <row r="375" customFormat="false" ht="26.1" hidden="false" customHeight="false" outlineLevel="0" collapsed="false">
      <c r="A375" s="294" t="n">
        <v>2425</v>
      </c>
      <c r="B375" s="22" t="s">
        <v>876</v>
      </c>
      <c r="C375" s="22" t="s">
        <v>877</v>
      </c>
      <c r="D375" s="23" t="n">
        <v>45307</v>
      </c>
      <c r="E375" s="23" t="n">
        <v>45475</v>
      </c>
      <c r="F375" s="53" t="n">
        <v>120</v>
      </c>
      <c r="G375" s="49" t="n">
        <v>120</v>
      </c>
      <c r="H375" s="49" t="n">
        <v>0</v>
      </c>
      <c r="I375" s="41"/>
      <c r="J375" s="269" t="s">
        <v>879</v>
      </c>
      <c r="K375" s="27" t="n">
        <v>50000</v>
      </c>
      <c r="L375" s="27" t="n">
        <v>132000</v>
      </c>
      <c r="M375" s="28" t="n">
        <v>5500</v>
      </c>
      <c r="N375" s="29" t="n">
        <v>66000</v>
      </c>
      <c r="O375" s="29" t="n">
        <v>132000</v>
      </c>
      <c r="P375" s="27" t="n">
        <v>0</v>
      </c>
      <c r="Q375" s="263" t="n">
        <v>45460</v>
      </c>
    </row>
    <row r="376" customFormat="false" ht="26.1" hidden="false" customHeight="false" outlineLevel="0" collapsed="false">
      <c r="A376" s="294" t="n">
        <v>2450</v>
      </c>
      <c r="B376" s="22" t="s">
        <v>200</v>
      </c>
      <c r="C376" s="22" t="s">
        <v>201</v>
      </c>
      <c r="D376" s="23" t="n">
        <v>45320</v>
      </c>
      <c r="E376" s="23" t="n">
        <v>45432</v>
      </c>
      <c r="F376" s="23" t="n">
        <v>45432</v>
      </c>
      <c r="G376" s="53" t="n">
        <v>80</v>
      </c>
      <c r="H376" s="49" t="n">
        <v>80.026455026455</v>
      </c>
      <c r="I376" s="49" t="n">
        <v>-0.0264550264550252</v>
      </c>
      <c r="J376" s="74" t="s">
        <v>929</v>
      </c>
      <c r="K376" s="27" t="n">
        <v>70000</v>
      </c>
      <c r="L376" s="27" t="n">
        <v>151200</v>
      </c>
      <c r="M376" s="45" t="n">
        <v>9450</v>
      </c>
      <c r="N376" s="29" t="n">
        <v>24000</v>
      </c>
      <c r="O376" s="29" t="n">
        <v>151250</v>
      </c>
      <c r="P376" s="27" t="n">
        <v>-50</v>
      </c>
      <c r="Q376" s="263" t="n">
        <v>45467</v>
      </c>
    </row>
    <row r="377" customFormat="false" ht="17.9" hidden="false" customHeight="false" outlineLevel="0" collapsed="false">
      <c r="A377" s="294" t="n">
        <v>2462</v>
      </c>
      <c r="B377" s="22" t="s">
        <v>930</v>
      </c>
      <c r="C377" s="22" t="s">
        <v>931</v>
      </c>
      <c r="D377" s="23" t="n">
        <v>45329</v>
      </c>
      <c r="E377" s="23" t="n">
        <v>45429</v>
      </c>
      <c r="F377" s="23" t="n">
        <v>45429</v>
      </c>
      <c r="G377" s="53" t="n">
        <v>72</v>
      </c>
      <c r="H377" s="49" t="n">
        <v>72</v>
      </c>
      <c r="I377" s="49" t="n">
        <v>0</v>
      </c>
      <c r="J377" s="22" t="s">
        <v>188</v>
      </c>
      <c r="K377" s="30" t="n">
        <v>100000</v>
      </c>
      <c r="L377" s="30" t="n">
        <v>216000</v>
      </c>
      <c r="M377" s="28" t="n">
        <v>15000</v>
      </c>
      <c r="N377" s="29" t="n">
        <v>26000</v>
      </c>
      <c r="O377" s="29" t="n">
        <v>216000</v>
      </c>
      <c r="P377" s="27" t="n">
        <v>0</v>
      </c>
      <c r="Q377" s="263" t="n">
        <v>45467</v>
      </c>
    </row>
    <row r="378" customFormat="false" ht="58.95" hidden="false" customHeight="false" outlineLevel="0" collapsed="false">
      <c r="A378" s="294" t="n">
        <v>2537</v>
      </c>
      <c r="B378" s="22" t="s">
        <v>237</v>
      </c>
      <c r="C378" s="22" t="s">
        <v>238</v>
      </c>
      <c r="D378" s="23" t="n">
        <v>45372</v>
      </c>
      <c r="E378" s="23" t="n">
        <v>45474</v>
      </c>
      <c r="F378" s="23" t="n">
        <v>45474</v>
      </c>
      <c r="G378" s="53" t="n">
        <v>72</v>
      </c>
      <c r="H378" s="49" t="n">
        <v>72</v>
      </c>
      <c r="I378" s="49" t="n">
        <v>0</v>
      </c>
      <c r="J378" s="30" t="s">
        <v>495</v>
      </c>
      <c r="K378" s="45" t="n">
        <v>70000</v>
      </c>
      <c r="L378" s="27" t="n">
        <v>151200</v>
      </c>
      <c r="M378" s="45" t="n">
        <v>10500</v>
      </c>
      <c r="N378" s="29" t="n">
        <v>25200</v>
      </c>
      <c r="O378" s="29" t="n">
        <v>151200</v>
      </c>
      <c r="P378" s="27" t="n">
        <v>0</v>
      </c>
      <c r="Q378" s="263" t="n">
        <v>45467</v>
      </c>
    </row>
    <row r="379" customFormat="false" ht="42.5" hidden="false" customHeight="false" outlineLevel="0" collapsed="false">
      <c r="A379" s="294" t="n">
        <v>2360</v>
      </c>
      <c r="B379" s="22" t="s">
        <v>268</v>
      </c>
      <c r="C379" s="24" t="s">
        <v>269</v>
      </c>
      <c r="D379" s="23" t="n">
        <v>45264</v>
      </c>
      <c r="E379" s="23" t="n">
        <v>45488</v>
      </c>
      <c r="F379" s="23" t="n">
        <v>45488</v>
      </c>
      <c r="G379" s="53" t="n">
        <v>160</v>
      </c>
      <c r="H379" s="49" t="n">
        <v>160</v>
      </c>
      <c r="I379" s="49" t="n">
        <v>0</v>
      </c>
      <c r="J379" s="269" t="s">
        <v>932</v>
      </c>
      <c r="K379" s="27" t="n">
        <v>120000</v>
      </c>
      <c r="L379" s="27" t="n">
        <v>321600</v>
      </c>
      <c r="M379" s="28" t="n">
        <v>10050</v>
      </c>
      <c r="N379" s="29" t="n">
        <v>80400</v>
      </c>
      <c r="O379" s="29" t="n">
        <v>321600</v>
      </c>
      <c r="P379" s="27" t="n">
        <v>0</v>
      </c>
      <c r="Q379" s="263" t="n">
        <v>45467</v>
      </c>
    </row>
    <row r="380" customFormat="false" ht="26.1" hidden="false" customHeight="false" outlineLevel="0" collapsed="false">
      <c r="A380" s="294" t="n">
        <v>2486</v>
      </c>
      <c r="B380" s="22" t="s">
        <v>589</v>
      </c>
      <c r="C380" s="22" t="s">
        <v>590</v>
      </c>
      <c r="D380" s="23" t="n">
        <v>45342</v>
      </c>
      <c r="E380" s="23" t="n">
        <v>45426</v>
      </c>
      <c r="F380" s="23" t="n">
        <v>45426</v>
      </c>
      <c r="G380" s="53" t="n">
        <v>60</v>
      </c>
      <c r="H380" s="49" t="n">
        <v>60</v>
      </c>
      <c r="I380" s="49" t="n">
        <v>0</v>
      </c>
      <c r="J380" s="269" t="s">
        <v>933</v>
      </c>
      <c r="K380" s="27" t="n">
        <v>50000</v>
      </c>
      <c r="L380" s="27" t="n">
        <v>100050</v>
      </c>
      <c r="M380" s="28" t="n">
        <v>8337.5</v>
      </c>
      <c r="N380" s="29" t="n">
        <v>33250</v>
      </c>
      <c r="O380" s="29" t="n">
        <v>100050</v>
      </c>
      <c r="P380" s="27" t="n">
        <v>0</v>
      </c>
      <c r="Q380" s="263" t="n">
        <v>45467</v>
      </c>
    </row>
    <row r="381" customFormat="false" ht="26.1" hidden="false" customHeight="false" outlineLevel="0" collapsed="false">
      <c r="A381" s="294" t="n">
        <v>2463</v>
      </c>
      <c r="B381" s="22" t="s">
        <v>316</v>
      </c>
      <c r="C381" s="22" t="s">
        <v>317</v>
      </c>
      <c r="D381" s="23" t="n">
        <v>45329</v>
      </c>
      <c r="E381" s="23" t="n">
        <v>45429</v>
      </c>
      <c r="F381" s="23" t="n">
        <v>45429</v>
      </c>
      <c r="G381" s="53" t="n">
        <v>72</v>
      </c>
      <c r="H381" s="49" t="n">
        <v>72</v>
      </c>
      <c r="I381" s="49" t="n">
        <v>0</v>
      </c>
      <c r="J381" s="22" t="s">
        <v>333</v>
      </c>
      <c r="K381" s="27" t="n">
        <v>50000</v>
      </c>
      <c r="L381" s="27" t="n">
        <v>108000</v>
      </c>
      <c r="M381" s="28" t="n">
        <v>7500</v>
      </c>
      <c r="N381" s="29" t="n">
        <v>3000</v>
      </c>
      <c r="O381" s="29" t="n">
        <v>108000</v>
      </c>
      <c r="P381" s="27" t="n">
        <v>0</v>
      </c>
      <c r="Q381" s="263" t="n">
        <v>45467</v>
      </c>
    </row>
    <row r="382" customFormat="false" ht="26.1" hidden="false" customHeight="false" outlineLevel="0" collapsed="false">
      <c r="A382" s="294" t="n">
        <v>2292</v>
      </c>
      <c r="B382" s="22" t="s">
        <v>357</v>
      </c>
      <c r="C382" s="22" t="s">
        <v>358</v>
      </c>
      <c r="D382" s="23" t="n">
        <v>45211</v>
      </c>
      <c r="E382" s="23" t="n">
        <v>45491</v>
      </c>
      <c r="F382" s="23" t="n">
        <v>45491</v>
      </c>
      <c r="G382" s="53" t="n">
        <v>200</v>
      </c>
      <c r="H382" s="49" t="n">
        <v>200</v>
      </c>
      <c r="I382" s="49" t="n">
        <v>0</v>
      </c>
      <c r="J382" s="269" t="s">
        <v>934</v>
      </c>
      <c r="K382" s="27" t="n">
        <v>100000</v>
      </c>
      <c r="L382" s="27" t="n">
        <v>305000</v>
      </c>
      <c r="M382" s="45" t="n">
        <v>7625</v>
      </c>
      <c r="N382" s="29" t="n">
        <v>61000</v>
      </c>
      <c r="O382" s="29" t="n">
        <v>305000</v>
      </c>
      <c r="P382" s="27" t="n">
        <v>0</v>
      </c>
      <c r="Q382" s="263" t="n">
        <v>45467</v>
      </c>
    </row>
    <row r="383" customFormat="false" ht="17.9" hidden="false" customHeight="false" outlineLevel="0" collapsed="false">
      <c r="A383" s="294" t="n">
        <v>2675</v>
      </c>
      <c r="B383" s="22" t="s">
        <v>363</v>
      </c>
      <c r="C383" s="22"/>
      <c r="D383" s="23" t="n">
        <v>45462</v>
      </c>
      <c r="E383" s="23" t="n">
        <v>45469</v>
      </c>
      <c r="F383" s="23" t="n">
        <v>45469</v>
      </c>
      <c r="G383" s="53" t="n">
        <v>5</v>
      </c>
      <c r="H383" s="49" t="e">
        <f aca="false">#VALUE!</f>
        <v>#VALUE!</v>
      </c>
      <c r="I383" s="49" t="e">
        <f aca="false">#VALUE!</f>
        <v>#VALUE!</v>
      </c>
      <c r="J383" s="269" t="s">
        <v>681</v>
      </c>
      <c r="K383" s="50" t="n">
        <v>40000</v>
      </c>
      <c r="L383" s="27" t="n">
        <v>52000</v>
      </c>
      <c r="M383" s="28" t="s">
        <v>184</v>
      </c>
      <c r="N383" s="29" t="n">
        <v>52000</v>
      </c>
      <c r="O383" s="29" t="n">
        <v>52000</v>
      </c>
      <c r="P383" s="27" t="n">
        <v>0</v>
      </c>
      <c r="Q383" s="263" t="n">
        <v>45467</v>
      </c>
    </row>
    <row r="384" customFormat="false" ht="34.3" hidden="false" customHeight="false" outlineLevel="0" collapsed="false">
      <c r="A384" s="294" t="n">
        <v>2477</v>
      </c>
      <c r="B384" s="22" t="s">
        <v>414</v>
      </c>
      <c r="C384" s="22" t="s">
        <v>415</v>
      </c>
      <c r="D384" s="23" t="s">
        <v>935</v>
      </c>
      <c r="E384" s="23" t="e">
        <f aca="false">#VALUE!</f>
        <v>#VALUE!</v>
      </c>
      <c r="F384" s="23" t="e">
        <f aca="false">#VALUE!</f>
        <v>#VALUE!</v>
      </c>
      <c r="G384" s="53" t="n">
        <v>70</v>
      </c>
      <c r="H384" s="49" t="n">
        <v>70</v>
      </c>
      <c r="I384" s="49" t="n">
        <v>0</v>
      </c>
      <c r="J384" s="74" t="s">
        <v>936</v>
      </c>
      <c r="K384" s="27" t="n">
        <v>30000</v>
      </c>
      <c r="L384" s="27" t="n">
        <v>65100</v>
      </c>
      <c r="M384" s="28" t="n">
        <v>4650</v>
      </c>
      <c r="N384" s="29" t="n">
        <v>900</v>
      </c>
      <c r="O384" s="29" t="n">
        <v>65100</v>
      </c>
      <c r="P384" s="27" t="n">
        <v>0</v>
      </c>
      <c r="Q384" s="263" t="n">
        <v>45467</v>
      </c>
    </row>
    <row r="385" customFormat="false" ht="17.9" hidden="false" customHeight="false" outlineLevel="0" collapsed="false">
      <c r="A385" s="294" t="n">
        <v>2519</v>
      </c>
      <c r="B385" s="22" t="s">
        <v>519</v>
      </c>
      <c r="C385" s="22" t="s">
        <v>520</v>
      </c>
      <c r="D385" s="23" t="n">
        <v>45363</v>
      </c>
      <c r="E385" s="23" t="n">
        <v>45463</v>
      </c>
      <c r="F385" s="23" t="n">
        <v>45463</v>
      </c>
      <c r="G385" s="53" t="n">
        <v>72</v>
      </c>
      <c r="H385" s="49" t="n">
        <v>72</v>
      </c>
      <c r="I385" s="49" t="n">
        <v>0</v>
      </c>
      <c r="J385" s="22" t="s">
        <v>784</v>
      </c>
      <c r="K385" s="27" t="n">
        <v>40000</v>
      </c>
      <c r="L385" s="27" t="n">
        <v>86400</v>
      </c>
      <c r="M385" s="28" t="n">
        <v>6000</v>
      </c>
      <c r="N385" s="29" t="n">
        <v>2400</v>
      </c>
      <c r="O385" s="29" t="n">
        <v>86400</v>
      </c>
      <c r="P385" s="27" t="n">
        <v>0</v>
      </c>
      <c r="Q385" s="263" t="n">
        <v>45467</v>
      </c>
    </row>
    <row r="386" customFormat="false" ht="34.3" hidden="false" customHeight="false" outlineLevel="0" collapsed="false">
      <c r="A386" s="294" t="n">
        <v>2456</v>
      </c>
      <c r="B386" s="22" t="s">
        <v>545</v>
      </c>
      <c r="C386" s="22" t="s">
        <v>546</v>
      </c>
      <c r="D386" s="23" t="n">
        <v>45325</v>
      </c>
      <c r="E386" s="23" t="n">
        <v>45426</v>
      </c>
      <c r="F386" s="23" t="n">
        <v>45426</v>
      </c>
      <c r="G386" s="53" t="n">
        <v>72</v>
      </c>
      <c r="H386" s="49" t="n">
        <v>75</v>
      </c>
      <c r="I386" s="49" t="n">
        <v>-3</v>
      </c>
      <c r="J386" s="22" t="s">
        <v>495</v>
      </c>
      <c r="K386" s="30" t="n">
        <v>70000</v>
      </c>
      <c r="L386" s="30" t="n">
        <v>151200</v>
      </c>
      <c r="M386" s="28" t="n">
        <v>10500</v>
      </c>
      <c r="N386" s="298" t="n">
        <v>21000</v>
      </c>
      <c r="O386" s="29" t="n">
        <v>157500</v>
      </c>
      <c r="P386" s="27" t="n">
        <v>-6300</v>
      </c>
      <c r="Q386" s="263" t="n">
        <v>45467</v>
      </c>
    </row>
    <row r="387" customFormat="false" ht="17.9" hidden="false" customHeight="false" outlineLevel="0" collapsed="false">
      <c r="A387" s="294" t="n">
        <v>2408</v>
      </c>
      <c r="B387" s="22" t="s">
        <v>191</v>
      </c>
      <c r="C387" s="22"/>
      <c r="D387" s="41"/>
      <c r="E387" s="23" t="n">
        <v>45300</v>
      </c>
      <c r="F387" s="23" t="n">
        <v>45468</v>
      </c>
      <c r="G387" s="53" t="n">
        <v>120</v>
      </c>
      <c r="H387" s="49" t="n">
        <v>120.345572354212</v>
      </c>
      <c r="I387" s="49" t="n">
        <v>-0.345572354211669</v>
      </c>
      <c r="J387" s="269" t="s">
        <v>937</v>
      </c>
      <c r="K387" s="30" t="n">
        <v>50000</v>
      </c>
      <c r="L387" s="30" t="n">
        <v>138900</v>
      </c>
      <c r="M387" s="45" t="n">
        <v>5787.5</v>
      </c>
      <c r="N387" s="298" t="n">
        <v>23150</v>
      </c>
      <c r="O387" s="29" t="n">
        <v>139300</v>
      </c>
      <c r="P387" s="27" t="n">
        <v>-400</v>
      </c>
      <c r="Q387" s="263" t="n">
        <v>45474</v>
      </c>
    </row>
    <row r="388" customFormat="false" ht="42.5" hidden="false" customHeight="false" outlineLevel="0" collapsed="false">
      <c r="A388" s="294" t="n">
        <v>2550</v>
      </c>
      <c r="B388" s="22" t="s">
        <v>193</v>
      </c>
      <c r="C388" s="22" t="s">
        <v>194</v>
      </c>
      <c r="D388" s="41"/>
      <c r="E388" s="23" t="n">
        <v>45382</v>
      </c>
      <c r="F388" s="23" t="n">
        <v>45482</v>
      </c>
      <c r="G388" s="53" t="n">
        <v>72</v>
      </c>
      <c r="H388" s="49" t="n">
        <v>72</v>
      </c>
      <c r="I388" s="49" t="n">
        <v>0</v>
      </c>
      <c r="J388" s="22" t="s">
        <v>333</v>
      </c>
      <c r="K388" s="27" t="n">
        <v>10000</v>
      </c>
      <c r="L388" s="27" t="n">
        <v>21600</v>
      </c>
      <c r="M388" s="28" t="n">
        <v>1500</v>
      </c>
      <c r="N388" s="29" t="n">
        <v>5600</v>
      </c>
      <c r="O388" s="29" t="n">
        <v>21600</v>
      </c>
      <c r="P388" s="27" t="n">
        <v>0</v>
      </c>
      <c r="Q388" s="263" t="n">
        <v>45474</v>
      </c>
    </row>
    <row r="389" customFormat="false" ht="26.1" hidden="false" customHeight="false" outlineLevel="0" collapsed="false">
      <c r="A389" s="294" t="n">
        <v>2677</v>
      </c>
      <c r="B389" s="22" t="s">
        <v>723</v>
      </c>
      <c r="C389" s="22" t="s">
        <v>809</v>
      </c>
      <c r="D389" s="41"/>
      <c r="E389" s="23" t="n">
        <v>45463</v>
      </c>
      <c r="F389" s="23" t="n">
        <v>45478</v>
      </c>
      <c r="G389" s="53" t="n">
        <v>11</v>
      </c>
      <c r="H389" s="49" t="e">
        <f aca="false">#DIV/0!</f>
        <v>#DIV/0!</v>
      </c>
      <c r="I389" s="49" t="e">
        <f aca="false">#DIV/0!</f>
        <v>#DIV/0!</v>
      </c>
      <c r="J389" s="269" t="s">
        <v>681</v>
      </c>
      <c r="K389" s="27" t="n">
        <v>25000</v>
      </c>
      <c r="L389" s="27" t="n">
        <v>38000</v>
      </c>
      <c r="M389" s="28"/>
      <c r="N389" s="29" t="n">
        <v>38000</v>
      </c>
      <c r="O389" s="29" t="n">
        <v>38000</v>
      </c>
      <c r="P389" s="27" t="n">
        <v>0</v>
      </c>
      <c r="Q389" s="263" t="n">
        <v>45474</v>
      </c>
    </row>
    <row r="390" customFormat="false" ht="83.55" hidden="false" customHeight="false" outlineLevel="0" collapsed="false">
      <c r="A390" s="294" t="n">
        <v>2535</v>
      </c>
      <c r="B390" s="22" t="s">
        <v>938</v>
      </c>
      <c r="C390" s="22" t="s">
        <v>260</v>
      </c>
      <c r="D390" s="22"/>
      <c r="E390" s="23" t="n">
        <v>45372</v>
      </c>
      <c r="F390" s="23" t="n">
        <f aca="false">WORKDAY(E390,G390)</f>
        <v>45474</v>
      </c>
      <c r="G390" s="53" t="n">
        <v>72</v>
      </c>
      <c r="H390" s="49" t="n">
        <f aca="false">(CX390* 5)/M390</f>
        <v>0</v>
      </c>
      <c r="I390" s="49" t="n">
        <f aca="false">G390-H390</f>
        <v>72</v>
      </c>
      <c r="J390" s="22" t="s">
        <v>871</v>
      </c>
      <c r="K390" s="27" t="n">
        <v>500000</v>
      </c>
      <c r="L390" s="27" t="n">
        <v>1080000</v>
      </c>
      <c r="M390" s="28" t="n">
        <f aca="false">(L390/G390)*5</f>
        <v>75000</v>
      </c>
      <c r="N390" s="299" t="s">
        <v>939</v>
      </c>
      <c r="O390" s="29" t="n">
        <v>405000</v>
      </c>
      <c r="P390" s="27" t="n">
        <v>675000</v>
      </c>
      <c r="Q390" s="263" t="n">
        <v>45474</v>
      </c>
    </row>
    <row r="391" customFormat="false" ht="83.55" hidden="false" customHeight="false" outlineLevel="0" collapsed="false">
      <c r="A391" s="294" t="n">
        <v>2566</v>
      </c>
      <c r="B391" s="22" t="s">
        <v>940</v>
      </c>
      <c r="C391" s="22" t="s">
        <v>260</v>
      </c>
      <c r="D391" s="22"/>
      <c r="E391" s="23" t="n">
        <v>45392</v>
      </c>
      <c r="F391" s="23" t="n">
        <f aca="false">WORKDAY(E391,G391)</f>
        <v>45492</v>
      </c>
      <c r="G391" s="53" t="n">
        <v>72</v>
      </c>
      <c r="H391" s="49" t="n">
        <f aca="false">(CX391* 5)/M391</f>
        <v>0</v>
      </c>
      <c r="I391" s="49" t="n">
        <f aca="false">G391-H391</f>
        <v>72</v>
      </c>
      <c r="J391" s="22" t="s">
        <v>941</v>
      </c>
      <c r="K391" s="30" t="n">
        <v>700000</v>
      </c>
      <c r="L391" s="30" t="n">
        <v>1512000</v>
      </c>
      <c r="M391" s="28" t="n">
        <f aca="false">(L391/G391)*5</f>
        <v>105000</v>
      </c>
      <c r="N391" s="299" t="s">
        <v>939</v>
      </c>
      <c r="O391" s="29" t="n">
        <v>105000</v>
      </c>
      <c r="P391" s="27" t="n">
        <v>1407000</v>
      </c>
      <c r="Q391" s="263" t="n">
        <v>45474</v>
      </c>
    </row>
    <row r="392" customFormat="false" ht="17.9" hidden="false" customHeight="false" outlineLevel="0" collapsed="false">
      <c r="A392" s="294" t="n">
        <v>2438</v>
      </c>
      <c r="B392" s="22" t="s">
        <v>287</v>
      </c>
      <c r="C392" s="22" t="s">
        <v>835</v>
      </c>
      <c r="D392" s="41"/>
      <c r="E392" s="23" t="n">
        <v>45314</v>
      </c>
      <c r="F392" s="23" t="n">
        <v>45468</v>
      </c>
      <c r="G392" s="53" t="n">
        <v>110</v>
      </c>
      <c r="H392" s="49" t="n">
        <v>110</v>
      </c>
      <c r="I392" s="49" t="n">
        <v>0</v>
      </c>
      <c r="J392" s="22" t="s">
        <v>254</v>
      </c>
      <c r="K392" s="30" t="n">
        <v>100000</v>
      </c>
      <c r="L392" s="30" t="n">
        <v>264000</v>
      </c>
      <c r="M392" s="28" t="n">
        <v>12000</v>
      </c>
      <c r="N392" s="29" t="n">
        <v>12000</v>
      </c>
      <c r="O392" s="29" t="n">
        <v>264000</v>
      </c>
      <c r="P392" s="27" t="n">
        <v>0</v>
      </c>
      <c r="Q392" s="263" t="n">
        <v>45474</v>
      </c>
    </row>
    <row r="393" customFormat="false" ht="42.5" hidden="false" customHeight="false" outlineLevel="0" collapsed="false">
      <c r="A393" s="294" t="n">
        <v>2487</v>
      </c>
      <c r="B393" s="22" t="s">
        <v>810</v>
      </c>
      <c r="C393" s="22" t="s">
        <v>811</v>
      </c>
      <c r="D393" s="41"/>
      <c r="E393" s="23" t="n">
        <v>45343</v>
      </c>
      <c r="F393" s="23" t="n">
        <v>45441</v>
      </c>
      <c r="G393" s="53" t="n">
        <v>70</v>
      </c>
      <c r="H393" s="49" t="n">
        <v>70</v>
      </c>
      <c r="I393" s="49" t="n">
        <v>0</v>
      </c>
      <c r="J393" s="22" t="s">
        <v>891</v>
      </c>
      <c r="K393" s="27" t="n">
        <v>50000</v>
      </c>
      <c r="L393" s="27" t="n">
        <v>122500</v>
      </c>
      <c r="M393" s="28" t="n">
        <v>8750</v>
      </c>
      <c r="N393" s="29" t="n">
        <v>33000</v>
      </c>
      <c r="O393" s="29" t="n">
        <v>122500</v>
      </c>
      <c r="P393" s="27" t="n">
        <v>0</v>
      </c>
      <c r="Q393" s="263" t="n">
        <v>45474</v>
      </c>
    </row>
    <row r="394" customFormat="false" ht="26.1" hidden="false" customHeight="false" outlineLevel="0" collapsed="false">
      <c r="A394" s="294" t="n">
        <v>2428</v>
      </c>
      <c r="B394" s="22" t="s">
        <v>682</v>
      </c>
      <c r="C394" s="22" t="s">
        <v>683</v>
      </c>
      <c r="D394" s="41"/>
      <c r="E394" s="23" t="n">
        <v>45308</v>
      </c>
      <c r="F394" s="23" t="n">
        <v>45408</v>
      </c>
      <c r="G394" s="53" t="n">
        <v>72</v>
      </c>
      <c r="H394" s="49" t="n">
        <v>72</v>
      </c>
      <c r="I394" s="49" t="n">
        <v>0</v>
      </c>
      <c r="J394" s="22" t="s">
        <v>675</v>
      </c>
      <c r="K394" s="30" t="n">
        <v>30000</v>
      </c>
      <c r="L394" s="30" t="n">
        <v>64800</v>
      </c>
      <c r="M394" s="28" t="n">
        <v>4500</v>
      </c>
      <c r="N394" s="29" t="n">
        <v>300</v>
      </c>
      <c r="O394" s="29" t="n">
        <v>64800</v>
      </c>
      <c r="P394" s="27" t="n">
        <v>0</v>
      </c>
      <c r="Q394" s="263" t="n">
        <v>45474</v>
      </c>
    </row>
    <row r="395" customFormat="false" ht="26.1" hidden="false" customHeight="false" outlineLevel="0" collapsed="false">
      <c r="A395" s="294" t="n">
        <v>2625</v>
      </c>
      <c r="B395" s="22" t="s">
        <v>684</v>
      </c>
      <c r="C395" s="22" t="s">
        <v>685</v>
      </c>
      <c r="D395" s="41"/>
      <c r="E395" s="23" t="n">
        <v>45427</v>
      </c>
      <c r="F395" s="23" t="n">
        <v>45455</v>
      </c>
      <c r="G395" s="53" t="n">
        <v>20</v>
      </c>
      <c r="H395" s="49" t="e">
        <f aca="false">#DIV/0!</f>
        <v>#DIV/0!</v>
      </c>
      <c r="I395" s="49" t="e">
        <f aca="false">#DIV/0!</f>
        <v>#DIV/0!</v>
      </c>
      <c r="J395" s="269" t="s">
        <v>681</v>
      </c>
      <c r="K395" s="27" t="n">
        <v>40000</v>
      </c>
      <c r="L395" s="27" t="n">
        <v>60000</v>
      </c>
      <c r="M395" s="28"/>
      <c r="N395" s="29" t="n">
        <v>60000</v>
      </c>
      <c r="O395" s="29" t="n">
        <v>60000</v>
      </c>
      <c r="P395" s="27" t="n">
        <v>0</v>
      </c>
      <c r="Q395" s="263" t="n">
        <v>45474</v>
      </c>
    </row>
    <row r="396" customFormat="false" ht="34.3" hidden="false" customHeight="false" outlineLevel="0" collapsed="false">
      <c r="A396" s="294" t="n">
        <v>2402</v>
      </c>
      <c r="B396" s="22" t="s">
        <v>452</v>
      </c>
      <c r="C396" s="22"/>
      <c r="D396" s="41"/>
      <c r="E396" s="23" t="n">
        <v>45263</v>
      </c>
      <c r="F396" s="23" t="n">
        <v>45457</v>
      </c>
      <c r="G396" s="53" t="n">
        <v>140</v>
      </c>
      <c r="H396" s="49" t="n">
        <v>140</v>
      </c>
      <c r="I396" s="49" t="n">
        <v>0</v>
      </c>
      <c r="J396" s="269" t="s">
        <v>942</v>
      </c>
      <c r="K396" s="27" t="n">
        <v>30000</v>
      </c>
      <c r="L396" s="27" t="n">
        <v>79240</v>
      </c>
      <c r="M396" s="28" t="n">
        <v>2830</v>
      </c>
      <c r="N396" s="29" t="n">
        <v>11320</v>
      </c>
      <c r="O396" s="29" t="n">
        <v>79240</v>
      </c>
      <c r="P396" s="27" t="n">
        <v>0</v>
      </c>
      <c r="Q396" s="263" t="n">
        <v>45474</v>
      </c>
    </row>
    <row r="397" customFormat="false" ht="34.3" hidden="false" customHeight="false" outlineLevel="0" collapsed="false">
      <c r="A397" s="294" t="n">
        <v>2676</v>
      </c>
      <c r="B397" s="22" t="s">
        <v>452</v>
      </c>
      <c r="C397" s="22"/>
      <c r="D397" s="41"/>
      <c r="E397" s="23" t="n">
        <v>45462</v>
      </c>
      <c r="F397" s="23" t="n">
        <v>45483</v>
      </c>
      <c r="G397" s="53" t="n">
        <v>15</v>
      </c>
      <c r="H397" s="49" t="e">
        <f aca="false">#DIV/0!</f>
        <v>#DIV/0!</v>
      </c>
      <c r="I397" s="49" t="e">
        <f aca="false">#DIV/0!</f>
        <v>#DIV/0!</v>
      </c>
      <c r="J397" s="269" t="s">
        <v>681</v>
      </c>
      <c r="K397" s="27" t="n">
        <v>20000</v>
      </c>
      <c r="L397" s="27" t="n">
        <v>30000</v>
      </c>
      <c r="M397" s="28"/>
      <c r="N397" s="29" t="n">
        <v>30000</v>
      </c>
      <c r="O397" s="29" t="n">
        <v>30000</v>
      </c>
      <c r="P397" s="27" t="n">
        <v>0</v>
      </c>
      <c r="Q397" s="263" t="n">
        <v>45474</v>
      </c>
    </row>
    <row r="398" customFormat="false" ht="26.1" hidden="false" customHeight="false" outlineLevel="0" collapsed="false">
      <c r="A398" s="294" t="n">
        <v>2518</v>
      </c>
      <c r="B398" s="22" t="s">
        <v>459</v>
      </c>
      <c r="C398" s="22" t="s">
        <v>460</v>
      </c>
      <c r="D398" s="41"/>
      <c r="E398" s="23" t="n">
        <v>45363</v>
      </c>
      <c r="F398" s="23" t="n">
        <v>45463</v>
      </c>
      <c r="G398" s="53" t="n">
        <v>72</v>
      </c>
      <c r="H398" s="49" t="n">
        <v>72</v>
      </c>
      <c r="I398" s="49" t="n">
        <v>0</v>
      </c>
      <c r="J398" s="22" t="s">
        <v>333</v>
      </c>
      <c r="K398" s="30" t="n">
        <v>50000</v>
      </c>
      <c r="L398" s="30" t="n">
        <v>108000</v>
      </c>
      <c r="M398" s="28" t="n">
        <v>7500</v>
      </c>
      <c r="N398" s="29" t="n">
        <v>13000</v>
      </c>
      <c r="O398" s="29" t="n">
        <v>108000</v>
      </c>
      <c r="P398" s="30" t="n">
        <v>0</v>
      </c>
      <c r="Q398" s="263" t="n">
        <v>45474</v>
      </c>
    </row>
    <row r="399" customFormat="false" ht="50.7" hidden="false" customHeight="false" outlineLevel="0" collapsed="false">
      <c r="A399" s="294" t="n">
        <v>2515</v>
      </c>
      <c r="B399" s="22" t="s">
        <v>185</v>
      </c>
      <c r="C399" s="22" t="s">
        <v>186</v>
      </c>
      <c r="D399" s="22"/>
      <c r="E399" s="286" t="n">
        <v>45362</v>
      </c>
      <c r="F399" s="23" t="n">
        <v>45474</v>
      </c>
      <c r="G399" s="37" t="n">
        <v>80</v>
      </c>
      <c r="H399" s="49" t="n">
        <v>80</v>
      </c>
      <c r="I399" s="49" t="n">
        <v>0</v>
      </c>
      <c r="J399" s="269" t="s">
        <v>869</v>
      </c>
      <c r="K399" s="30" t="n">
        <v>50000</v>
      </c>
      <c r="L399" s="30" t="n">
        <v>108000</v>
      </c>
      <c r="M399" s="28" t="n">
        <v>6750</v>
      </c>
      <c r="N399" s="29" t="n">
        <v>27000</v>
      </c>
      <c r="O399" s="29" t="n">
        <v>108000</v>
      </c>
      <c r="P399" s="27" t="n">
        <v>0</v>
      </c>
      <c r="Q399" s="263" t="n">
        <v>45481</v>
      </c>
    </row>
    <row r="400" customFormat="false" ht="26.1" hidden="false" customHeight="false" outlineLevel="0" collapsed="false">
      <c r="A400" s="294" t="n">
        <v>2146</v>
      </c>
      <c r="B400" s="22" t="s">
        <v>216</v>
      </c>
      <c r="C400" s="22" t="s">
        <v>217</v>
      </c>
      <c r="D400" s="22" t="s">
        <v>218</v>
      </c>
      <c r="E400" s="23" t="n">
        <v>45112</v>
      </c>
      <c r="F400" s="23" t="n">
        <v>45448</v>
      </c>
      <c r="G400" s="37" t="n">
        <v>240</v>
      </c>
      <c r="H400" s="49" t="n">
        <v>240.25</v>
      </c>
      <c r="I400" s="49" t="n">
        <v>-0.25</v>
      </c>
      <c r="J400" s="269" t="s">
        <v>943</v>
      </c>
      <c r="K400" s="30" t="n">
        <v>100000</v>
      </c>
      <c r="L400" s="30" t="n">
        <v>240000</v>
      </c>
      <c r="M400" s="28" t="n">
        <v>5000</v>
      </c>
      <c r="N400" s="29" t="n">
        <v>20000</v>
      </c>
      <c r="O400" s="29" t="n">
        <v>240250</v>
      </c>
      <c r="P400" s="27" t="n">
        <v>-250</v>
      </c>
      <c r="Q400" s="263" t="n">
        <v>45481</v>
      </c>
    </row>
    <row r="401" customFormat="false" ht="26.1" hidden="false" customHeight="false" outlineLevel="0" collapsed="false">
      <c r="A401" s="294" t="n">
        <v>2393</v>
      </c>
      <c r="B401" s="22" t="s">
        <v>759</v>
      </c>
      <c r="C401" s="22" t="s">
        <v>760</v>
      </c>
      <c r="D401" s="22"/>
      <c r="E401" s="23" t="n">
        <v>45289</v>
      </c>
      <c r="F401" s="23" t="n">
        <v>45468</v>
      </c>
      <c r="G401" s="37" t="n">
        <v>127</v>
      </c>
      <c r="H401" s="49" t="n">
        <v>140</v>
      </c>
      <c r="I401" s="49" t="n">
        <v>-13</v>
      </c>
      <c r="J401" s="269" t="s">
        <v>944</v>
      </c>
      <c r="K401" s="27" t="n">
        <v>40000</v>
      </c>
      <c r="L401" s="27" t="n">
        <v>105700</v>
      </c>
      <c r="M401" s="28" t="n">
        <v>3775</v>
      </c>
      <c r="N401" s="29" t="n">
        <v>15100</v>
      </c>
      <c r="O401" s="29" t="n">
        <v>105700</v>
      </c>
      <c r="P401" s="27" t="n">
        <v>0</v>
      </c>
      <c r="Q401" s="263" t="n">
        <v>45481</v>
      </c>
    </row>
    <row r="402" customFormat="false" ht="28.35" hidden="false" customHeight="false" outlineLevel="0" collapsed="false">
      <c r="A402" s="294" t="n">
        <v>2489</v>
      </c>
      <c r="B402" s="34" t="s">
        <v>360</v>
      </c>
      <c r="C402" s="34" t="s">
        <v>361</v>
      </c>
      <c r="D402" s="34"/>
      <c r="E402" s="23" t="n">
        <v>45344</v>
      </c>
      <c r="F402" s="23" t="n">
        <v>45484</v>
      </c>
      <c r="G402" s="37" t="n">
        <v>100</v>
      </c>
      <c r="H402" s="49" t="n">
        <v>80</v>
      </c>
      <c r="I402" s="49" t="n">
        <v>20</v>
      </c>
      <c r="J402" s="269" t="s">
        <v>851</v>
      </c>
      <c r="K402" s="22" t="n">
        <v>30000</v>
      </c>
      <c r="L402" s="30" t="n">
        <v>64800</v>
      </c>
      <c r="M402" s="28" t="n">
        <v>4050</v>
      </c>
      <c r="N402" s="29" t="n">
        <v>16200</v>
      </c>
      <c r="O402" s="29" t="n">
        <v>64800</v>
      </c>
      <c r="P402" s="27" t="n">
        <v>0</v>
      </c>
      <c r="Q402" s="263" t="n">
        <v>45481</v>
      </c>
    </row>
    <row r="403" customFormat="false" ht="15" hidden="false" customHeight="false" outlineLevel="0" collapsed="false">
      <c r="A403" s="294" t="n">
        <v>2690</v>
      </c>
      <c r="B403" s="22" t="s">
        <v>791</v>
      </c>
      <c r="C403" s="22"/>
      <c r="D403" s="22"/>
      <c r="E403" s="23" t="n">
        <v>45474</v>
      </c>
      <c r="F403" s="23" t="n">
        <v>45484</v>
      </c>
      <c r="G403" s="37" t="n">
        <v>8</v>
      </c>
      <c r="H403" s="49" t="e">
        <f aca="false">#VALUE!</f>
        <v>#VALUE!</v>
      </c>
      <c r="I403" s="49" t="e">
        <f aca="false">#VALUE!</f>
        <v>#VALUE!</v>
      </c>
      <c r="J403" s="269" t="s">
        <v>681</v>
      </c>
      <c r="K403" s="290" t="n">
        <v>25000</v>
      </c>
      <c r="L403" s="27" t="n">
        <v>32500</v>
      </c>
      <c r="M403" s="28" t="s">
        <v>184</v>
      </c>
      <c r="N403" s="29" t="n">
        <v>32500</v>
      </c>
      <c r="O403" s="29" t="n">
        <v>32500</v>
      </c>
      <c r="P403" s="27" t="n">
        <v>0</v>
      </c>
      <c r="Q403" s="263" t="n">
        <v>45481</v>
      </c>
    </row>
    <row r="404" customFormat="false" ht="15" hidden="false" customHeight="false" outlineLevel="0" collapsed="false">
      <c r="A404" s="300" t="n">
        <v>2704</v>
      </c>
      <c r="B404" s="22" t="s">
        <v>791</v>
      </c>
      <c r="C404" s="22"/>
      <c r="D404" s="22"/>
      <c r="E404" s="23" t="n">
        <v>45482</v>
      </c>
      <c r="F404" s="23" t="n">
        <v>45489</v>
      </c>
      <c r="G404" s="37" t="n">
        <v>5</v>
      </c>
      <c r="H404" s="49" t="e">
        <f aca="false">#VALUE!</f>
        <v>#VALUE!</v>
      </c>
      <c r="I404" s="49" t="e">
        <f aca="false">#VALUE!</f>
        <v>#VALUE!</v>
      </c>
      <c r="J404" s="269" t="s">
        <v>681</v>
      </c>
      <c r="K404" s="50" t="n">
        <v>10000</v>
      </c>
      <c r="L404" s="27" t="n">
        <v>16000</v>
      </c>
      <c r="M404" s="28" t="s">
        <v>184</v>
      </c>
      <c r="N404" s="29" t="n">
        <v>16000</v>
      </c>
      <c r="O404" s="29" t="n">
        <v>16000</v>
      </c>
      <c r="P404" s="27" t="n">
        <v>0</v>
      </c>
      <c r="Q404" s="263" t="n">
        <v>45481</v>
      </c>
    </row>
    <row r="405" customFormat="false" ht="26.1" hidden="false" customHeight="false" outlineLevel="0" collapsed="false">
      <c r="A405" s="294" t="n">
        <v>2391</v>
      </c>
      <c r="B405" s="22" t="s">
        <v>709</v>
      </c>
      <c r="C405" s="22" t="s">
        <v>710</v>
      </c>
      <c r="D405" s="22"/>
      <c r="E405" s="23" t="n">
        <v>45289</v>
      </c>
      <c r="F405" s="23" t="n">
        <v>45457</v>
      </c>
      <c r="G405" s="37" t="n">
        <v>120</v>
      </c>
      <c r="H405" s="49" t="n">
        <v>120</v>
      </c>
      <c r="I405" s="49" t="n">
        <v>0</v>
      </c>
      <c r="J405" s="269" t="s">
        <v>945</v>
      </c>
      <c r="K405" s="30" t="n">
        <v>40000</v>
      </c>
      <c r="L405" s="30" t="n">
        <v>105600</v>
      </c>
      <c r="M405" s="28" t="n">
        <v>4400</v>
      </c>
      <c r="N405" s="29" t="n">
        <v>17600</v>
      </c>
      <c r="O405" s="29" t="n">
        <v>105600</v>
      </c>
      <c r="P405" s="27" t="n">
        <v>0</v>
      </c>
      <c r="Q405" s="263" t="n">
        <v>45481</v>
      </c>
    </row>
    <row r="406" customFormat="false" ht="15" hidden="false" customHeight="false" outlineLevel="0" collapsed="false">
      <c r="A406" s="294" t="n">
        <v>2669</v>
      </c>
      <c r="B406" s="22" t="s">
        <v>946</v>
      </c>
      <c r="C406" s="22"/>
      <c r="D406" s="22"/>
      <c r="E406" s="23" t="n">
        <v>45461</v>
      </c>
      <c r="F406" s="23" t="n">
        <v>45489</v>
      </c>
      <c r="G406" s="37" t="n">
        <v>20</v>
      </c>
      <c r="H406" s="49" t="e">
        <f aca="false">#VALUE!</f>
        <v>#VALUE!</v>
      </c>
      <c r="I406" s="49" t="e">
        <f aca="false">#VALUE!</f>
        <v>#VALUE!</v>
      </c>
      <c r="J406" s="22" t="s">
        <v>681</v>
      </c>
      <c r="K406" s="27" t="n">
        <v>30000</v>
      </c>
      <c r="L406" s="27" t="n">
        <v>45000</v>
      </c>
      <c r="M406" s="45" t="s">
        <v>184</v>
      </c>
      <c r="N406" s="29" t="n">
        <v>45000</v>
      </c>
      <c r="O406" s="29" t="n">
        <v>45000</v>
      </c>
      <c r="P406" s="27" t="n">
        <v>0</v>
      </c>
      <c r="Q406" s="263" t="n">
        <v>45481</v>
      </c>
    </row>
    <row r="407" customFormat="false" ht="26.1" hidden="false" customHeight="false" outlineLevel="0" collapsed="false">
      <c r="A407" s="294" t="n">
        <v>2440</v>
      </c>
      <c r="B407" s="22" t="s">
        <v>561</v>
      </c>
      <c r="C407" s="22" t="s">
        <v>562</v>
      </c>
      <c r="D407" s="22"/>
      <c r="E407" s="23" t="n">
        <v>45316</v>
      </c>
      <c r="F407" s="23" t="n">
        <v>45470</v>
      </c>
      <c r="G407" s="37" t="n">
        <v>110</v>
      </c>
      <c r="H407" s="49" t="n">
        <v>118.75</v>
      </c>
      <c r="I407" s="49" t="n">
        <v>-8.75</v>
      </c>
      <c r="J407" s="22" t="s">
        <v>254</v>
      </c>
      <c r="K407" s="27" t="n">
        <v>100000</v>
      </c>
      <c r="L407" s="27" t="n">
        <v>264000</v>
      </c>
      <c r="M407" s="45" t="n">
        <v>12000</v>
      </c>
      <c r="N407" s="29" t="n">
        <v>12000</v>
      </c>
      <c r="O407" s="29" t="n">
        <v>285000</v>
      </c>
      <c r="P407" s="27" t="n">
        <v>-21000</v>
      </c>
      <c r="Q407" s="263" t="n">
        <v>45481</v>
      </c>
    </row>
    <row r="408" customFormat="false" ht="26.1" hidden="false" customHeight="false" outlineLevel="0" collapsed="false">
      <c r="A408" s="294" t="n">
        <v>2544</v>
      </c>
      <c r="B408" s="22" t="s">
        <v>561</v>
      </c>
      <c r="C408" s="22" t="s">
        <v>562</v>
      </c>
      <c r="D408" s="22"/>
      <c r="E408" s="23" t="n">
        <v>45377</v>
      </c>
      <c r="F408" s="23" t="n">
        <v>45475</v>
      </c>
      <c r="G408" s="37" t="n">
        <v>70</v>
      </c>
      <c r="H408" s="49" t="n">
        <v>70.0064808813999</v>
      </c>
      <c r="I408" s="49" t="n">
        <v>-0.00648088139986669</v>
      </c>
      <c r="J408" s="74" t="s">
        <v>947</v>
      </c>
      <c r="K408" s="30" t="n">
        <v>100000</v>
      </c>
      <c r="L408" s="30" t="n">
        <v>216020</v>
      </c>
      <c r="M408" s="28" t="n">
        <v>15430</v>
      </c>
      <c r="N408" s="29" t="n">
        <v>12600</v>
      </c>
      <c r="O408" s="29" t="n">
        <v>216040</v>
      </c>
      <c r="P408" s="27" t="n">
        <v>-20</v>
      </c>
      <c r="Q408" s="263" t="n">
        <v>45481</v>
      </c>
    </row>
    <row r="409" customFormat="false" ht="26.1" hidden="false" customHeight="false" outlineLevel="0" collapsed="false">
      <c r="A409" s="300" t="n">
        <v>2699</v>
      </c>
      <c r="B409" s="22" t="s">
        <v>212</v>
      </c>
      <c r="C409" s="22"/>
      <c r="D409" s="22" t="n">
        <v>27252034574</v>
      </c>
      <c r="E409" s="23" t="n">
        <v>45481</v>
      </c>
      <c r="F409" s="23" t="n">
        <v>45495</v>
      </c>
      <c r="G409" s="37" t="n">
        <v>10</v>
      </c>
      <c r="H409" s="49" t="e">
        <f aca="false">#VALUE!</f>
        <v>#VALUE!</v>
      </c>
      <c r="I409" s="49" t="e">
        <f aca="false">#VALUE!</f>
        <v>#VALUE!</v>
      </c>
      <c r="J409" s="269" t="s">
        <v>681</v>
      </c>
      <c r="K409" s="287" t="n">
        <v>50000</v>
      </c>
      <c r="L409" s="30" t="n">
        <v>70000</v>
      </c>
      <c r="M409" s="28" t="s">
        <v>184</v>
      </c>
      <c r="N409" s="29" t="n">
        <v>70000</v>
      </c>
      <c r="O409" s="29" t="n">
        <v>70000</v>
      </c>
      <c r="P409" s="27" t="n">
        <v>0</v>
      </c>
      <c r="Q409" s="263" t="n">
        <v>45488</v>
      </c>
    </row>
    <row r="410" customFormat="false" ht="17.9" hidden="false" customHeight="false" outlineLevel="0" collapsed="false">
      <c r="A410" s="294" t="n">
        <v>2362</v>
      </c>
      <c r="B410" s="22" t="s">
        <v>240</v>
      </c>
      <c r="C410" s="22" t="s">
        <v>241</v>
      </c>
      <c r="D410" s="22"/>
      <c r="E410" s="23" t="n">
        <v>45265</v>
      </c>
      <c r="F410" s="23" t="n">
        <v>45461</v>
      </c>
      <c r="G410" s="37" t="n">
        <v>140</v>
      </c>
      <c r="H410" s="49" t="n">
        <v>280</v>
      </c>
      <c r="I410" s="49" t="n">
        <v>-140</v>
      </c>
      <c r="J410" s="74" t="s">
        <v>948</v>
      </c>
      <c r="K410" s="27" t="n">
        <v>150000</v>
      </c>
      <c r="L410" s="27" t="n">
        <v>360220</v>
      </c>
      <c r="M410" s="28" t="n">
        <v>6432.5</v>
      </c>
      <c r="N410" s="29" t="n">
        <v>51460</v>
      </c>
      <c r="O410" s="29" t="n">
        <v>360220</v>
      </c>
      <c r="P410" s="27" t="n">
        <v>0</v>
      </c>
      <c r="Q410" s="263" t="n">
        <v>45488</v>
      </c>
    </row>
    <row r="411" customFormat="false" ht="34.3" hidden="false" customHeight="false" outlineLevel="0" collapsed="false">
      <c r="A411" s="294" t="n">
        <v>2592</v>
      </c>
      <c r="B411" s="22" t="s">
        <v>881</v>
      </c>
      <c r="C411" s="22" t="s">
        <v>263</v>
      </c>
      <c r="D411" s="22"/>
      <c r="E411" s="23" t="n">
        <v>45405</v>
      </c>
      <c r="F411" s="23" t="n">
        <v>45489</v>
      </c>
      <c r="G411" s="37" t="n">
        <v>60</v>
      </c>
      <c r="H411" s="49" t="n">
        <v>60</v>
      </c>
      <c r="I411" s="49" t="n">
        <v>0</v>
      </c>
      <c r="J411" s="269" t="s">
        <v>949</v>
      </c>
      <c r="K411" s="30" t="n">
        <v>80000</v>
      </c>
      <c r="L411" s="30" t="n">
        <v>163500</v>
      </c>
      <c r="M411" s="45" t="n">
        <v>13625</v>
      </c>
      <c r="N411" s="29" t="n">
        <v>54500</v>
      </c>
      <c r="O411" s="29" t="n">
        <v>163500</v>
      </c>
      <c r="P411" s="27" t="n">
        <v>0</v>
      </c>
      <c r="Q411" s="263" t="n">
        <v>45488</v>
      </c>
    </row>
    <row r="412" customFormat="false" ht="42.5" hidden="false" customHeight="false" outlineLevel="0" collapsed="false">
      <c r="A412" s="294" t="n">
        <v>2416</v>
      </c>
      <c r="B412" s="22" t="s">
        <v>581</v>
      </c>
      <c r="C412" s="22" t="s">
        <v>351</v>
      </c>
      <c r="D412" s="22"/>
      <c r="E412" s="23" t="n">
        <v>45302</v>
      </c>
      <c r="F412" s="23" t="n">
        <v>45484</v>
      </c>
      <c r="G412" s="37" t="n">
        <v>130</v>
      </c>
      <c r="H412" s="49" t="n">
        <v>120</v>
      </c>
      <c r="I412" s="49" t="n">
        <v>10</v>
      </c>
      <c r="J412" s="269" t="s">
        <v>950</v>
      </c>
      <c r="K412" s="27" t="n">
        <v>30000</v>
      </c>
      <c r="L412" s="27" t="n">
        <v>79200</v>
      </c>
      <c r="M412" s="45" t="n">
        <v>3300</v>
      </c>
      <c r="N412" s="29" t="n">
        <v>13600</v>
      </c>
      <c r="O412" s="29" t="n">
        <v>79200</v>
      </c>
      <c r="P412" s="27" t="n">
        <v>0</v>
      </c>
      <c r="Q412" s="263" t="n">
        <v>45488</v>
      </c>
    </row>
    <row r="413" customFormat="false" ht="42.5" hidden="false" customHeight="false" outlineLevel="0" collapsed="false">
      <c r="A413" s="294" t="n">
        <v>2490</v>
      </c>
      <c r="B413" s="22" t="s">
        <v>763</v>
      </c>
      <c r="C413" s="22" t="s">
        <v>389</v>
      </c>
      <c r="D413" s="22"/>
      <c r="E413" s="23" t="n">
        <v>45345</v>
      </c>
      <c r="F413" s="23" t="n">
        <v>45513</v>
      </c>
      <c r="G413" s="37" t="n">
        <v>120</v>
      </c>
      <c r="H413" s="49" t="n">
        <v>110</v>
      </c>
      <c r="I413" s="49" t="n">
        <v>10</v>
      </c>
      <c r="J413" s="269" t="s">
        <v>951</v>
      </c>
      <c r="K413" s="27" t="n">
        <v>120000</v>
      </c>
      <c r="L413" s="27" t="n">
        <v>316800</v>
      </c>
      <c r="M413" s="45" t="n">
        <v>14400</v>
      </c>
      <c r="N413" s="29" t="n">
        <v>22620</v>
      </c>
      <c r="O413" s="29" t="n">
        <v>316800</v>
      </c>
      <c r="P413" s="27" t="n">
        <v>0</v>
      </c>
      <c r="Q413" s="263" t="n">
        <v>45488</v>
      </c>
    </row>
    <row r="414" customFormat="false" ht="26.1" hidden="false" customHeight="false" outlineLevel="0" collapsed="false">
      <c r="A414" s="294" t="n">
        <v>2267</v>
      </c>
      <c r="B414" s="22" t="s">
        <v>872</v>
      </c>
      <c r="C414" s="22" t="s">
        <v>807</v>
      </c>
      <c r="D414" s="22"/>
      <c r="E414" s="23" t="n">
        <v>45195</v>
      </c>
      <c r="F414" s="23" t="n">
        <v>45295</v>
      </c>
      <c r="G414" s="37" t="n">
        <v>72</v>
      </c>
      <c r="H414" s="49" t="n">
        <v>72</v>
      </c>
      <c r="I414" s="49" t="n">
        <v>0</v>
      </c>
      <c r="J414" s="22" t="s">
        <v>703</v>
      </c>
      <c r="K414" s="27" t="n">
        <v>25000</v>
      </c>
      <c r="L414" s="27" t="n">
        <v>54000</v>
      </c>
      <c r="M414" s="28" t="n">
        <v>3750</v>
      </c>
      <c r="N414" s="29" t="n">
        <v>3220</v>
      </c>
      <c r="O414" s="29" t="n">
        <v>54000</v>
      </c>
      <c r="P414" s="27" t="n">
        <v>0</v>
      </c>
      <c r="Q414" s="263" t="n">
        <v>45488</v>
      </c>
    </row>
    <row r="415" customFormat="false" ht="26.1" hidden="false" customHeight="false" outlineLevel="0" collapsed="false">
      <c r="A415" s="294" t="n">
        <v>2576</v>
      </c>
      <c r="B415" s="22" t="s">
        <v>459</v>
      </c>
      <c r="C415" s="22" t="s">
        <v>460</v>
      </c>
      <c r="D415" s="22"/>
      <c r="E415" s="23" t="n">
        <v>45397</v>
      </c>
      <c r="F415" s="23" t="n">
        <v>45497</v>
      </c>
      <c r="G415" s="37" t="n">
        <v>72</v>
      </c>
      <c r="H415" s="49" t="n">
        <v>72</v>
      </c>
      <c r="I415" s="49" t="n">
        <v>0</v>
      </c>
      <c r="J415" s="22" t="s">
        <v>333</v>
      </c>
      <c r="K415" s="27" t="n">
        <v>50000</v>
      </c>
      <c r="L415" s="27" t="n">
        <v>108000</v>
      </c>
      <c r="M415" s="28" t="n">
        <v>7500</v>
      </c>
      <c r="N415" s="29" t="n">
        <v>19500</v>
      </c>
      <c r="O415" s="29" t="n">
        <v>108000</v>
      </c>
      <c r="P415" s="27" t="n">
        <v>0</v>
      </c>
      <c r="Q415" s="263" t="n">
        <v>45488</v>
      </c>
    </row>
    <row r="416" customFormat="false" ht="26.1" hidden="false" customHeight="false" outlineLevel="0" collapsed="false">
      <c r="A416" s="294" t="n">
        <v>2673</v>
      </c>
      <c r="B416" s="22" t="s">
        <v>688</v>
      </c>
      <c r="C416" s="22"/>
      <c r="D416" s="22"/>
      <c r="E416" s="23" t="n">
        <v>45462</v>
      </c>
      <c r="F416" s="23" t="n">
        <v>45490</v>
      </c>
      <c r="G416" s="37" t="n">
        <v>20</v>
      </c>
      <c r="H416" s="49" t="e">
        <f aca="false">#DIV/0!</f>
        <v>#DIV/0!</v>
      </c>
      <c r="I416" s="49" t="e">
        <f aca="false">#DIV/0!</f>
        <v>#DIV/0!</v>
      </c>
      <c r="J416" s="269" t="s">
        <v>681</v>
      </c>
      <c r="K416" s="27" t="n">
        <v>20000</v>
      </c>
      <c r="L416" s="27" t="n">
        <v>30000</v>
      </c>
      <c r="M416" s="45"/>
      <c r="N416" s="29" t="n">
        <v>30000</v>
      </c>
      <c r="O416" s="29" t="n">
        <v>30000</v>
      </c>
      <c r="P416" s="27" t="n">
        <v>0</v>
      </c>
      <c r="Q416" s="263" t="n">
        <v>45488</v>
      </c>
    </row>
    <row r="417" customFormat="false" ht="26.1" hidden="false" customHeight="false" outlineLevel="0" collapsed="false">
      <c r="A417" s="294" t="n">
        <v>2684</v>
      </c>
      <c r="B417" s="22" t="s">
        <v>688</v>
      </c>
      <c r="C417" s="22"/>
      <c r="D417" s="22"/>
      <c r="E417" s="23" t="n">
        <v>45469</v>
      </c>
      <c r="F417" s="23" t="n">
        <v>45490</v>
      </c>
      <c r="G417" s="37" t="n">
        <v>15</v>
      </c>
      <c r="H417" s="49" t="e">
        <f aca="false">#DIV/0!</f>
        <v>#DIV/0!</v>
      </c>
      <c r="I417" s="49" t="e">
        <f aca="false">#DIV/0!</f>
        <v>#DIV/0!</v>
      </c>
      <c r="J417" s="269" t="s">
        <v>681</v>
      </c>
      <c r="K417" s="27" t="n">
        <v>20000</v>
      </c>
      <c r="L417" s="27" t="n">
        <v>32000</v>
      </c>
      <c r="M417" s="45"/>
      <c r="N417" s="29" t="n">
        <v>32000</v>
      </c>
      <c r="O417" s="29" t="n">
        <v>32000</v>
      </c>
      <c r="P417" s="27" t="n">
        <v>0</v>
      </c>
      <c r="Q417" s="263" t="n">
        <v>45488</v>
      </c>
    </row>
    <row r="418" customFormat="false" ht="26.1" hidden="false" customHeight="false" outlineLevel="0" collapsed="false">
      <c r="A418" s="294" t="n">
        <v>2686</v>
      </c>
      <c r="B418" s="22" t="s">
        <v>688</v>
      </c>
      <c r="C418" s="22"/>
      <c r="D418" s="22"/>
      <c r="E418" s="23" t="n">
        <v>45472</v>
      </c>
      <c r="F418" s="23" t="n">
        <v>45489</v>
      </c>
      <c r="G418" s="37" t="n">
        <v>12</v>
      </c>
      <c r="H418" s="49" t="e">
        <f aca="false">#DIV/0!</f>
        <v>#DIV/0!</v>
      </c>
      <c r="I418" s="49" t="e">
        <f aca="false">#DIV/0!</f>
        <v>#DIV/0!</v>
      </c>
      <c r="J418" s="269" t="s">
        <v>681</v>
      </c>
      <c r="K418" s="27" t="n">
        <v>10000</v>
      </c>
      <c r="L418" s="27" t="n">
        <v>16000</v>
      </c>
      <c r="M418" s="45"/>
      <c r="N418" s="29" t="n">
        <v>16000</v>
      </c>
      <c r="O418" s="29" t="n">
        <v>16000</v>
      </c>
      <c r="P418" s="27" t="n">
        <v>0</v>
      </c>
      <c r="Q418" s="263" t="n">
        <v>45488</v>
      </c>
    </row>
    <row r="419" customFormat="false" ht="26.1" hidden="false" customHeight="false" outlineLevel="0" collapsed="false">
      <c r="A419" s="294" t="n">
        <v>2705</v>
      </c>
      <c r="B419" s="22" t="s">
        <v>688</v>
      </c>
      <c r="C419" s="22"/>
      <c r="D419" s="22"/>
      <c r="E419" s="23" t="n">
        <v>45482</v>
      </c>
      <c r="F419" s="23" t="n">
        <v>45489</v>
      </c>
      <c r="G419" s="37" t="n">
        <v>5</v>
      </c>
      <c r="H419" s="49" t="e">
        <f aca="false">#DIV/0!</f>
        <v>#DIV/0!</v>
      </c>
      <c r="I419" s="49" t="e">
        <f aca="false">#DIV/0!</f>
        <v>#DIV/0!</v>
      </c>
      <c r="J419" s="269" t="s">
        <v>681</v>
      </c>
      <c r="K419" s="27" t="n">
        <v>10000</v>
      </c>
      <c r="L419" s="27" t="n">
        <v>16000</v>
      </c>
      <c r="M419" s="28"/>
      <c r="N419" s="29" t="n">
        <v>16000</v>
      </c>
      <c r="O419" s="29" t="n">
        <v>16000</v>
      </c>
      <c r="P419" s="27" t="n">
        <v>0</v>
      </c>
      <c r="Q419" s="263" t="n">
        <v>45488</v>
      </c>
    </row>
    <row r="420" customFormat="false" ht="26.1" hidden="false" customHeight="false" outlineLevel="0" collapsed="false">
      <c r="A420" s="294" t="n">
        <v>2449</v>
      </c>
      <c r="B420" s="22" t="s">
        <v>505</v>
      </c>
      <c r="C420" s="22" t="s">
        <v>506</v>
      </c>
      <c r="D420" s="22"/>
      <c r="E420" s="23" t="n">
        <v>45320</v>
      </c>
      <c r="F420" s="23" t="n">
        <v>45488</v>
      </c>
      <c r="G420" s="37" t="n">
        <v>120</v>
      </c>
      <c r="H420" s="49" t="n">
        <v>120</v>
      </c>
      <c r="I420" s="49" t="n">
        <v>0</v>
      </c>
      <c r="J420" s="269" t="s">
        <v>952</v>
      </c>
      <c r="K420" s="27" t="n">
        <v>70000</v>
      </c>
      <c r="L420" s="27" t="n">
        <v>184800</v>
      </c>
      <c r="M420" s="28" t="n">
        <v>7700</v>
      </c>
      <c r="N420" s="29" t="n">
        <v>30800</v>
      </c>
      <c r="O420" s="29" t="n">
        <v>184800</v>
      </c>
      <c r="P420" s="27" t="n">
        <v>0</v>
      </c>
      <c r="Q420" s="263" t="n">
        <v>45488</v>
      </c>
    </row>
    <row r="421" customFormat="false" ht="42.5" hidden="false" customHeight="false" outlineLevel="0" collapsed="false">
      <c r="A421" s="294" t="n">
        <v>2538</v>
      </c>
      <c r="B421" s="22" t="s">
        <v>953</v>
      </c>
      <c r="C421" s="22" t="s">
        <v>954</v>
      </c>
      <c r="D421" s="22" t="s">
        <v>955</v>
      </c>
      <c r="E421" s="23" t="n">
        <v>45372</v>
      </c>
      <c r="F421" s="23" t="n">
        <v>45474</v>
      </c>
      <c r="G421" s="37" t="n">
        <v>72</v>
      </c>
      <c r="H421" s="49" t="n">
        <v>72</v>
      </c>
      <c r="I421" s="49" t="n">
        <v>0</v>
      </c>
      <c r="J421" s="22" t="s">
        <v>679</v>
      </c>
      <c r="K421" s="27" t="n">
        <v>20000</v>
      </c>
      <c r="L421" s="27" t="n">
        <v>43200</v>
      </c>
      <c r="M421" s="28" t="n">
        <v>3000</v>
      </c>
      <c r="N421" s="29" t="n">
        <v>1200</v>
      </c>
      <c r="O421" s="29" t="n">
        <v>43200</v>
      </c>
      <c r="P421" s="27" t="n">
        <v>0</v>
      </c>
      <c r="Q421" s="263" t="n">
        <v>45495</v>
      </c>
    </row>
    <row r="422" customFormat="false" ht="42.5" hidden="false" customHeight="false" outlineLevel="0" collapsed="false">
      <c r="A422" s="294" t="n">
        <v>2562</v>
      </c>
      <c r="B422" s="22" t="s">
        <v>953</v>
      </c>
      <c r="C422" s="22" t="s">
        <v>954</v>
      </c>
      <c r="D422" s="22" t="s">
        <v>955</v>
      </c>
      <c r="E422" s="23" t="n">
        <v>45381</v>
      </c>
      <c r="F422" s="23" t="n">
        <v>45482</v>
      </c>
      <c r="G422" s="37" t="n">
        <v>72</v>
      </c>
      <c r="H422" s="49" t="n">
        <v>72</v>
      </c>
      <c r="I422" s="49" t="n">
        <v>0</v>
      </c>
      <c r="J422" s="22" t="s">
        <v>679</v>
      </c>
      <c r="K422" s="30" t="n">
        <v>10000</v>
      </c>
      <c r="L422" s="30" t="n">
        <v>21600</v>
      </c>
      <c r="M422" s="28" t="n">
        <v>1500</v>
      </c>
      <c r="N422" s="29" t="n">
        <v>3200</v>
      </c>
      <c r="O422" s="29" t="n">
        <v>21600</v>
      </c>
      <c r="P422" s="27" t="n">
        <v>0</v>
      </c>
      <c r="Q422" s="263" t="n">
        <v>45495</v>
      </c>
    </row>
    <row r="423" customFormat="false" ht="26.1" hidden="false" customHeight="false" outlineLevel="0" collapsed="false">
      <c r="A423" s="294" t="n">
        <v>2708</v>
      </c>
      <c r="B423" s="22" t="s">
        <v>212</v>
      </c>
      <c r="C423" s="22"/>
      <c r="D423" s="22" t="n">
        <v>27252034574</v>
      </c>
      <c r="E423" s="23" t="n">
        <v>45485</v>
      </c>
      <c r="F423" s="23" t="n">
        <v>45492</v>
      </c>
      <c r="G423" s="37" t="n">
        <v>5</v>
      </c>
      <c r="H423" s="49" t="e">
        <f aca="false">#DIV/0!</f>
        <v>#DIV/0!</v>
      </c>
      <c r="I423" s="49" t="e">
        <f aca="false">#DIV/0!</f>
        <v>#DIV/0!</v>
      </c>
      <c r="J423" s="269" t="s">
        <v>681</v>
      </c>
      <c r="K423" s="27" t="n">
        <v>20000</v>
      </c>
      <c r="L423" s="27" t="n">
        <v>26000</v>
      </c>
      <c r="M423" s="28"/>
      <c r="N423" s="29" t="n">
        <v>26000</v>
      </c>
      <c r="O423" s="29" t="n">
        <v>26000</v>
      </c>
      <c r="P423" s="27" t="n">
        <v>0</v>
      </c>
      <c r="Q423" s="263" t="n">
        <v>45495</v>
      </c>
    </row>
    <row r="424" customFormat="false" ht="26.1" hidden="false" customHeight="false" outlineLevel="0" collapsed="false">
      <c r="A424" s="294" t="n">
        <v>2553</v>
      </c>
      <c r="B424" s="22" t="s">
        <v>334</v>
      </c>
      <c r="C424" s="22" t="s">
        <v>725</v>
      </c>
      <c r="D424" s="22"/>
      <c r="E424" s="23" t="n">
        <v>45384</v>
      </c>
      <c r="F424" s="23" t="n">
        <v>45496</v>
      </c>
      <c r="G424" s="37" t="n">
        <v>80</v>
      </c>
      <c r="H424" s="49" t="n">
        <v>80</v>
      </c>
      <c r="I424" s="49" t="n">
        <v>0</v>
      </c>
      <c r="J424" s="269" t="s">
        <v>956</v>
      </c>
      <c r="K424" s="30" t="n">
        <v>20000</v>
      </c>
      <c r="L424" s="30" t="n">
        <v>43200</v>
      </c>
      <c r="M424" s="28" t="n">
        <v>2700</v>
      </c>
      <c r="N424" s="29" t="n">
        <v>10800</v>
      </c>
      <c r="O424" s="29" t="n">
        <v>43200</v>
      </c>
      <c r="P424" s="27" t="n">
        <v>0</v>
      </c>
      <c r="Q424" s="263" t="n">
        <v>45502</v>
      </c>
    </row>
    <row r="425" customFormat="false" ht="17.9" hidden="false" customHeight="false" outlineLevel="0" collapsed="false">
      <c r="A425" s="294" t="n">
        <v>2731</v>
      </c>
      <c r="B425" s="22" t="s">
        <v>363</v>
      </c>
      <c r="C425" s="22"/>
      <c r="D425" s="22"/>
      <c r="E425" s="23" t="n">
        <v>45499</v>
      </c>
      <c r="F425" s="23" t="n">
        <v>45601</v>
      </c>
      <c r="G425" s="37" t="n">
        <v>72</v>
      </c>
      <c r="H425" s="49" t="e">
        <f aca="false">#VALUE!</f>
        <v>#VALUE!</v>
      </c>
      <c r="I425" s="49" t="e">
        <f aca="false">#VALUE!</f>
        <v>#VALUE!</v>
      </c>
      <c r="J425" s="22" t="s">
        <v>199</v>
      </c>
      <c r="K425" s="55" t="n">
        <v>30000</v>
      </c>
      <c r="L425" s="30" t="n">
        <v>39000</v>
      </c>
      <c r="M425" s="28" t="s">
        <v>184</v>
      </c>
      <c r="N425" s="29" t="n">
        <v>39000</v>
      </c>
      <c r="O425" s="29" t="n">
        <v>39000</v>
      </c>
      <c r="P425" s="27" t="n">
        <v>0</v>
      </c>
      <c r="Q425" s="263" t="n">
        <v>45502</v>
      </c>
    </row>
    <row r="426" customFormat="false" ht="26.1" hidden="false" customHeight="false" outlineLevel="0" collapsed="false">
      <c r="A426" s="294" t="n">
        <v>2514</v>
      </c>
      <c r="B426" s="22" t="s">
        <v>371</v>
      </c>
      <c r="C426" s="22" t="s">
        <v>372</v>
      </c>
      <c r="D426" s="22"/>
      <c r="E426" s="23" t="n">
        <v>45360</v>
      </c>
      <c r="F426" s="23" t="n">
        <v>45461</v>
      </c>
      <c r="G426" s="37" t="n">
        <v>72</v>
      </c>
      <c r="H426" s="49" t="n">
        <v>72</v>
      </c>
      <c r="I426" s="49" t="n">
        <v>0</v>
      </c>
      <c r="J426" s="22" t="s">
        <v>675</v>
      </c>
      <c r="K426" s="27" t="n">
        <v>30000</v>
      </c>
      <c r="L426" s="27" t="n">
        <v>64800</v>
      </c>
      <c r="M426" s="28" t="n">
        <v>4500</v>
      </c>
      <c r="N426" s="29" t="n">
        <v>6200</v>
      </c>
      <c r="O426" s="29" t="n">
        <v>64800</v>
      </c>
      <c r="P426" s="27" t="n">
        <v>0</v>
      </c>
      <c r="Q426" s="263" t="n">
        <v>45502</v>
      </c>
    </row>
    <row r="427" customFormat="false" ht="26.1" hidden="false" customHeight="false" outlineLevel="0" collapsed="false">
      <c r="A427" s="294" t="n">
        <v>2665</v>
      </c>
      <c r="B427" s="22" t="s">
        <v>684</v>
      </c>
      <c r="C427" s="22" t="s">
        <v>685</v>
      </c>
      <c r="D427" s="22"/>
      <c r="E427" s="23" t="n">
        <v>45456</v>
      </c>
      <c r="F427" s="23" t="n">
        <v>45474</v>
      </c>
      <c r="G427" s="37" t="n">
        <v>12</v>
      </c>
      <c r="H427" s="49" t="e">
        <f aca="false">#DIV/0!</f>
        <v>#DIV/0!</v>
      </c>
      <c r="I427" s="49" t="e">
        <f aca="false">#DIV/0!</f>
        <v>#DIV/0!</v>
      </c>
      <c r="J427" s="269" t="s">
        <v>681</v>
      </c>
      <c r="K427" s="27" t="n">
        <v>40000</v>
      </c>
      <c r="L427" s="27" t="n">
        <v>60000</v>
      </c>
      <c r="M427" s="45"/>
      <c r="N427" s="29" t="n">
        <v>60000</v>
      </c>
      <c r="O427" s="29" t="n">
        <v>80000</v>
      </c>
      <c r="P427" s="27" t="n">
        <v>-20000</v>
      </c>
      <c r="Q427" s="263" t="n">
        <v>45502</v>
      </c>
    </row>
    <row r="428" customFormat="false" ht="42.5" hidden="false" customHeight="false" outlineLevel="0" collapsed="false">
      <c r="A428" s="294" t="n">
        <v>2546</v>
      </c>
      <c r="B428" s="22" t="s">
        <v>815</v>
      </c>
      <c r="C428" s="22" t="s">
        <v>816</v>
      </c>
      <c r="D428" s="22" t="n">
        <v>24172612</v>
      </c>
      <c r="E428" s="23" t="n">
        <v>45379</v>
      </c>
      <c r="F428" s="23" t="n">
        <v>45481</v>
      </c>
      <c r="G428" s="37" t="n">
        <v>72</v>
      </c>
      <c r="H428" s="49" t="n">
        <v>72.037037037037</v>
      </c>
      <c r="I428" s="49" t="n">
        <v>-0.0370370370370381</v>
      </c>
      <c r="J428" s="22" t="s">
        <v>957</v>
      </c>
      <c r="K428" s="27" t="n">
        <v>45000</v>
      </c>
      <c r="L428" s="27" t="n">
        <v>97200</v>
      </c>
      <c r="M428" s="28" t="n">
        <v>6750</v>
      </c>
      <c r="N428" s="29" t="n">
        <v>3500</v>
      </c>
      <c r="O428" s="29" t="n">
        <v>97250</v>
      </c>
      <c r="P428" s="27" t="n">
        <v>-50</v>
      </c>
      <c r="Q428" s="263" t="n">
        <v>45502</v>
      </c>
    </row>
    <row r="429" customFormat="false" ht="17.9" hidden="false" customHeight="false" outlineLevel="0" collapsed="false">
      <c r="A429" s="294" t="n">
        <v>2604</v>
      </c>
      <c r="B429" s="22" t="s">
        <v>537</v>
      </c>
      <c r="C429" s="22"/>
      <c r="D429" s="22"/>
      <c r="E429" s="23" t="n">
        <v>45412</v>
      </c>
      <c r="F429" s="23" t="n">
        <v>45512</v>
      </c>
      <c r="G429" s="37" t="n">
        <v>72</v>
      </c>
      <c r="H429" s="49" t="n">
        <v>72.084</v>
      </c>
      <c r="I429" s="49" t="n">
        <v>-0.0840000000000032</v>
      </c>
      <c r="J429" s="22" t="s">
        <v>703</v>
      </c>
      <c r="K429" s="27" t="n">
        <v>25000</v>
      </c>
      <c r="L429" s="27" t="n">
        <v>54000</v>
      </c>
      <c r="M429" s="28" t="n">
        <v>3750</v>
      </c>
      <c r="N429" s="29" t="n">
        <v>16563</v>
      </c>
      <c r="O429" s="29" t="n">
        <v>54063</v>
      </c>
      <c r="P429" s="30" t="n">
        <v>-63</v>
      </c>
      <c r="Q429" s="263" t="n">
        <v>45502</v>
      </c>
    </row>
    <row r="430" customFormat="false" ht="42.5" hidden="false" customHeight="false" outlineLevel="0" collapsed="false">
      <c r="A430" s="294" t="n">
        <v>2738</v>
      </c>
      <c r="B430" s="22" t="s">
        <v>953</v>
      </c>
      <c r="C430" s="22" t="s">
        <v>194</v>
      </c>
      <c r="D430" s="22"/>
      <c r="E430" s="23" t="n">
        <v>45504</v>
      </c>
      <c r="F430" s="23" t="n">
        <v>45511</v>
      </c>
      <c r="G430" s="37" t="n">
        <v>5</v>
      </c>
      <c r="H430" s="49" t="e">
        <f aca="false">#DIV/0!</f>
        <v>#DIV/0!</v>
      </c>
      <c r="I430" s="49" t="e">
        <f aca="false">#DIV/0!</f>
        <v>#DIV/0!</v>
      </c>
      <c r="J430" s="269" t="s">
        <v>958</v>
      </c>
      <c r="K430" s="27" t="n">
        <v>20000</v>
      </c>
      <c r="L430" s="27" t="n">
        <v>26000</v>
      </c>
      <c r="M430" s="28"/>
      <c r="N430" s="29" t="n">
        <v>26000</v>
      </c>
      <c r="O430" s="29" t="n">
        <v>26000</v>
      </c>
      <c r="P430" s="30" t="n">
        <v>0</v>
      </c>
      <c r="Q430" s="263" t="n">
        <v>45509</v>
      </c>
    </row>
    <row r="431" customFormat="false" ht="17.9" hidden="false" customHeight="false" outlineLevel="0" collapsed="false">
      <c r="A431" s="294" t="n">
        <v>2687</v>
      </c>
      <c r="B431" s="22" t="s">
        <v>209</v>
      </c>
      <c r="C431" s="22"/>
      <c r="D431" s="22"/>
      <c r="E431" s="23" t="n">
        <v>45472</v>
      </c>
      <c r="F431" s="23" t="n">
        <v>45489</v>
      </c>
      <c r="G431" s="37" t="n">
        <v>12</v>
      </c>
      <c r="H431" s="49" t="e">
        <f aca="false">#VALUE!</f>
        <v>#VALUE!</v>
      </c>
      <c r="I431" s="49" t="e">
        <f aca="false">#VALUE!</f>
        <v>#VALUE!</v>
      </c>
      <c r="J431" s="269" t="s">
        <v>959</v>
      </c>
      <c r="K431" s="27" t="n">
        <v>10000</v>
      </c>
      <c r="L431" s="27" t="n">
        <v>15000</v>
      </c>
      <c r="M431" s="28" t="s">
        <v>184</v>
      </c>
      <c r="N431" s="29" t="n">
        <v>11500</v>
      </c>
      <c r="O431" s="29" t="n">
        <v>21500</v>
      </c>
      <c r="P431" s="30" t="n">
        <v>-6500</v>
      </c>
      <c r="Q431" s="263" t="n">
        <v>45509</v>
      </c>
    </row>
    <row r="432" customFormat="false" ht="26.1" hidden="false" customHeight="false" outlineLevel="0" collapsed="false">
      <c r="A432" s="294" t="n">
        <v>2732</v>
      </c>
      <c r="B432" s="22" t="s">
        <v>212</v>
      </c>
      <c r="C432" s="22"/>
      <c r="D432" s="22" t="n">
        <v>27252034574</v>
      </c>
      <c r="E432" s="23" t="n">
        <v>45499</v>
      </c>
      <c r="F432" s="23" t="n">
        <v>45506</v>
      </c>
      <c r="G432" s="37" t="n">
        <v>5</v>
      </c>
      <c r="H432" s="49" t="e">
        <f aca="false">#DIV/0!</f>
        <v>#DIV/0!</v>
      </c>
      <c r="I432" s="49" t="e">
        <f aca="false">#DIV/0!</f>
        <v>#DIV/0!</v>
      </c>
      <c r="J432" s="269" t="s">
        <v>681</v>
      </c>
      <c r="K432" s="30" t="n">
        <v>30000</v>
      </c>
      <c r="L432" s="30" t="n">
        <v>50700</v>
      </c>
      <c r="M432" s="28"/>
      <c r="N432" s="29" t="n">
        <v>50700</v>
      </c>
      <c r="O432" s="29" t="n">
        <v>50700</v>
      </c>
      <c r="P432" s="30" t="n">
        <v>0</v>
      </c>
      <c r="Q432" s="263" t="n">
        <v>45509</v>
      </c>
    </row>
    <row r="433" customFormat="false" ht="26.1" hidden="false" customHeight="false" outlineLevel="0" collapsed="false">
      <c r="A433" s="294" t="n">
        <v>2475</v>
      </c>
      <c r="B433" s="22" t="s">
        <v>216</v>
      </c>
      <c r="C433" s="22" t="s">
        <v>217</v>
      </c>
      <c r="D433" s="22" t="s">
        <v>218</v>
      </c>
      <c r="E433" s="23" t="n">
        <v>45337</v>
      </c>
      <c r="F433" s="23" t="n">
        <v>45477</v>
      </c>
      <c r="G433" s="37" t="n">
        <v>100</v>
      </c>
      <c r="H433" s="49" t="n">
        <v>100</v>
      </c>
      <c r="I433" s="49" t="n">
        <v>0</v>
      </c>
      <c r="J433" s="269" t="s">
        <v>960</v>
      </c>
      <c r="K433" s="27" t="n">
        <v>150000</v>
      </c>
      <c r="L433" s="27" t="n">
        <v>324000</v>
      </c>
      <c r="M433" s="45" t="n">
        <v>16200</v>
      </c>
      <c r="N433" s="29" t="n">
        <v>4000</v>
      </c>
      <c r="O433" s="29" t="n">
        <v>324000</v>
      </c>
      <c r="P433" s="30" t="n">
        <v>0</v>
      </c>
      <c r="Q433" s="263" t="n">
        <v>45509</v>
      </c>
    </row>
    <row r="434" customFormat="false" ht="50.7" hidden="false" customHeight="false" outlineLevel="0" collapsed="false">
      <c r="A434" s="294" t="n">
        <v>1950</v>
      </c>
      <c r="B434" s="22" t="s">
        <v>961</v>
      </c>
      <c r="C434" s="22" t="s">
        <v>962</v>
      </c>
      <c r="D434" s="22"/>
      <c r="E434" s="23" t="n">
        <v>44939</v>
      </c>
      <c r="F434" s="23" t="n">
        <v>45112</v>
      </c>
      <c r="G434" s="37" t="n">
        <v>123</v>
      </c>
      <c r="H434" s="49" t="n">
        <v>120</v>
      </c>
      <c r="I434" s="49" t="n">
        <v>3</v>
      </c>
      <c r="J434" s="269" t="s">
        <v>963</v>
      </c>
      <c r="K434" s="30" t="n">
        <v>100000</v>
      </c>
      <c r="L434" s="30" t="n">
        <v>264000</v>
      </c>
      <c r="M434" s="45" t="n">
        <v>11000</v>
      </c>
      <c r="N434" s="29" t="n">
        <v>15000</v>
      </c>
      <c r="O434" s="29" t="n">
        <v>264000</v>
      </c>
      <c r="P434" s="30" t="n">
        <v>0</v>
      </c>
      <c r="Q434" s="263" t="n">
        <v>45509</v>
      </c>
    </row>
    <row r="435" customFormat="false" ht="17.9" hidden="false" customHeight="false" outlineLevel="0" collapsed="false">
      <c r="A435" s="294" t="n">
        <v>2590</v>
      </c>
      <c r="B435" s="22" t="s">
        <v>277</v>
      </c>
      <c r="C435" s="22" t="s">
        <v>278</v>
      </c>
      <c r="D435" s="22" t="n">
        <v>14154231</v>
      </c>
      <c r="E435" s="23" t="n">
        <v>45404</v>
      </c>
      <c r="F435" s="23" t="n">
        <v>45504</v>
      </c>
      <c r="G435" s="37" t="n">
        <v>72</v>
      </c>
      <c r="H435" s="49" t="n">
        <v>71.7777777777778</v>
      </c>
      <c r="I435" s="49" t="n">
        <v>0.222222222222229</v>
      </c>
      <c r="J435" s="22" t="s">
        <v>964</v>
      </c>
      <c r="K435" s="27" t="n">
        <v>15000</v>
      </c>
      <c r="L435" s="27" t="n">
        <v>32400</v>
      </c>
      <c r="M435" s="28" t="n">
        <v>2250</v>
      </c>
      <c r="N435" s="29" t="n">
        <v>8000</v>
      </c>
      <c r="O435" s="29" t="n">
        <v>32300</v>
      </c>
      <c r="P435" s="30" t="n">
        <v>100</v>
      </c>
      <c r="Q435" s="263" t="n">
        <v>45509</v>
      </c>
    </row>
    <row r="436" customFormat="false" ht="26.1" hidden="false" customHeight="false" outlineLevel="0" collapsed="false">
      <c r="A436" s="294" t="n">
        <v>2192</v>
      </c>
      <c r="B436" s="22" t="s">
        <v>302</v>
      </c>
      <c r="C436" s="22" t="s">
        <v>303</v>
      </c>
      <c r="D436" s="22" t="n">
        <v>27212523</v>
      </c>
      <c r="E436" s="23" t="n">
        <v>45143</v>
      </c>
      <c r="F436" s="23" t="n">
        <v>45296</v>
      </c>
      <c r="G436" s="37" t="n">
        <v>110</v>
      </c>
      <c r="H436" s="49" t="n">
        <v>110</v>
      </c>
      <c r="I436" s="49" t="n">
        <v>0</v>
      </c>
      <c r="J436" s="22" t="s">
        <v>858</v>
      </c>
      <c r="K436" s="27" t="n">
        <v>50000</v>
      </c>
      <c r="L436" s="27" t="n">
        <v>132000</v>
      </c>
      <c r="M436" s="28" t="n">
        <v>6000</v>
      </c>
      <c r="N436" s="29" t="n">
        <v>6750</v>
      </c>
      <c r="O436" s="29" t="n">
        <v>132000</v>
      </c>
      <c r="P436" s="30" t="n">
        <v>0</v>
      </c>
      <c r="Q436" s="263" t="n">
        <v>45509</v>
      </c>
    </row>
    <row r="437" customFormat="false" ht="17.9" hidden="false" customHeight="false" outlineLevel="0" collapsed="false">
      <c r="A437" s="294" t="n">
        <v>2429</v>
      </c>
      <c r="B437" s="22" t="s">
        <v>342</v>
      </c>
      <c r="C437" s="22" t="s">
        <v>343</v>
      </c>
      <c r="D437" s="22"/>
      <c r="E437" s="23" t="n">
        <v>45308</v>
      </c>
      <c r="F437" s="23" t="n">
        <v>45490</v>
      </c>
      <c r="G437" s="37" t="n">
        <v>130</v>
      </c>
      <c r="H437" s="49" t="n">
        <v>120</v>
      </c>
      <c r="I437" s="49" t="n">
        <v>10</v>
      </c>
      <c r="J437" s="74" t="s">
        <v>965</v>
      </c>
      <c r="K437" s="30" t="n">
        <v>40000</v>
      </c>
      <c r="L437" s="30" t="n">
        <v>108000</v>
      </c>
      <c r="M437" s="28" t="n">
        <v>4500</v>
      </c>
      <c r="N437" s="29" t="n">
        <v>12650</v>
      </c>
      <c r="O437" s="29" t="n">
        <v>108000</v>
      </c>
      <c r="P437" s="30" t="n">
        <v>0</v>
      </c>
      <c r="Q437" s="263" t="n">
        <v>45509</v>
      </c>
    </row>
    <row r="438" customFormat="false" ht="17.9" hidden="false" customHeight="false" outlineLevel="0" collapsed="false">
      <c r="A438" s="300" t="n">
        <v>2743</v>
      </c>
      <c r="B438" s="22" t="s">
        <v>363</v>
      </c>
      <c r="C438" s="22"/>
      <c r="D438" s="22"/>
      <c r="E438" s="23" t="n">
        <v>45507</v>
      </c>
      <c r="F438" s="23" t="n">
        <v>45513</v>
      </c>
      <c r="G438" s="37" t="n">
        <v>5</v>
      </c>
      <c r="H438" s="49" t="e">
        <f aca="false">#DIV/0!</f>
        <v>#DIV/0!</v>
      </c>
      <c r="I438" s="49" t="e">
        <f aca="false">#DIV/0!</f>
        <v>#DIV/0!</v>
      </c>
      <c r="J438" s="22" t="s">
        <v>199</v>
      </c>
      <c r="K438" s="50" t="n">
        <v>30000</v>
      </c>
      <c r="L438" s="27" t="n">
        <v>39000</v>
      </c>
      <c r="M438" s="28"/>
      <c r="N438" s="29" t="n">
        <v>39000</v>
      </c>
      <c r="O438" s="29" t="n">
        <v>39000</v>
      </c>
      <c r="P438" s="30" t="n">
        <v>0</v>
      </c>
      <c r="Q438" s="263" t="n">
        <v>45509</v>
      </c>
    </row>
    <row r="439" customFormat="false" ht="34.3" hidden="false" customHeight="false" outlineLevel="0" collapsed="false">
      <c r="A439" s="294" t="n">
        <v>2603</v>
      </c>
      <c r="B439" s="22" t="s">
        <v>382</v>
      </c>
      <c r="C439" s="22" t="s">
        <v>383</v>
      </c>
      <c r="D439" s="48"/>
      <c r="E439" s="23" t="n">
        <v>45411</v>
      </c>
      <c r="F439" s="23" t="n">
        <v>45511</v>
      </c>
      <c r="G439" s="37" t="n">
        <v>72</v>
      </c>
      <c r="H439" s="49" t="n">
        <v>72</v>
      </c>
      <c r="I439" s="49" t="n">
        <v>0</v>
      </c>
      <c r="J439" s="22" t="s">
        <v>716</v>
      </c>
      <c r="K439" s="30" t="n">
        <v>15000</v>
      </c>
      <c r="L439" s="30" t="n">
        <v>32400</v>
      </c>
      <c r="M439" s="28" t="n">
        <v>2250</v>
      </c>
      <c r="N439" s="29" t="n">
        <v>3150</v>
      </c>
      <c r="O439" s="29" t="n">
        <v>32400</v>
      </c>
      <c r="P439" s="30" t="n">
        <v>0</v>
      </c>
      <c r="Q439" s="263" t="n">
        <v>45509</v>
      </c>
    </row>
    <row r="440" customFormat="false" ht="34.3" hidden="false" customHeight="false" outlineLevel="0" collapsed="false">
      <c r="A440" s="294" t="n">
        <v>2557</v>
      </c>
      <c r="B440" s="22" t="s">
        <v>966</v>
      </c>
      <c r="C440" s="22" t="s">
        <v>383</v>
      </c>
      <c r="D440" s="22"/>
      <c r="E440" s="23" t="n">
        <v>45386</v>
      </c>
      <c r="F440" s="23" t="n">
        <v>45488</v>
      </c>
      <c r="G440" s="37" t="n">
        <v>72</v>
      </c>
      <c r="H440" s="49" t="n">
        <v>72</v>
      </c>
      <c r="I440" s="49" t="n">
        <v>0</v>
      </c>
      <c r="J440" s="22" t="s">
        <v>560</v>
      </c>
      <c r="K440" s="27" t="n">
        <v>10000</v>
      </c>
      <c r="L440" s="27" t="n">
        <v>21600</v>
      </c>
      <c r="M440" s="28" t="n">
        <v>1500</v>
      </c>
      <c r="N440" s="29" t="n">
        <v>600</v>
      </c>
      <c r="O440" s="29" t="n">
        <v>21600</v>
      </c>
      <c r="P440" s="30" t="n">
        <v>0</v>
      </c>
      <c r="Q440" s="263" t="n">
        <v>45509</v>
      </c>
    </row>
    <row r="441" customFormat="false" ht="34.3" hidden="false" customHeight="false" outlineLevel="0" collapsed="false">
      <c r="A441" s="294" t="n">
        <v>2568</v>
      </c>
      <c r="B441" s="22" t="s">
        <v>736</v>
      </c>
      <c r="C441" s="22" t="s">
        <v>383</v>
      </c>
      <c r="D441" s="22"/>
      <c r="E441" s="23" t="n">
        <v>45392</v>
      </c>
      <c r="F441" s="23" t="n">
        <v>45492</v>
      </c>
      <c r="G441" s="37" t="n">
        <v>72</v>
      </c>
      <c r="H441" s="49" t="n">
        <v>72</v>
      </c>
      <c r="I441" s="49" t="n">
        <v>0</v>
      </c>
      <c r="J441" s="22" t="s">
        <v>560</v>
      </c>
      <c r="K441" s="27" t="n">
        <v>10000</v>
      </c>
      <c r="L441" s="27" t="n">
        <v>21600</v>
      </c>
      <c r="M441" s="28" t="n">
        <v>1500</v>
      </c>
      <c r="N441" s="29" t="n">
        <v>3000</v>
      </c>
      <c r="O441" s="29" t="n">
        <v>21600</v>
      </c>
      <c r="P441" s="30" t="n">
        <v>0</v>
      </c>
      <c r="Q441" s="263" t="n">
        <v>45509</v>
      </c>
    </row>
    <row r="442" customFormat="false" ht="26.1" hidden="false" customHeight="false" outlineLevel="0" collapsed="false">
      <c r="A442" s="294" t="n">
        <v>2320</v>
      </c>
      <c r="B442" s="22" t="s">
        <v>872</v>
      </c>
      <c r="C442" s="22" t="s">
        <v>807</v>
      </c>
      <c r="D442" s="22"/>
      <c r="E442" s="23" t="n">
        <v>45147</v>
      </c>
      <c r="F442" s="23" t="n">
        <v>45247</v>
      </c>
      <c r="G442" s="37" t="n">
        <v>72</v>
      </c>
      <c r="H442" s="49" t="n">
        <v>80.6222222222222</v>
      </c>
      <c r="I442" s="49" t="n">
        <v>-8.62222222222222</v>
      </c>
      <c r="J442" s="22" t="s">
        <v>716</v>
      </c>
      <c r="K442" s="27" t="n">
        <v>15000</v>
      </c>
      <c r="L442" s="27" t="n">
        <v>32400</v>
      </c>
      <c r="M442" s="28" t="n">
        <v>2250</v>
      </c>
      <c r="N442" s="29" t="n">
        <v>10000</v>
      </c>
      <c r="O442" s="29" t="n">
        <v>36280</v>
      </c>
      <c r="P442" s="30" t="n">
        <v>-3880</v>
      </c>
      <c r="Q442" s="263" t="n">
        <v>45509</v>
      </c>
    </row>
    <row r="443" customFormat="false" ht="17.9" hidden="false" customHeight="false" outlineLevel="0" collapsed="false">
      <c r="A443" s="294" t="n">
        <v>2516</v>
      </c>
      <c r="B443" s="22" t="s">
        <v>393</v>
      </c>
      <c r="C443" s="22"/>
      <c r="D443" s="22"/>
      <c r="E443" s="23" t="n">
        <v>45362</v>
      </c>
      <c r="F443" s="23" t="n">
        <v>45462</v>
      </c>
      <c r="G443" s="37" t="n">
        <v>72</v>
      </c>
      <c r="H443" s="49" t="n">
        <v>72</v>
      </c>
      <c r="I443" s="49" t="n">
        <v>0</v>
      </c>
      <c r="J443" s="22" t="s">
        <v>333</v>
      </c>
      <c r="K443" s="27" t="n">
        <v>50000</v>
      </c>
      <c r="L443" s="27" t="n">
        <v>108000</v>
      </c>
      <c r="M443" s="28" t="n">
        <v>7500</v>
      </c>
      <c r="N443" s="29" t="n">
        <v>10500</v>
      </c>
      <c r="O443" s="29" t="n">
        <v>108000</v>
      </c>
      <c r="P443" s="30" t="n">
        <v>0</v>
      </c>
      <c r="Q443" s="263" t="n">
        <v>45509</v>
      </c>
    </row>
    <row r="444" customFormat="false" ht="17.9" hidden="false" customHeight="false" outlineLevel="0" collapsed="false">
      <c r="A444" s="294" t="n">
        <v>2228</v>
      </c>
      <c r="B444" s="22" t="s">
        <v>967</v>
      </c>
      <c r="C444" s="22"/>
      <c r="D444" s="22"/>
      <c r="E444" s="23" t="n">
        <v>45163</v>
      </c>
      <c r="F444" s="23" t="n">
        <v>45499</v>
      </c>
      <c r="G444" s="37" t="n">
        <v>240</v>
      </c>
      <c r="H444" s="49" t="n">
        <v>240</v>
      </c>
      <c r="I444" s="49" t="n">
        <v>0</v>
      </c>
      <c r="J444" s="269" t="s">
        <v>968</v>
      </c>
      <c r="K444" s="30" t="n">
        <v>100000</v>
      </c>
      <c r="L444" s="30" t="n">
        <v>289200</v>
      </c>
      <c r="M444" s="28" t="n">
        <v>6025</v>
      </c>
      <c r="N444" s="29" t="n">
        <v>24100</v>
      </c>
      <c r="O444" s="29" t="n">
        <v>289200</v>
      </c>
      <c r="P444" s="30" t="n">
        <v>0</v>
      </c>
      <c r="Q444" s="263" t="n">
        <v>45509</v>
      </c>
    </row>
    <row r="445" customFormat="false" ht="42.5" hidden="false" customHeight="false" outlineLevel="0" collapsed="false">
      <c r="A445" s="294" t="n">
        <v>2554</v>
      </c>
      <c r="B445" s="22" t="s">
        <v>420</v>
      </c>
      <c r="C445" s="22" t="s">
        <v>210</v>
      </c>
      <c r="D445" s="22"/>
      <c r="E445" s="23" t="n">
        <v>45385</v>
      </c>
      <c r="F445" s="23" t="n">
        <v>45485</v>
      </c>
      <c r="G445" s="37" t="n">
        <v>72</v>
      </c>
      <c r="H445" s="49" t="n">
        <v>75</v>
      </c>
      <c r="I445" s="49" t="n">
        <v>-3</v>
      </c>
      <c r="J445" s="22" t="s">
        <v>703</v>
      </c>
      <c r="K445" s="30" t="n">
        <v>25000</v>
      </c>
      <c r="L445" s="30" t="n">
        <v>54000</v>
      </c>
      <c r="M445" s="28" t="n">
        <v>3750</v>
      </c>
      <c r="N445" s="29" t="n">
        <v>3750</v>
      </c>
      <c r="O445" s="29" t="n">
        <v>56250</v>
      </c>
      <c r="P445" s="30" t="n">
        <v>-2250</v>
      </c>
      <c r="Q445" s="263" t="n">
        <v>45509</v>
      </c>
    </row>
    <row r="446" customFormat="false" ht="17.9" hidden="false" customHeight="false" outlineLevel="0" collapsed="false">
      <c r="A446" s="294" t="n">
        <v>2573</v>
      </c>
      <c r="B446" s="22" t="s">
        <v>428</v>
      </c>
      <c r="C446" s="22" t="s">
        <v>429</v>
      </c>
      <c r="D446" s="22" t="n">
        <v>27329256826</v>
      </c>
      <c r="E446" s="23" t="n">
        <v>45395</v>
      </c>
      <c r="F446" s="23" t="n">
        <v>45506</v>
      </c>
      <c r="G446" s="37" t="n">
        <v>80</v>
      </c>
      <c r="H446" s="49" t="n">
        <v>80</v>
      </c>
      <c r="I446" s="49" t="n">
        <v>0</v>
      </c>
      <c r="J446" s="269" t="s">
        <v>969</v>
      </c>
      <c r="K446" s="27" t="n">
        <v>40000</v>
      </c>
      <c r="L446" s="27" t="n">
        <v>86400</v>
      </c>
      <c r="M446" s="28" t="n">
        <v>5400</v>
      </c>
      <c r="N446" s="29" t="n">
        <v>21600</v>
      </c>
      <c r="O446" s="29" t="n">
        <v>86400</v>
      </c>
      <c r="P446" s="30" t="n">
        <v>0</v>
      </c>
      <c r="Q446" s="263" t="n">
        <v>45509</v>
      </c>
    </row>
    <row r="447" customFormat="false" ht="34.3" hidden="false" customHeight="false" outlineLevel="0" collapsed="false">
      <c r="A447" s="294" t="n">
        <v>2414</v>
      </c>
      <c r="B447" s="22" t="s">
        <v>452</v>
      </c>
      <c r="C447" s="22"/>
      <c r="D447" s="22"/>
      <c r="E447" s="23" t="n">
        <v>45302</v>
      </c>
      <c r="F447" s="23" t="n">
        <v>45498</v>
      </c>
      <c r="G447" s="37" t="n">
        <v>140</v>
      </c>
      <c r="H447" s="49" t="n">
        <v>140</v>
      </c>
      <c r="I447" s="49" t="n">
        <v>0</v>
      </c>
      <c r="J447" s="269" t="s">
        <v>942</v>
      </c>
      <c r="K447" s="27" t="n">
        <v>30000</v>
      </c>
      <c r="L447" s="27" t="n">
        <v>79240</v>
      </c>
      <c r="M447" s="28" t="n">
        <v>2830</v>
      </c>
      <c r="N447" s="29" t="n">
        <v>11320</v>
      </c>
      <c r="O447" s="29" t="n">
        <v>79240</v>
      </c>
      <c r="P447" s="30" t="n">
        <v>0</v>
      </c>
      <c r="Q447" s="263" t="n">
        <v>45509</v>
      </c>
    </row>
    <row r="448" customFormat="false" ht="34.3" hidden="false" customHeight="false" outlineLevel="0" collapsed="false">
      <c r="A448" s="294" t="n">
        <v>2485</v>
      </c>
      <c r="B448" s="22" t="s">
        <v>452</v>
      </c>
      <c r="C448" s="22"/>
      <c r="D448" s="22"/>
      <c r="E448" s="23" t="n">
        <v>45342</v>
      </c>
      <c r="F448" s="23" t="n">
        <v>45510</v>
      </c>
      <c r="G448" s="37" t="n">
        <v>120</v>
      </c>
      <c r="H448" s="49" t="n">
        <v>120</v>
      </c>
      <c r="I448" s="49" t="n">
        <v>0</v>
      </c>
      <c r="J448" s="269" t="s">
        <v>970</v>
      </c>
      <c r="K448" s="27" t="n">
        <v>40000</v>
      </c>
      <c r="L448" s="27" t="n">
        <v>105600</v>
      </c>
      <c r="M448" s="45" t="n">
        <v>4400</v>
      </c>
      <c r="N448" s="29" t="n">
        <v>17600</v>
      </c>
      <c r="O448" s="29" t="n">
        <v>105600</v>
      </c>
      <c r="P448" s="30" t="n">
        <v>0</v>
      </c>
      <c r="Q448" s="263" t="n">
        <v>45509</v>
      </c>
    </row>
    <row r="449" customFormat="false" ht="17.9" hidden="false" customHeight="false" outlineLevel="0" collapsed="false">
      <c r="A449" s="294" t="n">
        <v>2478</v>
      </c>
      <c r="B449" s="22" t="s">
        <v>457</v>
      </c>
      <c r="C449" s="22"/>
      <c r="D449" s="22"/>
      <c r="E449" s="23" t="n">
        <v>45338</v>
      </c>
      <c r="F449" s="23" t="n">
        <v>45506</v>
      </c>
      <c r="G449" s="37" t="n">
        <v>120</v>
      </c>
      <c r="H449" s="49" t="n">
        <v>120</v>
      </c>
      <c r="I449" s="49" t="n">
        <v>0</v>
      </c>
      <c r="J449" s="269" t="s">
        <v>971</v>
      </c>
      <c r="K449" s="27" t="n">
        <v>50000</v>
      </c>
      <c r="L449" s="27" t="n">
        <v>120000</v>
      </c>
      <c r="M449" s="45" t="n">
        <v>5000</v>
      </c>
      <c r="N449" s="29" t="n">
        <v>20000</v>
      </c>
      <c r="O449" s="29" t="n">
        <v>120000</v>
      </c>
      <c r="P449" s="30" t="n">
        <v>0</v>
      </c>
      <c r="Q449" s="263" t="n">
        <v>45509</v>
      </c>
    </row>
    <row r="450" customFormat="false" ht="58.95" hidden="false" customHeight="false" outlineLevel="0" collapsed="false">
      <c r="A450" s="294" t="n">
        <v>2459</v>
      </c>
      <c r="B450" s="22" t="s">
        <v>522</v>
      </c>
      <c r="C450" s="22" t="s">
        <v>523</v>
      </c>
      <c r="D450" s="22"/>
      <c r="E450" s="23" t="n">
        <v>45328</v>
      </c>
      <c r="F450" s="23" t="n">
        <v>45482</v>
      </c>
      <c r="G450" s="37" t="n">
        <v>110</v>
      </c>
      <c r="H450" s="49" t="n">
        <v>110</v>
      </c>
      <c r="I450" s="49" t="n">
        <v>0</v>
      </c>
      <c r="J450" s="22" t="s">
        <v>508</v>
      </c>
      <c r="K450" s="27" t="n">
        <v>200000</v>
      </c>
      <c r="L450" s="27" t="n">
        <v>528000</v>
      </c>
      <c r="M450" s="45" t="n">
        <v>24000</v>
      </c>
      <c r="N450" s="29" t="n">
        <v>9500</v>
      </c>
      <c r="O450" s="29" t="n">
        <v>528000</v>
      </c>
      <c r="P450" s="30" t="n">
        <v>0</v>
      </c>
      <c r="Q450" s="263" t="n">
        <v>45509</v>
      </c>
    </row>
    <row r="451" customFormat="false" ht="42.5" hidden="false" customHeight="false" outlineLevel="0" collapsed="false">
      <c r="A451" s="294" t="n">
        <v>2611</v>
      </c>
      <c r="B451" s="22" t="s">
        <v>559</v>
      </c>
      <c r="C451" s="22" t="s">
        <v>556</v>
      </c>
      <c r="D451" s="22"/>
      <c r="E451" s="23" t="n">
        <v>45418</v>
      </c>
      <c r="F451" s="23" t="n">
        <v>45518</v>
      </c>
      <c r="G451" s="37" t="n">
        <v>72</v>
      </c>
      <c r="H451" s="49" t="n">
        <v>72</v>
      </c>
      <c r="I451" s="49" t="n">
        <v>0</v>
      </c>
      <c r="J451" s="22" t="s">
        <v>560</v>
      </c>
      <c r="K451" s="30" t="n">
        <v>10000</v>
      </c>
      <c r="L451" s="30" t="n">
        <v>21600</v>
      </c>
      <c r="M451" s="28" t="n">
        <v>1500</v>
      </c>
      <c r="N451" s="29" t="n">
        <v>2100</v>
      </c>
      <c r="O451" s="29" t="n">
        <v>21600</v>
      </c>
      <c r="P451" s="30" t="n">
        <v>0</v>
      </c>
      <c r="Q451" s="263" t="n">
        <v>45509</v>
      </c>
    </row>
    <row r="452" customFormat="false" ht="17.9" hidden="false" customHeight="false" outlineLevel="0" collapsed="false">
      <c r="A452" s="294" t="n">
        <v>2420</v>
      </c>
      <c r="B452" s="22" t="s">
        <v>568</v>
      </c>
      <c r="C452" s="22" t="s">
        <v>778</v>
      </c>
      <c r="D452" s="22"/>
      <c r="E452" s="23" t="n">
        <v>45305</v>
      </c>
      <c r="F452" s="23" t="n">
        <v>45405</v>
      </c>
      <c r="G452" s="37" t="n">
        <v>72</v>
      </c>
      <c r="H452" s="49" t="n">
        <v>72</v>
      </c>
      <c r="I452" s="49" t="n">
        <v>0</v>
      </c>
      <c r="J452" s="22" t="s">
        <v>333</v>
      </c>
      <c r="K452" s="30" t="n">
        <v>50000</v>
      </c>
      <c r="L452" s="30" t="n">
        <v>123000</v>
      </c>
      <c r="M452" s="28" t="n">
        <v>8541.66666666667</v>
      </c>
      <c r="N452" s="29" t="n">
        <v>10000</v>
      </c>
      <c r="O452" s="29" t="n">
        <v>123000</v>
      </c>
      <c r="P452" s="30" t="n">
        <v>0</v>
      </c>
      <c r="Q452" s="263" t="n">
        <v>45509</v>
      </c>
    </row>
    <row r="453" customFormat="false" ht="26.1" hidden="false" customHeight="false" outlineLevel="0" collapsed="false">
      <c r="A453" s="294" t="n">
        <v>2442</v>
      </c>
      <c r="B453" s="22" t="s">
        <v>857</v>
      </c>
      <c r="C453" s="22" t="s">
        <v>182</v>
      </c>
      <c r="D453" s="48"/>
      <c r="E453" s="23" t="n">
        <v>45317</v>
      </c>
      <c r="F453" s="23" t="n">
        <v>45513</v>
      </c>
      <c r="G453" s="37" t="n">
        <v>140</v>
      </c>
      <c r="H453" s="49" t="n">
        <v>140</v>
      </c>
      <c r="I453" s="49" t="n">
        <v>0</v>
      </c>
      <c r="J453" s="269" t="s">
        <v>972</v>
      </c>
      <c r="K453" s="27" t="n">
        <v>100000</v>
      </c>
      <c r="L453" s="27" t="n">
        <v>264600</v>
      </c>
      <c r="M453" s="45" t="n">
        <v>9450</v>
      </c>
      <c r="N453" s="29" t="n">
        <v>37800</v>
      </c>
      <c r="O453" s="29" t="n">
        <v>264600</v>
      </c>
      <c r="P453" s="30" t="n">
        <v>0</v>
      </c>
      <c r="Q453" s="263" t="n">
        <v>45516</v>
      </c>
    </row>
    <row r="454" customFormat="false" ht="26.1" hidden="false" customHeight="false" outlineLevel="0" collapsed="false">
      <c r="A454" s="294" t="n">
        <v>2539</v>
      </c>
      <c r="B454" s="22" t="s">
        <v>973</v>
      </c>
      <c r="C454" s="22" t="s">
        <v>182</v>
      </c>
      <c r="D454" s="48"/>
      <c r="E454" s="23" t="n">
        <v>45373</v>
      </c>
      <c r="F454" s="23" t="n">
        <v>45541</v>
      </c>
      <c r="G454" s="37" t="n">
        <v>120</v>
      </c>
      <c r="H454" s="49" t="n">
        <v>120</v>
      </c>
      <c r="I454" s="49" t="n">
        <v>0</v>
      </c>
      <c r="J454" s="269" t="s">
        <v>974</v>
      </c>
      <c r="K454" s="27" t="n">
        <v>100000</v>
      </c>
      <c r="L454" s="27" t="n">
        <v>264000</v>
      </c>
      <c r="M454" s="28" t="n">
        <v>11000</v>
      </c>
      <c r="N454" s="29" t="n">
        <v>88000</v>
      </c>
      <c r="O454" s="29" t="n">
        <v>264000</v>
      </c>
      <c r="P454" s="30" t="n">
        <v>0</v>
      </c>
      <c r="Q454" s="263" t="n">
        <v>45516</v>
      </c>
    </row>
    <row r="455" customFormat="false" ht="42.5" hidden="false" customHeight="false" outlineLevel="0" collapsed="false">
      <c r="A455" s="294" t="n">
        <v>2492</v>
      </c>
      <c r="B455" s="22" t="s">
        <v>280</v>
      </c>
      <c r="C455" s="22" t="s">
        <v>281</v>
      </c>
      <c r="D455" s="48" t="s">
        <v>282</v>
      </c>
      <c r="E455" s="23" t="n">
        <v>45346</v>
      </c>
      <c r="F455" s="23" t="n">
        <v>45513</v>
      </c>
      <c r="G455" s="37" t="n">
        <v>120</v>
      </c>
      <c r="H455" s="49" t="n">
        <v>120</v>
      </c>
      <c r="I455" s="49" t="n">
        <v>0</v>
      </c>
      <c r="J455" s="269" t="s">
        <v>975</v>
      </c>
      <c r="K455" s="27" t="n">
        <v>100000</v>
      </c>
      <c r="L455" s="27" t="n">
        <v>264000</v>
      </c>
      <c r="M455" s="28" t="n">
        <v>11000</v>
      </c>
      <c r="N455" s="29" t="n">
        <v>44000</v>
      </c>
      <c r="O455" s="29" t="n">
        <v>264000</v>
      </c>
      <c r="P455" s="30" t="n">
        <v>0</v>
      </c>
      <c r="Q455" s="263" t="n">
        <v>45516</v>
      </c>
    </row>
    <row r="456" customFormat="false" ht="42.5" hidden="false" customHeight="false" outlineLevel="0" collapsed="false">
      <c r="A456" s="294" t="n">
        <v>2564</v>
      </c>
      <c r="B456" s="22" t="s">
        <v>976</v>
      </c>
      <c r="C456" s="22" t="s">
        <v>725</v>
      </c>
      <c r="D456" s="48"/>
      <c r="E456" s="23" t="n">
        <v>45389</v>
      </c>
      <c r="F456" s="23" t="n">
        <v>45499</v>
      </c>
      <c r="G456" s="37" t="n">
        <v>80</v>
      </c>
      <c r="H456" s="49" t="n">
        <v>80</v>
      </c>
      <c r="I456" s="49" t="n">
        <v>0</v>
      </c>
      <c r="J456" s="269" t="s">
        <v>956</v>
      </c>
      <c r="K456" s="30" t="n">
        <v>20000</v>
      </c>
      <c r="L456" s="30" t="n">
        <v>43200</v>
      </c>
      <c r="M456" s="28" t="n">
        <v>2700</v>
      </c>
      <c r="N456" s="29" t="n">
        <v>10800</v>
      </c>
      <c r="O456" s="29" t="n">
        <v>43200</v>
      </c>
      <c r="P456" s="30" t="n">
        <v>0</v>
      </c>
      <c r="Q456" s="263" t="n">
        <v>45516</v>
      </c>
    </row>
    <row r="457" customFormat="false" ht="42.5" hidden="false" customHeight="false" outlineLevel="0" collapsed="false">
      <c r="A457" s="294" t="n">
        <v>2188</v>
      </c>
      <c r="B457" s="22" t="s">
        <v>581</v>
      </c>
      <c r="C457" s="22" t="s">
        <v>351</v>
      </c>
      <c r="D457" s="48"/>
      <c r="E457" s="23" t="n">
        <v>45141</v>
      </c>
      <c r="F457" s="23" t="n">
        <v>45477</v>
      </c>
      <c r="G457" s="37" t="n">
        <v>240</v>
      </c>
      <c r="H457" s="49" t="n">
        <v>240.47619047619</v>
      </c>
      <c r="I457" s="49" t="n">
        <v>-0.476190476190482</v>
      </c>
      <c r="J457" s="269" t="s">
        <v>977</v>
      </c>
      <c r="K457" s="27" t="n">
        <v>100000</v>
      </c>
      <c r="L457" s="27" t="n">
        <v>252000</v>
      </c>
      <c r="M457" s="28" t="n">
        <v>5250</v>
      </c>
      <c r="N457" s="29" t="n">
        <v>21000</v>
      </c>
      <c r="O457" s="29" t="n">
        <v>252500</v>
      </c>
      <c r="P457" s="30" t="n">
        <v>-500</v>
      </c>
      <c r="Q457" s="263" t="n">
        <v>45516</v>
      </c>
    </row>
    <row r="458" customFormat="false" ht="42.5" hidden="false" customHeight="false" outlineLevel="0" collapsed="false">
      <c r="A458" s="294" t="n">
        <v>2270</v>
      </c>
      <c r="B458" s="22" t="s">
        <v>581</v>
      </c>
      <c r="C458" s="22" t="s">
        <v>351</v>
      </c>
      <c r="D458" s="48"/>
      <c r="E458" s="23" t="n">
        <v>45198</v>
      </c>
      <c r="F458" s="23" t="n">
        <v>45506</v>
      </c>
      <c r="G458" s="37" t="n">
        <v>220</v>
      </c>
      <c r="H458" s="49" t="n">
        <v>223.666666666667</v>
      </c>
      <c r="I458" s="49" t="n">
        <v>-3.66666666666666</v>
      </c>
      <c r="J458" s="269" t="s">
        <v>978</v>
      </c>
      <c r="K458" s="27" t="n">
        <v>150000</v>
      </c>
      <c r="L458" s="27" t="n">
        <v>390000</v>
      </c>
      <c r="M458" s="28" t="n">
        <v>8863.63636363636</v>
      </c>
      <c r="N458" s="29" t="n">
        <v>36000</v>
      </c>
      <c r="O458" s="29" t="n">
        <v>396500</v>
      </c>
      <c r="P458" s="30" t="n">
        <v>-6500</v>
      </c>
      <c r="Q458" s="263" t="n">
        <v>45516</v>
      </c>
    </row>
    <row r="459" customFormat="false" ht="17.9" hidden="false" customHeight="false" outlineLevel="0" collapsed="false">
      <c r="A459" s="294" t="n">
        <v>2753</v>
      </c>
      <c r="B459" s="22" t="s">
        <v>363</v>
      </c>
      <c r="C459" s="22"/>
      <c r="D459" s="48"/>
      <c r="E459" s="23" t="n">
        <v>45514</v>
      </c>
      <c r="F459" s="23" t="n">
        <v>45520</v>
      </c>
      <c r="G459" s="37" t="n">
        <v>5</v>
      </c>
      <c r="H459" s="49" t="e">
        <f aca="false">#DIV/0!</f>
        <v>#DIV/0!</v>
      </c>
      <c r="I459" s="49" t="e">
        <f aca="false">#DIV/0!</f>
        <v>#DIV/0!</v>
      </c>
      <c r="J459" s="269" t="s">
        <v>199</v>
      </c>
      <c r="K459" s="55" t="n">
        <v>30000</v>
      </c>
      <c r="L459" s="30" t="n">
        <v>39000</v>
      </c>
      <c r="M459" s="28"/>
      <c r="N459" s="29" t="n">
        <v>39000</v>
      </c>
      <c r="O459" s="29" t="n">
        <v>39000</v>
      </c>
      <c r="P459" s="30" t="n">
        <v>0</v>
      </c>
      <c r="Q459" s="263" t="n">
        <v>45516</v>
      </c>
    </row>
    <row r="460" customFormat="false" ht="58.95" hidden="false" customHeight="false" outlineLevel="0" collapsed="false">
      <c r="A460" s="294" t="n">
        <v>2479</v>
      </c>
      <c r="B460" s="22" t="s">
        <v>979</v>
      </c>
      <c r="C460" s="22" t="s">
        <v>396</v>
      </c>
      <c r="D460" s="48"/>
      <c r="E460" s="23" t="n">
        <v>45338</v>
      </c>
      <c r="F460" s="23" t="n">
        <v>45506</v>
      </c>
      <c r="G460" s="37" t="n">
        <v>120</v>
      </c>
      <c r="H460" s="49" t="n">
        <v>120</v>
      </c>
      <c r="I460" s="49" t="n">
        <v>0</v>
      </c>
      <c r="J460" s="74" t="s">
        <v>980</v>
      </c>
      <c r="K460" s="27" t="n">
        <v>100000</v>
      </c>
      <c r="L460" s="27" t="n">
        <v>264000</v>
      </c>
      <c r="M460" s="28" t="n">
        <v>11000</v>
      </c>
      <c r="N460" s="29" t="n">
        <v>22000</v>
      </c>
      <c r="O460" s="29" t="n">
        <v>264000</v>
      </c>
      <c r="P460" s="30" t="n">
        <v>0</v>
      </c>
      <c r="Q460" s="263" t="n">
        <v>45516</v>
      </c>
    </row>
    <row r="461" customFormat="false" ht="34.3" hidden="false" customHeight="false" outlineLevel="0" collapsed="false">
      <c r="A461" s="294" t="n">
        <v>2467</v>
      </c>
      <c r="B461" s="22" t="s">
        <v>405</v>
      </c>
      <c r="C461" s="22" t="s">
        <v>406</v>
      </c>
      <c r="D461" s="48"/>
      <c r="E461" s="23" t="n">
        <v>45331</v>
      </c>
      <c r="F461" s="23" t="n">
        <v>45499</v>
      </c>
      <c r="G461" s="37" t="n">
        <v>120</v>
      </c>
      <c r="H461" s="49" t="n">
        <v>120</v>
      </c>
      <c r="I461" s="49" t="n">
        <v>0</v>
      </c>
      <c r="J461" s="74" t="s">
        <v>981</v>
      </c>
      <c r="K461" s="27" t="n">
        <v>200000</v>
      </c>
      <c r="L461" s="27" t="n">
        <v>528000</v>
      </c>
      <c r="M461" s="45" t="n">
        <v>22000</v>
      </c>
      <c r="N461" s="29" t="n">
        <v>44000</v>
      </c>
      <c r="O461" s="29" t="n">
        <v>528000</v>
      </c>
      <c r="P461" s="30" t="n">
        <v>0</v>
      </c>
      <c r="Q461" s="263" t="n">
        <v>45516</v>
      </c>
    </row>
    <row r="462" customFormat="false" ht="26.1" hidden="false" customHeight="false" outlineLevel="0" collapsed="false">
      <c r="A462" s="294" t="n">
        <v>2595</v>
      </c>
      <c r="B462" s="22" t="s">
        <v>409</v>
      </c>
      <c r="C462" s="22" t="s">
        <v>883</v>
      </c>
      <c r="D462" s="48"/>
      <c r="E462" s="23" t="n">
        <v>45408</v>
      </c>
      <c r="F462" s="23" t="n">
        <v>45510</v>
      </c>
      <c r="G462" s="37" t="n">
        <v>72</v>
      </c>
      <c r="H462" s="49" t="n">
        <v>72</v>
      </c>
      <c r="I462" s="49" t="n">
        <v>0</v>
      </c>
      <c r="J462" s="22" t="s">
        <v>188</v>
      </c>
      <c r="K462" s="27" t="n">
        <v>100000</v>
      </c>
      <c r="L462" s="27" t="n">
        <v>216000</v>
      </c>
      <c r="M462" s="45" t="n">
        <v>15000</v>
      </c>
      <c r="N462" s="29" t="n">
        <v>21000</v>
      </c>
      <c r="O462" s="29" t="n">
        <v>216000</v>
      </c>
      <c r="P462" s="30" t="n">
        <v>0</v>
      </c>
      <c r="Q462" s="263" t="n">
        <v>45516</v>
      </c>
    </row>
    <row r="463" customFormat="false" ht="50.7" hidden="false" customHeight="false" outlineLevel="0" collapsed="false">
      <c r="A463" s="294" t="n">
        <v>2623</v>
      </c>
      <c r="B463" s="22" t="s">
        <v>898</v>
      </c>
      <c r="C463" s="22" t="s">
        <v>899</v>
      </c>
      <c r="D463" s="48" t="n">
        <v>27242809519</v>
      </c>
      <c r="E463" s="23" t="n">
        <v>45426</v>
      </c>
      <c r="F463" s="23" t="n">
        <v>45538</v>
      </c>
      <c r="G463" s="37" t="n">
        <v>80</v>
      </c>
      <c r="H463" s="49" t="n">
        <v>80</v>
      </c>
      <c r="I463" s="49" t="n">
        <v>0</v>
      </c>
      <c r="J463" s="269" t="s">
        <v>969</v>
      </c>
      <c r="K463" s="27" t="n">
        <v>40000</v>
      </c>
      <c r="L463" s="27" t="n">
        <v>86400</v>
      </c>
      <c r="M463" s="45" t="n">
        <v>5400</v>
      </c>
      <c r="N463" s="29" t="n">
        <v>21600</v>
      </c>
      <c r="O463" s="29" t="n">
        <v>86400</v>
      </c>
      <c r="P463" s="30" t="n">
        <v>0</v>
      </c>
      <c r="Q463" s="263" t="n">
        <v>45516</v>
      </c>
    </row>
    <row r="464" customFormat="false" ht="15" hidden="false" customHeight="false" outlineLevel="0" collapsed="false">
      <c r="A464" s="294" t="n">
        <v>2724</v>
      </c>
      <c r="B464" s="22" t="s">
        <v>791</v>
      </c>
      <c r="C464" s="22"/>
      <c r="D464" s="48"/>
      <c r="E464" s="23" t="n">
        <v>45497</v>
      </c>
      <c r="F464" s="23" t="n">
        <v>45516</v>
      </c>
      <c r="G464" s="53" t="n">
        <v>13</v>
      </c>
      <c r="H464" s="49" t="e">
        <f aca="false">#DIV/0!</f>
        <v>#DIV/0!</v>
      </c>
      <c r="I464" s="49" t="e">
        <f aca="false">#DIV/0!</f>
        <v>#DIV/0!</v>
      </c>
      <c r="J464" s="269" t="s">
        <v>982</v>
      </c>
      <c r="K464" s="27" t="n">
        <v>25000</v>
      </c>
      <c r="L464" s="27" t="n">
        <v>38000</v>
      </c>
      <c r="M464" s="45"/>
      <c r="N464" s="29" t="n">
        <v>38000</v>
      </c>
      <c r="O464" s="29" t="n">
        <v>38000</v>
      </c>
      <c r="P464" s="30" t="n">
        <v>0</v>
      </c>
      <c r="Q464" s="263" t="n">
        <v>45516</v>
      </c>
    </row>
    <row r="465" customFormat="false" ht="15" hidden="false" customHeight="false" outlineLevel="0" collapsed="false">
      <c r="A465" s="294" t="n">
        <v>2742</v>
      </c>
      <c r="B465" s="22" t="s">
        <v>791</v>
      </c>
      <c r="C465" s="22"/>
      <c r="D465" s="48"/>
      <c r="E465" s="23" t="n">
        <v>45507</v>
      </c>
      <c r="F465" s="23" t="n">
        <v>45516</v>
      </c>
      <c r="G465" s="53" t="n">
        <v>6</v>
      </c>
      <c r="H465" s="49" t="e">
        <f aca="false">#DIV/0!</f>
        <v>#DIV/0!</v>
      </c>
      <c r="I465" s="49" t="e">
        <f aca="false">#DIV/0!</f>
        <v>#DIV/0!</v>
      </c>
      <c r="J465" s="269" t="s">
        <v>982</v>
      </c>
      <c r="K465" s="27" t="n">
        <v>25000</v>
      </c>
      <c r="L465" s="27" t="n">
        <v>38000</v>
      </c>
      <c r="M465" s="45"/>
      <c r="N465" s="29" t="n">
        <v>38000</v>
      </c>
      <c r="O465" s="29" t="n">
        <v>38000</v>
      </c>
      <c r="P465" s="30" t="n">
        <v>0</v>
      </c>
      <c r="Q465" s="263" t="n">
        <v>45516</v>
      </c>
    </row>
    <row r="466" customFormat="false" ht="26.1" hidden="false" customHeight="false" outlineLevel="0" collapsed="false">
      <c r="A466" s="294" t="n">
        <v>2585</v>
      </c>
      <c r="B466" s="22" t="s">
        <v>459</v>
      </c>
      <c r="C466" s="22" t="s">
        <v>460</v>
      </c>
      <c r="D466" s="48"/>
      <c r="E466" s="23" t="n">
        <v>45401</v>
      </c>
      <c r="F466" s="23" t="n">
        <v>45503</v>
      </c>
      <c r="G466" s="37" t="n">
        <v>72</v>
      </c>
      <c r="H466" s="49" t="n">
        <v>72</v>
      </c>
      <c r="I466" s="49" t="n">
        <v>0</v>
      </c>
      <c r="J466" s="22" t="s">
        <v>188</v>
      </c>
      <c r="K466" s="27" t="n">
        <v>100000</v>
      </c>
      <c r="L466" s="27" t="n">
        <v>216000</v>
      </c>
      <c r="M466" s="28" t="n">
        <v>15000</v>
      </c>
      <c r="N466" s="29" t="n">
        <v>20500</v>
      </c>
      <c r="O466" s="29" t="n">
        <v>216000</v>
      </c>
      <c r="P466" s="30" t="n">
        <v>0</v>
      </c>
      <c r="Q466" s="263" t="n">
        <v>45516</v>
      </c>
    </row>
    <row r="467" customFormat="false" ht="34.3" hidden="false" customHeight="false" outlineLevel="0" collapsed="false">
      <c r="A467" s="294" t="n">
        <v>2401</v>
      </c>
      <c r="B467" s="22" t="s">
        <v>466</v>
      </c>
      <c r="C467" s="22" t="s">
        <v>467</v>
      </c>
      <c r="D467" s="48"/>
      <c r="E467" s="23" t="n">
        <v>45296</v>
      </c>
      <c r="F467" s="23" t="n">
        <v>45478</v>
      </c>
      <c r="G467" s="37" t="n">
        <v>130</v>
      </c>
      <c r="H467" s="49" t="n">
        <v>131.454545454545</v>
      </c>
      <c r="I467" s="49" t="n">
        <v>-1.45454545454547</v>
      </c>
      <c r="J467" s="22" t="s">
        <v>983</v>
      </c>
      <c r="K467" s="27" t="n">
        <v>200000</v>
      </c>
      <c r="L467" s="27" t="n">
        <v>572000</v>
      </c>
      <c r="M467" s="45" t="n">
        <v>22000</v>
      </c>
      <c r="N467" s="29" t="n">
        <v>22000</v>
      </c>
      <c r="O467" s="29" t="n">
        <v>578400</v>
      </c>
      <c r="P467" s="30" t="n">
        <v>-6400</v>
      </c>
      <c r="Q467" s="263" t="n">
        <v>45516</v>
      </c>
    </row>
    <row r="468" customFormat="false" ht="42.5" hidden="false" customHeight="false" outlineLevel="0" collapsed="false">
      <c r="A468" s="294" t="n">
        <v>2358</v>
      </c>
      <c r="B468" s="22" t="s">
        <v>478</v>
      </c>
      <c r="C468" s="22" t="s">
        <v>984</v>
      </c>
      <c r="D468" s="48"/>
      <c r="E468" s="23" t="n">
        <v>45261</v>
      </c>
      <c r="F468" s="23" t="n">
        <v>45485</v>
      </c>
      <c r="G468" s="37" t="n">
        <v>160</v>
      </c>
      <c r="H468" s="49" t="n">
        <v>160.727272727273</v>
      </c>
      <c r="I468" s="49" t="n">
        <v>-0.72727272727272</v>
      </c>
      <c r="J468" s="269" t="s">
        <v>985</v>
      </c>
      <c r="K468" s="27" t="n">
        <v>300000</v>
      </c>
      <c r="L468" s="27" t="n">
        <v>792000</v>
      </c>
      <c r="M468" s="28" t="n">
        <v>24750</v>
      </c>
      <c r="N468" s="29" t="n">
        <v>99000</v>
      </c>
      <c r="O468" s="29" t="n">
        <v>795600</v>
      </c>
      <c r="P468" s="30" t="n">
        <v>-3600</v>
      </c>
      <c r="Q468" s="263" t="n">
        <v>45516</v>
      </c>
    </row>
    <row r="469" customFormat="false" ht="26.1" hidden="false" customHeight="false" outlineLevel="0" collapsed="false">
      <c r="A469" s="294" t="n">
        <v>2556</v>
      </c>
      <c r="B469" s="22" t="s">
        <v>709</v>
      </c>
      <c r="C469" s="22" t="s">
        <v>710</v>
      </c>
      <c r="D469" s="48"/>
      <c r="E469" s="23" t="n">
        <v>45386</v>
      </c>
      <c r="F469" s="23" t="n">
        <v>45554</v>
      </c>
      <c r="G469" s="37" t="n">
        <v>120</v>
      </c>
      <c r="H469" s="49" t="n">
        <v>120</v>
      </c>
      <c r="I469" s="49" t="n">
        <v>0</v>
      </c>
      <c r="J469" s="269" t="s">
        <v>711</v>
      </c>
      <c r="K469" s="30" t="n">
        <v>20000</v>
      </c>
      <c r="L469" s="30" t="n">
        <v>52800</v>
      </c>
      <c r="M469" s="28" t="n">
        <v>2200</v>
      </c>
      <c r="N469" s="29" t="n">
        <v>26400</v>
      </c>
      <c r="O469" s="29" t="n">
        <v>52800</v>
      </c>
      <c r="P469" s="30" t="n">
        <v>0</v>
      </c>
      <c r="Q469" s="263" t="n">
        <v>45516</v>
      </c>
    </row>
    <row r="470" customFormat="false" ht="15" hidden="false" customHeight="false" outlineLevel="0" collapsed="false">
      <c r="A470" s="294" t="n">
        <v>2698</v>
      </c>
      <c r="B470" s="22" t="s">
        <v>946</v>
      </c>
      <c r="C470" s="22"/>
      <c r="D470" s="48"/>
      <c r="E470" s="23" t="n">
        <v>45479</v>
      </c>
      <c r="F470" s="23" t="n">
        <v>45513</v>
      </c>
      <c r="G470" s="37" t="n">
        <v>25</v>
      </c>
      <c r="H470" s="49" t="e">
        <f aca="false">#DIV/0!</f>
        <v>#DIV/0!</v>
      </c>
      <c r="I470" s="49" t="e">
        <f aca="false">#DIV/0!</f>
        <v>#DIV/0!</v>
      </c>
      <c r="J470" s="22" t="s">
        <v>681</v>
      </c>
      <c r="K470" s="27" t="n">
        <v>30000</v>
      </c>
      <c r="L470" s="27" t="n">
        <v>45000</v>
      </c>
      <c r="M470" s="28"/>
      <c r="N470" s="29" t="n">
        <v>45000</v>
      </c>
      <c r="O470" s="29" t="n">
        <v>45000</v>
      </c>
      <c r="P470" s="30" t="n">
        <v>0</v>
      </c>
      <c r="Q470" s="263" t="n">
        <v>45516</v>
      </c>
    </row>
    <row r="471" customFormat="false" ht="15" hidden="false" customHeight="false" outlineLevel="0" collapsed="false">
      <c r="A471" s="294" t="n">
        <v>2727</v>
      </c>
      <c r="B471" s="22" t="s">
        <v>946</v>
      </c>
      <c r="C471" s="22"/>
      <c r="D471" s="48"/>
      <c r="E471" s="23" t="n">
        <v>45498</v>
      </c>
      <c r="F471" s="23" t="n">
        <v>45517</v>
      </c>
      <c r="G471" s="37" t="n">
        <v>13</v>
      </c>
      <c r="H471" s="49" t="e">
        <f aca="false">#DIV/0!</f>
        <v>#DIV/0!</v>
      </c>
      <c r="I471" s="49" t="e">
        <f aca="false">#DIV/0!</f>
        <v>#DIV/0!</v>
      </c>
      <c r="J471" s="22" t="s">
        <v>681</v>
      </c>
      <c r="K471" s="27" t="n">
        <v>30000</v>
      </c>
      <c r="L471" s="27" t="n">
        <v>45000</v>
      </c>
      <c r="M471" s="28"/>
      <c r="N471" s="29" t="n">
        <v>45000</v>
      </c>
      <c r="O471" s="29" t="n">
        <v>45000</v>
      </c>
      <c r="P471" s="30" t="n">
        <v>0</v>
      </c>
      <c r="Q471" s="263" t="n">
        <v>45516</v>
      </c>
    </row>
    <row r="472" customFormat="false" ht="34.3" hidden="false" customHeight="false" outlineLevel="0" collapsed="false">
      <c r="A472" s="294" t="n">
        <v>1879</v>
      </c>
      <c r="B472" s="22" t="s">
        <v>514</v>
      </c>
      <c r="C472" s="22" t="s">
        <v>515</v>
      </c>
      <c r="D472" s="48"/>
      <c r="E472" s="23" t="n">
        <v>44893</v>
      </c>
      <c r="F472" s="23" t="n">
        <v>44993</v>
      </c>
      <c r="G472" s="37" t="n">
        <v>72</v>
      </c>
      <c r="H472" s="49" t="n">
        <v>73.3333333333333</v>
      </c>
      <c r="I472" s="49" t="n">
        <v>-1.33333333333333</v>
      </c>
      <c r="J472" s="22" t="s">
        <v>560</v>
      </c>
      <c r="K472" s="30" t="n">
        <v>10000</v>
      </c>
      <c r="L472" s="30" t="n">
        <v>21600</v>
      </c>
      <c r="M472" s="45" t="n">
        <v>1500</v>
      </c>
      <c r="N472" s="29" t="n">
        <v>1500</v>
      </c>
      <c r="O472" s="29" t="n">
        <v>22000</v>
      </c>
      <c r="P472" s="30" t="n">
        <v>-400</v>
      </c>
      <c r="Q472" s="263" t="n">
        <v>45516</v>
      </c>
    </row>
    <row r="473" customFormat="false" ht="58.95" hidden="false" customHeight="false" outlineLevel="0" collapsed="false">
      <c r="A473" s="294" t="n">
        <v>2441</v>
      </c>
      <c r="B473" s="22" t="s">
        <v>522</v>
      </c>
      <c r="C473" s="22" t="s">
        <v>523</v>
      </c>
      <c r="D473" s="48"/>
      <c r="E473" s="23" t="n">
        <v>45316</v>
      </c>
      <c r="F473" s="23" t="n">
        <v>45491</v>
      </c>
      <c r="G473" s="37" t="n">
        <v>125</v>
      </c>
      <c r="H473" s="49" t="n">
        <v>125</v>
      </c>
      <c r="I473" s="49" t="n">
        <v>0</v>
      </c>
      <c r="J473" s="22" t="s">
        <v>986</v>
      </c>
      <c r="K473" s="27" t="n">
        <v>400000</v>
      </c>
      <c r="L473" s="27" t="n">
        <v>1056000</v>
      </c>
      <c r="M473" s="45" t="n">
        <v>42240</v>
      </c>
      <c r="N473" s="29" t="n">
        <v>80240</v>
      </c>
      <c r="O473" s="29" t="n">
        <v>1056000</v>
      </c>
      <c r="P473" s="30" t="n">
        <v>0</v>
      </c>
      <c r="Q473" s="263" t="n">
        <v>45516</v>
      </c>
    </row>
    <row r="474" customFormat="false" ht="34.3" hidden="false" customHeight="false" outlineLevel="0" collapsed="false">
      <c r="A474" s="294" t="n">
        <v>2400</v>
      </c>
      <c r="B474" s="22" t="s">
        <v>532</v>
      </c>
      <c r="C474" s="22" t="s">
        <v>533</v>
      </c>
      <c r="D474" s="48"/>
      <c r="E474" s="23" t="n">
        <v>45296</v>
      </c>
      <c r="F474" s="23" t="n">
        <v>45520</v>
      </c>
      <c r="G474" s="37" t="n">
        <v>160</v>
      </c>
      <c r="H474" s="49" t="n">
        <v>160</v>
      </c>
      <c r="I474" s="49" t="n">
        <v>0</v>
      </c>
      <c r="J474" s="269" t="s">
        <v>987</v>
      </c>
      <c r="K474" s="27" t="n">
        <v>60000</v>
      </c>
      <c r="L474" s="27" t="n">
        <v>180000</v>
      </c>
      <c r="M474" s="28" t="n">
        <v>5625</v>
      </c>
      <c r="N474" s="29" t="n">
        <v>45500</v>
      </c>
      <c r="O474" s="29" t="n">
        <v>180000</v>
      </c>
      <c r="P474" s="30" t="n">
        <v>0</v>
      </c>
      <c r="Q474" s="263" t="n">
        <v>45516</v>
      </c>
    </row>
    <row r="475" customFormat="false" ht="17.9" hidden="false" customHeight="false" outlineLevel="0" collapsed="false">
      <c r="A475" s="294" t="n">
        <v>2615</v>
      </c>
      <c r="B475" s="22" t="s">
        <v>232</v>
      </c>
      <c r="C475" s="22" t="s">
        <v>233</v>
      </c>
      <c r="D475" s="48"/>
      <c r="E475" s="23" t="n">
        <v>45421</v>
      </c>
      <c r="F475" s="23" t="n">
        <v>45523</v>
      </c>
      <c r="G475" s="37" t="n">
        <v>72</v>
      </c>
      <c r="H475" s="49" t="n">
        <v>72</v>
      </c>
      <c r="I475" s="49" t="n">
        <v>0</v>
      </c>
      <c r="J475" s="22" t="s">
        <v>188</v>
      </c>
      <c r="K475" s="27" t="n">
        <v>100000</v>
      </c>
      <c r="L475" s="27" t="n">
        <v>216000</v>
      </c>
      <c r="M475" s="28" t="n">
        <v>15000</v>
      </c>
      <c r="N475" s="29" t="n">
        <v>6000</v>
      </c>
      <c r="O475" s="29" t="n">
        <v>216000</v>
      </c>
      <c r="P475" s="30" t="n">
        <v>0</v>
      </c>
      <c r="Q475" s="263" t="n">
        <v>45523</v>
      </c>
    </row>
    <row r="476" customFormat="false" ht="17.9" hidden="false" customHeight="false" outlineLevel="0" collapsed="false">
      <c r="A476" s="294" t="n">
        <v>2768</v>
      </c>
      <c r="B476" s="22" t="s">
        <v>363</v>
      </c>
      <c r="C476" s="22"/>
      <c r="D476" s="48"/>
      <c r="E476" s="23" t="n">
        <v>45521</v>
      </c>
      <c r="F476" s="23" t="n">
        <v>45527</v>
      </c>
      <c r="G476" s="37" t="n">
        <v>5</v>
      </c>
      <c r="H476" s="49" t="e">
        <f aca="false">#DIV/0!</f>
        <v>#DIV/0!</v>
      </c>
      <c r="I476" s="49" t="e">
        <f aca="false">#DIV/0!</f>
        <v>#DIV/0!</v>
      </c>
      <c r="J476" s="269" t="s">
        <v>199</v>
      </c>
      <c r="K476" s="50" t="n">
        <v>30000</v>
      </c>
      <c r="L476" s="27" t="n">
        <v>39000</v>
      </c>
      <c r="M476" s="28"/>
      <c r="N476" s="29" t="n">
        <v>39000</v>
      </c>
      <c r="O476" s="29" t="n">
        <v>39000</v>
      </c>
      <c r="P476" s="30" t="n">
        <v>0</v>
      </c>
      <c r="Q476" s="263" t="n">
        <v>45523</v>
      </c>
    </row>
    <row r="477" customFormat="false" ht="42.5" hidden="false" customHeight="false" outlineLevel="0" collapsed="false">
      <c r="A477" s="294" t="n">
        <v>2580</v>
      </c>
      <c r="B477" s="22" t="s">
        <v>489</v>
      </c>
      <c r="C477" s="22" t="s">
        <v>490</v>
      </c>
      <c r="D477" s="48" t="n">
        <v>20317686979</v>
      </c>
      <c r="E477" s="23" t="n">
        <v>45400</v>
      </c>
      <c r="F477" s="23" t="n">
        <v>45540</v>
      </c>
      <c r="G477" s="37" t="n">
        <v>100</v>
      </c>
      <c r="H477" s="49" t="n">
        <v>100</v>
      </c>
      <c r="I477" s="49" t="n">
        <v>0</v>
      </c>
      <c r="J477" s="269" t="s">
        <v>988</v>
      </c>
      <c r="K477" s="30" t="n">
        <v>200000</v>
      </c>
      <c r="L477" s="30" t="n">
        <v>432000</v>
      </c>
      <c r="M477" s="28" t="n">
        <v>21600</v>
      </c>
      <c r="N477" s="29" t="n">
        <v>86400</v>
      </c>
      <c r="O477" s="29" t="n">
        <v>432000</v>
      </c>
      <c r="P477" s="30" t="n">
        <v>0</v>
      </c>
      <c r="Q477" s="263" t="n">
        <v>45523</v>
      </c>
    </row>
    <row r="478" customFormat="false" ht="17.9" hidden="false" customHeight="false" outlineLevel="0" collapsed="false">
      <c r="A478" s="294" t="n">
        <v>2656</v>
      </c>
      <c r="B478" s="22" t="s">
        <v>989</v>
      </c>
      <c r="C478" s="22"/>
      <c r="D478" s="48"/>
      <c r="E478" s="23" t="n">
        <v>45450</v>
      </c>
      <c r="F478" s="23" t="n">
        <v>45548</v>
      </c>
      <c r="G478" s="37" t="n">
        <v>70</v>
      </c>
      <c r="H478" s="49" t="n">
        <v>70</v>
      </c>
      <c r="I478" s="49" t="n">
        <v>0</v>
      </c>
      <c r="J478" s="74" t="s">
        <v>990</v>
      </c>
      <c r="K478" s="27" t="n">
        <v>30000</v>
      </c>
      <c r="L478" s="27" t="n">
        <v>65100</v>
      </c>
      <c r="M478" s="28" t="n">
        <v>4650</v>
      </c>
      <c r="N478" s="29" t="n">
        <v>27900</v>
      </c>
      <c r="O478" s="29" t="n">
        <v>65100</v>
      </c>
      <c r="P478" s="30" t="n">
        <v>0</v>
      </c>
      <c r="Q478" s="263" t="n">
        <v>45523</v>
      </c>
    </row>
    <row r="479" customFormat="false" ht="17.9" hidden="false" customHeight="false" outlineLevel="0" collapsed="false">
      <c r="A479" s="294" t="n">
        <v>2491</v>
      </c>
      <c r="B479" s="22" t="s">
        <v>287</v>
      </c>
      <c r="C479" s="22" t="s">
        <v>835</v>
      </c>
      <c r="D479" s="48"/>
      <c r="E479" s="23" t="n">
        <v>45345</v>
      </c>
      <c r="F479" s="23" t="n">
        <v>45513</v>
      </c>
      <c r="G479" s="37" t="n">
        <v>120</v>
      </c>
      <c r="H479" s="49" t="n">
        <v>120</v>
      </c>
      <c r="I479" s="49" t="n">
        <v>0</v>
      </c>
      <c r="J479" s="22" t="s">
        <v>991</v>
      </c>
      <c r="K479" s="27" t="n">
        <v>150000</v>
      </c>
      <c r="L479" s="27" t="n">
        <v>396000</v>
      </c>
      <c r="M479" s="28" t="n">
        <v>16500</v>
      </c>
      <c r="N479" s="29" t="n">
        <v>25000</v>
      </c>
      <c r="O479" s="29" t="n">
        <v>396000</v>
      </c>
      <c r="P479" s="30" t="n">
        <v>0</v>
      </c>
      <c r="Q479" s="263" t="n">
        <v>45530</v>
      </c>
    </row>
    <row r="480" customFormat="false" ht="50.7" hidden="false" customHeight="false" outlineLevel="0" collapsed="false">
      <c r="A480" s="294" t="n">
        <v>2624</v>
      </c>
      <c r="B480" s="22" t="s">
        <v>885</v>
      </c>
      <c r="C480" s="22" t="s">
        <v>992</v>
      </c>
      <c r="D480" s="48" t="n">
        <v>27313552360</v>
      </c>
      <c r="E480" s="23" t="n">
        <v>45426</v>
      </c>
      <c r="F480" s="23" t="n">
        <v>45526</v>
      </c>
      <c r="G480" s="37" t="n">
        <v>72</v>
      </c>
      <c r="H480" s="49" t="n">
        <v>72</v>
      </c>
      <c r="I480" s="49" t="n">
        <v>0</v>
      </c>
      <c r="J480" s="269" t="s">
        <v>993</v>
      </c>
      <c r="K480" s="27" t="n">
        <v>150000</v>
      </c>
      <c r="L480" s="27" t="n">
        <v>324000</v>
      </c>
      <c r="M480" s="45" t="n">
        <v>22500</v>
      </c>
      <c r="N480" s="29" t="n">
        <v>81000</v>
      </c>
      <c r="O480" s="29" t="n">
        <v>324000</v>
      </c>
      <c r="P480" s="30" t="n">
        <v>0</v>
      </c>
      <c r="Q480" s="263" t="n">
        <v>45530</v>
      </c>
    </row>
    <row r="481" customFormat="false" ht="17.9" hidden="false" customHeight="false" outlineLevel="0" collapsed="false">
      <c r="A481" s="294" t="n">
        <v>2599</v>
      </c>
      <c r="B481" s="22" t="s">
        <v>324</v>
      </c>
      <c r="C481" s="22"/>
      <c r="D481" s="48"/>
      <c r="E481" s="23" t="n">
        <v>45409</v>
      </c>
      <c r="F481" s="23" t="n">
        <v>45520</v>
      </c>
      <c r="G481" s="37" t="n">
        <v>80</v>
      </c>
      <c r="H481" s="49" t="n">
        <v>80</v>
      </c>
      <c r="I481" s="49" t="n">
        <v>0</v>
      </c>
      <c r="J481" s="269" t="s">
        <v>994</v>
      </c>
      <c r="K481" s="27" t="n">
        <v>50000</v>
      </c>
      <c r="L481" s="27" t="n">
        <v>108000</v>
      </c>
      <c r="M481" s="28" t="n">
        <v>6750</v>
      </c>
      <c r="N481" s="29" t="n">
        <v>27000</v>
      </c>
      <c r="O481" s="29" t="n">
        <v>108000</v>
      </c>
      <c r="P481" s="30" t="n">
        <v>0</v>
      </c>
      <c r="Q481" s="263" t="n">
        <v>45530</v>
      </c>
    </row>
    <row r="482" customFormat="false" ht="17.9" hidden="false" customHeight="false" outlineLevel="0" collapsed="false">
      <c r="A482" s="294" t="n">
        <v>2776</v>
      </c>
      <c r="B482" s="22" t="s">
        <v>363</v>
      </c>
      <c r="C482" s="22"/>
      <c r="D482" s="48"/>
      <c r="E482" s="23" t="n">
        <v>45526</v>
      </c>
      <c r="F482" s="23" t="n">
        <f aca="false">WORKDAY(E482,G482)</f>
        <v>45533</v>
      </c>
      <c r="G482" s="37" t="n">
        <v>5</v>
      </c>
      <c r="H482" s="49" t="e">
        <f aca="false">(DF482* 5)/M482</f>
        <v>#DIV/0!</v>
      </c>
      <c r="I482" s="49" t="e">
        <f aca="false">G482-H482</f>
        <v>#DIV/0!</v>
      </c>
      <c r="J482" s="269" t="s">
        <v>199</v>
      </c>
      <c r="K482" s="50" t="n">
        <v>30000</v>
      </c>
      <c r="L482" s="27" t="n">
        <v>39000</v>
      </c>
      <c r="M482" s="28"/>
      <c r="N482" s="29" t="n">
        <v>39000</v>
      </c>
      <c r="O482" s="29" t="n">
        <v>39000</v>
      </c>
      <c r="P482" s="30" t="n">
        <v>0</v>
      </c>
      <c r="Q482" s="263" t="n">
        <v>45530</v>
      </c>
    </row>
    <row r="483" customFormat="false" ht="34.3" hidden="false" customHeight="false" outlineLevel="0" collapsed="false">
      <c r="A483" s="294" t="n">
        <v>2584</v>
      </c>
      <c r="B483" s="22" t="s">
        <v>995</v>
      </c>
      <c r="C483" s="22" t="s">
        <v>383</v>
      </c>
      <c r="D483" s="48"/>
      <c r="E483" s="23" t="n">
        <v>45401</v>
      </c>
      <c r="F483" s="23" t="n">
        <v>45503</v>
      </c>
      <c r="G483" s="37" t="n">
        <v>72</v>
      </c>
      <c r="H483" s="49" t="n">
        <v>72</v>
      </c>
      <c r="I483" s="49" t="n">
        <v>0</v>
      </c>
      <c r="J483" s="22" t="s">
        <v>560</v>
      </c>
      <c r="K483" s="30" t="n">
        <v>10000</v>
      </c>
      <c r="L483" s="30" t="n">
        <v>21600</v>
      </c>
      <c r="M483" s="28" t="n">
        <v>1500</v>
      </c>
      <c r="N483" s="29" t="n">
        <v>600</v>
      </c>
      <c r="O483" s="29" t="n">
        <v>21600</v>
      </c>
      <c r="P483" s="30" t="n">
        <v>0</v>
      </c>
      <c r="Q483" s="263" t="n">
        <v>45530</v>
      </c>
    </row>
    <row r="484" customFormat="false" ht="34.3" hidden="false" customHeight="false" outlineLevel="0" collapsed="false">
      <c r="A484" s="294" t="n">
        <v>2621</v>
      </c>
      <c r="B484" s="22" t="s">
        <v>417</v>
      </c>
      <c r="C484" s="22" t="s">
        <v>415</v>
      </c>
      <c r="D484" s="48"/>
      <c r="E484" s="23" t="n">
        <v>45425</v>
      </c>
      <c r="F484" s="23" t="n">
        <v>45525</v>
      </c>
      <c r="G484" s="37" t="n">
        <v>72</v>
      </c>
      <c r="H484" s="49" t="n">
        <v>71.8571428571429</v>
      </c>
      <c r="I484" s="49" t="n">
        <v>0.142857142857139</v>
      </c>
      <c r="J484" s="269" t="s">
        <v>495</v>
      </c>
      <c r="K484" s="33" t="n">
        <v>70000</v>
      </c>
      <c r="L484" s="27" t="n">
        <v>151200</v>
      </c>
      <c r="M484" s="28" t="n">
        <v>10500</v>
      </c>
      <c r="N484" s="29" t="n">
        <v>10500</v>
      </c>
      <c r="O484" s="29" t="n">
        <v>150900</v>
      </c>
      <c r="P484" s="30" t="n">
        <v>300</v>
      </c>
      <c r="Q484" s="263" t="n">
        <v>45530</v>
      </c>
    </row>
    <row r="485" customFormat="false" ht="26.1" hidden="false" customHeight="false" outlineLevel="0" collapsed="false">
      <c r="A485" s="294" t="n">
        <v>2390</v>
      </c>
      <c r="B485" s="22" t="s">
        <v>357</v>
      </c>
      <c r="C485" s="22" t="s">
        <v>358</v>
      </c>
      <c r="D485" s="48" t="n">
        <v>13589728</v>
      </c>
      <c r="E485" s="23" t="n">
        <v>45289</v>
      </c>
      <c r="F485" s="23" t="n">
        <v>45541</v>
      </c>
      <c r="G485" s="37" t="n">
        <v>180</v>
      </c>
      <c r="H485" s="49" t="n">
        <v>180</v>
      </c>
      <c r="I485" s="49" t="n">
        <v>0</v>
      </c>
      <c r="J485" s="269" t="s">
        <v>996</v>
      </c>
      <c r="K485" s="27" t="n">
        <v>150000</v>
      </c>
      <c r="L485" s="27" t="n">
        <v>600300</v>
      </c>
      <c r="M485" s="45" t="n">
        <v>16675</v>
      </c>
      <c r="N485" s="29" t="n">
        <v>66700</v>
      </c>
      <c r="O485" s="29" t="n">
        <v>600300</v>
      </c>
      <c r="P485" s="30" t="n">
        <v>0</v>
      </c>
      <c r="Q485" s="263" t="n">
        <v>45537</v>
      </c>
    </row>
    <row r="486" customFormat="false" ht="17.9" hidden="false" customHeight="false" outlineLevel="0" collapsed="false">
      <c r="A486" s="294" t="n">
        <v>2788</v>
      </c>
      <c r="B486" s="22" t="s">
        <v>363</v>
      </c>
      <c r="C486" s="22"/>
      <c r="D486" s="48"/>
      <c r="E486" s="23" t="n">
        <v>45535</v>
      </c>
      <c r="F486" s="23" t="n">
        <v>45541</v>
      </c>
      <c r="G486" s="37" t="n">
        <v>5</v>
      </c>
      <c r="H486" s="49" t="e">
        <f aca="false">#DIV/0!</f>
        <v>#DIV/0!</v>
      </c>
      <c r="I486" s="49" t="e">
        <f aca="false">#DIV/0!</f>
        <v>#DIV/0!</v>
      </c>
      <c r="J486" s="269" t="s">
        <v>199</v>
      </c>
      <c r="K486" s="50" t="n">
        <v>30000</v>
      </c>
      <c r="L486" s="27" t="n">
        <v>39000</v>
      </c>
      <c r="M486" s="28"/>
      <c r="N486" s="29" t="n">
        <v>39000</v>
      </c>
      <c r="O486" s="29" t="n">
        <v>39000</v>
      </c>
      <c r="P486" s="30" t="n">
        <v>0</v>
      </c>
      <c r="Q486" s="263" t="n">
        <v>45537</v>
      </c>
    </row>
    <row r="487" customFormat="false" ht="26.1" hidden="false" customHeight="false" outlineLevel="0" collapsed="false">
      <c r="A487" s="294" t="n">
        <v>2382</v>
      </c>
      <c r="B487" s="22" t="s">
        <v>405</v>
      </c>
      <c r="C487" s="22" t="s">
        <v>812</v>
      </c>
      <c r="D487" s="48"/>
      <c r="E487" s="23" t="n">
        <v>45280</v>
      </c>
      <c r="F487" s="23" t="n">
        <v>45532</v>
      </c>
      <c r="G487" s="37" t="n">
        <v>180</v>
      </c>
      <c r="H487" s="49" t="n">
        <v>180</v>
      </c>
      <c r="I487" s="49" t="n">
        <v>0</v>
      </c>
      <c r="J487" s="74" t="s">
        <v>997</v>
      </c>
      <c r="K487" s="30" t="n">
        <v>100000</v>
      </c>
      <c r="L487" s="30" t="n">
        <v>250200</v>
      </c>
      <c r="M487" s="45" t="n">
        <v>6950</v>
      </c>
      <c r="N487" s="29" t="n">
        <v>27800</v>
      </c>
      <c r="O487" s="29" t="n">
        <v>250200</v>
      </c>
      <c r="P487" s="30" t="n">
        <v>0</v>
      </c>
      <c r="Q487" s="263" t="n">
        <v>45537</v>
      </c>
    </row>
    <row r="488" customFormat="false" ht="34.3" hidden="false" customHeight="false" outlineLevel="0" collapsed="false">
      <c r="A488" s="294" t="n">
        <v>2530</v>
      </c>
      <c r="B488" s="22" t="s">
        <v>405</v>
      </c>
      <c r="C488" s="22" t="s">
        <v>406</v>
      </c>
      <c r="D488" s="48"/>
      <c r="E488" s="23" t="n">
        <v>45369</v>
      </c>
      <c r="F488" s="23" t="n">
        <v>45537</v>
      </c>
      <c r="G488" s="37" t="n">
        <v>120</v>
      </c>
      <c r="H488" s="49" t="n">
        <v>120</v>
      </c>
      <c r="I488" s="49" t="n">
        <v>0</v>
      </c>
      <c r="J488" s="74" t="s">
        <v>998</v>
      </c>
      <c r="K488" s="27" t="n">
        <v>50000</v>
      </c>
      <c r="L488" s="27" t="n">
        <v>132000</v>
      </c>
      <c r="M488" s="28" t="n">
        <v>5500</v>
      </c>
      <c r="N488" s="29" t="n">
        <v>22000</v>
      </c>
      <c r="O488" s="29" t="n">
        <v>132000</v>
      </c>
      <c r="P488" s="30" t="n">
        <v>0</v>
      </c>
      <c r="Q488" s="263" t="n">
        <v>45537</v>
      </c>
    </row>
    <row r="489" customFormat="false" ht="26.1" hidden="false" customHeight="false" outlineLevel="0" collapsed="false">
      <c r="A489" s="294" t="n">
        <v>2693</v>
      </c>
      <c r="B489" s="22" t="s">
        <v>684</v>
      </c>
      <c r="C489" s="22" t="s">
        <v>685</v>
      </c>
      <c r="D489" s="48"/>
      <c r="E489" s="23" t="n">
        <v>45477</v>
      </c>
      <c r="F489" s="23" t="n">
        <v>45505</v>
      </c>
      <c r="G489" s="37" t="n">
        <v>20</v>
      </c>
      <c r="H489" s="49" t="e">
        <f aca="false">#DIV/0!</f>
        <v>#DIV/0!</v>
      </c>
      <c r="I489" s="49" t="e">
        <f aca="false">#DIV/0!</f>
        <v>#DIV/0!</v>
      </c>
      <c r="J489" s="269" t="s">
        <v>681</v>
      </c>
      <c r="K489" s="27" t="n">
        <v>40000</v>
      </c>
      <c r="L489" s="27" t="n">
        <v>75000</v>
      </c>
      <c r="M489" s="45"/>
      <c r="N489" s="29" t="n">
        <v>50000</v>
      </c>
      <c r="O489" s="29" t="n">
        <v>80000</v>
      </c>
      <c r="P489" s="30" t="n">
        <v>-5000</v>
      </c>
      <c r="Q489" s="263" t="n">
        <v>45537</v>
      </c>
    </row>
    <row r="490" customFormat="false" ht="34.3" hidden="false" customHeight="false" outlineLevel="0" collapsed="false">
      <c r="A490" s="294" t="n">
        <v>2534</v>
      </c>
      <c r="B490" s="22" t="s">
        <v>452</v>
      </c>
      <c r="C490" s="22"/>
      <c r="D490" s="48"/>
      <c r="E490" s="23" t="n">
        <v>45371</v>
      </c>
      <c r="F490" s="23" t="n">
        <v>45539</v>
      </c>
      <c r="G490" s="37" t="n">
        <v>120</v>
      </c>
      <c r="H490" s="49" t="n">
        <v>120</v>
      </c>
      <c r="I490" s="49" t="n">
        <v>0</v>
      </c>
      <c r="J490" s="269" t="s">
        <v>456</v>
      </c>
      <c r="K490" s="30" t="n">
        <v>100000</v>
      </c>
      <c r="L490" s="30" t="n">
        <v>264000</v>
      </c>
      <c r="M490" s="28" t="n">
        <v>11000</v>
      </c>
      <c r="N490" s="29" t="n">
        <v>44000</v>
      </c>
      <c r="O490" s="29" t="n">
        <v>264000</v>
      </c>
      <c r="P490" s="30" t="n">
        <v>0</v>
      </c>
      <c r="Q490" s="263" t="n">
        <v>45537</v>
      </c>
    </row>
    <row r="491" customFormat="false" ht="26.1" hidden="false" customHeight="false" outlineLevel="0" collapsed="false">
      <c r="A491" s="294" t="n">
        <v>2612</v>
      </c>
      <c r="B491" s="22" t="s">
        <v>565</v>
      </c>
      <c r="C491" s="22" t="s">
        <v>566</v>
      </c>
      <c r="D491" s="48"/>
      <c r="E491" s="23" t="n">
        <v>45421</v>
      </c>
      <c r="F491" s="23" t="n">
        <v>45533</v>
      </c>
      <c r="G491" s="37" t="n">
        <v>80</v>
      </c>
      <c r="H491" s="49" t="n">
        <v>80</v>
      </c>
      <c r="I491" s="49" t="n">
        <v>0</v>
      </c>
      <c r="J491" s="269" t="s">
        <v>999</v>
      </c>
      <c r="K491" s="27" t="n">
        <v>100000</v>
      </c>
      <c r="L491" s="27" t="n">
        <v>216000</v>
      </c>
      <c r="M491" s="28" t="n">
        <v>13500</v>
      </c>
      <c r="N491" s="29" t="n">
        <v>54000</v>
      </c>
      <c r="O491" s="29" t="n">
        <v>216000</v>
      </c>
      <c r="P491" s="30" t="n">
        <v>0</v>
      </c>
      <c r="Q491" s="263" t="n">
        <v>45537</v>
      </c>
    </row>
    <row r="492" customFormat="false" ht="26.1" hidden="false" customHeight="false" outlineLevel="0" collapsed="false">
      <c r="A492" s="294" t="n">
        <v>2760</v>
      </c>
      <c r="B492" s="22" t="s">
        <v>216</v>
      </c>
      <c r="C492" s="22" t="s">
        <v>217</v>
      </c>
      <c r="D492" s="48" t="s">
        <v>218</v>
      </c>
      <c r="E492" s="23" t="n">
        <v>45415</v>
      </c>
      <c r="F492" s="23" t="n">
        <v>45555</v>
      </c>
      <c r="G492" s="37" t="n">
        <v>100</v>
      </c>
      <c r="H492" s="49" t="e">
        <f aca="false">#DIV/0!</f>
        <v>#DIV/0!</v>
      </c>
      <c r="I492" s="49" t="e">
        <f aca="false">#DIV/0!</f>
        <v>#DIV/0!</v>
      </c>
      <c r="J492" s="269" t="s">
        <v>444</v>
      </c>
      <c r="K492" s="27" t="n">
        <v>20000</v>
      </c>
      <c r="L492" s="27" t="n">
        <v>30000</v>
      </c>
      <c r="M492" s="45"/>
      <c r="N492" s="29" t="n">
        <v>30000</v>
      </c>
      <c r="O492" s="29" t="n">
        <v>30000</v>
      </c>
      <c r="P492" s="30" t="n">
        <v>0</v>
      </c>
      <c r="Q492" s="263" t="n">
        <v>45545</v>
      </c>
    </row>
    <row r="493" customFormat="false" ht="34.3" hidden="false" customHeight="false" outlineLevel="0" collapsed="false">
      <c r="A493" s="294" t="n">
        <v>2646</v>
      </c>
      <c r="B493" s="22" t="s">
        <v>226</v>
      </c>
      <c r="C493" s="22" t="s">
        <v>227</v>
      </c>
      <c r="D493" s="48"/>
      <c r="E493" s="23" t="n">
        <v>45436</v>
      </c>
      <c r="F493" s="23" t="n">
        <v>45538</v>
      </c>
      <c r="G493" s="37" t="n">
        <v>72</v>
      </c>
      <c r="H493" s="49" t="n">
        <v>72</v>
      </c>
      <c r="I493" s="49" t="n">
        <v>0</v>
      </c>
      <c r="J493" s="22" t="s">
        <v>716</v>
      </c>
      <c r="K493" s="27" t="n">
        <v>15000</v>
      </c>
      <c r="L493" s="27" t="n">
        <v>32400</v>
      </c>
      <c r="M493" s="28" t="n">
        <v>2250</v>
      </c>
      <c r="N493" s="29" t="n">
        <v>1250</v>
      </c>
      <c r="O493" s="29" t="n">
        <v>32400</v>
      </c>
      <c r="P493" s="30" t="n">
        <v>0</v>
      </c>
      <c r="Q493" s="263" t="n">
        <v>45545</v>
      </c>
    </row>
    <row r="494" customFormat="false" ht="26.1" hidden="false" customHeight="false" outlineLevel="0" collapsed="false">
      <c r="A494" s="294" t="n">
        <v>2667</v>
      </c>
      <c r="B494" s="22" t="s">
        <v>248</v>
      </c>
      <c r="C494" s="22" t="s">
        <v>249</v>
      </c>
      <c r="D494" s="48"/>
      <c r="E494" s="23" t="n">
        <v>45461</v>
      </c>
      <c r="F494" s="23" t="n">
        <v>45545</v>
      </c>
      <c r="G494" s="37" t="n">
        <v>60</v>
      </c>
      <c r="H494" s="49" t="n">
        <v>60</v>
      </c>
      <c r="I494" s="49" t="n">
        <v>0</v>
      </c>
      <c r="J494" s="269" t="s">
        <v>1000</v>
      </c>
      <c r="K494" s="33" t="n">
        <v>50000</v>
      </c>
      <c r="L494" s="27" t="n">
        <v>96000</v>
      </c>
      <c r="M494" s="45" t="n">
        <v>8000</v>
      </c>
      <c r="N494" s="29" t="n">
        <v>32000</v>
      </c>
      <c r="O494" s="29" t="n">
        <v>96000</v>
      </c>
      <c r="P494" s="30" t="n">
        <v>0</v>
      </c>
      <c r="Q494" s="263" t="n">
        <v>45545</v>
      </c>
    </row>
    <row r="495" customFormat="false" ht="17.9" hidden="false" customHeight="false" outlineLevel="0" collapsed="false">
      <c r="A495" s="294" t="n">
        <v>2620</v>
      </c>
      <c r="B495" s="22" t="s">
        <v>393</v>
      </c>
      <c r="C495" s="22"/>
      <c r="D495" s="48"/>
      <c r="E495" s="23" t="n">
        <v>45423</v>
      </c>
      <c r="F495" s="23" t="n">
        <v>45524</v>
      </c>
      <c r="G495" s="37" t="n">
        <v>72</v>
      </c>
      <c r="H495" s="49" t="n">
        <v>72</v>
      </c>
      <c r="I495" s="49" t="n">
        <v>0</v>
      </c>
      <c r="J495" s="22" t="s">
        <v>784</v>
      </c>
      <c r="K495" s="27" t="n">
        <v>40000</v>
      </c>
      <c r="L495" s="27" t="n">
        <v>86400</v>
      </c>
      <c r="M495" s="45" t="n">
        <v>6000</v>
      </c>
      <c r="N495" s="29" t="n">
        <v>7650</v>
      </c>
      <c r="O495" s="29" t="n">
        <v>86400</v>
      </c>
      <c r="P495" s="30" t="n">
        <v>0</v>
      </c>
      <c r="Q495" s="263" t="n">
        <v>45545</v>
      </c>
    </row>
    <row r="496" customFormat="false" ht="26.1" hidden="false" customHeight="false" outlineLevel="0" collapsed="false">
      <c r="A496" s="294" t="n">
        <v>2552</v>
      </c>
      <c r="B496" s="22" t="s">
        <v>682</v>
      </c>
      <c r="C496" s="22" t="s">
        <v>683</v>
      </c>
      <c r="D496" s="48"/>
      <c r="E496" s="23" t="n">
        <v>45384</v>
      </c>
      <c r="F496" s="23" t="n">
        <v>45484</v>
      </c>
      <c r="G496" s="37" t="n">
        <v>72</v>
      </c>
      <c r="H496" s="49" t="n">
        <v>72</v>
      </c>
      <c r="I496" s="49" t="n">
        <v>0</v>
      </c>
      <c r="J496" s="22" t="s">
        <v>784</v>
      </c>
      <c r="K496" s="27" t="n">
        <v>40000</v>
      </c>
      <c r="L496" s="27" t="n">
        <v>86400</v>
      </c>
      <c r="M496" s="28" t="n">
        <v>6000</v>
      </c>
      <c r="N496" s="29" t="n">
        <v>8700</v>
      </c>
      <c r="O496" s="29" t="n">
        <v>86400</v>
      </c>
      <c r="P496" s="30" t="n">
        <v>0</v>
      </c>
      <c r="Q496" s="263" t="n">
        <v>45545</v>
      </c>
    </row>
    <row r="497" customFormat="false" ht="34.3" hidden="false" customHeight="false" outlineLevel="0" collapsed="false">
      <c r="A497" s="294" t="n">
        <v>2587</v>
      </c>
      <c r="B497" s="22" t="s">
        <v>717</v>
      </c>
      <c r="C497" s="22" t="s">
        <v>432</v>
      </c>
      <c r="D497" s="48"/>
      <c r="E497" s="23" t="n">
        <v>45402</v>
      </c>
      <c r="F497" s="23" t="n">
        <v>45555</v>
      </c>
      <c r="G497" s="37" t="n">
        <v>110</v>
      </c>
      <c r="H497" s="49" t="n">
        <v>110</v>
      </c>
      <c r="I497" s="49" t="n">
        <v>0</v>
      </c>
      <c r="J497" s="22" t="s">
        <v>1001</v>
      </c>
      <c r="K497" s="30" t="n">
        <v>40000</v>
      </c>
      <c r="L497" s="30" t="n">
        <v>105600</v>
      </c>
      <c r="M497" s="28" t="n">
        <v>4800</v>
      </c>
      <c r="N497" s="29" t="n">
        <v>22800</v>
      </c>
      <c r="O497" s="29" t="n">
        <v>105600</v>
      </c>
      <c r="P497" s="30" t="n">
        <v>0</v>
      </c>
      <c r="Q497" s="263" t="n">
        <v>45545</v>
      </c>
    </row>
    <row r="498" customFormat="false" ht="15" hidden="false" customHeight="false" outlineLevel="0" collapsed="false">
      <c r="A498" s="294" t="n">
        <v>2777</v>
      </c>
      <c r="B498" s="22" t="s">
        <v>791</v>
      </c>
      <c r="C498" s="22"/>
      <c r="D498" s="48"/>
      <c r="E498" s="23" t="n">
        <v>45526</v>
      </c>
      <c r="F498" s="23" t="n">
        <v>45547</v>
      </c>
      <c r="G498" s="37" t="n">
        <v>15</v>
      </c>
      <c r="H498" s="49" t="e">
        <f aca="false">#DIV/0!</f>
        <v>#DIV/0!</v>
      </c>
      <c r="I498" s="49" t="e">
        <f aca="false">#DIV/0!</f>
        <v>#DIV/0!</v>
      </c>
      <c r="J498" s="269" t="s">
        <v>199</v>
      </c>
      <c r="K498" s="27" t="n">
        <v>60000</v>
      </c>
      <c r="L498" s="27" t="n">
        <v>96000</v>
      </c>
      <c r="M498" s="45"/>
      <c r="N498" s="29" t="n">
        <v>96000</v>
      </c>
      <c r="O498" s="29" t="n">
        <v>96000</v>
      </c>
      <c r="P498" s="30" t="n">
        <v>0</v>
      </c>
      <c r="Q498" s="263" t="n">
        <v>45547</v>
      </c>
    </row>
    <row r="499" customFormat="false" ht="15" hidden="false" customHeight="false" outlineLevel="0" collapsed="false">
      <c r="A499" s="294" t="n">
        <v>2786</v>
      </c>
      <c r="B499" s="22" t="s">
        <v>791</v>
      </c>
      <c r="C499" s="22"/>
      <c r="D499" s="48"/>
      <c r="E499" s="23" t="n">
        <v>45535</v>
      </c>
      <c r="F499" s="23" t="n">
        <v>45548</v>
      </c>
      <c r="G499" s="37" t="n">
        <v>10</v>
      </c>
      <c r="H499" s="49" t="e">
        <f aca="false">#DIV/0!</f>
        <v>#DIV/0!</v>
      </c>
      <c r="I499" s="49" t="e">
        <f aca="false">#DIV/0!</f>
        <v>#DIV/0!</v>
      </c>
      <c r="J499" s="269" t="s">
        <v>199</v>
      </c>
      <c r="K499" s="27" t="n">
        <v>20000</v>
      </c>
      <c r="L499" s="27" t="n">
        <v>30000</v>
      </c>
      <c r="M499" s="28"/>
      <c r="N499" s="29" t="n">
        <v>30000</v>
      </c>
      <c r="O499" s="29" t="n">
        <v>30000</v>
      </c>
      <c r="P499" s="30" t="n">
        <v>0</v>
      </c>
      <c r="Q499" s="263" t="n">
        <v>45547</v>
      </c>
    </row>
    <row r="500" customFormat="false" ht="34.3" hidden="false" customHeight="false" outlineLevel="0" collapsed="false">
      <c r="A500" s="294" t="n">
        <v>2543</v>
      </c>
      <c r="B500" s="22" t="s">
        <v>475</v>
      </c>
      <c r="C500" s="22" t="s">
        <v>1002</v>
      </c>
      <c r="D500" s="48" t="n">
        <v>20407921802</v>
      </c>
      <c r="E500" s="23" t="s">
        <v>1003</v>
      </c>
      <c r="F500" s="23" t="e">
        <f aca="false">#VALUE!</f>
        <v>#VALUE!</v>
      </c>
      <c r="G500" s="37" t="n">
        <v>120</v>
      </c>
      <c r="H500" s="49" t="n">
        <v>120</v>
      </c>
      <c r="I500" s="49" t="n">
        <v>0</v>
      </c>
      <c r="J500" s="269" t="s">
        <v>879</v>
      </c>
      <c r="K500" s="27" t="n">
        <v>50000</v>
      </c>
      <c r="L500" s="27" t="n">
        <v>132000</v>
      </c>
      <c r="M500" s="45" t="n">
        <v>5500</v>
      </c>
      <c r="N500" s="29" t="n">
        <v>22000</v>
      </c>
      <c r="O500" s="29" t="n">
        <v>132000</v>
      </c>
      <c r="P500" s="30" t="n">
        <v>0</v>
      </c>
      <c r="Q500" s="263" t="n">
        <v>45547</v>
      </c>
    </row>
    <row r="501" customFormat="false" ht="26.1" hidden="false" customHeight="false" outlineLevel="0" collapsed="false">
      <c r="A501" s="294" t="n">
        <v>2638</v>
      </c>
      <c r="B501" s="22" t="s">
        <v>709</v>
      </c>
      <c r="C501" s="22" t="s">
        <v>710</v>
      </c>
      <c r="D501" s="48"/>
      <c r="E501" s="23" t="n">
        <v>45289</v>
      </c>
      <c r="F501" s="23" t="n">
        <v>45401</v>
      </c>
      <c r="G501" s="37" t="n">
        <v>80</v>
      </c>
      <c r="H501" s="49" t="n">
        <v>80</v>
      </c>
      <c r="I501" s="49" t="n">
        <v>0</v>
      </c>
      <c r="J501" s="269" t="s">
        <v>1004</v>
      </c>
      <c r="K501" s="290" t="n">
        <v>20000</v>
      </c>
      <c r="L501" s="27" t="n">
        <v>43200</v>
      </c>
      <c r="M501" s="45" t="n">
        <v>2700</v>
      </c>
      <c r="N501" s="29" t="n">
        <v>10800</v>
      </c>
      <c r="O501" s="29" t="n">
        <v>43200</v>
      </c>
      <c r="P501" s="30" t="n">
        <v>0</v>
      </c>
      <c r="Q501" s="263" t="n">
        <v>45547</v>
      </c>
    </row>
    <row r="502" customFormat="false" ht="15" hidden="false" customHeight="false" outlineLevel="0" collapsed="false">
      <c r="A502" s="294" t="n">
        <v>2759</v>
      </c>
      <c r="B502" s="22" t="s">
        <v>946</v>
      </c>
      <c r="C502" s="22"/>
      <c r="D502" s="48"/>
      <c r="E502" s="23" t="n">
        <v>45518</v>
      </c>
      <c r="F502" s="23" t="n">
        <v>45537</v>
      </c>
      <c r="G502" s="37" t="n">
        <v>13</v>
      </c>
      <c r="H502" s="49" t="e">
        <f aca="false">#DIV/0!</f>
        <v>#DIV/0!</v>
      </c>
      <c r="I502" s="49" t="e">
        <f aca="false">#DIV/0!</f>
        <v>#DIV/0!</v>
      </c>
      <c r="J502" s="22" t="s">
        <v>681</v>
      </c>
      <c r="K502" s="27" t="n">
        <v>40000</v>
      </c>
      <c r="L502" s="27" t="n">
        <v>64000</v>
      </c>
      <c r="M502" s="45"/>
      <c r="N502" s="29" t="n">
        <v>64000</v>
      </c>
      <c r="O502" s="29" t="n">
        <v>64000</v>
      </c>
      <c r="P502" s="30" t="n">
        <v>0</v>
      </c>
      <c r="Q502" s="263" t="n">
        <v>45547</v>
      </c>
    </row>
    <row r="503" customFormat="false" ht="26.1" hidden="false" customHeight="false" outlineLevel="0" collapsed="false">
      <c r="A503" s="294" t="n">
        <v>2713</v>
      </c>
      <c r="B503" s="22" t="s">
        <v>688</v>
      </c>
      <c r="C503" s="22"/>
      <c r="D503" s="48"/>
      <c r="E503" s="23" t="n">
        <v>45488</v>
      </c>
      <c r="F503" s="23" t="n">
        <v>45516</v>
      </c>
      <c r="G503" s="37" t="n">
        <v>20</v>
      </c>
      <c r="H503" s="49" t="e">
        <f aca="false">#DIV/0!</f>
        <v>#DIV/0!</v>
      </c>
      <c r="I503" s="49" t="e">
        <f aca="false">#DIV/0!</f>
        <v>#DIV/0!</v>
      </c>
      <c r="J503" s="269" t="s">
        <v>681</v>
      </c>
      <c r="K503" s="27" t="n">
        <v>40000</v>
      </c>
      <c r="L503" s="27" t="n">
        <v>64000</v>
      </c>
      <c r="M503" s="28"/>
      <c r="N503" s="29" t="n">
        <v>4000</v>
      </c>
      <c r="O503" s="29" t="n">
        <v>64000</v>
      </c>
      <c r="P503" s="30" t="n">
        <v>0</v>
      </c>
      <c r="Q503" s="263" t="n">
        <v>45547</v>
      </c>
    </row>
    <row r="504" customFormat="false" ht="26.1" hidden="false" customHeight="false" outlineLevel="0" collapsed="false">
      <c r="A504" s="294" t="n">
        <v>2736</v>
      </c>
      <c r="B504" s="22" t="s">
        <v>688</v>
      </c>
      <c r="C504" s="22"/>
      <c r="D504" s="48"/>
      <c r="E504" s="23" t="n">
        <v>45503</v>
      </c>
      <c r="F504" s="23" t="n">
        <v>45524</v>
      </c>
      <c r="G504" s="37" t="n">
        <v>15</v>
      </c>
      <c r="H504" s="49" t="e">
        <f aca="false">#DIV/0!</f>
        <v>#DIV/0!</v>
      </c>
      <c r="I504" s="49" t="e">
        <f aca="false">#DIV/0!</f>
        <v>#DIV/0!</v>
      </c>
      <c r="J504" s="269" t="s">
        <v>681</v>
      </c>
      <c r="K504" s="27" t="n">
        <v>20000</v>
      </c>
      <c r="L504" s="27" t="n">
        <v>30000</v>
      </c>
      <c r="M504" s="28"/>
      <c r="N504" s="29" t="n">
        <v>30000</v>
      </c>
      <c r="O504" s="29" t="n">
        <v>30000</v>
      </c>
      <c r="P504" s="30" t="n">
        <v>0</v>
      </c>
      <c r="Q504" s="263" t="n">
        <v>45547</v>
      </c>
    </row>
    <row r="505" customFormat="false" ht="26.1" hidden="false" customHeight="false" outlineLevel="0" collapsed="false">
      <c r="A505" s="294" t="n">
        <v>2744</v>
      </c>
      <c r="B505" s="22" t="s">
        <v>688</v>
      </c>
      <c r="C505" s="22"/>
      <c r="D505" s="48"/>
      <c r="E505" s="23" t="n">
        <v>45509</v>
      </c>
      <c r="F505" s="23" t="n">
        <v>45523</v>
      </c>
      <c r="G505" s="37" t="n">
        <v>10</v>
      </c>
      <c r="H505" s="49" t="e">
        <f aca="false">#DIV/0!</f>
        <v>#DIV/0!</v>
      </c>
      <c r="I505" s="49" t="e">
        <f aca="false">#DIV/0!</f>
        <v>#DIV/0!</v>
      </c>
      <c r="J505" s="269" t="s">
        <v>681</v>
      </c>
      <c r="K505" s="27" t="n">
        <v>10000</v>
      </c>
      <c r="L505" s="27" t="n">
        <v>16000</v>
      </c>
      <c r="M505" s="28"/>
      <c r="N505" s="29" t="n">
        <v>16000</v>
      </c>
      <c r="O505" s="29" t="n">
        <v>16000</v>
      </c>
      <c r="P505" s="30" t="n">
        <v>0</v>
      </c>
      <c r="Q505" s="263" t="n">
        <v>45547</v>
      </c>
    </row>
    <row r="506" customFormat="false" ht="42.5" hidden="false" customHeight="false" outlineLevel="0" collapsed="false">
      <c r="A506" s="294" t="n">
        <v>2540</v>
      </c>
      <c r="B506" s="22" t="s">
        <v>1005</v>
      </c>
      <c r="C506" s="22" t="s">
        <v>493</v>
      </c>
      <c r="D506" s="48"/>
      <c r="E506" s="23" t="n">
        <v>45374</v>
      </c>
      <c r="F506" s="23" t="n">
        <f aca="false">WORKDAY(E506,G506)</f>
        <v>45475</v>
      </c>
      <c r="G506" s="37" t="n">
        <v>72</v>
      </c>
      <c r="H506" s="49" t="n">
        <f aca="false">(DI506* 5)/M506</f>
        <v>0</v>
      </c>
      <c r="I506" s="49" t="n">
        <f aca="false">G506-H506</f>
        <v>72</v>
      </c>
      <c r="J506" s="22" t="s">
        <v>675</v>
      </c>
      <c r="K506" s="30" t="n">
        <v>30000</v>
      </c>
      <c r="L506" s="30" t="n">
        <v>64800</v>
      </c>
      <c r="M506" s="28" t="n">
        <f aca="false">(L506/G506)*5</f>
        <v>4500</v>
      </c>
      <c r="N506" s="299"/>
      <c r="O506" s="29" t="n">
        <v>65200</v>
      </c>
      <c r="P506" s="30" t="n">
        <v>-400</v>
      </c>
      <c r="Q506" s="263" t="n">
        <v>45547</v>
      </c>
    </row>
    <row r="507" customFormat="false" ht="58.95" hidden="false" customHeight="false" outlineLevel="0" collapsed="false">
      <c r="A507" s="294" t="n">
        <v>2622</v>
      </c>
      <c r="B507" s="22" t="s">
        <v>1006</v>
      </c>
      <c r="C507" s="22" t="s">
        <v>493</v>
      </c>
      <c r="D507" s="48"/>
      <c r="E507" s="23" t="n">
        <v>45425</v>
      </c>
      <c r="F507" s="23" t="n">
        <v>45525</v>
      </c>
      <c r="G507" s="37" t="n">
        <v>72</v>
      </c>
      <c r="H507" s="49" t="n">
        <v>73.4</v>
      </c>
      <c r="I507" s="49" t="n">
        <v>-1.40000000000001</v>
      </c>
      <c r="J507" s="22" t="s">
        <v>333</v>
      </c>
      <c r="K507" s="27" t="n">
        <v>50000</v>
      </c>
      <c r="L507" s="27" t="n">
        <v>108000</v>
      </c>
      <c r="M507" s="45" t="n">
        <v>7500</v>
      </c>
      <c r="N507" s="29" t="n">
        <v>7500</v>
      </c>
      <c r="O507" s="29" t="n">
        <v>110100</v>
      </c>
      <c r="P507" s="30" t="n">
        <v>-2100</v>
      </c>
      <c r="Q507" s="263" t="n">
        <v>45547</v>
      </c>
    </row>
    <row r="508" customFormat="false" ht="26.1" hidden="false" customHeight="false" outlineLevel="0" collapsed="false">
      <c r="A508" s="294" t="n">
        <v>2531</v>
      </c>
      <c r="B508" s="22" t="s">
        <v>529</v>
      </c>
      <c r="C508" s="22" t="s">
        <v>1007</v>
      </c>
      <c r="D508" s="48"/>
      <c r="E508" s="23" t="n">
        <v>45370</v>
      </c>
      <c r="F508" s="23" t="n">
        <v>45468</v>
      </c>
      <c r="G508" s="37" t="n">
        <v>70</v>
      </c>
      <c r="H508" s="49" t="n">
        <v>70.8796296296296</v>
      </c>
      <c r="I508" s="49" t="n">
        <v>-0.879629629629633</v>
      </c>
      <c r="J508" s="22" t="s">
        <v>1008</v>
      </c>
      <c r="K508" s="27" t="n">
        <v>70000</v>
      </c>
      <c r="L508" s="27" t="n">
        <v>151200</v>
      </c>
      <c r="M508" s="28" t="n">
        <v>10800</v>
      </c>
      <c r="N508" s="29" t="n">
        <v>8000</v>
      </c>
      <c r="O508" s="29" t="n">
        <v>153100</v>
      </c>
      <c r="P508" s="30" t="n">
        <v>-1900</v>
      </c>
      <c r="Q508" s="263" t="n">
        <v>45547</v>
      </c>
    </row>
    <row r="509" customFormat="false" ht="17.9" hidden="false" customHeight="false" outlineLevel="0" collapsed="false">
      <c r="A509" s="294" t="n">
        <v>2796</v>
      </c>
      <c r="B509" s="22" t="s">
        <v>363</v>
      </c>
      <c r="C509" s="22"/>
      <c r="D509" s="48"/>
      <c r="E509" s="23" t="n">
        <v>45542</v>
      </c>
      <c r="F509" s="23" t="n">
        <v>45548</v>
      </c>
      <c r="G509" s="37" t="n">
        <v>5</v>
      </c>
      <c r="H509" s="49" t="e">
        <f aca="false">#DIV/0!</f>
        <v>#DIV/0!</v>
      </c>
      <c r="I509" s="49" t="e">
        <f aca="false">#DIV/0!</f>
        <v>#DIV/0!</v>
      </c>
      <c r="J509" s="269" t="s">
        <v>199</v>
      </c>
      <c r="K509" s="50" t="n">
        <v>30000</v>
      </c>
      <c r="L509" s="27" t="n">
        <v>39000</v>
      </c>
      <c r="M509" s="28"/>
      <c r="N509" s="298" t="n">
        <v>39000</v>
      </c>
      <c r="O509" s="29" t="n">
        <v>39000</v>
      </c>
      <c r="P509" s="30" t="n">
        <v>0</v>
      </c>
      <c r="Q509" s="263" t="n">
        <v>45548</v>
      </c>
    </row>
    <row r="510" customFormat="false" ht="17.9" hidden="false" customHeight="false" outlineLevel="0" collapsed="false">
      <c r="A510" s="294" t="n">
        <v>2635</v>
      </c>
      <c r="B510" s="22" t="s">
        <v>209</v>
      </c>
      <c r="C510" s="22"/>
      <c r="D510" s="48"/>
      <c r="E510" s="23" t="n">
        <v>45436</v>
      </c>
      <c r="F510" s="23" t="n">
        <v>45548</v>
      </c>
      <c r="G510" s="37" t="n">
        <v>80</v>
      </c>
      <c r="H510" s="49" t="n">
        <v>80</v>
      </c>
      <c r="I510" s="49" t="n">
        <v>0</v>
      </c>
      <c r="J510" s="269" t="s">
        <v>915</v>
      </c>
      <c r="K510" s="27" t="n">
        <v>20000</v>
      </c>
      <c r="L510" s="27" t="n">
        <v>43200</v>
      </c>
      <c r="M510" s="28" t="n">
        <v>2700</v>
      </c>
      <c r="N510" s="29" t="n">
        <v>11600</v>
      </c>
      <c r="O510" s="29" t="n">
        <v>43200</v>
      </c>
      <c r="P510" s="30" t="n">
        <v>0</v>
      </c>
      <c r="Q510" s="263" t="n">
        <v>45551</v>
      </c>
    </row>
    <row r="511" customFormat="false" ht="58.95" hidden="false" customHeight="false" outlineLevel="0" collapsed="false">
      <c r="A511" s="294" t="n">
        <v>2628</v>
      </c>
      <c r="B511" s="22" t="s">
        <v>1009</v>
      </c>
      <c r="C511" s="22" t="s">
        <v>1010</v>
      </c>
      <c r="D511" s="48"/>
      <c r="E511" s="23" t="n">
        <v>45429</v>
      </c>
      <c r="F511" s="23" t="n">
        <v>45597</v>
      </c>
      <c r="G511" s="37" t="n">
        <v>120</v>
      </c>
      <c r="H511" s="49" t="n">
        <v>120</v>
      </c>
      <c r="I511" s="49" t="n">
        <v>0</v>
      </c>
      <c r="J511" s="301" t="s">
        <v>974</v>
      </c>
      <c r="K511" s="27" t="n">
        <v>100000</v>
      </c>
      <c r="L511" s="27" t="n">
        <v>264000</v>
      </c>
      <c r="M511" s="28" t="n">
        <v>11000</v>
      </c>
      <c r="N511" s="29" t="n">
        <v>126000</v>
      </c>
      <c r="O511" s="29" t="n">
        <v>264000</v>
      </c>
      <c r="P511" s="30" t="n">
        <v>0</v>
      </c>
      <c r="Q511" s="263" t="n">
        <v>45551</v>
      </c>
    </row>
    <row r="512" customFormat="false" ht="26.1" hidden="false" customHeight="false" outlineLevel="0" collapsed="false">
      <c r="A512" s="294" t="n">
        <v>2223</v>
      </c>
      <c r="B512" s="22" t="s">
        <v>302</v>
      </c>
      <c r="C512" s="22" t="s">
        <v>303</v>
      </c>
      <c r="D512" s="48" t="n">
        <v>27212523</v>
      </c>
      <c r="E512" s="23" t="n">
        <v>45161</v>
      </c>
      <c r="F512" s="23" t="n">
        <v>45315</v>
      </c>
      <c r="G512" s="37" t="n">
        <v>110</v>
      </c>
      <c r="H512" s="49" t="n">
        <v>118.625</v>
      </c>
      <c r="I512" s="49" t="n">
        <v>-8.625</v>
      </c>
      <c r="J512" s="22" t="s">
        <v>858</v>
      </c>
      <c r="K512" s="27" t="n">
        <v>50000</v>
      </c>
      <c r="L512" s="27" t="n">
        <v>132000</v>
      </c>
      <c r="M512" s="28" t="n">
        <v>6000</v>
      </c>
      <c r="N512" s="29" t="n">
        <v>34000</v>
      </c>
      <c r="O512" s="29" t="n">
        <v>142350</v>
      </c>
      <c r="P512" s="30" t="n">
        <v>-10350</v>
      </c>
      <c r="Q512" s="263" t="n">
        <v>45551</v>
      </c>
    </row>
    <row r="513" customFormat="false" ht="42.5" hidden="false" customHeight="false" outlineLevel="0" collapsed="false">
      <c r="A513" s="294" t="n">
        <v>2629</v>
      </c>
      <c r="B513" s="22" t="s">
        <v>581</v>
      </c>
      <c r="C513" s="22" t="s">
        <v>351</v>
      </c>
      <c r="D513" s="48"/>
      <c r="E513" s="23" t="n">
        <v>45429</v>
      </c>
      <c r="F513" s="23" t="n">
        <v>45541</v>
      </c>
      <c r="G513" s="37" t="n">
        <v>80</v>
      </c>
      <c r="H513" s="49" t="n">
        <v>80</v>
      </c>
      <c r="I513" s="49" t="n">
        <v>0</v>
      </c>
      <c r="J513" s="269" t="s">
        <v>250</v>
      </c>
      <c r="K513" s="30" t="n">
        <v>100000</v>
      </c>
      <c r="L513" s="30" t="n">
        <v>216000</v>
      </c>
      <c r="M513" s="28" t="n">
        <v>13500</v>
      </c>
      <c r="N513" s="29" t="n">
        <v>54200</v>
      </c>
      <c r="O513" s="29" t="n">
        <v>216000</v>
      </c>
      <c r="P513" s="30" t="n">
        <v>0</v>
      </c>
      <c r="Q513" s="263" t="n">
        <v>45551</v>
      </c>
    </row>
    <row r="514" customFormat="false" ht="34.3" hidden="false" customHeight="false" outlineLevel="0" collapsed="false">
      <c r="A514" s="294" t="n">
        <v>2230</v>
      </c>
      <c r="B514" s="22" t="s">
        <v>1011</v>
      </c>
      <c r="C514" s="22" t="s">
        <v>1012</v>
      </c>
      <c r="D514" s="48"/>
      <c r="E514" s="23" t="n">
        <v>45166</v>
      </c>
      <c r="F514" s="23" t="n">
        <v>45418</v>
      </c>
      <c r="G514" s="37" t="n">
        <v>180</v>
      </c>
      <c r="H514" s="49" t="n">
        <v>189.615384615385</v>
      </c>
      <c r="I514" s="49" t="n">
        <v>-9.61538461538461</v>
      </c>
      <c r="J514" s="74" t="s">
        <v>1013</v>
      </c>
      <c r="K514" s="27" t="n">
        <v>200000</v>
      </c>
      <c r="L514" s="27" t="n">
        <v>468000</v>
      </c>
      <c r="M514" s="28" t="n">
        <v>13000</v>
      </c>
      <c r="N514" s="29" t="n">
        <v>76000</v>
      </c>
      <c r="O514" s="29" t="n">
        <v>493000</v>
      </c>
      <c r="P514" s="30" t="n">
        <v>-25000</v>
      </c>
      <c r="Q514" s="263" t="n">
        <v>45551</v>
      </c>
    </row>
    <row r="515" customFormat="false" ht="17.9" hidden="false" customHeight="false" outlineLevel="0" collapsed="false">
      <c r="A515" s="294" t="n">
        <v>2806</v>
      </c>
      <c r="B515" s="22" t="s">
        <v>363</v>
      </c>
      <c r="C515" s="22"/>
      <c r="D515" s="48"/>
      <c r="E515" s="23" t="n">
        <v>45549</v>
      </c>
      <c r="F515" s="23" t="n">
        <v>45555</v>
      </c>
      <c r="G515" s="37" t="n">
        <v>5</v>
      </c>
      <c r="H515" s="49" t="e">
        <f aca="false">#DIV/0!</f>
        <v>#DIV/0!</v>
      </c>
      <c r="I515" s="49" t="e">
        <f aca="false">#DIV/0!</f>
        <v>#DIV/0!</v>
      </c>
      <c r="J515" s="269" t="s">
        <v>199</v>
      </c>
      <c r="K515" s="55" t="n">
        <v>30000</v>
      </c>
      <c r="L515" s="30" t="n">
        <v>39000</v>
      </c>
      <c r="M515" s="45"/>
      <c r="N515" s="29" t="n">
        <v>39000</v>
      </c>
      <c r="O515" s="29" t="n">
        <v>39000</v>
      </c>
      <c r="P515" s="30" t="n">
        <v>0</v>
      </c>
      <c r="Q515" s="263" t="n">
        <v>45551</v>
      </c>
    </row>
    <row r="516" customFormat="false" ht="42.5" hidden="false" customHeight="false" outlineLevel="0" collapsed="false">
      <c r="A516" s="294" t="n">
        <v>2532</v>
      </c>
      <c r="B516" s="22" t="s">
        <v>763</v>
      </c>
      <c r="C516" s="22" t="s">
        <v>389</v>
      </c>
      <c r="D516" s="48"/>
      <c r="E516" s="23" t="n">
        <v>45371</v>
      </c>
      <c r="F516" s="23" t="n">
        <v>45539</v>
      </c>
      <c r="G516" s="37" t="n">
        <v>120</v>
      </c>
      <c r="H516" s="49" t="n">
        <v>115.130952380952</v>
      </c>
      <c r="I516" s="49" t="n">
        <v>4.86904761904762</v>
      </c>
      <c r="J516" s="269" t="s">
        <v>920</v>
      </c>
      <c r="K516" s="27" t="n">
        <v>70000</v>
      </c>
      <c r="L516" s="27" t="n">
        <v>184800</v>
      </c>
      <c r="M516" s="45" t="n">
        <v>8400</v>
      </c>
      <c r="N516" s="29" t="n">
        <v>100000</v>
      </c>
      <c r="O516" s="29" t="n">
        <v>193420</v>
      </c>
      <c r="P516" s="30" t="n">
        <v>-8620</v>
      </c>
      <c r="Q516" s="263" t="n">
        <v>45551</v>
      </c>
    </row>
    <row r="517" customFormat="false" ht="17.9" hidden="false" customHeight="false" outlineLevel="0" collapsed="false">
      <c r="A517" s="294" t="n">
        <v>2715</v>
      </c>
      <c r="B517" s="22" t="s">
        <v>234</v>
      </c>
      <c r="C517" s="22"/>
      <c r="D517" s="48" t="n">
        <v>24016318</v>
      </c>
      <c r="E517" s="23" t="n">
        <v>45490</v>
      </c>
      <c r="F517" s="23" t="n">
        <v>45574</v>
      </c>
      <c r="G517" s="53" t="n">
        <v>60</v>
      </c>
      <c r="H517" s="49" t="n">
        <v>60</v>
      </c>
      <c r="I517" s="49" t="n">
        <v>0</v>
      </c>
      <c r="J517" s="269" t="s">
        <v>1014</v>
      </c>
      <c r="K517" s="27" t="n">
        <v>500000</v>
      </c>
      <c r="L517" s="27" t="n">
        <v>900000</v>
      </c>
      <c r="M517" s="45" t="n">
        <v>75000</v>
      </c>
      <c r="N517" s="29" t="n">
        <v>590000</v>
      </c>
      <c r="O517" s="29" t="n">
        <v>900000</v>
      </c>
      <c r="P517" s="30" t="n">
        <v>0</v>
      </c>
      <c r="Q517" s="263" t="n">
        <v>45558</v>
      </c>
    </row>
    <row r="518" customFormat="false" ht="17.9" hidden="false" customHeight="false" outlineLevel="0" collapsed="false">
      <c r="A518" s="294" t="n">
        <v>2457</v>
      </c>
      <c r="B518" s="22" t="s">
        <v>240</v>
      </c>
      <c r="C518" s="22" t="s">
        <v>241</v>
      </c>
      <c r="D518" s="48"/>
      <c r="E518" s="302" t="n">
        <v>45327</v>
      </c>
      <c r="F518" s="23" t="n">
        <v>45509</v>
      </c>
      <c r="G518" s="37" t="n">
        <v>130</v>
      </c>
      <c r="H518" s="49" t="n">
        <v>124.861363636364</v>
      </c>
      <c r="I518" s="49" t="n">
        <v>5.13863636363637</v>
      </c>
      <c r="J518" s="74" t="s">
        <v>1015</v>
      </c>
      <c r="K518" s="30" t="n">
        <v>200000</v>
      </c>
      <c r="L518" s="30" t="n">
        <v>528000</v>
      </c>
      <c r="M518" s="45" t="n">
        <v>22000</v>
      </c>
      <c r="N518" s="29" t="n">
        <v>44000</v>
      </c>
      <c r="O518" s="29" t="n">
        <v>549390</v>
      </c>
      <c r="P518" s="30" t="n">
        <v>-21390</v>
      </c>
      <c r="Q518" s="263" t="n">
        <v>45558</v>
      </c>
    </row>
    <row r="519" customFormat="false" ht="26.1" hidden="false" customHeight="false" outlineLevel="0" collapsed="false">
      <c r="A519" s="294" t="n">
        <v>2602</v>
      </c>
      <c r="B519" s="22" t="s">
        <v>291</v>
      </c>
      <c r="C519" s="22" t="s">
        <v>292</v>
      </c>
      <c r="D519" s="48"/>
      <c r="E519" s="23" t="n">
        <v>45261</v>
      </c>
      <c r="F519" s="23" t="n">
        <v>45429</v>
      </c>
      <c r="G519" s="37" t="n">
        <v>120</v>
      </c>
      <c r="H519" s="49" t="n">
        <v>120</v>
      </c>
      <c r="I519" s="49" t="n">
        <v>0</v>
      </c>
      <c r="J519" s="269" t="s">
        <v>1016</v>
      </c>
      <c r="K519" s="27" t="n">
        <v>100000</v>
      </c>
      <c r="L519" s="27" t="n">
        <v>264000</v>
      </c>
      <c r="M519" s="28" t="n">
        <v>11000</v>
      </c>
      <c r="N519" s="29" t="n">
        <v>88000</v>
      </c>
      <c r="O519" s="29" t="n">
        <v>264000</v>
      </c>
      <c r="P519" s="30" t="n">
        <v>0</v>
      </c>
      <c r="Q519" s="263" t="n">
        <v>45558</v>
      </c>
    </row>
    <row r="520" customFormat="false" ht="26.1" hidden="false" customHeight="false" outlineLevel="0" collapsed="false">
      <c r="A520" s="294" t="n">
        <v>2647</v>
      </c>
      <c r="B520" s="22" t="s">
        <v>291</v>
      </c>
      <c r="C520" s="22" t="s">
        <v>292</v>
      </c>
      <c r="D520" s="48"/>
      <c r="E520" s="23" t="n">
        <v>45441</v>
      </c>
      <c r="F520" s="23" t="n">
        <v>45553</v>
      </c>
      <c r="G520" s="37" t="n">
        <v>80</v>
      </c>
      <c r="H520" s="49" t="n">
        <v>80</v>
      </c>
      <c r="I520" s="49" t="n">
        <v>0</v>
      </c>
      <c r="J520" s="269" t="s">
        <v>1017</v>
      </c>
      <c r="K520" s="27" t="n">
        <v>10000</v>
      </c>
      <c r="L520" s="27" t="n">
        <v>21600</v>
      </c>
      <c r="M520" s="45" t="n">
        <v>1350</v>
      </c>
      <c r="N520" s="29" t="n">
        <v>5400</v>
      </c>
      <c r="O520" s="29" t="n">
        <v>21600</v>
      </c>
      <c r="P520" s="30" t="n">
        <v>0</v>
      </c>
      <c r="Q520" s="263" t="n">
        <v>45558</v>
      </c>
    </row>
    <row r="521" customFormat="false" ht="26.1" hidden="false" customHeight="false" outlineLevel="0" collapsed="false">
      <c r="A521" s="294" t="n">
        <v>2657</v>
      </c>
      <c r="B521" s="22" t="s">
        <v>291</v>
      </c>
      <c r="C521" s="22" t="s">
        <v>292</v>
      </c>
      <c r="D521" s="48"/>
      <c r="E521" s="23" t="n">
        <v>45450</v>
      </c>
      <c r="F521" s="23" t="n">
        <v>45562</v>
      </c>
      <c r="G521" s="37" t="n">
        <v>80</v>
      </c>
      <c r="H521" s="49" t="n">
        <v>80</v>
      </c>
      <c r="I521" s="49" t="n">
        <v>0</v>
      </c>
      <c r="J521" s="269" t="s">
        <v>1018</v>
      </c>
      <c r="K521" s="27" t="n">
        <v>20000</v>
      </c>
      <c r="L521" s="27" t="n">
        <v>43200</v>
      </c>
      <c r="M521" s="28" t="n">
        <v>2700</v>
      </c>
      <c r="N521" s="29" t="n">
        <v>10800</v>
      </c>
      <c r="O521" s="29" t="n">
        <v>43200</v>
      </c>
      <c r="P521" s="30" t="n">
        <v>0</v>
      </c>
      <c r="Q521" s="263" t="n">
        <v>45558</v>
      </c>
    </row>
    <row r="522" customFormat="false" ht="17.9" hidden="false" customHeight="false" outlineLevel="0" collapsed="false">
      <c r="A522" s="294" t="n">
        <v>2645</v>
      </c>
      <c r="B522" s="22" t="s">
        <v>363</v>
      </c>
      <c r="C522" s="22"/>
      <c r="D522" s="48"/>
      <c r="E522" s="23" t="n">
        <v>45441</v>
      </c>
      <c r="F522" s="23" t="n">
        <v>45541</v>
      </c>
      <c r="G522" s="37" t="n">
        <v>72</v>
      </c>
      <c r="H522" s="49" t="n">
        <v>72</v>
      </c>
      <c r="I522" s="49" t="n">
        <v>0</v>
      </c>
      <c r="J522" s="22" t="s">
        <v>333</v>
      </c>
      <c r="K522" s="55" t="n">
        <v>50000</v>
      </c>
      <c r="L522" s="30" t="n">
        <v>108000</v>
      </c>
      <c r="M522" s="28" t="n">
        <v>7500</v>
      </c>
      <c r="N522" s="29" t="n">
        <v>10500</v>
      </c>
      <c r="O522" s="29" t="n">
        <v>108000</v>
      </c>
      <c r="P522" s="30" t="n">
        <v>0</v>
      </c>
      <c r="Q522" s="263" t="n">
        <v>45558</v>
      </c>
    </row>
    <row r="523" customFormat="false" ht="17.9" hidden="false" customHeight="false" outlineLevel="0" collapsed="false">
      <c r="A523" s="294" t="n">
        <v>2819</v>
      </c>
      <c r="B523" s="22" t="s">
        <v>363</v>
      </c>
      <c r="C523" s="22"/>
      <c r="D523" s="48"/>
      <c r="E523" s="23" t="n">
        <v>45556</v>
      </c>
      <c r="F523" s="23" t="n">
        <v>45562</v>
      </c>
      <c r="G523" s="37" t="n">
        <v>5</v>
      </c>
      <c r="H523" s="49" t="e">
        <f aca="false">#DIV/0!</f>
        <v>#DIV/0!</v>
      </c>
      <c r="I523" s="49" t="e">
        <f aca="false">#DIV/0!</f>
        <v>#DIV/0!</v>
      </c>
      <c r="J523" s="269" t="s">
        <v>199</v>
      </c>
      <c r="K523" s="55" t="n">
        <v>30000</v>
      </c>
      <c r="L523" s="30" t="n">
        <v>39000</v>
      </c>
      <c r="M523" s="28"/>
      <c r="N523" s="29" t="n">
        <v>39000</v>
      </c>
      <c r="O523" s="29" t="n">
        <v>39000</v>
      </c>
      <c r="P523" s="30" t="n">
        <v>0</v>
      </c>
      <c r="Q523" s="263" t="n">
        <v>45558</v>
      </c>
    </row>
    <row r="524" customFormat="false" ht="34.3" hidden="false" customHeight="false" outlineLevel="0" collapsed="false">
      <c r="A524" s="294" t="n">
        <v>2664</v>
      </c>
      <c r="B524" s="22" t="s">
        <v>414</v>
      </c>
      <c r="C524" s="22" t="s">
        <v>415</v>
      </c>
      <c r="D524" s="48"/>
      <c r="E524" s="23" t="n">
        <v>45456</v>
      </c>
      <c r="F524" s="23" t="n">
        <v>45558</v>
      </c>
      <c r="G524" s="37" t="n">
        <v>72</v>
      </c>
      <c r="H524" s="49" t="n">
        <v>72</v>
      </c>
      <c r="I524" s="49" t="n">
        <v>0</v>
      </c>
      <c r="J524" s="22" t="s">
        <v>1019</v>
      </c>
      <c r="K524" s="30" t="n">
        <v>80000</v>
      </c>
      <c r="L524" s="30" t="n">
        <v>172800</v>
      </c>
      <c r="M524" s="28" t="n">
        <v>12000</v>
      </c>
      <c r="N524" s="29" t="n">
        <v>17700</v>
      </c>
      <c r="O524" s="29" t="n">
        <v>172800</v>
      </c>
      <c r="P524" s="30" t="n">
        <v>0</v>
      </c>
      <c r="Q524" s="263" t="n">
        <v>45558</v>
      </c>
    </row>
    <row r="525" customFormat="false" ht="26.1" hidden="false" customHeight="false" outlineLevel="0" collapsed="false">
      <c r="A525" s="294" t="n">
        <v>2591</v>
      </c>
      <c r="B525" s="22" t="s">
        <v>434</v>
      </c>
      <c r="C525" s="22" t="s">
        <v>435</v>
      </c>
      <c r="D525" s="48" t="n">
        <v>27352124309</v>
      </c>
      <c r="E525" s="23" t="n">
        <v>45405</v>
      </c>
      <c r="F525" s="23" t="n">
        <v>45559</v>
      </c>
      <c r="G525" s="37" t="n">
        <v>110</v>
      </c>
      <c r="H525" s="49" t="n">
        <v>110</v>
      </c>
      <c r="I525" s="49" t="n">
        <v>0</v>
      </c>
      <c r="J525" s="22" t="s">
        <v>254</v>
      </c>
      <c r="K525" s="30" t="n">
        <v>100000</v>
      </c>
      <c r="L525" s="30" t="n">
        <v>264000</v>
      </c>
      <c r="M525" s="45" t="n">
        <v>12000</v>
      </c>
      <c r="N525" s="29" t="n">
        <v>12000</v>
      </c>
      <c r="O525" s="29" t="n">
        <v>264000</v>
      </c>
      <c r="P525" s="30" t="n">
        <v>0</v>
      </c>
      <c r="Q525" s="263" t="n">
        <v>45558</v>
      </c>
    </row>
    <row r="526" customFormat="false" ht="26.1" hidden="false" customHeight="false" outlineLevel="0" collapsed="false">
      <c r="A526" s="294" t="n">
        <v>2668</v>
      </c>
      <c r="B526" s="22" t="s">
        <v>459</v>
      </c>
      <c r="C526" s="22" t="s">
        <v>460</v>
      </c>
      <c r="D526" s="48"/>
      <c r="E526" s="23" t="n">
        <v>45461</v>
      </c>
      <c r="F526" s="23" t="n">
        <v>45561</v>
      </c>
      <c r="G526" s="37" t="n">
        <v>72</v>
      </c>
      <c r="H526" s="49" t="n">
        <v>72</v>
      </c>
      <c r="I526" s="49" t="n">
        <v>0</v>
      </c>
      <c r="J526" s="22" t="s">
        <v>333</v>
      </c>
      <c r="K526" s="27" t="n">
        <v>50000</v>
      </c>
      <c r="L526" s="27" t="n">
        <v>108000</v>
      </c>
      <c r="M526" s="45" t="n">
        <v>7500</v>
      </c>
      <c r="N526" s="29" t="n">
        <v>25500</v>
      </c>
      <c r="O526" s="29" t="n">
        <v>108000</v>
      </c>
      <c r="P526" s="30" t="n">
        <v>0</v>
      </c>
      <c r="Q526" s="263" t="n">
        <v>45558</v>
      </c>
    </row>
    <row r="527" customFormat="false" ht="26.1" hidden="false" customHeight="false" outlineLevel="0" collapsed="false">
      <c r="A527" s="294" t="n">
        <v>2678</v>
      </c>
      <c r="B527" s="22" t="s">
        <v>459</v>
      </c>
      <c r="C527" s="22" t="s">
        <v>460</v>
      </c>
      <c r="D527" s="48"/>
      <c r="E527" s="23" t="n">
        <v>45464</v>
      </c>
      <c r="F527" s="23" t="n">
        <v>45566</v>
      </c>
      <c r="G527" s="37" t="n">
        <v>72</v>
      </c>
      <c r="H527" s="49" t="n">
        <v>72</v>
      </c>
      <c r="I527" s="49" t="n">
        <v>0</v>
      </c>
      <c r="J527" s="22" t="s">
        <v>675</v>
      </c>
      <c r="K527" s="27" t="n">
        <v>30000</v>
      </c>
      <c r="L527" s="27" t="n">
        <v>64800</v>
      </c>
      <c r="M527" s="28" t="n">
        <v>4500</v>
      </c>
      <c r="N527" s="29" t="n">
        <v>18800</v>
      </c>
      <c r="O527" s="29" t="n">
        <v>64800</v>
      </c>
      <c r="P527" s="30" t="n">
        <v>0</v>
      </c>
      <c r="Q527" s="263" t="n">
        <v>45558</v>
      </c>
    </row>
    <row r="528" customFormat="false" ht="42.5" hidden="false" customHeight="false" outlineLevel="0" collapsed="false">
      <c r="A528" s="294" t="n">
        <v>2497</v>
      </c>
      <c r="B528" s="22" t="s">
        <v>748</v>
      </c>
      <c r="C528" s="22" t="s">
        <v>1020</v>
      </c>
      <c r="D528" s="48"/>
      <c r="E528" s="23" t="n">
        <v>45348</v>
      </c>
      <c r="F528" s="23" t="n">
        <v>45502</v>
      </c>
      <c r="G528" s="37" t="n">
        <v>110</v>
      </c>
      <c r="H528" s="49" t="n">
        <v>110.416666666667</v>
      </c>
      <c r="I528" s="49" t="n">
        <v>-0.416666666666671</v>
      </c>
      <c r="J528" s="74" t="s">
        <v>1021</v>
      </c>
      <c r="K528" s="27" t="n">
        <v>60000</v>
      </c>
      <c r="L528" s="27" t="n">
        <v>158400</v>
      </c>
      <c r="M528" s="45" t="n">
        <v>7200</v>
      </c>
      <c r="N528" s="29" t="n">
        <v>15000</v>
      </c>
      <c r="O528" s="29" t="n">
        <v>159000</v>
      </c>
      <c r="P528" s="30" t="n">
        <v>-600</v>
      </c>
      <c r="Q528" s="263" t="n">
        <v>45558</v>
      </c>
    </row>
    <row r="529" customFormat="false" ht="34.3" hidden="false" customHeight="false" outlineLevel="0" collapsed="false">
      <c r="A529" s="294" t="n">
        <v>1840</v>
      </c>
      <c r="B529" s="22" t="s">
        <v>514</v>
      </c>
      <c r="C529" s="22" t="s">
        <v>515</v>
      </c>
      <c r="D529" s="48"/>
      <c r="E529" s="23" t="n">
        <v>44855</v>
      </c>
      <c r="F529" s="23" t="n">
        <v>44957</v>
      </c>
      <c r="G529" s="37" t="n">
        <v>72</v>
      </c>
      <c r="H529" s="49" t="n">
        <v>72</v>
      </c>
      <c r="I529" s="49" t="n">
        <v>0</v>
      </c>
      <c r="J529" s="22" t="s">
        <v>675</v>
      </c>
      <c r="K529" s="27" t="n">
        <v>30000</v>
      </c>
      <c r="L529" s="27" t="n">
        <v>64800</v>
      </c>
      <c r="M529" s="45" t="n">
        <v>4500</v>
      </c>
      <c r="N529" s="29" t="n">
        <v>4800</v>
      </c>
      <c r="O529" s="29" t="n">
        <v>64800</v>
      </c>
      <c r="P529" s="30" t="n">
        <v>0</v>
      </c>
      <c r="Q529" s="263" t="n">
        <v>45558</v>
      </c>
    </row>
    <row r="530" customFormat="false" ht="26.1" hidden="false" customHeight="false" outlineLevel="0" collapsed="false">
      <c r="A530" s="294" t="n">
        <v>2831</v>
      </c>
      <c r="B530" s="22" t="s">
        <v>216</v>
      </c>
      <c r="C530" s="22" t="s">
        <v>217</v>
      </c>
      <c r="D530" s="48" t="s">
        <v>218</v>
      </c>
      <c r="E530" s="23" t="n">
        <v>45561</v>
      </c>
      <c r="F530" s="23" t="n">
        <v>45568</v>
      </c>
      <c r="G530" s="37" t="n">
        <v>5</v>
      </c>
      <c r="H530" s="49" t="e">
        <f aca="false">#VALUE!</f>
        <v>#VALUE!</v>
      </c>
      <c r="I530" s="49" t="e">
        <f aca="false">#VALUE!</f>
        <v>#VALUE!</v>
      </c>
      <c r="J530" s="269" t="s">
        <v>199</v>
      </c>
      <c r="K530" s="27" t="n">
        <v>200000</v>
      </c>
      <c r="L530" s="27" t="n">
        <v>26000</v>
      </c>
      <c r="M530" s="28" t="s">
        <v>184</v>
      </c>
      <c r="N530" s="29" t="n">
        <v>26000</v>
      </c>
      <c r="O530" s="29" t="n">
        <v>26000</v>
      </c>
      <c r="P530" s="30" t="n">
        <v>0</v>
      </c>
      <c r="Q530" s="263" t="n">
        <v>45565</v>
      </c>
    </row>
    <row r="531" customFormat="false" ht="17.9" hidden="false" customHeight="false" outlineLevel="0" collapsed="false">
      <c r="A531" s="294" t="n">
        <v>2682</v>
      </c>
      <c r="B531" s="22" t="s">
        <v>232</v>
      </c>
      <c r="C531" s="22" t="s">
        <v>233</v>
      </c>
      <c r="D531" s="48"/>
      <c r="E531" s="23" t="n">
        <v>45465</v>
      </c>
      <c r="F531" s="23" t="n">
        <v>45566</v>
      </c>
      <c r="G531" s="37" t="n">
        <v>72</v>
      </c>
      <c r="H531" s="49" t="n">
        <v>75</v>
      </c>
      <c r="I531" s="49" t="n">
        <v>-3</v>
      </c>
      <c r="J531" s="22" t="s">
        <v>675</v>
      </c>
      <c r="K531" s="27" t="n">
        <v>30000</v>
      </c>
      <c r="L531" s="27" t="n">
        <v>64800</v>
      </c>
      <c r="M531" s="28" t="n">
        <v>4500</v>
      </c>
      <c r="N531" s="29" t="n">
        <v>4500</v>
      </c>
      <c r="O531" s="29" t="n">
        <v>67500</v>
      </c>
      <c r="P531" s="30" t="n">
        <v>-2700</v>
      </c>
      <c r="Q531" s="263" t="n">
        <v>45565</v>
      </c>
    </row>
    <row r="532" customFormat="false" ht="34.3" hidden="false" customHeight="false" outlineLevel="0" collapsed="false">
      <c r="A532" s="294" t="n">
        <v>2610</v>
      </c>
      <c r="B532" s="22" t="s">
        <v>262</v>
      </c>
      <c r="C532" s="22" t="s">
        <v>263</v>
      </c>
      <c r="D532" s="48"/>
      <c r="E532" s="23" t="n">
        <v>45418</v>
      </c>
      <c r="F532" s="23" t="n">
        <v>45558</v>
      </c>
      <c r="G532" s="37" t="n">
        <v>100</v>
      </c>
      <c r="H532" s="49" t="n">
        <v>100</v>
      </c>
      <c r="I532" s="49" t="n">
        <v>0</v>
      </c>
      <c r="J532" s="269" t="s">
        <v>1022</v>
      </c>
      <c r="K532" s="27" t="n">
        <v>400000</v>
      </c>
      <c r="L532" s="27" t="n">
        <v>864000</v>
      </c>
      <c r="M532" s="45" t="n">
        <v>43200</v>
      </c>
      <c r="N532" s="29" t="n">
        <v>345600</v>
      </c>
      <c r="O532" s="29" t="n">
        <v>864000</v>
      </c>
      <c r="P532" s="30" t="n">
        <v>0</v>
      </c>
      <c r="Q532" s="263" t="n">
        <v>45565</v>
      </c>
    </row>
    <row r="533" customFormat="false" ht="26.1" hidden="false" customHeight="false" outlineLevel="0" collapsed="false">
      <c r="A533" s="294" t="n">
        <v>2274</v>
      </c>
      <c r="B533" s="22" t="s">
        <v>302</v>
      </c>
      <c r="C533" s="22" t="s">
        <v>303</v>
      </c>
      <c r="D533" s="48" t="n">
        <v>27212523</v>
      </c>
      <c r="E533" s="23" t="n">
        <v>45198</v>
      </c>
      <c r="F533" s="23" t="n">
        <v>45300</v>
      </c>
      <c r="G533" s="37" t="n">
        <v>72</v>
      </c>
      <c r="H533" s="49" t="n">
        <v>73.5833333333333</v>
      </c>
      <c r="I533" s="49" t="n">
        <v>-1.58333333333333</v>
      </c>
      <c r="J533" s="74" t="s">
        <v>1023</v>
      </c>
      <c r="K533" s="30" t="n">
        <v>50000</v>
      </c>
      <c r="L533" s="30" t="n">
        <v>108000</v>
      </c>
      <c r="M533" s="45" t="n">
        <v>7500</v>
      </c>
      <c r="N533" s="29" t="n">
        <v>12875</v>
      </c>
      <c r="O533" s="29" t="n">
        <v>110375</v>
      </c>
      <c r="P533" s="30" t="n">
        <v>-2375</v>
      </c>
      <c r="Q533" s="263" t="n">
        <v>45565</v>
      </c>
    </row>
    <row r="534" customFormat="false" ht="34.3" hidden="false" customHeight="false" outlineLevel="0" collapsed="false">
      <c r="A534" s="294" t="n">
        <v>2504</v>
      </c>
      <c r="B534" s="22" t="s">
        <v>1024</v>
      </c>
      <c r="C534" s="22" t="s">
        <v>725</v>
      </c>
      <c r="D534" s="48"/>
      <c r="E534" s="23" t="n">
        <v>45351</v>
      </c>
      <c r="F534" s="23" t="n">
        <v>45519</v>
      </c>
      <c r="G534" s="37" t="n">
        <v>120</v>
      </c>
      <c r="H534" s="49" t="n">
        <v>120</v>
      </c>
      <c r="I534" s="49" t="n">
        <v>0</v>
      </c>
      <c r="J534" s="269" t="s">
        <v>1025</v>
      </c>
      <c r="K534" s="27" t="n">
        <v>60000</v>
      </c>
      <c r="L534" s="27" t="n">
        <v>158400</v>
      </c>
      <c r="M534" s="45" t="n">
        <v>6600</v>
      </c>
      <c r="N534" s="29" t="n">
        <v>7300</v>
      </c>
      <c r="O534" s="29" t="n">
        <v>158400</v>
      </c>
      <c r="P534" s="30" t="n">
        <v>0</v>
      </c>
      <c r="Q534" s="263" t="n">
        <v>45565</v>
      </c>
    </row>
    <row r="535" customFormat="false" ht="17.9" hidden="false" customHeight="false" outlineLevel="0" collapsed="false">
      <c r="A535" s="294" t="n">
        <v>2835</v>
      </c>
      <c r="B535" s="22" t="s">
        <v>363</v>
      </c>
      <c r="C535" s="22"/>
      <c r="D535" s="48"/>
      <c r="E535" s="23" t="n">
        <v>45563</v>
      </c>
      <c r="F535" s="23" t="n">
        <v>45569</v>
      </c>
      <c r="G535" s="37" t="n">
        <v>5</v>
      </c>
      <c r="H535" s="49" t="e">
        <f aca="false">#DIV/0!</f>
        <v>#DIV/0!</v>
      </c>
      <c r="I535" s="49" t="e">
        <f aca="false">#DIV/0!</f>
        <v>#DIV/0!</v>
      </c>
      <c r="J535" s="269" t="s">
        <v>199</v>
      </c>
      <c r="K535" s="50" t="n">
        <v>30000</v>
      </c>
      <c r="L535" s="27" t="n">
        <v>39000</v>
      </c>
      <c r="M535" s="28"/>
      <c r="N535" s="29" t="n">
        <v>39000</v>
      </c>
      <c r="O535" s="29" t="n">
        <v>39000</v>
      </c>
      <c r="P535" s="30" t="n">
        <v>0</v>
      </c>
      <c r="Q535" s="263" t="n">
        <v>45565</v>
      </c>
    </row>
    <row r="536" customFormat="false" ht="17.9" hidden="false" customHeight="false" outlineLevel="0" collapsed="false">
      <c r="A536" s="294" t="n">
        <v>2836</v>
      </c>
      <c r="B536" s="22" t="s">
        <v>363</v>
      </c>
      <c r="C536" s="22"/>
      <c r="D536" s="48"/>
      <c r="E536" s="23" t="n">
        <v>45563</v>
      </c>
      <c r="F536" s="23" t="n">
        <v>45569</v>
      </c>
      <c r="G536" s="37" t="n">
        <v>5</v>
      </c>
      <c r="H536" s="49" t="e">
        <f aca="false">#DIV/0!</f>
        <v>#DIV/0!</v>
      </c>
      <c r="I536" s="49" t="e">
        <f aca="false">#DIV/0!</f>
        <v>#DIV/0!</v>
      </c>
      <c r="J536" s="269" t="s">
        <v>199</v>
      </c>
      <c r="K536" s="50" t="n">
        <v>30000</v>
      </c>
      <c r="L536" s="27" t="n">
        <v>39000</v>
      </c>
      <c r="M536" s="45"/>
      <c r="N536" s="29" t="n">
        <v>39000</v>
      </c>
      <c r="O536" s="29" t="n">
        <v>39000</v>
      </c>
      <c r="P536" s="30" t="n">
        <v>0</v>
      </c>
      <c r="Q536" s="263" t="n">
        <v>45565</v>
      </c>
    </row>
    <row r="537" customFormat="false" ht="42.5" hidden="false" customHeight="false" outlineLevel="0" collapsed="false">
      <c r="A537" s="294" t="n">
        <v>2574</v>
      </c>
      <c r="B537" s="22" t="s">
        <v>364</v>
      </c>
      <c r="C537" s="22" t="s">
        <v>365</v>
      </c>
      <c r="D537" s="48"/>
      <c r="E537" s="286" t="n">
        <v>45397</v>
      </c>
      <c r="F537" s="23" t="n">
        <v>45565</v>
      </c>
      <c r="G537" s="37" t="n">
        <v>120</v>
      </c>
      <c r="H537" s="49" t="n">
        <v>150</v>
      </c>
      <c r="I537" s="49" t="n">
        <v>-30</v>
      </c>
      <c r="J537" s="292" t="s">
        <v>1026</v>
      </c>
      <c r="K537" s="27" t="n">
        <v>50000</v>
      </c>
      <c r="L537" s="27" t="n">
        <v>132000</v>
      </c>
      <c r="M537" s="28" t="n">
        <v>4400</v>
      </c>
      <c r="N537" s="29" t="n">
        <v>22000</v>
      </c>
      <c r="O537" s="29" t="n">
        <v>132000</v>
      </c>
      <c r="P537" s="30" t="n">
        <v>0</v>
      </c>
      <c r="Q537" s="263" t="n">
        <v>45565</v>
      </c>
    </row>
    <row r="538" customFormat="false" ht="42.5" hidden="false" customHeight="false" outlineLevel="0" collapsed="false">
      <c r="A538" s="294" t="n">
        <v>2641</v>
      </c>
      <c r="B538" s="22" t="s">
        <v>364</v>
      </c>
      <c r="C538" s="22" t="s">
        <v>365</v>
      </c>
      <c r="D538" s="48"/>
      <c r="E538" s="23" t="n">
        <v>45439</v>
      </c>
      <c r="F538" s="23" t="n">
        <v>45551</v>
      </c>
      <c r="G538" s="37" t="n">
        <v>80</v>
      </c>
      <c r="H538" s="49" t="n">
        <v>80</v>
      </c>
      <c r="I538" s="49" t="n">
        <v>0</v>
      </c>
      <c r="J538" s="292" t="s">
        <v>1027</v>
      </c>
      <c r="K538" s="27" t="n">
        <v>50000</v>
      </c>
      <c r="L538" s="27" t="n">
        <v>108000</v>
      </c>
      <c r="M538" s="28" t="n">
        <v>6750</v>
      </c>
      <c r="N538" s="29" t="n">
        <v>27000</v>
      </c>
      <c r="O538" s="29" t="n">
        <v>108000</v>
      </c>
      <c r="P538" s="30" t="n">
        <v>0</v>
      </c>
      <c r="Q538" s="263" t="n">
        <v>45565</v>
      </c>
    </row>
    <row r="539" customFormat="false" ht="34.3" hidden="false" customHeight="false" outlineLevel="0" collapsed="false">
      <c r="A539" s="294" t="n">
        <v>2634</v>
      </c>
      <c r="B539" s="22" t="s">
        <v>405</v>
      </c>
      <c r="C539" s="22" t="s">
        <v>406</v>
      </c>
      <c r="D539" s="48"/>
      <c r="E539" s="23" t="n">
        <v>45435</v>
      </c>
      <c r="F539" s="23" t="n">
        <v>45547</v>
      </c>
      <c r="G539" s="37" t="n">
        <v>80</v>
      </c>
      <c r="H539" s="49" t="n">
        <v>80</v>
      </c>
      <c r="I539" s="49" t="n">
        <v>0</v>
      </c>
      <c r="J539" s="74" t="s">
        <v>1028</v>
      </c>
      <c r="K539" s="27" t="n">
        <v>50000</v>
      </c>
      <c r="L539" s="27" t="n">
        <v>108000</v>
      </c>
      <c r="M539" s="28" t="n">
        <v>6750</v>
      </c>
      <c r="N539" s="29" t="n">
        <v>13500</v>
      </c>
      <c r="O539" s="29" t="n">
        <v>108000</v>
      </c>
      <c r="P539" s="30" t="n">
        <v>0</v>
      </c>
      <c r="Q539" s="263" t="n">
        <v>45565</v>
      </c>
    </row>
    <row r="540" customFormat="false" ht="42.5" hidden="false" customHeight="false" outlineLevel="0" collapsed="false">
      <c r="A540" s="294" t="n">
        <v>2688</v>
      </c>
      <c r="B540" s="22" t="s">
        <v>420</v>
      </c>
      <c r="C540" s="22" t="s">
        <v>210</v>
      </c>
      <c r="D540" s="48"/>
      <c r="E540" s="23" t="n">
        <v>45472</v>
      </c>
      <c r="F540" s="23" t="n">
        <v>45573</v>
      </c>
      <c r="G540" s="37" t="n">
        <v>72</v>
      </c>
      <c r="H540" s="49" t="n">
        <v>72</v>
      </c>
      <c r="I540" s="49" t="n">
        <v>0</v>
      </c>
      <c r="J540" s="22" t="s">
        <v>720</v>
      </c>
      <c r="K540" s="30" t="n">
        <v>60000</v>
      </c>
      <c r="L540" s="30" t="n">
        <v>129600</v>
      </c>
      <c r="M540" s="45" t="n">
        <v>9000</v>
      </c>
      <c r="N540" s="29" t="n">
        <v>41100</v>
      </c>
      <c r="O540" s="29" t="n">
        <v>129600</v>
      </c>
      <c r="P540" s="30" t="n">
        <v>0</v>
      </c>
      <c r="Q540" s="263" t="n">
        <v>45565</v>
      </c>
    </row>
    <row r="541" customFormat="false" ht="42.5" hidden="false" customHeight="false" outlineLevel="0" collapsed="false">
      <c r="A541" s="294" t="n">
        <v>2633</v>
      </c>
      <c r="B541" s="22" t="s">
        <v>852</v>
      </c>
      <c r="C541" s="22" t="s">
        <v>853</v>
      </c>
      <c r="D541" s="48" t="s">
        <v>854</v>
      </c>
      <c r="E541" s="23" t="n">
        <v>45434</v>
      </c>
      <c r="F541" s="23" t="n">
        <v>45534</v>
      </c>
      <c r="G541" s="37" t="n">
        <v>72</v>
      </c>
      <c r="H541" s="49" t="n">
        <v>72.3333333333333</v>
      </c>
      <c r="I541" s="49" t="n">
        <v>-0.333333333333329</v>
      </c>
      <c r="J541" s="22" t="s">
        <v>784</v>
      </c>
      <c r="K541" s="27" t="n">
        <v>40000</v>
      </c>
      <c r="L541" s="27" t="n">
        <v>86400</v>
      </c>
      <c r="M541" s="28" t="n">
        <v>6000</v>
      </c>
      <c r="N541" s="29" t="n">
        <v>2800</v>
      </c>
      <c r="O541" s="29" t="n">
        <v>86800</v>
      </c>
      <c r="P541" s="30" t="n">
        <v>-400</v>
      </c>
      <c r="Q541" s="263" t="n">
        <v>45565</v>
      </c>
    </row>
    <row r="542" customFormat="false" ht="15" hidden="false" customHeight="false" outlineLevel="0" collapsed="false">
      <c r="A542" s="294" t="n">
        <v>2801</v>
      </c>
      <c r="B542" s="22" t="s">
        <v>425</v>
      </c>
      <c r="C542" s="22"/>
      <c r="D542" s="48"/>
      <c r="E542" s="23" t="n">
        <v>45545</v>
      </c>
      <c r="F542" s="23" t="n">
        <v>45566</v>
      </c>
      <c r="G542" s="37" t="n">
        <v>15</v>
      </c>
      <c r="H542" s="49" t="e">
        <f aca="false">#VALUE!</f>
        <v>#VALUE!</v>
      </c>
      <c r="I542" s="49" t="e">
        <f aca="false">#VALUE!</f>
        <v>#VALUE!</v>
      </c>
      <c r="J542" s="269" t="s">
        <v>199</v>
      </c>
      <c r="K542" s="27" t="n">
        <v>40000</v>
      </c>
      <c r="L542" s="27" t="n">
        <v>60000</v>
      </c>
      <c r="M542" s="28" t="s">
        <v>184</v>
      </c>
      <c r="N542" s="29" t="n">
        <v>70000</v>
      </c>
      <c r="O542" s="29" t="n">
        <v>70000</v>
      </c>
      <c r="P542" s="30" t="n">
        <v>-10000</v>
      </c>
      <c r="Q542" s="263" t="n">
        <v>45565</v>
      </c>
    </row>
    <row r="543" customFormat="false" ht="34.3" hidden="false" customHeight="false" outlineLevel="0" collapsed="false">
      <c r="A543" s="294" t="n">
        <v>2517</v>
      </c>
      <c r="B543" s="22" t="s">
        <v>452</v>
      </c>
      <c r="C543" s="22"/>
      <c r="D543" s="48"/>
      <c r="E543" s="23" t="n">
        <v>45362</v>
      </c>
      <c r="F543" s="23" t="n">
        <v>45558</v>
      </c>
      <c r="G543" s="37" t="n">
        <v>140</v>
      </c>
      <c r="H543" s="49" t="n">
        <v>140</v>
      </c>
      <c r="I543" s="49" t="n">
        <v>0</v>
      </c>
      <c r="J543" s="269" t="s">
        <v>942</v>
      </c>
      <c r="K543" s="27" t="n">
        <v>30000</v>
      </c>
      <c r="L543" s="27" t="n">
        <v>79240</v>
      </c>
      <c r="M543" s="45" t="n">
        <v>2830</v>
      </c>
      <c r="N543" s="29" t="n">
        <v>11320</v>
      </c>
      <c r="O543" s="29" t="n">
        <v>79240</v>
      </c>
      <c r="P543" s="30" t="n">
        <v>0</v>
      </c>
      <c r="Q543" s="263" t="n">
        <v>45565</v>
      </c>
    </row>
    <row r="544" customFormat="false" ht="34.3" hidden="false" customHeight="false" outlineLevel="0" collapsed="false">
      <c r="A544" s="294" t="n">
        <v>2563</v>
      </c>
      <c r="B544" s="22" t="s">
        <v>486</v>
      </c>
      <c r="C544" s="22" t="s">
        <v>476</v>
      </c>
      <c r="D544" s="48"/>
      <c r="E544" s="23" t="n">
        <v>45389</v>
      </c>
      <c r="F544" s="23" t="n">
        <v>45499</v>
      </c>
      <c r="G544" s="37" t="n">
        <v>80</v>
      </c>
      <c r="H544" s="49" t="n">
        <v>85.1851851851852</v>
      </c>
      <c r="I544" s="49" t="n">
        <v>-5.18518518518519</v>
      </c>
      <c r="J544" s="269" t="s">
        <v>1029</v>
      </c>
      <c r="K544" s="290" t="n">
        <v>40000</v>
      </c>
      <c r="L544" s="27" t="n">
        <v>86400</v>
      </c>
      <c r="M544" s="45" t="n">
        <v>5400</v>
      </c>
      <c r="N544" s="29" t="n">
        <v>15000</v>
      </c>
      <c r="O544" s="29" t="n">
        <v>92000</v>
      </c>
      <c r="P544" s="30" t="n">
        <v>-5600</v>
      </c>
      <c r="Q544" s="263" t="n">
        <v>45565</v>
      </c>
    </row>
    <row r="545" customFormat="false" ht="26.1" hidden="false" customHeight="false" outlineLevel="0" collapsed="false">
      <c r="A545" s="294" t="n">
        <v>2567</v>
      </c>
      <c r="B545" s="22" t="s">
        <v>573</v>
      </c>
      <c r="C545" s="22" t="s">
        <v>463</v>
      </c>
      <c r="D545" s="48" t="n">
        <v>2034839888</v>
      </c>
      <c r="E545" s="23" t="n">
        <v>45392</v>
      </c>
      <c r="F545" s="23" t="n">
        <v>45560</v>
      </c>
      <c r="G545" s="37" t="n">
        <v>120</v>
      </c>
      <c r="H545" s="49" t="n">
        <v>120</v>
      </c>
      <c r="I545" s="49" t="n">
        <v>0</v>
      </c>
      <c r="J545" s="269" t="s">
        <v>1030</v>
      </c>
      <c r="K545" s="27" t="n">
        <v>120000</v>
      </c>
      <c r="L545" s="27" t="n">
        <v>316800</v>
      </c>
      <c r="M545" s="45" t="n">
        <v>13200</v>
      </c>
      <c r="N545" s="29" t="n">
        <v>52800</v>
      </c>
      <c r="O545" s="29" t="n">
        <v>316800</v>
      </c>
      <c r="P545" s="30" t="n">
        <v>0</v>
      </c>
      <c r="Q545" s="263" t="n">
        <v>45565</v>
      </c>
    </row>
    <row r="546" customFormat="false" ht="26.1" hidden="false" customHeight="false" outlineLevel="0" collapsed="false">
      <c r="A546" s="294" t="n">
        <v>2670</v>
      </c>
      <c r="B546" s="22" t="s">
        <v>573</v>
      </c>
      <c r="C546" s="22" t="s">
        <v>463</v>
      </c>
      <c r="D546" s="48" t="n">
        <v>2034839888</v>
      </c>
      <c r="E546" s="23" t="n">
        <v>45461</v>
      </c>
      <c r="F546" s="23" t="n">
        <v>45573</v>
      </c>
      <c r="G546" s="37" t="n">
        <v>80</v>
      </c>
      <c r="H546" s="49" t="n">
        <v>80.952380952381</v>
      </c>
      <c r="I546" s="49" t="n">
        <v>-0.952380952380949</v>
      </c>
      <c r="J546" s="269" t="s">
        <v>1031</v>
      </c>
      <c r="K546" s="27" t="n">
        <v>35000</v>
      </c>
      <c r="L546" s="27" t="n">
        <v>75600</v>
      </c>
      <c r="M546" s="45" t="n">
        <v>4725</v>
      </c>
      <c r="N546" s="29" t="n">
        <v>18900</v>
      </c>
      <c r="O546" s="29" t="n">
        <v>76500</v>
      </c>
      <c r="P546" s="30" t="n">
        <v>-900</v>
      </c>
      <c r="Q546" s="263" t="n">
        <v>45565</v>
      </c>
    </row>
    <row r="547" customFormat="false" ht="26.1" hidden="false" customHeight="false" outlineLevel="0" collapsed="false">
      <c r="A547" s="294" t="n">
        <v>2714</v>
      </c>
      <c r="B547" s="22" t="s">
        <v>573</v>
      </c>
      <c r="C547" s="22" t="s">
        <v>463</v>
      </c>
      <c r="D547" s="48" t="n">
        <v>2034839888</v>
      </c>
      <c r="E547" s="23" t="n">
        <v>45488</v>
      </c>
      <c r="F547" s="23" t="n">
        <v>45572</v>
      </c>
      <c r="G547" s="37" t="n">
        <v>60</v>
      </c>
      <c r="H547" s="49" t="n">
        <v>60</v>
      </c>
      <c r="I547" s="49" t="n">
        <v>0</v>
      </c>
      <c r="J547" s="269" t="s">
        <v>1032</v>
      </c>
      <c r="K547" s="27" t="n">
        <v>5000</v>
      </c>
      <c r="L547" s="27" t="n">
        <v>10800</v>
      </c>
      <c r="M547" s="45" t="n">
        <v>900</v>
      </c>
      <c r="N547" s="29" t="n">
        <v>3600</v>
      </c>
      <c r="O547" s="29" t="n">
        <v>10800</v>
      </c>
      <c r="P547" s="30" t="n">
        <v>0</v>
      </c>
      <c r="Q547" s="263" t="n">
        <v>45565</v>
      </c>
    </row>
    <row r="548" customFormat="false" ht="67.15" hidden="false" customHeight="false" outlineLevel="0" collapsed="false">
      <c r="A548" s="294" t="n">
        <v>2681</v>
      </c>
      <c r="B548" s="22" t="s">
        <v>399</v>
      </c>
      <c r="C548" s="22" t="s">
        <v>400</v>
      </c>
      <c r="D548" s="48" t="n">
        <v>27249921551</v>
      </c>
      <c r="E548" s="23" t="n">
        <v>45464</v>
      </c>
      <c r="F548" s="23" t="n">
        <v>45566</v>
      </c>
      <c r="G548" s="37" t="n">
        <v>72</v>
      </c>
      <c r="H548" s="49" t="n">
        <v>72</v>
      </c>
      <c r="I548" s="49" t="n">
        <v>0</v>
      </c>
      <c r="J548" s="22" t="s">
        <v>675</v>
      </c>
      <c r="K548" s="27" t="n">
        <v>30000</v>
      </c>
      <c r="L548" s="27" t="n">
        <v>64800</v>
      </c>
      <c r="M548" s="28" t="n">
        <v>4500</v>
      </c>
      <c r="N548" s="29" t="n">
        <v>1800</v>
      </c>
      <c r="O548" s="29" t="n">
        <v>64800</v>
      </c>
      <c r="P548" s="30" t="n">
        <v>0</v>
      </c>
      <c r="Q548" s="263" t="n">
        <v>45566</v>
      </c>
    </row>
    <row r="549" customFormat="false" ht="50.7" hidden="false" customHeight="false" outlineLevel="0" collapsed="false">
      <c r="A549" s="294" t="n">
        <v>2661</v>
      </c>
      <c r="B549" s="22" t="s">
        <v>185</v>
      </c>
      <c r="C549" s="22" t="s">
        <v>186</v>
      </c>
      <c r="D549" s="48"/>
      <c r="E549" s="23" t="n">
        <v>45454</v>
      </c>
      <c r="F549" s="23" t="n">
        <v>45566</v>
      </c>
      <c r="G549" s="37" t="n">
        <v>80</v>
      </c>
      <c r="H549" s="49" t="n">
        <v>80</v>
      </c>
      <c r="I549" s="49" t="n">
        <v>0</v>
      </c>
      <c r="J549" s="269" t="s">
        <v>1033</v>
      </c>
      <c r="K549" s="27" t="n">
        <v>70000</v>
      </c>
      <c r="L549" s="27" t="n">
        <v>151200</v>
      </c>
      <c r="M549" s="28" t="n">
        <v>9450</v>
      </c>
      <c r="N549" s="29" t="n">
        <v>37800</v>
      </c>
      <c r="O549" s="29" t="n">
        <v>151200</v>
      </c>
      <c r="P549" s="30" t="n">
        <v>0</v>
      </c>
      <c r="Q549" s="263" t="n">
        <v>45572</v>
      </c>
    </row>
    <row r="550" customFormat="false" ht="17.9" hidden="false" customHeight="false" outlineLevel="0" collapsed="false">
      <c r="A550" s="300" t="n">
        <v>2843</v>
      </c>
      <c r="B550" s="22" t="s">
        <v>363</v>
      </c>
      <c r="C550" s="22"/>
      <c r="D550" s="48"/>
      <c r="E550" s="23" t="n">
        <v>45567</v>
      </c>
      <c r="F550" s="23" t="n">
        <v>45574</v>
      </c>
      <c r="G550" s="37" t="n">
        <v>5</v>
      </c>
      <c r="H550" s="49" t="e">
        <f aca="false">#DIV/0!</f>
        <v>#DIV/0!</v>
      </c>
      <c r="I550" s="49" t="e">
        <f aca="false">#DIV/0!</f>
        <v>#DIV/0!</v>
      </c>
      <c r="J550" s="269" t="s">
        <v>199</v>
      </c>
      <c r="K550" s="50" t="n">
        <v>30000</v>
      </c>
      <c r="L550" s="27" t="n">
        <v>39000</v>
      </c>
      <c r="M550" s="45"/>
      <c r="N550" s="29" t="n">
        <v>39000</v>
      </c>
      <c r="O550" s="29" t="n">
        <v>39000</v>
      </c>
      <c r="P550" s="30" t="n">
        <v>0</v>
      </c>
      <c r="Q550" s="263" t="n">
        <v>45572</v>
      </c>
    </row>
    <row r="551" customFormat="false" ht="34.3" hidden="false" customHeight="false" outlineLevel="0" collapsed="false">
      <c r="A551" s="294" t="n">
        <v>2666</v>
      </c>
      <c r="B551" s="22" t="s">
        <v>382</v>
      </c>
      <c r="C551" s="22" t="s">
        <v>383</v>
      </c>
      <c r="D551" s="48"/>
      <c r="E551" s="23" t="n">
        <v>45458</v>
      </c>
      <c r="F551" s="23" t="n">
        <v>45559</v>
      </c>
      <c r="G551" s="37" t="n">
        <v>72</v>
      </c>
      <c r="H551" s="49" t="n">
        <v>72</v>
      </c>
      <c r="I551" s="49" t="n">
        <v>0</v>
      </c>
      <c r="J551" s="22" t="s">
        <v>716</v>
      </c>
      <c r="K551" s="27" t="n">
        <v>15000</v>
      </c>
      <c r="L551" s="27" t="n">
        <v>32400</v>
      </c>
      <c r="M551" s="45" t="n">
        <v>2250</v>
      </c>
      <c r="N551" s="29" t="n">
        <v>5400</v>
      </c>
      <c r="O551" s="29" t="n">
        <v>32400</v>
      </c>
      <c r="P551" s="30" t="n">
        <v>0</v>
      </c>
      <c r="Q551" s="263" t="n">
        <v>45572</v>
      </c>
    </row>
    <row r="552" customFormat="false" ht="26.1" hidden="false" customHeight="false" outlineLevel="0" collapsed="false">
      <c r="A552" s="294" t="n">
        <v>2649</v>
      </c>
      <c r="B552" s="22" t="s">
        <v>682</v>
      </c>
      <c r="C552" s="22" t="s">
        <v>683</v>
      </c>
      <c r="D552" s="48"/>
      <c r="E552" s="23" t="n">
        <v>45442</v>
      </c>
      <c r="F552" s="23" t="n">
        <v>45554</v>
      </c>
      <c r="G552" s="37" t="n">
        <v>80</v>
      </c>
      <c r="H552" s="49" t="n">
        <v>80</v>
      </c>
      <c r="I552" s="49" t="n">
        <v>0</v>
      </c>
      <c r="J552" s="269" t="s">
        <v>488</v>
      </c>
      <c r="K552" s="27" t="n">
        <v>100000</v>
      </c>
      <c r="L552" s="27" t="n">
        <v>216000</v>
      </c>
      <c r="M552" s="28" t="n">
        <v>13500</v>
      </c>
      <c r="N552" s="29" t="n">
        <v>54000</v>
      </c>
      <c r="O552" s="29" t="n">
        <v>216000</v>
      </c>
      <c r="P552" s="30" t="n">
        <v>0</v>
      </c>
      <c r="Q552" s="263" t="n">
        <v>45572</v>
      </c>
    </row>
    <row r="553" customFormat="false" ht="17.9" hidden="false" customHeight="false" outlineLevel="0" collapsed="false">
      <c r="A553" s="294" t="n">
        <v>2609</v>
      </c>
      <c r="B553" s="22" t="s">
        <v>967</v>
      </c>
      <c r="C553" s="22"/>
      <c r="D553" s="48"/>
      <c r="E553" s="23" t="n">
        <v>45418</v>
      </c>
      <c r="F553" s="23" t="n">
        <v>45558</v>
      </c>
      <c r="G553" s="37" t="n">
        <v>100</v>
      </c>
      <c r="H553" s="49" t="n">
        <v>100</v>
      </c>
      <c r="I553" s="49" t="n">
        <v>0</v>
      </c>
      <c r="J553" s="269" t="s">
        <v>1034</v>
      </c>
      <c r="K553" s="290" t="n">
        <v>300000</v>
      </c>
      <c r="L553" s="27" t="n">
        <v>648000</v>
      </c>
      <c r="M553" s="28" t="n">
        <v>32400</v>
      </c>
      <c r="N553" s="29" t="n">
        <v>129600</v>
      </c>
      <c r="O553" s="29" t="n">
        <v>648000</v>
      </c>
      <c r="P553" s="30" t="n">
        <v>0</v>
      </c>
      <c r="Q553" s="263" t="n">
        <v>45572</v>
      </c>
    </row>
    <row r="554" customFormat="false" ht="15" hidden="false" customHeight="false" outlineLevel="0" collapsed="false">
      <c r="A554" s="294" t="n">
        <v>2823</v>
      </c>
      <c r="B554" s="22" t="s">
        <v>791</v>
      </c>
      <c r="C554" s="22"/>
      <c r="D554" s="48"/>
      <c r="E554" s="23" t="n">
        <v>45558</v>
      </c>
      <c r="F554" s="23" t="n">
        <v>45572</v>
      </c>
      <c r="G554" s="37" t="n">
        <v>10</v>
      </c>
      <c r="H554" s="49" t="e">
        <f aca="false">#VALUE!</f>
        <v>#VALUE!</v>
      </c>
      <c r="I554" s="49" t="e">
        <f aca="false">#VALUE!</f>
        <v>#VALUE!</v>
      </c>
      <c r="J554" s="269" t="s">
        <v>199</v>
      </c>
      <c r="K554" s="27" t="n">
        <v>20000</v>
      </c>
      <c r="L554" s="27" t="n">
        <v>30000</v>
      </c>
      <c r="M554" s="45" t="s">
        <v>184</v>
      </c>
      <c r="N554" s="29" t="n">
        <v>30000</v>
      </c>
      <c r="O554" s="29" t="n">
        <v>30000</v>
      </c>
      <c r="P554" s="30" t="n">
        <v>0</v>
      </c>
      <c r="Q554" s="263" t="n">
        <v>45572</v>
      </c>
    </row>
    <row r="555" customFormat="false" ht="17.9" hidden="false" customHeight="false" outlineLevel="0" collapsed="false">
      <c r="A555" s="294" t="n">
        <v>2813</v>
      </c>
      <c r="B555" s="22" t="s">
        <v>909</v>
      </c>
      <c r="C555" s="22"/>
      <c r="D555" s="48"/>
      <c r="E555" s="23" t="n">
        <v>45553</v>
      </c>
      <c r="F555" s="23" t="n">
        <v>45581</v>
      </c>
      <c r="G555" s="37" t="n">
        <v>20</v>
      </c>
      <c r="H555" s="49" t="e">
        <f aca="false">#DIV/0!</f>
        <v>#DIV/0!</v>
      </c>
      <c r="I555" s="49" t="e">
        <f aca="false">#DIV/0!</f>
        <v>#DIV/0!</v>
      </c>
      <c r="J555" s="269" t="s">
        <v>1035</v>
      </c>
      <c r="K555" s="27" t="n">
        <v>20000</v>
      </c>
      <c r="L555" s="27" t="n">
        <v>32000</v>
      </c>
      <c r="M555" s="28"/>
      <c r="N555" s="29" t="n">
        <v>32000</v>
      </c>
      <c r="O555" s="29" t="n">
        <v>32000</v>
      </c>
      <c r="P555" s="30" t="n">
        <v>0</v>
      </c>
      <c r="Q555" s="263" t="n">
        <v>45572</v>
      </c>
    </row>
    <row r="556" customFormat="false" ht="17.9" hidden="false" customHeight="false" outlineLevel="0" collapsed="false">
      <c r="A556" s="294" t="n">
        <v>2815</v>
      </c>
      <c r="B556" s="22" t="s">
        <v>909</v>
      </c>
      <c r="C556" s="22"/>
      <c r="D556" s="48"/>
      <c r="E556" s="23" t="n">
        <v>45555</v>
      </c>
      <c r="F556" s="23" t="n">
        <v>45583</v>
      </c>
      <c r="G556" s="37" t="n">
        <v>20</v>
      </c>
      <c r="H556" s="49" t="e">
        <f aca="false">#DIV/0!</f>
        <v>#DIV/0!</v>
      </c>
      <c r="I556" s="49" t="e">
        <f aca="false">#DIV/0!</f>
        <v>#DIV/0!</v>
      </c>
      <c r="J556" s="269" t="s">
        <v>1036</v>
      </c>
      <c r="K556" s="30" t="n">
        <v>15000</v>
      </c>
      <c r="L556" s="30" t="n">
        <v>22500</v>
      </c>
      <c r="M556" s="45"/>
      <c r="N556" s="29" t="n">
        <v>22500</v>
      </c>
      <c r="O556" s="29" t="n">
        <v>22500</v>
      </c>
      <c r="P556" s="30" t="n">
        <v>0</v>
      </c>
      <c r="Q556" s="263" t="n">
        <v>45572</v>
      </c>
    </row>
    <row r="557" customFormat="false" ht="42.5" hidden="false" customHeight="false" outlineLevel="0" collapsed="false">
      <c r="A557" s="294" t="n">
        <v>2616</v>
      </c>
      <c r="B557" s="22" t="s">
        <v>748</v>
      </c>
      <c r="C557" s="22" t="s">
        <v>493</v>
      </c>
      <c r="D557" s="48"/>
      <c r="E557" s="23" t="n">
        <v>45421</v>
      </c>
      <c r="F557" s="23" t="n">
        <v>45523</v>
      </c>
      <c r="G557" s="37" t="n">
        <v>72</v>
      </c>
      <c r="H557" s="49" t="n">
        <v>73.3333333333333</v>
      </c>
      <c r="I557" s="49" t="n">
        <v>-1.33333333333333</v>
      </c>
      <c r="J557" s="22" t="s">
        <v>333</v>
      </c>
      <c r="K557" s="27" t="n">
        <v>50000</v>
      </c>
      <c r="L557" s="27" t="n">
        <v>108000</v>
      </c>
      <c r="M557" s="28" t="n">
        <v>7500</v>
      </c>
      <c r="N557" s="29" t="n">
        <v>20000</v>
      </c>
      <c r="O557" s="29" t="n">
        <v>110000</v>
      </c>
      <c r="P557" s="30" t="n">
        <v>-2000</v>
      </c>
      <c r="Q557" s="263" t="n">
        <v>45572</v>
      </c>
    </row>
    <row r="558" customFormat="false" ht="17.9" hidden="false" customHeight="false" outlineLevel="0" collapsed="false">
      <c r="A558" s="294" t="n">
        <v>2700</v>
      </c>
      <c r="B558" s="22" t="s">
        <v>519</v>
      </c>
      <c r="C558" s="22" t="s">
        <v>520</v>
      </c>
      <c r="D558" s="48"/>
      <c r="E558" s="23" t="n">
        <v>45481</v>
      </c>
      <c r="F558" s="23" t="n">
        <v>45581</v>
      </c>
      <c r="G558" s="37" t="n">
        <v>72</v>
      </c>
      <c r="H558" s="49" t="n">
        <v>72</v>
      </c>
      <c r="I558" s="49" t="n">
        <v>0</v>
      </c>
      <c r="J558" s="22" t="s">
        <v>333</v>
      </c>
      <c r="K558" s="30" t="n">
        <v>50000</v>
      </c>
      <c r="L558" s="30" t="n">
        <v>108000</v>
      </c>
      <c r="M558" s="28" t="n">
        <v>7500</v>
      </c>
      <c r="N558" s="29" t="n">
        <v>18000</v>
      </c>
      <c r="O558" s="29" t="n">
        <v>108000</v>
      </c>
      <c r="P558" s="30" t="n">
        <v>0</v>
      </c>
      <c r="Q558" s="263" t="n">
        <v>45572</v>
      </c>
    </row>
    <row r="559" customFormat="false" ht="26.1" hidden="false" customHeight="false" outlineLevel="0" collapsed="false">
      <c r="A559" s="300" t="n">
        <v>2855</v>
      </c>
      <c r="B559" s="22" t="s">
        <v>212</v>
      </c>
      <c r="C559" s="22"/>
      <c r="D559" s="48" t="n">
        <v>27252034574</v>
      </c>
      <c r="E559" s="23" t="n">
        <v>45577</v>
      </c>
      <c r="F559" s="23" t="n">
        <v>45583</v>
      </c>
      <c r="G559" s="37" t="n">
        <v>5</v>
      </c>
      <c r="H559" s="49" t="e">
        <f aca="false">#DIV/0!</f>
        <v>#DIV/0!</v>
      </c>
      <c r="I559" s="49" t="e">
        <f aca="false">#DIV/0!</f>
        <v>#DIV/0!</v>
      </c>
      <c r="J559" s="22" t="s">
        <v>444</v>
      </c>
      <c r="K559" s="30" t="n">
        <v>30000</v>
      </c>
      <c r="L559" s="30" t="n">
        <v>39000</v>
      </c>
      <c r="M559" s="45"/>
      <c r="N559" s="29" t="n">
        <v>39000</v>
      </c>
      <c r="O559" s="29" t="n">
        <v>39000</v>
      </c>
      <c r="P559" s="30" t="n">
        <v>0</v>
      </c>
      <c r="Q559" s="263" t="n">
        <v>45579</v>
      </c>
    </row>
    <row r="560" customFormat="false" ht="42.5" hidden="false" customHeight="false" outlineLevel="0" collapsed="false">
      <c r="A560" s="294" t="n">
        <v>2810</v>
      </c>
      <c r="B560" s="22" t="s">
        <v>581</v>
      </c>
      <c r="C560" s="22" t="s">
        <v>351</v>
      </c>
      <c r="D560" s="48"/>
      <c r="E560" s="23" t="n">
        <v>45552</v>
      </c>
      <c r="F560" s="23" t="n">
        <v>45580</v>
      </c>
      <c r="G560" s="37" t="n">
        <v>20</v>
      </c>
      <c r="H560" s="49" t="e">
        <f aca="false">#VALUE!</f>
        <v>#VALUE!</v>
      </c>
      <c r="I560" s="49" t="e">
        <f aca="false">#VALUE!</f>
        <v>#VALUE!</v>
      </c>
      <c r="J560" s="269" t="s">
        <v>1037</v>
      </c>
      <c r="K560" s="30" t="n">
        <v>100000</v>
      </c>
      <c r="L560" s="30" t="n">
        <v>150000</v>
      </c>
      <c r="M560" s="28" t="s">
        <v>184</v>
      </c>
      <c r="N560" s="29" t="n">
        <v>150000</v>
      </c>
      <c r="O560" s="29" t="n">
        <v>150000</v>
      </c>
      <c r="P560" s="30" t="n">
        <v>0</v>
      </c>
      <c r="Q560" s="263" t="n">
        <v>45579</v>
      </c>
    </row>
    <row r="561" customFormat="false" ht="17.9" hidden="false" customHeight="false" outlineLevel="0" collapsed="false">
      <c r="A561" s="294" t="n">
        <v>2849</v>
      </c>
      <c r="B561" s="22" t="s">
        <v>363</v>
      </c>
      <c r="C561" s="22"/>
      <c r="D561" s="48"/>
      <c r="E561" s="23" t="n">
        <v>45575</v>
      </c>
      <c r="F561" s="23" t="n">
        <v>45582</v>
      </c>
      <c r="G561" s="37" t="n">
        <v>5</v>
      </c>
      <c r="H561" s="49" t="e">
        <f aca="false">#DIV/0!</f>
        <v>#DIV/0!</v>
      </c>
      <c r="I561" s="49" t="e">
        <f aca="false">#DIV/0!</f>
        <v>#DIV/0!</v>
      </c>
      <c r="J561" s="269" t="s">
        <v>199</v>
      </c>
      <c r="K561" s="50" t="n">
        <v>30000</v>
      </c>
      <c r="L561" s="27" t="n">
        <v>39000</v>
      </c>
      <c r="M561" s="45"/>
      <c r="N561" s="29" t="n">
        <v>39000</v>
      </c>
      <c r="O561" s="29" t="n">
        <v>39000</v>
      </c>
      <c r="P561" s="30" t="n">
        <v>0</v>
      </c>
      <c r="Q561" s="263" t="n">
        <v>45579</v>
      </c>
    </row>
    <row r="562" customFormat="false" ht="17.9" hidden="false" customHeight="false" outlineLevel="0" collapsed="false">
      <c r="A562" s="294" t="n">
        <v>2850</v>
      </c>
      <c r="B562" s="22" t="s">
        <v>363</v>
      </c>
      <c r="C562" s="22"/>
      <c r="D562" s="48"/>
      <c r="E562" s="23" t="n">
        <v>45575</v>
      </c>
      <c r="F562" s="23" t="n">
        <v>45582</v>
      </c>
      <c r="G562" s="37" t="n">
        <v>5</v>
      </c>
      <c r="H562" s="49" t="e">
        <f aca="false">#DIV/0!</f>
        <v>#DIV/0!</v>
      </c>
      <c r="I562" s="49" t="e">
        <f aca="false">#DIV/0!</f>
        <v>#DIV/0!</v>
      </c>
      <c r="J562" s="269" t="s">
        <v>199</v>
      </c>
      <c r="K562" s="50" t="n">
        <v>50000</v>
      </c>
      <c r="L562" s="27" t="n">
        <v>65000</v>
      </c>
      <c r="M562" s="45"/>
      <c r="N562" s="29" t="n">
        <v>65000</v>
      </c>
      <c r="O562" s="29" t="n">
        <v>65000</v>
      </c>
      <c r="P562" s="30" t="n">
        <v>0</v>
      </c>
      <c r="Q562" s="263" t="n">
        <v>45579</v>
      </c>
    </row>
    <row r="563" customFormat="false" ht="34.3" hidden="false" customHeight="false" outlineLevel="0" collapsed="false">
      <c r="A563" s="294" t="n">
        <v>2709</v>
      </c>
      <c r="B563" s="22" t="s">
        <v>1038</v>
      </c>
      <c r="C563" s="22" t="s">
        <v>1039</v>
      </c>
      <c r="D563" s="48"/>
      <c r="E563" s="23" t="n">
        <v>45486</v>
      </c>
      <c r="F563" s="23" t="n">
        <v>45583</v>
      </c>
      <c r="G563" s="37" t="n">
        <v>70</v>
      </c>
      <c r="H563" s="49" t="n">
        <v>70</v>
      </c>
      <c r="I563" s="49" t="n">
        <v>0</v>
      </c>
      <c r="J563" s="74" t="s">
        <v>1040</v>
      </c>
      <c r="K563" s="27" t="n">
        <v>30000</v>
      </c>
      <c r="L563" s="27" t="n">
        <v>66500</v>
      </c>
      <c r="M563" s="28" t="n">
        <v>4750</v>
      </c>
      <c r="N563" s="29" t="n">
        <v>9500</v>
      </c>
      <c r="O563" s="29" t="n">
        <v>66500</v>
      </c>
      <c r="P563" s="30" t="n">
        <v>0</v>
      </c>
      <c r="Q563" s="263" t="n">
        <v>45579</v>
      </c>
    </row>
    <row r="564" customFormat="false" ht="26.1" hidden="false" customHeight="false" outlineLevel="0" collapsed="false">
      <c r="A564" s="294" t="n">
        <v>2808</v>
      </c>
      <c r="B564" s="22" t="s">
        <v>688</v>
      </c>
      <c r="C564" s="22"/>
      <c r="D564" s="48"/>
      <c r="E564" s="23" t="n">
        <v>45549</v>
      </c>
      <c r="F564" s="23" t="n">
        <v>45576</v>
      </c>
      <c r="G564" s="37" t="n">
        <v>20</v>
      </c>
      <c r="H564" s="49" t="e">
        <f aca="false">#VALUE!</f>
        <v>#VALUE!</v>
      </c>
      <c r="I564" s="49" t="e">
        <f aca="false">#VALUE!</f>
        <v>#VALUE!</v>
      </c>
      <c r="J564" s="269" t="s">
        <v>199</v>
      </c>
      <c r="K564" s="27" t="n">
        <v>20000</v>
      </c>
      <c r="L564" s="27" t="n">
        <v>30000</v>
      </c>
      <c r="M564" s="45" t="s">
        <v>184</v>
      </c>
      <c r="N564" s="29" t="n">
        <v>30000</v>
      </c>
      <c r="O564" s="29" t="n">
        <v>30000</v>
      </c>
      <c r="P564" s="30" t="n">
        <v>0</v>
      </c>
      <c r="Q564" s="263" t="n">
        <v>45579</v>
      </c>
    </row>
    <row r="565" customFormat="false" ht="17.9" hidden="false" customHeight="false" outlineLevel="0" collapsed="false">
      <c r="A565" s="294" t="n">
        <v>2817</v>
      </c>
      <c r="B565" s="22" t="s">
        <v>909</v>
      </c>
      <c r="C565" s="22"/>
      <c r="D565" s="48"/>
      <c r="E565" s="23" t="n">
        <v>45556</v>
      </c>
      <c r="F565" s="23" t="n">
        <v>45583</v>
      </c>
      <c r="G565" s="37" t="n">
        <v>20</v>
      </c>
      <c r="H565" s="49" t="e">
        <f aca="false">#DIV/0!</f>
        <v>#DIV/0!</v>
      </c>
      <c r="I565" s="49" t="e">
        <f aca="false">#DIV/0!</f>
        <v>#DIV/0!</v>
      </c>
      <c r="J565" s="269" t="s">
        <v>1036</v>
      </c>
      <c r="K565" s="27" t="n">
        <v>15000</v>
      </c>
      <c r="L565" s="27" t="n">
        <v>22500</v>
      </c>
      <c r="M565" s="45"/>
      <c r="N565" s="29" t="n">
        <v>17000</v>
      </c>
      <c r="O565" s="29" t="n">
        <v>22500</v>
      </c>
      <c r="P565" s="30" t="n">
        <v>0</v>
      </c>
      <c r="Q565" s="263" t="n">
        <v>45579</v>
      </c>
    </row>
    <row r="566" customFormat="false" ht="17.9" hidden="false" customHeight="false" outlineLevel="0" collapsed="false">
      <c r="A566" s="294" t="n">
        <v>2752</v>
      </c>
      <c r="B566" s="22" t="s">
        <v>537</v>
      </c>
      <c r="C566" s="22"/>
      <c r="D566" s="48"/>
      <c r="E566" s="23" t="n">
        <v>45514</v>
      </c>
      <c r="F566" s="23" t="n">
        <v>45611</v>
      </c>
      <c r="G566" s="37" t="n">
        <v>70</v>
      </c>
      <c r="H566" s="49" t="n">
        <v>70</v>
      </c>
      <c r="I566" s="49" t="n">
        <v>0</v>
      </c>
      <c r="J566" s="74" t="s">
        <v>1041</v>
      </c>
      <c r="K566" s="30" t="n">
        <v>30000</v>
      </c>
      <c r="L566" s="30" t="n">
        <v>66500</v>
      </c>
      <c r="M566" s="28" t="n">
        <v>4750</v>
      </c>
      <c r="N566" s="29" t="n">
        <v>29500</v>
      </c>
      <c r="O566" s="29" t="n">
        <v>66500</v>
      </c>
      <c r="P566" s="27" t="n">
        <v>0</v>
      </c>
      <c r="Q566" s="263" t="n">
        <v>45579</v>
      </c>
    </row>
    <row r="567" customFormat="false" ht="42.5" hidden="false" customHeight="false" outlineLevel="0" collapsed="false">
      <c r="A567" s="294" t="n">
        <v>2579</v>
      </c>
      <c r="B567" s="22" t="s">
        <v>268</v>
      </c>
      <c r="C567" s="24" t="s">
        <v>269</v>
      </c>
      <c r="D567" s="48"/>
      <c r="E567" s="23" t="n">
        <v>45399</v>
      </c>
      <c r="F567" s="23" t="n">
        <v>45595</v>
      </c>
      <c r="G567" s="49" t="n">
        <v>140</v>
      </c>
      <c r="H567" s="49" t="n">
        <v>0</v>
      </c>
      <c r="I567" s="49" t="n">
        <v>0</v>
      </c>
      <c r="J567" s="269" t="s">
        <v>1042</v>
      </c>
      <c r="K567" s="27" t="n">
        <v>200000</v>
      </c>
      <c r="L567" s="27" t="n">
        <v>560000</v>
      </c>
      <c r="M567" s="45" t="n">
        <v>20000</v>
      </c>
      <c r="N567" s="29" t="n">
        <v>80000</v>
      </c>
      <c r="O567" s="29" t="n">
        <v>80000</v>
      </c>
      <c r="P567" s="29" t="n">
        <v>560000</v>
      </c>
      <c r="Q567" s="263" t="n">
        <v>45586</v>
      </c>
    </row>
    <row r="568" customFormat="false" ht="34.3" hidden="false" customHeight="false" outlineLevel="0" collapsed="false">
      <c r="A568" s="294" t="n">
        <v>2840</v>
      </c>
      <c r="B568" s="22" t="s">
        <v>440</v>
      </c>
      <c r="C568" s="22" t="s">
        <v>207</v>
      </c>
      <c r="D568" s="48"/>
      <c r="E568" s="23" t="n">
        <v>45560</v>
      </c>
      <c r="F568" s="23" t="n">
        <v>45660</v>
      </c>
      <c r="G568" s="49" t="e">
        <f aca="false">#DIV/0!</f>
        <v>#DIV/0!</v>
      </c>
      <c r="H568" s="49" t="e">
        <f aca="false">#DIV/0!</f>
        <v>#DIV/0!</v>
      </c>
      <c r="I568" s="49" t="n">
        <v>0</v>
      </c>
      <c r="J568" s="269" t="s">
        <v>444</v>
      </c>
      <c r="K568" s="27" t="n">
        <v>80000</v>
      </c>
      <c r="L568" s="27" t="n">
        <v>104000</v>
      </c>
      <c r="M568" s="28"/>
      <c r="N568" s="40" t="n">
        <v>104000</v>
      </c>
      <c r="O568" s="29" t="n">
        <v>104000</v>
      </c>
      <c r="P568" s="29" t="n">
        <v>104000</v>
      </c>
      <c r="Q568" s="263" t="n">
        <v>45586</v>
      </c>
    </row>
    <row r="569" customFormat="false" ht="42.5" hidden="false" customHeight="false" outlineLevel="0" collapsed="false">
      <c r="A569" s="294" t="n">
        <v>2726</v>
      </c>
      <c r="B569" s="22" t="s">
        <v>229</v>
      </c>
      <c r="C569" s="22" t="s">
        <v>230</v>
      </c>
      <c r="D569" s="48"/>
      <c r="E569" s="23" t="n">
        <v>45497</v>
      </c>
      <c r="F569" s="23" t="n">
        <v>45581</v>
      </c>
      <c r="G569" s="49" t="n">
        <v>60.0010000166669</v>
      </c>
      <c r="H569" s="49" t="n">
        <v>-0.00100001666694283</v>
      </c>
      <c r="I569" s="49" t="n">
        <v>0</v>
      </c>
      <c r="J569" s="269" t="s">
        <v>1043</v>
      </c>
      <c r="K569" s="27" t="n">
        <v>1000000</v>
      </c>
      <c r="L569" s="27" t="n">
        <v>1799970</v>
      </c>
      <c r="M569" s="28" t="n">
        <v>149997.5</v>
      </c>
      <c r="N569" s="28" t="n">
        <v>149997.5</v>
      </c>
      <c r="O569" s="29" t="n">
        <v>300000</v>
      </c>
      <c r="P569" s="29" t="n">
        <v>1800000</v>
      </c>
      <c r="Q569" s="263" t="n">
        <v>45593</v>
      </c>
    </row>
    <row r="570" customFormat="false" ht="17.9" hidden="false" customHeight="false" outlineLevel="0" collapsed="false">
      <c r="A570" s="294" t="n">
        <v>2683</v>
      </c>
      <c r="B570" s="22" t="s">
        <v>324</v>
      </c>
      <c r="C570" s="22"/>
      <c r="D570" s="48"/>
      <c r="E570" s="23" t="n">
        <v>45467</v>
      </c>
      <c r="F570" s="23" t="n">
        <v>45579</v>
      </c>
      <c r="G570" s="49" t="n">
        <v>80</v>
      </c>
      <c r="H570" s="49" t="n">
        <v>0</v>
      </c>
      <c r="I570" s="49" t="n">
        <v>0</v>
      </c>
      <c r="J570" s="269" t="s">
        <v>1044</v>
      </c>
      <c r="K570" s="290" t="n">
        <v>100000</v>
      </c>
      <c r="L570" s="27" t="n">
        <v>216000</v>
      </c>
      <c r="M570" s="45" t="n">
        <v>13500</v>
      </c>
      <c r="N570" s="45" t="n">
        <v>13500</v>
      </c>
      <c r="O570" s="29" t="n">
        <v>54000</v>
      </c>
      <c r="P570" s="29" t="n">
        <v>216000</v>
      </c>
      <c r="Q570" s="263" t="n">
        <v>45593</v>
      </c>
    </row>
    <row r="571" customFormat="false" ht="26.1" hidden="false" customHeight="false" outlineLevel="0" collapsed="false">
      <c r="A571" s="294" t="n">
        <v>2730</v>
      </c>
      <c r="B571" s="22" t="s">
        <v>376</v>
      </c>
      <c r="C571" s="22" t="s">
        <v>377</v>
      </c>
      <c r="D571" s="48"/>
      <c r="E571" s="23" t="n">
        <v>45499</v>
      </c>
      <c r="F571" s="23" t="n">
        <v>45601</v>
      </c>
      <c r="G571" s="49" t="n">
        <v>72</v>
      </c>
      <c r="H571" s="49" t="n">
        <v>0</v>
      </c>
      <c r="I571" s="49" t="n">
        <v>0</v>
      </c>
      <c r="J571" s="22" t="s">
        <v>1045</v>
      </c>
      <c r="K571" s="30" t="n">
        <v>80000</v>
      </c>
      <c r="L571" s="30" t="n">
        <v>172800</v>
      </c>
      <c r="M571" s="28" t="n">
        <v>12000</v>
      </c>
      <c r="N571" s="28" t="n">
        <v>12000</v>
      </c>
      <c r="O571" s="29" t="n">
        <v>16800</v>
      </c>
      <c r="P571" s="29" t="n">
        <v>172800</v>
      </c>
      <c r="Q571" s="263" t="n">
        <v>45593</v>
      </c>
    </row>
    <row r="572" customFormat="false" ht="26.1" hidden="false" customHeight="false" outlineLevel="0" collapsed="false">
      <c r="A572" s="294" t="n">
        <v>2608</v>
      </c>
      <c r="B572" s="22" t="s">
        <v>216</v>
      </c>
      <c r="C572" s="22" t="s">
        <v>217</v>
      </c>
      <c r="D572" s="48"/>
      <c r="E572" s="23" t="n">
        <v>45415</v>
      </c>
      <c r="F572" s="23" t="n">
        <v>45583</v>
      </c>
      <c r="G572" s="49" t="n">
        <v>120</v>
      </c>
      <c r="H572" s="49" t="n">
        <v>0</v>
      </c>
      <c r="I572" s="49" t="n">
        <v>0</v>
      </c>
      <c r="J572" s="269" t="s">
        <v>1046</v>
      </c>
      <c r="K572" s="27" t="n">
        <v>60000</v>
      </c>
      <c r="L572" s="27" t="n">
        <v>129600</v>
      </c>
      <c r="M572" s="28" t="n">
        <v>5400</v>
      </c>
      <c r="N572" s="28" t="n">
        <v>5400</v>
      </c>
      <c r="O572" s="29" t="n">
        <v>3420</v>
      </c>
      <c r="P572" s="29" t="n">
        <v>129600</v>
      </c>
      <c r="Q572" s="263" t="n">
        <v>45600</v>
      </c>
    </row>
    <row r="573" customFormat="false" ht="26.1" hidden="false" customHeight="false" outlineLevel="0" collapsed="false">
      <c r="A573" s="294" t="n">
        <v>2618</v>
      </c>
      <c r="B573" s="22" t="s">
        <v>216</v>
      </c>
      <c r="C573" s="22" t="s">
        <v>217</v>
      </c>
      <c r="D573" s="48"/>
      <c r="E573" s="23" t="n">
        <v>45422</v>
      </c>
      <c r="F573" s="23" t="n">
        <v>45576</v>
      </c>
      <c r="G573" s="49" t="n">
        <v>110</v>
      </c>
      <c r="H573" s="49" t="n">
        <v>0</v>
      </c>
      <c r="I573" s="49" t="n">
        <v>0</v>
      </c>
      <c r="J573" s="269" t="s">
        <v>1047</v>
      </c>
      <c r="K573" s="30" t="n">
        <v>100000</v>
      </c>
      <c r="L573" s="30" t="n">
        <v>264000</v>
      </c>
      <c r="M573" s="28" t="n">
        <v>12000</v>
      </c>
      <c r="N573" s="28" t="n">
        <v>12000</v>
      </c>
      <c r="O573" s="29" t="n">
        <v>44000</v>
      </c>
      <c r="P573" s="29" t="n">
        <v>264000</v>
      </c>
      <c r="Q573" s="263" t="n">
        <v>45600</v>
      </c>
    </row>
    <row r="574" customFormat="false" ht="26.1" hidden="false" customHeight="false" outlineLevel="0" collapsed="false">
      <c r="A574" s="294" t="n">
        <v>2867</v>
      </c>
      <c r="B574" s="22" t="s">
        <v>216</v>
      </c>
      <c r="C574" s="22" t="s">
        <v>217</v>
      </c>
      <c r="D574" s="48"/>
      <c r="E574" s="23" t="n">
        <v>45583</v>
      </c>
      <c r="F574" s="23" t="n">
        <v>45604</v>
      </c>
      <c r="G574" s="49" t="e">
        <f aca="false">#DIV/0!</f>
        <v>#DIV/0!</v>
      </c>
      <c r="H574" s="49" t="e">
        <f aca="false">#DIV/0!</f>
        <v>#DIV/0!</v>
      </c>
      <c r="I574" s="49" t="n">
        <v>0</v>
      </c>
      <c r="J574" s="269" t="s">
        <v>444</v>
      </c>
      <c r="K574" s="30" t="n">
        <v>20000</v>
      </c>
      <c r="L574" s="30" t="n">
        <v>32000</v>
      </c>
      <c r="M574" s="28"/>
      <c r="N574" s="28"/>
      <c r="O574" s="29" t="n">
        <v>32000</v>
      </c>
      <c r="P574" s="29" t="n">
        <v>32000</v>
      </c>
      <c r="Q574" s="263" t="n">
        <v>45600</v>
      </c>
    </row>
    <row r="575" customFormat="false" ht="17.9" hidden="false" customHeight="false" outlineLevel="0" collapsed="false">
      <c r="A575" s="294" t="n">
        <v>2722</v>
      </c>
      <c r="B575" s="22" t="s">
        <v>277</v>
      </c>
      <c r="C575" s="22" t="s">
        <v>278</v>
      </c>
      <c r="D575" s="48"/>
      <c r="E575" s="23" t="n">
        <v>45496</v>
      </c>
      <c r="F575" s="23" t="n">
        <v>45596</v>
      </c>
      <c r="G575" s="49" t="n">
        <v>72</v>
      </c>
      <c r="H575" s="49" t="n">
        <v>0</v>
      </c>
      <c r="I575" s="49" t="n">
        <v>0</v>
      </c>
      <c r="J575" s="22" t="s">
        <v>964</v>
      </c>
      <c r="K575" s="30" t="n">
        <v>15000</v>
      </c>
      <c r="L575" s="30" t="n">
        <v>32400</v>
      </c>
      <c r="M575" s="28" t="n">
        <v>2250</v>
      </c>
      <c r="N575" s="28" t="n">
        <v>2250</v>
      </c>
      <c r="O575" s="29" t="n">
        <v>8100</v>
      </c>
      <c r="P575" s="29" t="n">
        <v>32400</v>
      </c>
      <c r="Q575" s="263" t="n">
        <v>45600</v>
      </c>
    </row>
    <row r="576" customFormat="false" ht="26.1" hidden="false" customHeight="false" outlineLevel="0" collapsed="false">
      <c r="A576" s="294" t="n">
        <v>2286</v>
      </c>
      <c r="B576" s="22" t="s">
        <v>302</v>
      </c>
      <c r="C576" s="22" t="s">
        <v>303</v>
      </c>
      <c r="D576" s="48"/>
      <c r="E576" s="23" t="n">
        <v>45208</v>
      </c>
      <c r="F576" s="23" t="n">
        <v>45308</v>
      </c>
      <c r="G576" s="49" t="n">
        <v>78.6666666666667</v>
      </c>
      <c r="H576" s="49" t="n">
        <v>-6.66666666666667</v>
      </c>
      <c r="I576" s="49" t="n">
        <v>0</v>
      </c>
      <c r="J576" s="74" t="s">
        <v>333</v>
      </c>
      <c r="K576" s="27" t="n">
        <v>50000</v>
      </c>
      <c r="L576" s="27" t="n">
        <v>108000</v>
      </c>
      <c r="M576" s="28" t="n">
        <v>7500</v>
      </c>
      <c r="N576" s="28" t="n">
        <v>7500</v>
      </c>
      <c r="O576" s="29" t="n">
        <v>15000</v>
      </c>
      <c r="P576" s="29" t="n">
        <v>118000</v>
      </c>
      <c r="Q576" s="263" t="n">
        <v>45600</v>
      </c>
    </row>
    <row r="577" customFormat="false" ht="26.1" hidden="false" customHeight="false" outlineLevel="0" collapsed="false">
      <c r="A577" s="294" t="n">
        <v>2502</v>
      </c>
      <c r="B577" s="22" t="s">
        <v>302</v>
      </c>
      <c r="C577" s="22" t="s">
        <v>303</v>
      </c>
      <c r="D577" s="48"/>
      <c r="E577" s="23" t="n">
        <v>45350</v>
      </c>
      <c r="F577" s="23" t="n">
        <v>45450</v>
      </c>
      <c r="G577" s="49" t="n">
        <v>81.8888888888889</v>
      </c>
      <c r="H577" s="49" t="n">
        <v>-9.88888888888889</v>
      </c>
      <c r="I577" s="49" t="n">
        <v>0</v>
      </c>
      <c r="J577" s="74" t="s">
        <v>716</v>
      </c>
      <c r="K577" s="27" t="n">
        <v>15000</v>
      </c>
      <c r="L577" s="27" t="n">
        <v>32400</v>
      </c>
      <c r="M577" s="28" t="n">
        <v>2250</v>
      </c>
      <c r="N577" s="28" t="n">
        <v>2250</v>
      </c>
      <c r="O577" s="29" t="n">
        <v>9300</v>
      </c>
      <c r="P577" s="29" t="n">
        <v>36850</v>
      </c>
      <c r="Q577" s="263" t="n">
        <v>45600</v>
      </c>
    </row>
    <row r="578" customFormat="false" ht="26.1" hidden="false" customHeight="false" outlineLevel="0" collapsed="false">
      <c r="A578" s="294" t="n">
        <v>2648</v>
      </c>
      <c r="B578" s="22" t="s">
        <v>302</v>
      </c>
      <c r="C578" s="22" t="s">
        <v>303</v>
      </c>
      <c r="D578" s="48"/>
      <c r="E578" s="23" t="n">
        <v>45442</v>
      </c>
      <c r="F578" s="23" t="n">
        <v>45544</v>
      </c>
      <c r="G578" s="49" t="n">
        <v>75.3333333333333</v>
      </c>
      <c r="H578" s="49" t="n">
        <v>-3.33333333333333</v>
      </c>
      <c r="I578" s="49" t="n">
        <v>0</v>
      </c>
      <c r="J578" s="74" t="s">
        <v>703</v>
      </c>
      <c r="K578" s="27" t="n">
        <v>25000</v>
      </c>
      <c r="L578" s="27" t="n">
        <v>54000</v>
      </c>
      <c r="M578" s="45" t="n">
        <v>3750</v>
      </c>
      <c r="N578" s="45" t="n">
        <v>3750</v>
      </c>
      <c r="O578" s="29" t="n">
        <v>7000</v>
      </c>
      <c r="P578" s="29" t="n">
        <v>56500</v>
      </c>
      <c r="Q578" s="263" t="n">
        <v>45600</v>
      </c>
    </row>
    <row r="579" customFormat="false" ht="34.3" hidden="false" customHeight="false" outlineLevel="0" collapsed="false">
      <c r="A579" s="294" t="n">
        <v>2190</v>
      </c>
      <c r="B579" s="22" t="s">
        <v>405</v>
      </c>
      <c r="C579" s="22" t="s">
        <v>406</v>
      </c>
      <c r="D579" s="48"/>
      <c r="E579" s="23" t="n">
        <v>45139</v>
      </c>
      <c r="F579" s="23" t="n">
        <v>45614</v>
      </c>
      <c r="G579" s="49" t="n">
        <v>310</v>
      </c>
      <c r="H579" s="49" t="n">
        <v>29</v>
      </c>
      <c r="I579" s="49" t="n">
        <v>0</v>
      </c>
      <c r="J579" s="74" t="s">
        <v>1048</v>
      </c>
      <c r="K579" s="30" t="n">
        <v>200000</v>
      </c>
      <c r="L579" s="30" t="n">
        <v>591000</v>
      </c>
      <c r="M579" s="45" t="n">
        <v>9850</v>
      </c>
      <c r="N579" s="45" t="n">
        <v>9850</v>
      </c>
      <c r="O579" s="29" t="n">
        <v>39400</v>
      </c>
      <c r="P579" s="29" t="n">
        <v>610700</v>
      </c>
      <c r="Q579" s="263" t="n">
        <v>45600</v>
      </c>
    </row>
    <row r="580" customFormat="false" ht="26.1" hidden="false" customHeight="false" outlineLevel="0" collapsed="false">
      <c r="A580" s="294" t="n">
        <v>2636</v>
      </c>
      <c r="B580" s="22" t="s">
        <v>431</v>
      </c>
      <c r="C580" s="22" t="s">
        <v>432</v>
      </c>
      <c r="D580" s="48"/>
      <c r="E580" s="23" t="n">
        <v>45437</v>
      </c>
      <c r="F580" s="23" t="n">
        <v>45604</v>
      </c>
      <c r="G580" s="49" t="n">
        <v>120.012890750886</v>
      </c>
      <c r="H580" s="49" t="n">
        <v>-0.0128907508862426</v>
      </c>
      <c r="I580" s="49" t="n">
        <v>0</v>
      </c>
      <c r="J580" s="74" t="s">
        <v>1049</v>
      </c>
      <c r="K580" s="27" t="n">
        <v>141000</v>
      </c>
      <c r="L580" s="27" t="n">
        <v>372360</v>
      </c>
      <c r="M580" s="28" t="n">
        <v>15515</v>
      </c>
      <c r="N580" s="28" t="n">
        <v>15515</v>
      </c>
      <c r="O580" s="29" t="n">
        <v>62000</v>
      </c>
      <c r="P580" s="29" t="n">
        <v>372400</v>
      </c>
      <c r="Q580" s="263" t="n">
        <v>45600</v>
      </c>
    </row>
    <row r="581" customFormat="false" ht="34.3" hidden="false" customHeight="false" outlineLevel="0" collapsed="false">
      <c r="A581" s="294" t="n">
        <v>2654</v>
      </c>
      <c r="B581" s="22" t="s">
        <v>440</v>
      </c>
      <c r="C581" s="22" t="s">
        <v>207</v>
      </c>
      <c r="D581" s="48"/>
      <c r="E581" s="23" t="n">
        <v>45450</v>
      </c>
      <c r="F581" s="23" t="n">
        <v>45604</v>
      </c>
      <c r="G581" s="49" t="n">
        <v>115</v>
      </c>
      <c r="H581" s="49" t="n">
        <v>-5</v>
      </c>
      <c r="I581" s="49" t="n">
        <v>0</v>
      </c>
      <c r="J581" s="22" t="s">
        <v>254</v>
      </c>
      <c r="K581" s="27" t="n">
        <v>100000</v>
      </c>
      <c r="L581" s="27" t="n">
        <v>264000</v>
      </c>
      <c r="M581" s="28" t="n">
        <v>12000</v>
      </c>
      <c r="N581" s="28" t="n">
        <v>12000</v>
      </c>
      <c r="O581" s="29" t="n">
        <v>12000</v>
      </c>
      <c r="P581" s="29" t="n">
        <v>276000</v>
      </c>
      <c r="Q581" s="263" t="n">
        <v>45600</v>
      </c>
    </row>
    <row r="582" customFormat="false" ht="34.3" hidden="false" customHeight="false" outlineLevel="0" collapsed="false">
      <c r="A582" s="294" t="n">
        <v>2594</v>
      </c>
      <c r="B582" s="22" t="s">
        <v>448</v>
      </c>
      <c r="C582" s="22" t="s">
        <v>449</v>
      </c>
      <c r="D582" s="48"/>
      <c r="E582" s="23" t="n">
        <v>45406</v>
      </c>
      <c r="F582" s="23" t="n">
        <v>45602</v>
      </c>
      <c r="G582" s="49" t="n">
        <v>140</v>
      </c>
      <c r="H582" s="49" t="n">
        <v>0</v>
      </c>
      <c r="I582" s="49" t="n">
        <v>0</v>
      </c>
      <c r="J582" s="269" t="s">
        <v>687</v>
      </c>
      <c r="K582" s="27" t="n">
        <v>70000</v>
      </c>
      <c r="L582" s="27" t="n">
        <v>184800</v>
      </c>
      <c r="M582" s="45" t="n">
        <v>6600</v>
      </c>
      <c r="N582" s="45" t="n">
        <v>6600</v>
      </c>
      <c r="O582" s="29" t="n">
        <v>26400</v>
      </c>
      <c r="P582" s="29" t="n">
        <v>184800</v>
      </c>
      <c r="Q582" s="263" t="n">
        <v>45600</v>
      </c>
    </row>
    <row r="583" customFormat="false" ht="34.3" hidden="false" customHeight="false" outlineLevel="0" collapsed="false">
      <c r="A583" s="294" t="n">
        <v>2605</v>
      </c>
      <c r="B583" s="22" t="s">
        <v>448</v>
      </c>
      <c r="C583" s="22" t="s">
        <v>449</v>
      </c>
      <c r="D583" s="48"/>
      <c r="E583" s="23" t="n">
        <v>45415</v>
      </c>
      <c r="F583" s="23" t="n">
        <v>45611</v>
      </c>
      <c r="G583" s="49" t="n">
        <v>140</v>
      </c>
      <c r="H583" s="49" t="n">
        <v>0</v>
      </c>
      <c r="I583" s="49" t="n">
        <v>0</v>
      </c>
      <c r="J583" s="269" t="s">
        <v>1050</v>
      </c>
      <c r="K583" s="27" t="n">
        <v>30000</v>
      </c>
      <c r="L583" s="27" t="n">
        <v>79205</v>
      </c>
      <c r="M583" s="28" t="n">
        <v>2828.75</v>
      </c>
      <c r="N583" s="28" t="n">
        <v>2828.75</v>
      </c>
      <c r="O583" s="29" t="n">
        <v>11315</v>
      </c>
      <c r="P583" s="29" t="n">
        <v>79205</v>
      </c>
      <c r="Q583" s="263" t="n">
        <v>45600</v>
      </c>
    </row>
    <row r="584" customFormat="false" ht="34.3" hidden="false" customHeight="false" outlineLevel="0" collapsed="false">
      <c r="A584" s="294" t="n">
        <v>2578</v>
      </c>
      <c r="B584" s="22" t="s">
        <v>452</v>
      </c>
      <c r="C584" s="22"/>
      <c r="D584" s="48"/>
      <c r="E584" s="23" t="n">
        <v>45399</v>
      </c>
      <c r="F584" s="23" t="n">
        <v>45595</v>
      </c>
      <c r="G584" s="49" t="n">
        <v>140</v>
      </c>
      <c r="H584" s="49" t="n">
        <v>0</v>
      </c>
      <c r="I584" s="49" t="n">
        <v>0</v>
      </c>
      <c r="J584" s="269" t="s">
        <v>1051</v>
      </c>
      <c r="K584" s="27" t="n">
        <v>60000</v>
      </c>
      <c r="L584" s="27" t="n">
        <v>158410</v>
      </c>
      <c r="M584" s="45" t="n">
        <v>5657.5</v>
      </c>
      <c r="N584" s="45" t="n">
        <v>5657.5</v>
      </c>
      <c r="O584" s="29" t="n">
        <v>22630</v>
      </c>
      <c r="P584" s="29" t="n">
        <v>158410</v>
      </c>
      <c r="Q584" s="263" t="n">
        <v>45600</v>
      </c>
    </row>
    <row r="585" customFormat="false" ht="26.1" hidden="false" customHeight="false" outlineLevel="0" collapsed="false">
      <c r="A585" s="294" t="n">
        <v>2740</v>
      </c>
      <c r="B585" s="22" t="s">
        <v>459</v>
      </c>
      <c r="C585" s="22" t="s">
        <v>460</v>
      </c>
      <c r="D585" s="48"/>
      <c r="E585" s="23" t="n">
        <v>45506</v>
      </c>
      <c r="F585" s="23" t="n">
        <v>45608</v>
      </c>
      <c r="G585" s="49" t="n">
        <v>72</v>
      </c>
      <c r="H585" s="49" t="n">
        <v>0</v>
      </c>
      <c r="I585" s="49" t="n">
        <v>0</v>
      </c>
      <c r="J585" s="22" t="s">
        <v>333</v>
      </c>
      <c r="K585" s="30" t="n">
        <v>50000</v>
      </c>
      <c r="L585" s="30" t="n">
        <v>108000</v>
      </c>
      <c r="M585" s="45" t="n">
        <v>7500</v>
      </c>
      <c r="N585" s="45" t="n">
        <v>7500</v>
      </c>
      <c r="O585" s="29" t="n">
        <v>21500</v>
      </c>
      <c r="P585" s="29" t="n">
        <v>108000</v>
      </c>
      <c r="Q585" s="263" t="n">
        <v>45600</v>
      </c>
    </row>
    <row r="586" customFormat="false" ht="26.1" hidden="false" customHeight="false" outlineLevel="0" collapsed="false">
      <c r="A586" s="294" t="n">
        <v>2521</v>
      </c>
      <c r="B586" s="22" t="s">
        <v>876</v>
      </c>
      <c r="C586" s="22" t="s">
        <v>877</v>
      </c>
      <c r="D586" s="48"/>
      <c r="E586" s="23" t="n">
        <v>45364</v>
      </c>
      <c r="F586" s="23" t="n">
        <v>45476</v>
      </c>
      <c r="G586" s="49" t="n">
        <v>81.8518518518519</v>
      </c>
      <c r="H586" s="49" t="n">
        <v>-1.85185185185185</v>
      </c>
      <c r="I586" s="49" t="n">
        <v>0</v>
      </c>
      <c r="J586" s="269" t="s">
        <v>488</v>
      </c>
      <c r="K586" s="27" t="n">
        <v>100000</v>
      </c>
      <c r="L586" s="27" t="n">
        <v>216000</v>
      </c>
      <c r="M586" s="45" t="n">
        <v>13500</v>
      </c>
      <c r="N586" s="45" t="n">
        <v>13500</v>
      </c>
      <c r="O586" s="29" t="n">
        <v>13000</v>
      </c>
      <c r="P586" s="29" t="n">
        <v>221000</v>
      </c>
      <c r="Q586" s="263" t="n">
        <v>45600</v>
      </c>
    </row>
    <row r="587" customFormat="false" ht="17.9" hidden="false" customHeight="false" outlineLevel="0" collapsed="false">
      <c r="A587" s="294" t="n">
        <v>2692</v>
      </c>
      <c r="B587" s="22" t="s">
        <v>568</v>
      </c>
      <c r="C587" s="22" t="s">
        <v>1052</v>
      </c>
      <c r="D587" s="48"/>
      <c r="E587" s="23" t="n">
        <v>45476</v>
      </c>
      <c r="F587" s="23" t="n">
        <v>45616</v>
      </c>
      <c r="G587" s="49" t="n">
        <v>100</v>
      </c>
      <c r="H587" s="49" t="n">
        <v>0</v>
      </c>
      <c r="I587" s="49" t="n">
        <v>0</v>
      </c>
      <c r="J587" s="269" t="s">
        <v>1053</v>
      </c>
      <c r="K587" s="27" t="n">
        <v>250000</v>
      </c>
      <c r="L587" s="27" t="n">
        <v>540000</v>
      </c>
      <c r="M587" s="45" t="n">
        <v>27000</v>
      </c>
      <c r="N587" s="45" t="n">
        <v>27000</v>
      </c>
      <c r="O587" s="29" t="n">
        <v>108000</v>
      </c>
      <c r="P587" s="29" t="n">
        <v>540000</v>
      </c>
      <c r="Q587" s="263" t="n">
        <v>45600</v>
      </c>
    </row>
    <row r="588" customFormat="false" ht="17.9" hidden="false" customHeight="false" outlineLevel="0" collapsed="false">
      <c r="A588" s="294" t="n">
        <v>2802</v>
      </c>
      <c r="B588" s="22" t="s">
        <v>568</v>
      </c>
      <c r="C588" s="22" t="s">
        <v>1052</v>
      </c>
      <c r="D588" s="48"/>
      <c r="E588" s="23" t="n">
        <v>45545</v>
      </c>
      <c r="F588" s="23" t="n">
        <v>45657</v>
      </c>
      <c r="G588" s="49" t="n">
        <v>80</v>
      </c>
      <c r="H588" s="49" t="n">
        <v>0</v>
      </c>
      <c r="I588" s="49" t="n">
        <v>0</v>
      </c>
      <c r="J588" s="269" t="s">
        <v>239</v>
      </c>
      <c r="K588" s="30" t="n">
        <v>200000</v>
      </c>
      <c r="L588" s="30" t="n">
        <v>432000</v>
      </c>
      <c r="M588" s="28" t="n">
        <v>27000</v>
      </c>
      <c r="N588" s="45" t="n">
        <v>27000</v>
      </c>
      <c r="O588" s="29" t="n">
        <v>324000</v>
      </c>
      <c r="P588" s="40" t="n">
        <v>432000</v>
      </c>
      <c r="Q588" s="263" t="n">
        <v>45600</v>
      </c>
    </row>
    <row r="589" customFormat="false" ht="26.1" hidden="false" customHeight="false" outlineLevel="0" collapsed="false">
      <c r="A589" s="294" t="n">
        <v>2721</v>
      </c>
      <c r="B589" s="22" t="s">
        <v>212</v>
      </c>
      <c r="C589" s="22"/>
      <c r="D589" s="48"/>
      <c r="E589" s="23" t="n">
        <v>45495</v>
      </c>
      <c r="F589" s="23" t="n">
        <v>45595</v>
      </c>
      <c r="G589" s="49" t="n">
        <v>72</v>
      </c>
      <c r="H589" s="49" t="n">
        <v>0</v>
      </c>
      <c r="I589" s="49" t="n">
        <v>0</v>
      </c>
      <c r="J589" s="22" t="s">
        <v>1054</v>
      </c>
      <c r="K589" s="27" t="n">
        <v>150000</v>
      </c>
      <c r="L589" s="27" t="n">
        <v>324000</v>
      </c>
      <c r="M589" s="45" t="n">
        <v>22500</v>
      </c>
      <c r="N589" s="29" t="n">
        <v>9000</v>
      </c>
      <c r="O589" s="29" t="n">
        <v>324000</v>
      </c>
      <c r="P589" s="30" t="n">
        <v>0</v>
      </c>
      <c r="Q589" s="263" t="n">
        <v>45607</v>
      </c>
    </row>
    <row r="590" customFormat="false" ht="42.5" hidden="false" customHeight="false" outlineLevel="0" collapsed="false">
      <c r="A590" s="294" t="n">
        <v>2728</v>
      </c>
      <c r="B590" s="22" t="s">
        <v>976</v>
      </c>
      <c r="C590" s="22" t="s">
        <v>725</v>
      </c>
      <c r="D590" s="48"/>
      <c r="E590" s="23" t="n">
        <v>45498</v>
      </c>
      <c r="F590" s="23" t="n">
        <v>45610</v>
      </c>
      <c r="G590" s="49" t="n">
        <v>80</v>
      </c>
      <c r="H590" s="49" t="n">
        <v>0</v>
      </c>
      <c r="I590" s="49" t="n">
        <v>0</v>
      </c>
      <c r="J590" s="269" t="s">
        <v>1055</v>
      </c>
      <c r="K590" s="27" t="n">
        <v>30000</v>
      </c>
      <c r="L590" s="27" t="n">
        <v>64800</v>
      </c>
      <c r="M590" s="28" t="n">
        <v>4050</v>
      </c>
      <c r="N590" s="29" t="n">
        <v>16200</v>
      </c>
      <c r="O590" s="29" t="n">
        <v>64800</v>
      </c>
      <c r="P590" s="30" t="n">
        <v>0</v>
      </c>
      <c r="Q590" s="263" t="n">
        <v>45607</v>
      </c>
    </row>
    <row r="591" customFormat="false" ht="17.9" hidden="false" customHeight="false" outlineLevel="0" collapsed="false">
      <c r="A591" s="294" t="n">
        <v>2878</v>
      </c>
      <c r="B591" s="22" t="s">
        <v>363</v>
      </c>
      <c r="C591" s="22"/>
      <c r="D591" s="48"/>
      <c r="E591" s="23" t="n">
        <v>45588</v>
      </c>
      <c r="F591" s="23" t="n">
        <v>45582</v>
      </c>
      <c r="G591" s="49" t="e">
        <f aca="false">#DIV/0!</f>
        <v>#DIV/0!</v>
      </c>
      <c r="H591" s="49" t="e">
        <f aca="false">#DIV/0!</f>
        <v>#DIV/0!</v>
      </c>
      <c r="I591" s="49" t="n">
        <v>0</v>
      </c>
      <c r="J591" s="269" t="s">
        <v>199</v>
      </c>
      <c r="K591" s="50" t="n">
        <v>100000</v>
      </c>
      <c r="L591" s="27" t="n">
        <v>139000</v>
      </c>
      <c r="M591" s="28"/>
      <c r="N591" s="29" t="n">
        <v>39000</v>
      </c>
      <c r="O591" s="29" t="n">
        <v>139000</v>
      </c>
      <c r="P591" s="30" t="n">
        <v>0</v>
      </c>
      <c r="Q591" s="263" t="n">
        <v>45607</v>
      </c>
    </row>
    <row r="592" customFormat="false" ht="15" hidden="false" customHeight="false" outlineLevel="0" collapsed="false">
      <c r="A592" s="294" t="n">
        <v>2857</v>
      </c>
      <c r="B592" s="22" t="s">
        <v>791</v>
      </c>
      <c r="C592" s="22"/>
      <c r="D592" s="48"/>
      <c r="E592" s="23" t="n">
        <v>45579</v>
      </c>
      <c r="F592" s="23" t="n">
        <v>45607</v>
      </c>
      <c r="G592" s="49" t="e">
        <f aca="false">#VALUE!</f>
        <v>#VALUE!</v>
      </c>
      <c r="H592" s="49" t="e">
        <f aca="false">#VALUE!</f>
        <v>#VALUE!</v>
      </c>
      <c r="I592" s="49" t="n">
        <v>0</v>
      </c>
      <c r="J592" s="22" t="s">
        <v>1056</v>
      </c>
      <c r="K592" s="33" t="n">
        <v>20000</v>
      </c>
      <c r="L592" s="27" t="n">
        <v>32000</v>
      </c>
      <c r="M592" s="45" t="s">
        <v>184</v>
      </c>
      <c r="N592" s="29" t="n">
        <v>32000</v>
      </c>
      <c r="O592" s="29" t="n">
        <v>32000</v>
      </c>
      <c r="P592" s="30" t="n">
        <v>0</v>
      </c>
      <c r="Q592" s="263" t="n">
        <v>45607</v>
      </c>
    </row>
    <row r="593" customFormat="false" ht="15" hidden="false" customHeight="false" outlineLevel="0" collapsed="false">
      <c r="A593" s="294" t="n">
        <v>2871</v>
      </c>
      <c r="B593" s="22" t="s">
        <v>791</v>
      </c>
      <c r="C593" s="22"/>
      <c r="D593" s="48"/>
      <c r="E593" s="23" t="n">
        <v>45584</v>
      </c>
      <c r="F593" s="23" t="n">
        <v>45611</v>
      </c>
      <c r="G593" s="49" t="e">
        <f aca="false">#DIV/0!</f>
        <v>#DIV/0!</v>
      </c>
      <c r="H593" s="49" t="e">
        <f aca="false">#DIV/0!</f>
        <v>#DIV/0!</v>
      </c>
      <c r="I593" s="49" t="n">
        <v>0</v>
      </c>
      <c r="J593" s="22" t="s">
        <v>1056</v>
      </c>
      <c r="K593" s="27" t="n">
        <v>30000</v>
      </c>
      <c r="L593" s="27" t="n">
        <v>48000</v>
      </c>
      <c r="M593" s="45"/>
      <c r="N593" s="29" t="n">
        <v>48000</v>
      </c>
      <c r="O593" s="29" t="n">
        <v>48000</v>
      </c>
      <c r="P593" s="30" t="n">
        <v>0</v>
      </c>
      <c r="Q593" s="263" t="n">
        <v>45607</v>
      </c>
    </row>
    <row r="594" customFormat="false" ht="42.5" hidden="false" customHeight="false" outlineLevel="0" collapsed="false">
      <c r="A594" s="294" t="n">
        <v>2662</v>
      </c>
      <c r="B594" s="22" t="s">
        <v>814</v>
      </c>
      <c r="C594" s="22" t="s">
        <v>470</v>
      </c>
      <c r="D594" s="48"/>
      <c r="E594" s="23" t="n">
        <v>45454</v>
      </c>
      <c r="F594" s="23" t="n">
        <v>45608</v>
      </c>
      <c r="G594" s="49" t="n">
        <v>110</v>
      </c>
      <c r="H594" s="49" t="n">
        <v>0</v>
      </c>
      <c r="I594" s="49" t="n">
        <v>0</v>
      </c>
      <c r="J594" s="22" t="s">
        <v>381</v>
      </c>
      <c r="K594" s="30" t="n">
        <v>300000</v>
      </c>
      <c r="L594" s="30" t="n">
        <v>792000</v>
      </c>
      <c r="M594" s="45" t="n">
        <v>36000</v>
      </c>
      <c r="N594" s="29" t="n">
        <v>36000</v>
      </c>
      <c r="O594" s="29" t="n">
        <v>792000</v>
      </c>
      <c r="P594" s="30" t="n">
        <v>0</v>
      </c>
      <c r="Q594" s="263" t="n">
        <v>45607</v>
      </c>
    </row>
    <row r="595" customFormat="false" ht="26.1" hidden="false" customHeight="false" outlineLevel="0" collapsed="false">
      <c r="A595" s="294" t="n">
        <v>2820</v>
      </c>
      <c r="B595" s="22" t="s">
        <v>688</v>
      </c>
      <c r="C595" s="22"/>
      <c r="D595" s="48"/>
      <c r="E595" s="23" t="n">
        <v>45558</v>
      </c>
      <c r="F595" s="23" t="n">
        <v>45586</v>
      </c>
      <c r="G595" s="49" t="e">
        <f aca="false">#DIV/0!</f>
        <v>#DIV/0!</v>
      </c>
      <c r="H595" s="49" t="e">
        <f aca="false">#DIV/0!</f>
        <v>#DIV/0!</v>
      </c>
      <c r="I595" s="49" t="n">
        <v>0</v>
      </c>
      <c r="J595" s="269" t="s">
        <v>199</v>
      </c>
      <c r="K595" s="27" t="n">
        <v>20000</v>
      </c>
      <c r="L595" s="27" t="n">
        <v>30000</v>
      </c>
      <c r="M595" s="28"/>
      <c r="N595" s="29" t="n">
        <v>5000</v>
      </c>
      <c r="O595" s="29" t="n">
        <v>30000</v>
      </c>
      <c r="P595" s="30" t="n">
        <v>0</v>
      </c>
      <c r="Q595" s="263" t="n">
        <v>45607</v>
      </c>
    </row>
    <row r="596" customFormat="false" ht="17.9" hidden="false" customHeight="false" outlineLevel="0" collapsed="false">
      <c r="A596" s="294" t="n">
        <v>2847</v>
      </c>
      <c r="B596" s="22" t="s">
        <v>909</v>
      </c>
      <c r="C596" s="22"/>
      <c r="D596" s="48"/>
      <c r="E596" s="23" t="n">
        <v>45574</v>
      </c>
      <c r="F596" s="23" t="n">
        <v>45630</v>
      </c>
      <c r="G596" s="49" t="e">
        <f aca="false">#DIV/0!</f>
        <v>#DIV/0!</v>
      </c>
      <c r="H596" s="49" t="e">
        <f aca="false">#DIV/0!</f>
        <v>#DIV/0!</v>
      </c>
      <c r="I596" s="49" t="n">
        <v>0</v>
      </c>
      <c r="J596" s="269" t="s">
        <v>1057</v>
      </c>
      <c r="K596" s="27" t="n">
        <v>20000</v>
      </c>
      <c r="L596" s="27" t="n">
        <v>35000</v>
      </c>
      <c r="M596" s="45"/>
      <c r="N596" s="29" t="n">
        <v>35000</v>
      </c>
      <c r="O596" s="29" t="n">
        <v>38000</v>
      </c>
      <c r="P596" s="30" t="n">
        <v>-3000</v>
      </c>
      <c r="Q596" s="263" t="n">
        <v>45607</v>
      </c>
    </row>
    <row r="597" customFormat="false" ht="17.9" hidden="false" customHeight="false" outlineLevel="0" collapsed="false">
      <c r="A597" s="294" t="n">
        <v>2875</v>
      </c>
      <c r="B597" s="22" t="s">
        <v>909</v>
      </c>
      <c r="C597" s="22"/>
      <c r="D597" s="48"/>
      <c r="E597" s="23" t="n">
        <v>45587</v>
      </c>
      <c r="F597" s="23" t="n">
        <v>45604</v>
      </c>
      <c r="G597" s="49" t="e">
        <f aca="false">#DIV/0!</f>
        <v>#DIV/0!</v>
      </c>
      <c r="H597" s="49" t="e">
        <f aca="false">#DIV/0!</f>
        <v>#DIV/0!</v>
      </c>
      <c r="I597" s="49" t="n">
        <v>0</v>
      </c>
      <c r="J597" s="269" t="s">
        <v>1035</v>
      </c>
      <c r="K597" s="27" t="n">
        <v>20000</v>
      </c>
      <c r="L597" s="27" t="n">
        <v>32000</v>
      </c>
      <c r="M597" s="45"/>
      <c r="N597" s="29" t="n">
        <v>32000</v>
      </c>
      <c r="O597" s="29" t="n">
        <v>32000</v>
      </c>
      <c r="P597" s="30" t="n">
        <v>0</v>
      </c>
      <c r="Q597" s="263" t="n">
        <v>45607</v>
      </c>
    </row>
    <row r="598" customFormat="false" ht="17.9" hidden="false" customHeight="false" outlineLevel="0" collapsed="false">
      <c r="A598" s="294" t="n">
        <v>2883</v>
      </c>
      <c r="B598" s="22" t="s">
        <v>909</v>
      </c>
      <c r="C598" s="22"/>
      <c r="D598" s="48"/>
      <c r="E598" s="23" t="n">
        <v>45590</v>
      </c>
      <c r="F598" s="23" t="n">
        <v>45604</v>
      </c>
      <c r="G598" s="49" t="e">
        <f aca="false">#DIV/0!</f>
        <v>#DIV/0!</v>
      </c>
      <c r="H598" s="49" t="e">
        <f aca="false">#DIV/0!</f>
        <v>#DIV/0!</v>
      </c>
      <c r="I598" s="49" t="n">
        <v>0</v>
      </c>
      <c r="J598" s="269" t="s">
        <v>1035</v>
      </c>
      <c r="K598" s="30" t="n">
        <v>20000</v>
      </c>
      <c r="L598" s="30" t="n">
        <v>32000</v>
      </c>
      <c r="M598" s="28"/>
      <c r="N598" s="29" t="n">
        <v>32000</v>
      </c>
      <c r="O598" s="29" t="n">
        <v>32000</v>
      </c>
      <c r="P598" s="30" t="n">
        <v>0</v>
      </c>
      <c r="Q598" s="263" t="n">
        <v>45607</v>
      </c>
    </row>
    <row r="599" customFormat="false" ht="34.3" hidden="false" customHeight="false" outlineLevel="0" collapsed="false">
      <c r="A599" s="294" t="n">
        <v>2741</v>
      </c>
      <c r="B599" s="22" t="s">
        <v>552</v>
      </c>
      <c r="C599" s="22" t="s">
        <v>553</v>
      </c>
      <c r="D599" s="48"/>
      <c r="E599" s="23" t="n">
        <v>45506</v>
      </c>
      <c r="F599" s="23" t="n">
        <v>45608</v>
      </c>
      <c r="G599" s="49" t="n">
        <v>72</v>
      </c>
      <c r="H599" s="49" t="n">
        <v>0</v>
      </c>
      <c r="I599" s="49" t="n">
        <v>0</v>
      </c>
      <c r="J599" s="22" t="s">
        <v>333</v>
      </c>
      <c r="K599" s="30" t="n">
        <v>50000</v>
      </c>
      <c r="L599" s="30" t="n">
        <v>108000</v>
      </c>
      <c r="M599" s="28" t="n">
        <v>7500</v>
      </c>
      <c r="N599" s="29" t="n">
        <v>10500</v>
      </c>
      <c r="O599" s="29" t="n">
        <v>108000</v>
      </c>
      <c r="P599" s="30" t="n">
        <v>0</v>
      </c>
      <c r="Q599" s="263" t="n">
        <v>45607</v>
      </c>
    </row>
    <row r="600" customFormat="false" ht="26.1" hidden="false" customHeight="false" outlineLevel="0" collapsed="false">
      <c r="A600" s="294" t="n">
        <v>2702</v>
      </c>
      <c r="B600" s="22" t="s">
        <v>555</v>
      </c>
      <c r="C600" s="22" t="s">
        <v>556</v>
      </c>
      <c r="D600" s="48"/>
      <c r="E600" s="23" t="n">
        <v>45482</v>
      </c>
      <c r="F600" s="23" t="n">
        <v>45594</v>
      </c>
      <c r="G600" s="49" t="n">
        <v>80.8888888888889</v>
      </c>
      <c r="H600" s="49" t="n">
        <v>-0.888888888888886</v>
      </c>
      <c r="I600" s="49" t="n">
        <v>0</v>
      </c>
      <c r="J600" s="269" t="s">
        <v>1058</v>
      </c>
      <c r="K600" s="27" t="n">
        <v>100000</v>
      </c>
      <c r="L600" s="27" t="n">
        <v>216000</v>
      </c>
      <c r="M600" s="28" t="n">
        <v>13500</v>
      </c>
      <c r="N600" s="29" t="n">
        <v>54800</v>
      </c>
      <c r="O600" s="29" t="n">
        <v>218400</v>
      </c>
      <c r="P600" s="30" t="n">
        <v>-2400</v>
      </c>
      <c r="Q600" s="263" t="n">
        <v>45607</v>
      </c>
    </row>
    <row r="601" customFormat="false" ht="26.1" hidden="false" customHeight="false" outlineLevel="0" collapsed="false">
      <c r="A601" s="294" t="n">
        <v>2653</v>
      </c>
      <c r="B601" s="22" t="s">
        <v>1059</v>
      </c>
      <c r="C601" s="22" t="s">
        <v>1060</v>
      </c>
      <c r="D601" s="48"/>
      <c r="E601" s="23" t="n">
        <v>45446</v>
      </c>
      <c r="F601" s="23" t="n">
        <v>45600</v>
      </c>
      <c r="G601" s="37" t="n">
        <v>110</v>
      </c>
      <c r="H601" s="49" t="n">
        <v>110</v>
      </c>
      <c r="I601" s="49" t="n">
        <v>0</v>
      </c>
      <c r="J601" s="22" t="s">
        <v>254</v>
      </c>
      <c r="K601" s="27" t="n">
        <v>100000</v>
      </c>
      <c r="L601" s="27" t="n">
        <v>264000</v>
      </c>
      <c r="M601" s="28" t="n">
        <v>12000</v>
      </c>
      <c r="N601" s="29" t="n">
        <v>12000</v>
      </c>
      <c r="O601" s="29" t="n">
        <v>264000</v>
      </c>
      <c r="P601" s="30" t="n">
        <v>0</v>
      </c>
      <c r="Q601" s="263" t="n">
        <v>45614</v>
      </c>
    </row>
    <row r="602" customFormat="false" ht="58.95" hidden="false" customHeight="false" outlineLevel="0" collapsed="false">
      <c r="A602" s="294" t="n">
        <v>2771</v>
      </c>
      <c r="B602" s="22" t="s">
        <v>237</v>
      </c>
      <c r="C602" s="22" t="s">
        <v>238</v>
      </c>
      <c r="D602" s="48"/>
      <c r="E602" s="23" t="n">
        <v>45524</v>
      </c>
      <c r="F602" s="23" t="n">
        <v>45624</v>
      </c>
      <c r="G602" s="37" t="n">
        <v>72</v>
      </c>
      <c r="H602" s="49" t="n">
        <v>72</v>
      </c>
      <c r="I602" s="49" t="n">
        <v>0</v>
      </c>
      <c r="J602" s="30" t="s">
        <v>495</v>
      </c>
      <c r="K602" s="45" t="n">
        <v>70000</v>
      </c>
      <c r="L602" s="27" t="n">
        <v>151200</v>
      </c>
      <c r="M602" s="28" t="n">
        <v>10500</v>
      </c>
      <c r="N602" s="29" t="n">
        <v>25000</v>
      </c>
      <c r="O602" s="29" t="n">
        <v>151200</v>
      </c>
      <c r="P602" s="30" t="n">
        <v>0</v>
      </c>
      <c r="Q602" s="263" t="n">
        <v>45614</v>
      </c>
    </row>
    <row r="603" customFormat="false" ht="34.3" hidden="false" customHeight="false" outlineLevel="0" collapsed="false">
      <c r="A603" s="294" t="n">
        <v>2720</v>
      </c>
      <c r="B603" s="22" t="s">
        <v>262</v>
      </c>
      <c r="C603" s="22" t="s">
        <v>263</v>
      </c>
      <c r="D603" s="48"/>
      <c r="E603" s="23" t="n">
        <v>45495</v>
      </c>
      <c r="F603" s="23" t="n">
        <v>45607</v>
      </c>
      <c r="G603" s="37" t="n">
        <v>80</v>
      </c>
      <c r="H603" s="49" t="n">
        <v>80</v>
      </c>
      <c r="I603" s="49" t="n">
        <v>0</v>
      </c>
      <c r="J603" s="269" t="s">
        <v>1061</v>
      </c>
      <c r="K603" s="290" t="n">
        <v>200000</v>
      </c>
      <c r="L603" s="27" t="n">
        <v>432000</v>
      </c>
      <c r="M603" s="45" t="n">
        <v>27000</v>
      </c>
      <c r="N603" s="29" t="n">
        <v>108000</v>
      </c>
      <c r="O603" s="29" t="n">
        <v>432000</v>
      </c>
      <c r="P603" s="30" t="n">
        <v>0</v>
      </c>
      <c r="Q603" s="263" t="n">
        <v>45614</v>
      </c>
    </row>
    <row r="604" customFormat="false" ht="34.3" hidden="false" customHeight="false" outlineLevel="0" collapsed="false">
      <c r="A604" s="294" t="n">
        <v>1930</v>
      </c>
      <c r="B604" s="22" t="s">
        <v>1062</v>
      </c>
      <c r="C604" s="22" t="s">
        <v>1063</v>
      </c>
      <c r="D604" s="48"/>
      <c r="E604" s="23" t="n">
        <v>44924</v>
      </c>
      <c r="F604" s="23" t="n">
        <v>45764</v>
      </c>
      <c r="G604" s="37" t="n">
        <v>600</v>
      </c>
      <c r="H604" s="49" t="n">
        <v>600</v>
      </c>
      <c r="I604" s="49" t="n">
        <v>0</v>
      </c>
      <c r="J604" s="74" t="s">
        <v>1064</v>
      </c>
      <c r="K604" s="27" t="n">
        <v>250000</v>
      </c>
      <c r="L604" s="27" t="n">
        <v>656250</v>
      </c>
      <c r="M604" s="28" t="n">
        <v>5468.75</v>
      </c>
      <c r="N604" s="29" t="n">
        <v>147375</v>
      </c>
      <c r="O604" s="29" t="n">
        <v>656250</v>
      </c>
      <c r="P604" s="30" t="n">
        <v>0</v>
      </c>
      <c r="Q604" s="263" t="n">
        <v>45614</v>
      </c>
    </row>
    <row r="605" customFormat="false" ht="42.5" hidden="false" customHeight="false" outlineLevel="0" collapsed="false">
      <c r="A605" s="294" t="n">
        <v>2723</v>
      </c>
      <c r="B605" s="22" t="s">
        <v>581</v>
      </c>
      <c r="C605" s="22" t="s">
        <v>351</v>
      </c>
      <c r="D605" s="48"/>
      <c r="E605" s="23" t="n">
        <v>45496</v>
      </c>
      <c r="F605" s="23" t="n">
        <v>45608</v>
      </c>
      <c r="G605" s="37" t="n">
        <v>80</v>
      </c>
      <c r="H605" s="49" t="n">
        <v>80</v>
      </c>
      <c r="I605" s="49" t="n">
        <v>0</v>
      </c>
      <c r="J605" s="269" t="s">
        <v>250</v>
      </c>
      <c r="K605" s="27" t="n">
        <v>100000</v>
      </c>
      <c r="L605" s="27" t="n">
        <v>216000</v>
      </c>
      <c r="M605" s="28" t="n">
        <v>13500</v>
      </c>
      <c r="N605" s="29" t="n">
        <v>54000</v>
      </c>
      <c r="O605" s="29" t="n">
        <v>216000</v>
      </c>
      <c r="P605" s="30" t="n">
        <v>0</v>
      </c>
      <c r="Q605" s="263" t="n">
        <v>45614</v>
      </c>
    </row>
    <row r="606" customFormat="false" ht="42.5" hidden="false" customHeight="false" outlineLevel="0" collapsed="false">
      <c r="A606" s="294" t="n">
        <v>2862</v>
      </c>
      <c r="B606" s="22" t="s">
        <v>581</v>
      </c>
      <c r="C606" s="22" t="s">
        <v>351</v>
      </c>
      <c r="D606" s="48"/>
      <c r="E606" s="23" t="n">
        <v>45581</v>
      </c>
      <c r="F606" s="23" t="n">
        <v>45609</v>
      </c>
      <c r="G606" s="37" t="n">
        <v>20</v>
      </c>
      <c r="H606" s="49" t="e">
        <f aca="false">#DIV/0!</f>
        <v>#DIV/0!</v>
      </c>
      <c r="I606" s="49" t="e">
        <f aca="false">#DIV/0!</f>
        <v>#DIV/0!</v>
      </c>
      <c r="J606" s="269" t="s">
        <v>1037</v>
      </c>
      <c r="K606" s="27" t="n">
        <v>100000</v>
      </c>
      <c r="L606" s="27" t="n">
        <v>150000</v>
      </c>
      <c r="M606" s="45"/>
      <c r="N606" s="29" t="n">
        <v>150000</v>
      </c>
      <c r="O606" s="29" t="n">
        <v>150000</v>
      </c>
      <c r="P606" s="30" t="n">
        <v>0</v>
      </c>
      <c r="Q606" s="263" t="n">
        <v>45614</v>
      </c>
    </row>
    <row r="607" customFormat="false" ht="34.3" hidden="false" customHeight="false" outlineLevel="0" collapsed="false">
      <c r="A607" s="294" t="n">
        <v>2659</v>
      </c>
      <c r="B607" s="22" t="s">
        <v>379</v>
      </c>
      <c r="C607" s="22" t="s">
        <v>380</v>
      </c>
      <c r="D607" s="48"/>
      <c r="E607" s="23" t="n">
        <v>45451</v>
      </c>
      <c r="F607" s="23" t="n">
        <v>45611</v>
      </c>
      <c r="G607" s="37" t="n">
        <v>115</v>
      </c>
      <c r="H607" s="49" t="n">
        <v>115</v>
      </c>
      <c r="I607" s="49" t="n">
        <v>0</v>
      </c>
      <c r="J607" s="22" t="s">
        <v>919</v>
      </c>
      <c r="K607" s="30" t="n">
        <v>100000</v>
      </c>
      <c r="L607" s="30" t="n">
        <v>264500</v>
      </c>
      <c r="M607" s="28" t="n">
        <v>11500</v>
      </c>
      <c r="N607" s="29" t="n">
        <v>23000</v>
      </c>
      <c r="O607" s="29" t="n">
        <v>264500</v>
      </c>
      <c r="P607" s="30" t="n">
        <v>0</v>
      </c>
      <c r="Q607" s="263" t="n">
        <v>45614</v>
      </c>
    </row>
    <row r="608" customFormat="false" ht="42.5" hidden="false" customHeight="false" outlineLevel="0" collapsed="false">
      <c r="A608" s="294" t="n">
        <v>2600</v>
      </c>
      <c r="B608" s="22" t="s">
        <v>763</v>
      </c>
      <c r="C608" s="22" t="s">
        <v>389</v>
      </c>
      <c r="D608" s="48"/>
      <c r="E608" s="23" t="n">
        <v>45411</v>
      </c>
      <c r="F608" s="23" t="n">
        <v>45579</v>
      </c>
      <c r="G608" s="37" t="n">
        <v>120</v>
      </c>
      <c r="H608" s="49" t="n">
        <v>127.840909090909</v>
      </c>
      <c r="I608" s="49" t="n">
        <v>-7.84090909090909</v>
      </c>
      <c r="J608" s="269" t="s">
        <v>1065</v>
      </c>
      <c r="K608" s="287" t="n">
        <v>80000</v>
      </c>
      <c r="L608" s="30" t="n">
        <v>211200</v>
      </c>
      <c r="M608" s="28" t="n">
        <v>8800</v>
      </c>
      <c r="N608" s="29" t="n">
        <v>100000</v>
      </c>
      <c r="O608" s="29" t="n">
        <v>225000</v>
      </c>
      <c r="P608" s="30" t="n">
        <v>-13800</v>
      </c>
      <c r="Q608" s="263" t="n">
        <v>45614</v>
      </c>
    </row>
    <row r="609" customFormat="false" ht="17.9" hidden="false" customHeight="false" outlineLevel="0" collapsed="false">
      <c r="A609" s="294" t="n">
        <v>2694</v>
      </c>
      <c r="B609" s="22" t="s">
        <v>393</v>
      </c>
      <c r="C609" s="22"/>
      <c r="D609" s="48"/>
      <c r="E609" s="23" t="n">
        <v>45477</v>
      </c>
      <c r="F609" s="23" t="n">
        <v>45579</v>
      </c>
      <c r="G609" s="37" t="n">
        <v>72</v>
      </c>
      <c r="H609" s="49" t="n">
        <v>72</v>
      </c>
      <c r="I609" s="49" t="n">
        <v>0</v>
      </c>
      <c r="J609" s="22" t="s">
        <v>333</v>
      </c>
      <c r="K609" s="30" t="n">
        <v>50000</v>
      </c>
      <c r="L609" s="30" t="n">
        <v>111000</v>
      </c>
      <c r="M609" s="28" t="n">
        <v>7708.33333333333</v>
      </c>
      <c r="N609" s="29" t="n">
        <v>6950</v>
      </c>
      <c r="O609" s="29" t="n">
        <v>111000</v>
      </c>
      <c r="P609" s="30" t="n">
        <v>0</v>
      </c>
      <c r="Q609" s="263" t="n">
        <v>45614</v>
      </c>
    </row>
    <row r="610" customFormat="false" ht="34.3" hidden="false" customHeight="false" outlineLevel="0" collapsed="false">
      <c r="A610" s="294" t="n">
        <v>2746</v>
      </c>
      <c r="B610" s="22" t="s">
        <v>440</v>
      </c>
      <c r="C610" s="22" t="s">
        <v>207</v>
      </c>
      <c r="D610" s="48"/>
      <c r="E610" s="23" t="n">
        <v>45512</v>
      </c>
      <c r="F610" s="23" t="n">
        <v>45614</v>
      </c>
      <c r="G610" s="37" t="n">
        <v>72</v>
      </c>
      <c r="H610" s="49" t="n">
        <v>72.2222222222222</v>
      </c>
      <c r="I610" s="49" t="n">
        <v>-0.222222222222229</v>
      </c>
      <c r="J610" s="22" t="s">
        <v>720</v>
      </c>
      <c r="K610" s="27" t="n">
        <v>60000</v>
      </c>
      <c r="L610" s="27" t="n">
        <v>129600</v>
      </c>
      <c r="M610" s="28" t="n">
        <v>9000</v>
      </c>
      <c r="N610" s="29" t="n">
        <v>9000</v>
      </c>
      <c r="O610" s="29" t="n">
        <v>130000</v>
      </c>
      <c r="P610" s="30" t="n">
        <v>-400</v>
      </c>
      <c r="Q610" s="263" t="n">
        <v>45614</v>
      </c>
    </row>
    <row r="611" customFormat="false" ht="34.3" hidden="false" customHeight="false" outlineLevel="0" collapsed="false">
      <c r="A611" s="294" t="n">
        <v>2512</v>
      </c>
      <c r="B611" s="22" t="s">
        <v>466</v>
      </c>
      <c r="C611" s="22" t="s">
        <v>467</v>
      </c>
      <c r="D611" s="48"/>
      <c r="E611" s="23" t="n">
        <v>45359</v>
      </c>
      <c r="F611" s="23" t="n">
        <v>45526</v>
      </c>
      <c r="G611" s="37" t="n">
        <v>119</v>
      </c>
      <c r="H611" s="49" t="n">
        <v>119</v>
      </c>
      <c r="I611" s="49" t="n">
        <v>0</v>
      </c>
      <c r="J611" s="22" t="s">
        <v>1066</v>
      </c>
      <c r="K611" s="27" t="n">
        <v>250000</v>
      </c>
      <c r="L611" s="27" t="n">
        <v>680100</v>
      </c>
      <c r="M611" s="45" t="n">
        <v>28575.6302521008</v>
      </c>
      <c r="N611" s="29" t="n">
        <v>44600</v>
      </c>
      <c r="O611" s="29" t="n">
        <v>680100</v>
      </c>
      <c r="P611" s="30" t="n">
        <v>0</v>
      </c>
      <c r="Q611" s="263" t="n">
        <v>45614</v>
      </c>
    </row>
    <row r="612" customFormat="false" ht="26.1" hidden="false" customHeight="false" outlineLevel="0" collapsed="false">
      <c r="A612" s="294" t="n">
        <v>2589</v>
      </c>
      <c r="B612" s="22" t="s">
        <v>1067</v>
      </c>
      <c r="C612" s="22" t="s">
        <v>984</v>
      </c>
      <c r="D612" s="48"/>
      <c r="E612" s="23" t="n">
        <v>45404</v>
      </c>
      <c r="F612" s="23" t="n">
        <v>45572</v>
      </c>
      <c r="G612" s="37" t="n">
        <v>120</v>
      </c>
      <c r="H612" s="49" t="n">
        <v>120</v>
      </c>
      <c r="I612" s="49" t="n">
        <v>0</v>
      </c>
      <c r="J612" s="269" t="s">
        <v>477</v>
      </c>
      <c r="K612" s="30" t="n">
        <v>100000</v>
      </c>
      <c r="L612" s="30" t="n">
        <v>264000</v>
      </c>
      <c r="M612" s="45" t="n">
        <v>11000</v>
      </c>
      <c r="N612" s="29" t="n">
        <v>44000</v>
      </c>
      <c r="O612" s="29" t="n">
        <v>264000</v>
      </c>
      <c r="P612" s="30" t="n">
        <v>0</v>
      </c>
      <c r="Q612" s="263" t="n">
        <v>45614</v>
      </c>
    </row>
    <row r="613" customFormat="false" ht="34.3" hidden="false" customHeight="false" outlineLevel="0" collapsed="false">
      <c r="A613" s="294" t="n">
        <v>1943</v>
      </c>
      <c r="B613" s="22" t="s">
        <v>1068</v>
      </c>
      <c r="C613" s="22" t="s">
        <v>1063</v>
      </c>
      <c r="D613" s="48"/>
      <c r="E613" s="23" t="n">
        <v>44936</v>
      </c>
      <c r="F613" s="23" t="n">
        <v>45216</v>
      </c>
      <c r="G613" s="37" t="n">
        <v>200</v>
      </c>
      <c r="H613" s="49" t="n">
        <v>200</v>
      </c>
      <c r="I613" s="49" t="n">
        <v>0</v>
      </c>
      <c r="J613" s="74" t="s">
        <v>1069</v>
      </c>
      <c r="K613" s="27" t="n">
        <v>150000</v>
      </c>
      <c r="L613" s="27" t="n">
        <v>500000</v>
      </c>
      <c r="M613" s="28" t="n">
        <v>12500</v>
      </c>
      <c r="N613" s="29" t="n">
        <v>90000</v>
      </c>
      <c r="O613" s="29" t="n">
        <v>500000</v>
      </c>
      <c r="P613" s="30" t="n">
        <v>0</v>
      </c>
      <c r="Q613" s="263" t="n">
        <v>45614</v>
      </c>
    </row>
    <row r="614" customFormat="false" ht="26.1" hidden="false" customHeight="false" outlineLevel="0" collapsed="false">
      <c r="A614" s="294" t="n">
        <v>2782</v>
      </c>
      <c r="B614" s="22" t="s">
        <v>540</v>
      </c>
      <c r="C614" s="22"/>
      <c r="D614" s="48"/>
      <c r="E614" s="23" t="n">
        <v>45532</v>
      </c>
      <c r="F614" s="23" t="n">
        <v>45630</v>
      </c>
      <c r="G614" s="37" t="n">
        <v>70</v>
      </c>
      <c r="H614" s="49" t="n">
        <v>70</v>
      </c>
      <c r="I614" s="49" t="n">
        <v>0</v>
      </c>
      <c r="J614" s="74" t="s">
        <v>1070</v>
      </c>
      <c r="K614" s="27" t="n">
        <v>50000</v>
      </c>
      <c r="L614" s="27" t="n">
        <v>108500</v>
      </c>
      <c r="M614" s="28" t="n">
        <v>7750</v>
      </c>
      <c r="N614" s="29" t="n">
        <v>15500</v>
      </c>
      <c r="O614" s="29" t="n">
        <v>108500</v>
      </c>
      <c r="P614" s="30" t="n">
        <v>0</v>
      </c>
      <c r="Q614" s="263" t="n">
        <v>45614</v>
      </c>
    </row>
    <row r="615" customFormat="false" ht="26.1" hidden="false" customHeight="false" outlineLevel="0" collapsed="false">
      <c r="A615" s="294" t="n">
        <v>2472</v>
      </c>
      <c r="B615" s="22" t="s">
        <v>251</v>
      </c>
      <c r="C615" s="22" t="s">
        <v>252</v>
      </c>
      <c r="D615" s="48"/>
      <c r="E615" s="23" t="n">
        <v>45335</v>
      </c>
      <c r="F615" s="23" t="n">
        <v>45587</v>
      </c>
      <c r="G615" s="37" t="n">
        <v>180</v>
      </c>
      <c r="H615" s="49" t="n">
        <v>180</v>
      </c>
      <c r="I615" s="49" t="n">
        <v>0</v>
      </c>
      <c r="J615" s="269" t="s">
        <v>1071</v>
      </c>
      <c r="K615" s="27" t="n">
        <v>150000</v>
      </c>
      <c r="L615" s="27" t="n">
        <v>405000</v>
      </c>
      <c r="M615" s="28" t="n">
        <v>11250</v>
      </c>
      <c r="N615" s="29" t="n">
        <v>45000</v>
      </c>
      <c r="O615" s="29" t="n">
        <v>405000</v>
      </c>
      <c r="P615" s="30" t="n">
        <v>0</v>
      </c>
      <c r="Q615" s="263" t="n">
        <v>45621</v>
      </c>
    </row>
    <row r="616" customFormat="false" ht="26.1" hidden="false" customHeight="false" outlineLevel="0" collapsed="false">
      <c r="A616" s="294" t="n">
        <v>2751</v>
      </c>
      <c r="B616" s="22" t="s">
        <v>332</v>
      </c>
      <c r="C616" s="22" t="s">
        <v>252</v>
      </c>
      <c r="D616" s="48"/>
      <c r="E616" s="23" t="n">
        <v>45514</v>
      </c>
      <c r="F616" s="23" t="n">
        <v>45615</v>
      </c>
      <c r="G616" s="53" t="n">
        <v>72</v>
      </c>
      <c r="H616" s="49" t="n">
        <v>72</v>
      </c>
      <c r="I616" s="49" t="n">
        <v>0</v>
      </c>
      <c r="J616" s="22" t="s">
        <v>333</v>
      </c>
      <c r="K616" s="27" t="n">
        <v>50000</v>
      </c>
      <c r="L616" s="27" t="n">
        <v>108000</v>
      </c>
      <c r="M616" s="28" t="n">
        <v>7500</v>
      </c>
      <c r="N616" s="29" t="n">
        <v>10500</v>
      </c>
      <c r="O616" s="29" t="n">
        <v>108000</v>
      </c>
      <c r="P616" s="30" t="n">
        <v>0</v>
      </c>
      <c r="Q616" s="263" t="n">
        <v>45621</v>
      </c>
    </row>
    <row r="617" customFormat="false" ht="42.5" hidden="false" customHeight="false" outlineLevel="0" collapsed="false">
      <c r="A617" s="294" t="n">
        <v>2337</v>
      </c>
      <c r="B617" s="303" t="s">
        <v>1072</v>
      </c>
      <c r="C617" s="22" t="s">
        <v>1073</v>
      </c>
      <c r="D617" s="48"/>
      <c r="E617" s="23" t="n">
        <v>45243</v>
      </c>
      <c r="F617" s="23" t="n">
        <v>45418</v>
      </c>
      <c r="G617" s="37" t="n">
        <v>125</v>
      </c>
      <c r="H617" s="49" t="n">
        <v>125</v>
      </c>
      <c r="I617" s="49" t="n">
        <v>0</v>
      </c>
      <c r="J617" s="22" t="s">
        <v>1074</v>
      </c>
      <c r="K617" s="27" t="n">
        <v>500000</v>
      </c>
      <c r="L617" s="27" t="n">
        <v>1375000</v>
      </c>
      <c r="M617" s="45" t="n">
        <v>55000</v>
      </c>
      <c r="N617" s="29" t="n">
        <v>50000</v>
      </c>
      <c r="O617" s="29" t="n">
        <v>1375000</v>
      </c>
      <c r="P617" s="30" t="n">
        <v>0</v>
      </c>
      <c r="Q617" s="263" t="n">
        <v>45621</v>
      </c>
    </row>
    <row r="618" customFormat="false" ht="17.9" hidden="false" customHeight="false" outlineLevel="0" collapsed="false">
      <c r="A618" s="294" t="n">
        <v>2877</v>
      </c>
      <c r="B618" s="22" t="s">
        <v>363</v>
      </c>
      <c r="C618" s="22"/>
      <c r="D618" s="48"/>
      <c r="E618" s="23" t="n">
        <v>45588</v>
      </c>
      <c r="F618" s="23" t="n">
        <v>45582</v>
      </c>
      <c r="G618" s="37" t="n">
        <v>5</v>
      </c>
      <c r="H618" s="49" t="e">
        <f aca="false">#DIV/0!</f>
        <v>#DIV/0!</v>
      </c>
      <c r="I618" s="49" t="e">
        <f aca="false">#DIV/0!</f>
        <v>#DIV/0!</v>
      </c>
      <c r="J618" s="269" t="s">
        <v>199</v>
      </c>
      <c r="K618" s="55" t="n">
        <v>30000</v>
      </c>
      <c r="L618" s="30" t="n">
        <v>84000</v>
      </c>
      <c r="M618" s="45"/>
      <c r="N618" s="29" t="n">
        <v>39000</v>
      </c>
      <c r="O618" s="29" t="n">
        <v>84000</v>
      </c>
      <c r="P618" s="30" t="n">
        <v>0</v>
      </c>
      <c r="Q618" s="263" t="n">
        <v>45621</v>
      </c>
    </row>
    <row r="619" customFormat="false" ht="17.9" hidden="false" customHeight="false" outlineLevel="0" collapsed="false">
      <c r="A619" s="294" t="n">
        <v>2922</v>
      </c>
      <c r="B619" s="22" t="s">
        <v>363</v>
      </c>
      <c r="C619" s="22"/>
      <c r="D619" s="48"/>
      <c r="E619" s="23" t="n">
        <v>45618</v>
      </c>
      <c r="F619" s="23" t="n">
        <v>45582</v>
      </c>
      <c r="G619" s="37" t="n">
        <v>5</v>
      </c>
      <c r="H619" s="49" t="e">
        <f aca="false">#DIV/0!</f>
        <v>#DIV/0!</v>
      </c>
      <c r="I619" s="49" t="e">
        <f aca="false">#DIV/0!</f>
        <v>#DIV/0!</v>
      </c>
      <c r="J619" s="269" t="s">
        <v>199</v>
      </c>
      <c r="K619" s="27" t="n">
        <v>60000</v>
      </c>
      <c r="L619" s="27" t="n">
        <v>78000</v>
      </c>
      <c r="M619" s="28"/>
      <c r="N619" s="29" t="n">
        <v>78000</v>
      </c>
      <c r="O619" s="29" t="n">
        <v>78000</v>
      </c>
      <c r="P619" s="30" t="n">
        <v>0</v>
      </c>
      <c r="Q619" s="263" t="n">
        <v>45621</v>
      </c>
    </row>
    <row r="620" customFormat="false" ht="26.1" hidden="false" customHeight="false" outlineLevel="0" collapsed="false">
      <c r="A620" s="294" t="n">
        <v>2803</v>
      </c>
      <c r="B620" s="22" t="s">
        <v>1075</v>
      </c>
      <c r="C620" s="22" t="s">
        <v>1076</v>
      </c>
      <c r="D620" s="48"/>
      <c r="E620" s="23" t="n">
        <v>45547</v>
      </c>
      <c r="F620" s="23" t="n">
        <v>45624</v>
      </c>
      <c r="G620" s="37" t="n">
        <v>55</v>
      </c>
      <c r="H620" s="49" t="n">
        <v>55</v>
      </c>
      <c r="I620" s="49" t="n">
        <v>0</v>
      </c>
      <c r="J620" s="22" t="s">
        <v>1077</v>
      </c>
      <c r="K620" s="30" t="n">
        <v>60000</v>
      </c>
      <c r="L620" s="30" t="n">
        <v>105050</v>
      </c>
      <c r="M620" s="28" t="n">
        <v>9550</v>
      </c>
      <c r="N620" s="29" t="n">
        <v>9550</v>
      </c>
      <c r="O620" s="29" t="n">
        <v>105050</v>
      </c>
      <c r="P620" s="30" t="n">
        <v>0</v>
      </c>
      <c r="Q620" s="263" t="n">
        <v>45621</v>
      </c>
    </row>
    <row r="621" customFormat="false" ht="17.9" hidden="false" customHeight="false" outlineLevel="0" collapsed="false">
      <c r="A621" s="294" t="n">
        <v>2680</v>
      </c>
      <c r="B621" s="22" t="s">
        <v>191</v>
      </c>
      <c r="C621" s="21"/>
      <c r="D621" s="48" t="n">
        <v>22375673</v>
      </c>
      <c r="E621" s="23" t="n">
        <v>45464</v>
      </c>
      <c r="F621" s="23" t="n">
        <v>45632</v>
      </c>
      <c r="G621" s="37" t="n">
        <v>120</v>
      </c>
      <c r="H621" s="49" t="n">
        <v>120</v>
      </c>
      <c r="I621" s="49" t="n">
        <v>0</v>
      </c>
      <c r="J621" s="269" t="s">
        <v>402</v>
      </c>
      <c r="K621" s="27" t="n">
        <v>100000</v>
      </c>
      <c r="L621" s="27" t="n">
        <v>264000</v>
      </c>
      <c r="M621" s="28" t="n">
        <v>11000</v>
      </c>
      <c r="N621" s="29" t="n">
        <v>44000</v>
      </c>
      <c r="O621" s="29" t="n">
        <v>264000</v>
      </c>
      <c r="P621" s="30" t="n">
        <v>0</v>
      </c>
      <c r="Q621" s="263" t="n">
        <v>45628</v>
      </c>
    </row>
    <row r="622" customFormat="false" ht="17.9" hidden="false" customHeight="false" outlineLevel="0" collapsed="false">
      <c r="A622" s="294" t="n">
        <v>2774</v>
      </c>
      <c r="B622" s="22" t="s">
        <v>232</v>
      </c>
      <c r="C622" s="21" t="s">
        <v>233</v>
      </c>
      <c r="D622" s="48"/>
      <c r="E622" s="23" t="n">
        <v>45526</v>
      </c>
      <c r="F622" s="23" t="n">
        <v>45628</v>
      </c>
      <c r="G622" s="37" t="n">
        <v>72</v>
      </c>
      <c r="H622" s="49" t="n">
        <v>72</v>
      </c>
      <c r="I622" s="49" t="n">
        <v>0</v>
      </c>
      <c r="J622" s="22" t="s">
        <v>188</v>
      </c>
      <c r="K622" s="30" t="n">
        <v>100000</v>
      </c>
      <c r="L622" s="30" t="n">
        <v>216000</v>
      </c>
      <c r="M622" s="28" t="n">
        <v>15000</v>
      </c>
      <c r="N622" s="29" t="n">
        <v>6000</v>
      </c>
      <c r="O622" s="29" t="n">
        <v>216000</v>
      </c>
      <c r="P622" s="30" t="n">
        <v>0</v>
      </c>
      <c r="Q622" s="263" t="n">
        <v>45628</v>
      </c>
    </row>
    <row r="623" customFormat="false" ht="15" hidden="false" customHeight="false" outlineLevel="0" collapsed="false">
      <c r="A623" s="294" t="n">
        <v>2775</v>
      </c>
      <c r="B623" s="21" t="s">
        <v>277</v>
      </c>
      <c r="C623" s="21" t="s">
        <v>278</v>
      </c>
      <c r="D623" s="48" t="n">
        <v>14154231</v>
      </c>
      <c r="E623" s="23" t="n">
        <v>45526</v>
      </c>
      <c r="F623" s="23" t="n">
        <v>45628</v>
      </c>
      <c r="G623" s="37" t="n">
        <v>72</v>
      </c>
      <c r="H623" s="49" t="n">
        <v>72</v>
      </c>
      <c r="I623" s="49" t="n">
        <v>0</v>
      </c>
      <c r="J623" s="22" t="s">
        <v>716</v>
      </c>
      <c r="K623" s="27" t="n">
        <v>15000</v>
      </c>
      <c r="L623" s="27" t="n">
        <v>32400</v>
      </c>
      <c r="M623" s="28" t="n">
        <v>2250</v>
      </c>
      <c r="N623" s="29" t="n">
        <v>8200</v>
      </c>
      <c r="O623" s="29" t="n">
        <v>32400</v>
      </c>
      <c r="P623" s="30" t="n">
        <v>0</v>
      </c>
      <c r="Q623" s="263" t="n">
        <v>45628</v>
      </c>
    </row>
    <row r="624" customFormat="false" ht="15" hidden="false" customHeight="false" outlineLevel="0" collapsed="false">
      <c r="A624" s="294" t="n">
        <v>2934</v>
      </c>
      <c r="B624" s="21" t="s">
        <v>363</v>
      </c>
      <c r="C624" s="21"/>
      <c r="D624" s="48"/>
      <c r="E624" s="23" t="n">
        <v>45624</v>
      </c>
      <c r="F624" s="23" t="n">
        <v>45631</v>
      </c>
      <c r="G624" s="37" t="n">
        <v>5</v>
      </c>
      <c r="H624" s="49" t="e">
        <f aca="false">#DIV/0!</f>
        <v>#DIV/0!</v>
      </c>
      <c r="I624" s="49" t="e">
        <f aca="false">#DIV/0!</f>
        <v>#DIV/0!</v>
      </c>
      <c r="J624" s="269" t="s">
        <v>199</v>
      </c>
      <c r="K624" s="50" t="n">
        <v>30000</v>
      </c>
      <c r="L624" s="27" t="n">
        <v>39000</v>
      </c>
      <c r="M624" s="28"/>
      <c r="N624" s="29" t="n">
        <v>39000</v>
      </c>
      <c r="O624" s="29" t="n">
        <v>39000</v>
      </c>
      <c r="P624" s="30" t="n">
        <v>0</v>
      </c>
      <c r="Q624" s="263" t="n">
        <v>45628</v>
      </c>
    </row>
    <row r="625" customFormat="false" ht="35.05" hidden="false" customHeight="false" outlineLevel="0" collapsed="false">
      <c r="A625" s="294" t="n">
        <v>2660</v>
      </c>
      <c r="B625" s="21" t="s">
        <v>979</v>
      </c>
      <c r="C625" s="21" t="s">
        <v>396</v>
      </c>
      <c r="D625" s="48"/>
      <c r="E625" s="23" t="n">
        <v>45451</v>
      </c>
      <c r="F625" s="23" t="n">
        <v>45618</v>
      </c>
      <c r="G625" s="37" t="n">
        <v>120</v>
      </c>
      <c r="H625" s="49" t="n">
        <v>120</v>
      </c>
      <c r="I625" s="49" t="n">
        <v>0</v>
      </c>
      <c r="J625" s="74" t="s">
        <v>1078</v>
      </c>
      <c r="K625" s="33" t="n">
        <v>150000</v>
      </c>
      <c r="L625" s="27" t="n">
        <v>396000</v>
      </c>
      <c r="M625" s="28" t="n">
        <v>16500</v>
      </c>
      <c r="N625" s="29" t="n">
        <v>33000</v>
      </c>
      <c r="O625" s="29" t="n">
        <v>396000</v>
      </c>
      <c r="P625" s="30" t="n">
        <v>0</v>
      </c>
      <c r="Q625" s="263" t="n">
        <v>45628</v>
      </c>
    </row>
    <row r="626" customFormat="false" ht="48.5" hidden="false" customHeight="false" outlineLevel="0" collapsed="false">
      <c r="A626" s="294" t="n">
        <v>2772</v>
      </c>
      <c r="B626" s="21" t="s">
        <v>399</v>
      </c>
      <c r="C626" s="21" t="s">
        <v>400</v>
      </c>
      <c r="D626" s="48" t="n">
        <v>27249921551</v>
      </c>
      <c r="E626" s="23" t="n">
        <v>45525</v>
      </c>
      <c r="F626" s="23" t="n">
        <v>45625</v>
      </c>
      <c r="G626" s="37" t="n">
        <v>72</v>
      </c>
      <c r="H626" s="49" t="n">
        <v>72</v>
      </c>
      <c r="I626" s="49" t="n">
        <v>0</v>
      </c>
      <c r="J626" s="22" t="s">
        <v>333</v>
      </c>
      <c r="K626" s="27" t="n">
        <v>50000</v>
      </c>
      <c r="L626" s="27" t="n">
        <v>108000</v>
      </c>
      <c r="M626" s="28" t="n">
        <v>7500</v>
      </c>
      <c r="N626" s="29" t="n">
        <v>10500</v>
      </c>
      <c r="O626" s="29" t="n">
        <v>108000</v>
      </c>
      <c r="P626" s="30" t="n">
        <v>0</v>
      </c>
      <c r="Q626" s="263" t="n">
        <v>45628</v>
      </c>
    </row>
    <row r="627" customFormat="false" ht="15" hidden="false" customHeight="false" outlineLevel="0" collapsed="false">
      <c r="A627" s="294" t="n">
        <v>2841</v>
      </c>
      <c r="B627" s="21" t="s">
        <v>425</v>
      </c>
      <c r="C627" s="21"/>
      <c r="D627" s="48"/>
      <c r="E627" s="23" t="n">
        <v>45566</v>
      </c>
      <c r="F627" s="23" t="n">
        <v>45587</v>
      </c>
      <c r="G627" s="37" t="n">
        <v>15</v>
      </c>
      <c r="H627" s="49" t="e">
        <f aca="false">#DIV/0!</f>
        <v>#DIV/0!</v>
      </c>
      <c r="I627" s="49" t="e">
        <f aca="false">#DIV/0!</f>
        <v>#DIV/0!</v>
      </c>
      <c r="J627" s="269" t="s">
        <v>199</v>
      </c>
      <c r="K627" s="27" t="n">
        <v>40000</v>
      </c>
      <c r="L627" s="27" t="n">
        <v>60000</v>
      </c>
      <c r="M627" s="45"/>
      <c r="N627" s="29" t="n">
        <v>60000</v>
      </c>
      <c r="O627" s="29" t="n">
        <v>60000</v>
      </c>
      <c r="P627" s="30" t="n">
        <v>0</v>
      </c>
      <c r="Q627" s="263" t="n">
        <v>45628</v>
      </c>
    </row>
    <row r="628" customFormat="false" ht="28.35" hidden="false" customHeight="false" outlineLevel="0" collapsed="false">
      <c r="A628" s="294" t="n">
        <v>2764</v>
      </c>
      <c r="B628" s="21" t="s">
        <v>898</v>
      </c>
      <c r="C628" s="21" t="s">
        <v>899</v>
      </c>
      <c r="D628" s="48" t="n">
        <v>27242809519</v>
      </c>
      <c r="E628" s="23" t="n">
        <v>45519</v>
      </c>
      <c r="F628" s="23" t="n">
        <v>45631</v>
      </c>
      <c r="G628" s="37" t="n">
        <v>80</v>
      </c>
      <c r="H628" s="49" t="n">
        <v>80.3703703703704</v>
      </c>
      <c r="I628" s="49" t="n">
        <v>-0.370370370370367</v>
      </c>
      <c r="J628" s="269" t="s">
        <v>1079</v>
      </c>
      <c r="K628" s="27" t="n">
        <v>60000</v>
      </c>
      <c r="L628" s="27" t="n">
        <v>129600</v>
      </c>
      <c r="M628" s="28" t="n">
        <v>8100</v>
      </c>
      <c r="N628" s="29" t="n">
        <v>32400</v>
      </c>
      <c r="O628" s="29" t="n">
        <v>130200</v>
      </c>
      <c r="P628" s="30" t="n">
        <v>-600</v>
      </c>
      <c r="Q628" s="263" t="n">
        <v>45628</v>
      </c>
    </row>
    <row r="629" customFormat="false" ht="28.35" hidden="false" customHeight="false" outlineLevel="0" collapsed="false">
      <c r="A629" s="294" t="n">
        <v>2644</v>
      </c>
      <c r="B629" s="21" t="s">
        <v>452</v>
      </c>
      <c r="C629" s="21"/>
      <c r="D629" s="48"/>
      <c r="E629" s="23" t="n">
        <v>45440</v>
      </c>
      <c r="F629" s="23" t="n">
        <v>45608</v>
      </c>
      <c r="G629" s="37" t="n">
        <v>120</v>
      </c>
      <c r="H629" s="49" t="n">
        <v>120</v>
      </c>
      <c r="I629" s="49" t="n">
        <v>0</v>
      </c>
      <c r="J629" s="269" t="s">
        <v>1080</v>
      </c>
      <c r="K629" s="27" t="n">
        <v>50000</v>
      </c>
      <c r="L629" s="27" t="n">
        <v>132000</v>
      </c>
      <c r="M629" s="28" t="n">
        <v>5500</v>
      </c>
      <c r="N629" s="29" t="n">
        <v>22000</v>
      </c>
      <c r="O629" s="29" t="n">
        <v>132000</v>
      </c>
      <c r="P629" s="30" t="n">
        <v>0</v>
      </c>
      <c r="Q629" s="263" t="n">
        <v>45628</v>
      </c>
    </row>
    <row r="630" customFormat="false" ht="15" hidden="false" customHeight="false" outlineLevel="0" collapsed="false">
      <c r="A630" s="294" t="n">
        <v>2766</v>
      </c>
      <c r="B630" s="21" t="s">
        <v>499</v>
      </c>
      <c r="C630" s="21" t="s">
        <v>500</v>
      </c>
      <c r="D630" s="22" t="n">
        <v>24324078</v>
      </c>
      <c r="E630" s="23" t="n">
        <v>45520</v>
      </c>
      <c r="F630" s="23" t="n">
        <v>45618</v>
      </c>
      <c r="G630" s="37" t="n">
        <v>70</v>
      </c>
      <c r="H630" s="49" t="n">
        <v>70</v>
      </c>
      <c r="I630" s="49" t="n">
        <v>0</v>
      </c>
      <c r="J630" s="74" t="s">
        <v>1081</v>
      </c>
      <c r="K630" s="27" t="n">
        <v>50000</v>
      </c>
      <c r="L630" s="27" t="n">
        <v>108150</v>
      </c>
      <c r="M630" s="45" t="n">
        <v>7725</v>
      </c>
      <c r="N630" s="29" t="n">
        <v>15450</v>
      </c>
      <c r="O630" s="29" t="n">
        <v>108150</v>
      </c>
      <c r="P630" s="30" t="n">
        <v>0</v>
      </c>
      <c r="Q630" s="263" t="n">
        <v>45628</v>
      </c>
    </row>
    <row r="631" customFormat="false" ht="26.1" hidden="false" customHeight="false" outlineLevel="0" collapsed="false">
      <c r="A631" s="294" t="n">
        <v>2944</v>
      </c>
      <c r="B631" s="22" t="s">
        <v>212</v>
      </c>
      <c r="C631" s="21" t="s">
        <v>213</v>
      </c>
      <c r="D631" s="48" t="n">
        <v>27252034574</v>
      </c>
      <c r="E631" s="23" t="n">
        <v>45630</v>
      </c>
      <c r="F631" s="23" t="n">
        <v>45635</v>
      </c>
      <c r="G631" s="37" t="n">
        <v>3</v>
      </c>
      <c r="H631" s="49" t="e">
        <f aca="false">#DIV/0!</f>
        <v>#DIV/0!</v>
      </c>
      <c r="I631" s="49" t="e">
        <f aca="false">#DIV/0!</f>
        <v>#DIV/0!</v>
      </c>
      <c r="J631" s="269" t="s">
        <v>444</v>
      </c>
      <c r="K631" s="27" t="n">
        <v>20000</v>
      </c>
      <c r="L631" s="27" t="n">
        <v>26000</v>
      </c>
      <c r="M631" s="28"/>
      <c r="N631" s="29" t="n">
        <v>26000</v>
      </c>
      <c r="O631" s="29" t="n">
        <v>26000</v>
      </c>
      <c r="P631" s="30" t="n">
        <v>0</v>
      </c>
      <c r="Q631" s="263" t="n">
        <v>45628</v>
      </c>
    </row>
    <row r="632" customFormat="false" ht="26.1" hidden="false" customHeight="false" outlineLevel="0" collapsed="false">
      <c r="A632" s="294" t="n">
        <v>2794</v>
      </c>
      <c r="B632" s="22" t="s">
        <v>226</v>
      </c>
      <c r="C632" s="21" t="s">
        <v>227</v>
      </c>
      <c r="D632" s="48"/>
      <c r="E632" s="23" t="n">
        <v>45542</v>
      </c>
      <c r="F632" s="23" t="n">
        <v>45643</v>
      </c>
      <c r="G632" s="37" t="n">
        <v>72</v>
      </c>
      <c r="H632" s="49" t="n">
        <v>77</v>
      </c>
      <c r="I632" s="49" t="n">
        <v>-5</v>
      </c>
      <c r="J632" s="22" t="s">
        <v>560</v>
      </c>
      <c r="K632" s="30" t="n">
        <v>10000</v>
      </c>
      <c r="L632" s="30" t="n">
        <v>21600</v>
      </c>
      <c r="M632" s="28" t="n">
        <v>1500</v>
      </c>
      <c r="N632" s="29" t="n">
        <v>5100</v>
      </c>
      <c r="O632" s="29" t="n">
        <v>23100</v>
      </c>
      <c r="P632" s="30" t="n">
        <v>-1500</v>
      </c>
      <c r="Q632" s="263" t="n">
        <v>45635</v>
      </c>
    </row>
    <row r="633" customFormat="false" ht="35.05" hidden="false" customHeight="false" outlineLevel="0" collapsed="false">
      <c r="A633" s="294" t="n">
        <v>2763</v>
      </c>
      <c r="B633" s="22" t="s">
        <v>243</v>
      </c>
      <c r="C633" s="21" t="s">
        <v>244</v>
      </c>
      <c r="D633" s="48" t="n">
        <v>20386454729</v>
      </c>
      <c r="E633" s="23" t="n">
        <v>45519</v>
      </c>
      <c r="F633" s="23" t="n">
        <v>45631</v>
      </c>
      <c r="G633" s="53" t="n">
        <v>80</v>
      </c>
      <c r="H633" s="49" t="n">
        <v>80</v>
      </c>
      <c r="I633" s="49" t="n">
        <v>0</v>
      </c>
      <c r="J633" s="269" t="s">
        <v>488</v>
      </c>
      <c r="K633" s="30" t="n">
        <v>100000</v>
      </c>
      <c r="L633" s="30" t="n">
        <v>216000</v>
      </c>
      <c r="M633" s="28" t="n">
        <v>13500</v>
      </c>
      <c r="N633" s="29" t="n">
        <v>54000</v>
      </c>
      <c r="O633" s="29" t="n">
        <v>216000</v>
      </c>
      <c r="P633" s="30" t="n">
        <v>0</v>
      </c>
      <c r="Q633" s="263" t="n">
        <v>45635</v>
      </c>
    </row>
    <row r="634" customFormat="false" ht="21.6" hidden="false" customHeight="false" outlineLevel="0" collapsed="false">
      <c r="A634" s="294" t="n">
        <v>2725</v>
      </c>
      <c r="B634" s="21" t="s">
        <v>302</v>
      </c>
      <c r="C634" s="21" t="s">
        <v>303</v>
      </c>
      <c r="D634" s="48" t="n">
        <v>27212523</v>
      </c>
      <c r="E634" s="23" t="n">
        <v>45497</v>
      </c>
      <c r="F634" s="23" t="n">
        <v>45597</v>
      </c>
      <c r="G634" s="37" t="n">
        <v>72</v>
      </c>
      <c r="H634" s="49" t="n">
        <v>72</v>
      </c>
      <c r="I634" s="49" t="n">
        <v>0</v>
      </c>
      <c r="J634" s="74" t="s">
        <v>333</v>
      </c>
      <c r="K634" s="30" t="n">
        <v>50000</v>
      </c>
      <c r="L634" s="30" t="n">
        <v>108000</v>
      </c>
      <c r="M634" s="28" t="n">
        <v>7500</v>
      </c>
      <c r="N634" s="29" t="n">
        <v>3250</v>
      </c>
      <c r="O634" s="29" t="n">
        <v>108000</v>
      </c>
      <c r="P634" s="30" t="n">
        <v>0</v>
      </c>
      <c r="Q634" s="263" t="n">
        <v>45635</v>
      </c>
    </row>
    <row r="635" customFormat="false" ht="21.6" hidden="false" customHeight="false" outlineLevel="0" collapsed="false">
      <c r="A635" s="294" t="n">
        <v>2893</v>
      </c>
      <c r="B635" s="21" t="s">
        <v>324</v>
      </c>
      <c r="C635" s="21" t="s">
        <v>325</v>
      </c>
      <c r="D635" s="48"/>
      <c r="E635" s="23" t="n">
        <v>45598</v>
      </c>
      <c r="F635" s="23" t="n">
        <v>45632</v>
      </c>
      <c r="G635" s="37" t="n">
        <v>25</v>
      </c>
      <c r="H635" s="49" t="e">
        <f aca="false">#DIV/0!</f>
        <v>#DIV/0!</v>
      </c>
      <c r="I635" s="49" t="e">
        <f aca="false">#DIV/0!</f>
        <v>#DIV/0!</v>
      </c>
      <c r="J635" s="269" t="s">
        <v>444</v>
      </c>
      <c r="K635" s="27" t="n">
        <v>100000</v>
      </c>
      <c r="L635" s="27" t="n">
        <v>150000</v>
      </c>
      <c r="M635" s="28"/>
      <c r="N635" s="29" t="n">
        <v>150000</v>
      </c>
      <c r="O635" s="29" t="n">
        <v>150000</v>
      </c>
      <c r="P635" s="30" t="n">
        <v>0</v>
      </c>
      <c r="Q635" s="263" t="n">
        <v>45635</v>
      </c>
    </row>
    <row r="636" customFormat="false" ht="15" hidden="false" customHeight="false" outlineLevel="0" collapsed="false">
      <c r="A636" s="294" t="n">
        <v>2674</v>
      </c>
      <c r="B636" s="21" t="s">
        <v>342</v>
      </c>
      <c r="C636" s="21" t="s">
        <v>343</v>
      </c>
      <c r="D636" s="48"/>
      <c r="E636" s="23" t="n">
        <v>45462</v>
      </c>
      <c r="F636" s="23" t="n">
        <v>45630</v>
      </c>
      <c r="G636" s="37" t="n">
        <v>120</v>
      </c>
      <c r="H636" s="49" t="n">
        <v>120</v>
      </c>
      <c r="I636" s="49" t="n">
        <v>0</v>
      </c>
      <c r="J636" s="74" t="s">
        <v>477</v>
      </c>
      <c r="K636" s="27" t="n">
        <v>100000</v>
      </c>
      <c r="L636" s="27" t="n">
        <v>264000</v>
      </c>
      <c r="M636" s="28" t="n">
        <v>11000</v>
      </c>
      <c r="N636" s="29" t="n">
        <v>44000</v>
      </c>
      <c r="O636" s="29" t="n">
        <v>264000</v>
      </c>
      <c r="P636" s="30" t="n">
        <v>0</v>
      </c>
      <c r="Q636" s="263" t="n">
        <v>45635</v>
      </c>
    </row>
    <row r="637" customFormat="false" ht="15" hidden="false" customHeight="false" outlineLevel="0" collapsed="false">
      <c r="A637" s="294" t="n">
        <v>2524</v>
      </c>
      <c r="B637" s="21" t="s">
        <v>353</v>
      </c>
      <c r="C637" s="21" t="s">
        <v>354</v>
      </c>
      <c r="D637" s="48" t="n">
        <v>37095915</v>
      </c>
      <c r="E637" s="23" t="n">
        <v>45367</v>
      </c>
      <c r="F637" s="23" t="n">
        <v>45618</v>
      </c>
      <c r="G637" s="37" t="n">
        <v>180</v>
      </c>
      <c r="H637" s="49" t="n">
        <v>180</v>
      </c>
      <c r="I637" s="49" t="n">
        <v>0</v>
      </c>
      <c r="J637" s="269" t="s">
        <v>1082</v>
      </c>
      <c r="K637" s="30" t="n">
        <v>200000</v>
      </c>
      <c r="L637" s="30" t="n">
        <v>612000</v>
      </c>
      <c r="M637" s="28" t="n">
        <v>17000</v>
      </c>
      <c r="N637" s="29" t="n">
        <v>68000</v>
      </c>
      <c r="O637" s="29" t="n">
        <v>612000</v>
      </c>
      <c r="P637" s="30" t="n">
        <v>0</v>
      </c>
      <c r="Q637" s="263" t="n">
        <v>45635</v>
      </c>
    </row>
    <row r="638" customFormat="false" ht="15" hidden="false" customHeight="false" outlineLevel="0" collapsed="false">
      <c r="A638" s="294" t="n">
        <v>2626</v>
      </c>
      <c r="B638" s="21" t="s">
        <v>357</v>
      </c>
      <c r="C638" s="21" t="s">
        <v>358</v>
      </c>
      <c r="D638" s="48" t="n">
        <v>13589728</v>
      </c>
      <c r="E638" s="23" t="n">
        <v>45428</v>
      </c>
      <c r="F638" s="23" t="n">
        <v>45629</v>
      </c>
      <c r="G638" s="37" t="n">
        <v>143</v>
      </c>
      <c r="H638" s="49" t="n">
        <v>143</v>
      </c>
      <c r="I638" s="49" t="n">
        <v>0</v>
      </c>
      <c r="J638" s="269" t="s">
        <v>1083</v>
      </c>
      <c r="K638" s="27" t="n">
        <v>100000</v>
      </c>
      <c r="L638" s="27" t="n">
        <v>264600</v>
      </c>
      <c r="M638" s="28" t="n">
        <v>9251.74825174825</v>
      </c>
      <c r="N638" s="29" t="n">
        <v>37800</v>
      </c>
      <c r="O638" s="29" t="n">
        <v>264600</v>
      </c>
      <c r="P638" s="30" t="n">
        <v>0</v>
      </c>
      <c r="Q638" s="263" t="n">
        <v>45635</v>
      </c>
    </row>
    <row r="639" customFormat="false" ht="28.35" hidden="false" customHeight="false" outlineLevel="0" collapsed="false">
      <c r="A639" s="294" t="n">
        <v>2718</v>
      </c>
      <c r="B639" s="21" t="s">
        <v>448</v>
      </c>
      <c r="C639" s="21" t="s">
        <v>449</v>
      </c>
      <c r="D639" s="48"/>
      <c r="E639" s="23" t="n">
        <v>45491</v>
      </c>
      <c r="F639" s="23" t="n">
        <v>45631</v>
      </c>
      <c r="G639" s="37" t="n">
        <v>100</v>
      </c>
      <c r="H639" s="49" t="n">
        <v>100</v>
      </c>
      <c r="I639" s="49" t="n">
        <v>0</v>
      </c>
      <c r="J639" s="269" t="s">
        <v>988</v>
      </c>
      <c r="K639" s="27" t="n">
        <v>200000</v>
      </c>
      <c r="L639" s="27" t="n">
        <v>432000</v>
      </c>
      <c r="M639" s="28" t="n">
        <v>21600</v>
      </c>
      <c r="N639" s="29" t="n">
        <v>86400</v>
      </c>
      <c r="O639" s="29" t="n">
        <v>432000</v>
      </c>
      <c r="P639" s="30" t="n">
        <v>0</v>
      </c>
      <c r="Q639" s="263" t="n">
        <v>45635</v>
      </c>
    </row>
    <row r="640" customFormat="false" ht="28.35" hidden="false" customHeight="false" outlineLevel="0" collapsed="false">
      <c r="A640" s="294" t="n">
        <v>2734</v>
      </c>
      <c r="B640" s="21" t="s">
        <v>448</v>
      </c>
      <c r="C640" s="21" t="s">
        <v>449</v>
      </c>
      <c r="D640" s="48"/>
      <c r="E640" s="23" t="n">
        <v>45502</v>
      </c>
      <c r="F640" s="23" t="n">
        <v>45642</v>
      </c>
      <c r="G640" s="37" t="n">
        <v>100</v>
      </c>
      <c r="H640" s="49" t="n">
        <v>100</v>
      </c>
      <c r="I640" s="49" t="n">
        <v>0</v>
      </c>
      <c r="J640" s="269" t="s">
        <v>1084</v>
      </c>
      <c r="K640" s="27" t="n">
        <v>100000</v>
      </c>
      <c r="L640" s="27" t="n">
        <v>216000</v>
      </c>
      <c r="M640" s="28" t="n">
        <v>10800</v>
      </c>
      <c r="N640" s="29" t="n">
        <v>43200</v>
      </c>
      <c r="O640" s="29" t="n">
        <v>216000</v>
      </c>
      <c r="P640" s="30" t="n">
        <v>0</v>
      </c>
      <c r="Q640" s="263" t="n">
        <v>45635</v>
      </c>
    </row>
    <row r="641" customFormat="false" ht="15" hidden="false" customHeight="false" outlineLevel="0" collapsed="false">
      <c r="A641" s="294" t="n">
        <v>2779</v>
      </c>
      <c r="B641" s="21" t="s">
        <v>459</v>
      </c>
      <c r="C641" s="21" t="s">
        <v>460</v>
      </c>
      <c r="D641" s="48"/>
      <c r="E641" s="23" t="n">
        <v>45528</v>
      </c>
      <c r="F641" s="23" t="n">
        <v>45629</v>
      </c>
      <c r="G641" s="37" t="n">
        <v>72</v>
      </c>
      <c r="H641" s="49" t="n">
        <v>72</v>
      </c>
      <c r="I641" s="49" t="n">
        <v>0</v>
      </c>
      <c r="J641" s="22" t="s">
        <v>333</v>
      </c>
      <c r="K641" s="27" t="n">
        <v>50000</v>
      </c>
      <c r="L641" s="27" t="n">
        <v>108000</v>
      </c>
      <c r="M641" s="28" t="n">
        <v>7500</v>
      </c>
      <c r="N641" s="29" t="n">
        <v>1500</v>
      </c>
      <c r="O641" s="29" t="n">
        <v>108000</v>
      </c>
      <c r="P641" s="30" t="n">
        <v>0</v>
      </c>
      <c r="Q641" s="263" t="n">
        <v>45635</v>
      </c>
    </row>
    <row r="642" customFormat="false" ht="28.35" hidden="false" customHeight="false" outlineLevel="0" collapsed="false">
      <c r="A642" s="294" t="n">
        <v>2769</v>
      </c>
      <c r="B642" s="21" t="s">
        <v>814</v>
      </c>
      <c r="C642" s="21" t="s">
        <v>470</v>
      </c>
      <c r="D642" s="48" t="s">
        <v>471</v>
      </c>
      <c r="E642" s="23" t="n">
        <v>45523</v>
      </c>
      <c r="F642" s="23" t="n">
        <v>45623</v>
      </c>
      <c r="G642" s="37" t="n">
        <v>72</v>
      </c>
      <c r="H642" s="49" t="n">
        <v>72</v>
      </c>
      <c r="I642" s="49" t="n">
        <v>0</v>
      </c>
      <c r="J642" s="22" t="s">
        <v>188</v>
      </c>
      <c r="K642" s="33" t="n">
        <v>100000</v>
      </c>
      <c r="L642" s="27" t="n">
        <v>216000</v>
      </c>
      <c r="M642" s="28" t="n">
        <v>15000</v>
      </c>
      <c r="N642" s="29" t="n">
        <v>6000</v>
      </c>
      <c r="O642" s="29" t="n">
        <v>216000</v>
      </c>
      <c r="P642" s="30" t="n">
        <v>0</v>
      </c>
      <c r="Q642" s="263" t="n">
        <v>45635</v>
      </c>
    </row>
    <row r="643" customFormat="false" ht="15" hidden="false" customHeight="false" outlineLevel="0" collapsed="false">
      <c r="A643" s="294" t="n">
        <v>2917</v>
      </c>
      <c r="B643" s="21" t="s">
        <v>909</v>
      </c>
      <c r="C643" s="21"/>
      <c r="D643" s="48"/>
      <c r="E643" s="23" t="n">
        <v>45614</v>
      </c>
      <c r="F643" s="23" t="n">
        <v>45642</v>
      </c>
      <c r="G643" s="37" t="n">
        <v>20</v>
      </c>
      <c r="H643" s="49" t="e">
        <f aca="false">#VALUE!</f>
        <v>#VALUE!</v>
      </c>
      <c r="I643" s="49" t="e">
        <f aca="false">#VALUE!</f>
        <v>#VALUE!</v>
      </c>
      <c r="J643" s="269" t="s">
        <v>199</v>
      </c>
      <c r="K643" s="304" t="n">
        <v>40000</v>
      </c>
      <c r="L643" s="30" t="n">
        <v>60000</v>
      </c>
      <c r="M643" s="28" t="s">
        <v>184</v>
      </c>
      <c r="N643" s="29" t="n">
        <v>60000</v>
      </c>
      <c r="O643" s="29" t="n">
        <v>60000</v>
      </c>
      <c r="P643" s="30" t="n">
        <v>0</v>
      </c>
      <c r="Q643" s="263" t="n">
        <v>45635</v>
      </c>
    </row>
    <row r="644" customFormat="false" ht="15" hidden="false" customHeight="false" outlineLevel="0" collapsed="false">
      <c r="A644" s="294" t="n">
        <v>2918</v>
      </c>
      <c r="B644" s="21" t="s">
        <v>909</v>
      </c>
      <c r="C644" s="21"/>
      <c r="D644" s="48"/>
      <c r="E644" s="23" t="n">
        <v>45645</v>
      </c>
      <c r="F644" s="23" t="n">
        <v>45673</v>
      </c>
      <c r="G644" s="37" t="n">
        <v>20</v>
      </c>
      <c r="H644" s="49" t="e">
        <f aca="false">#DIV/0!</f>
        <v>#DIV/0!</v>
      </c>
      <c r="I644" s="49" t="e">
        <f aca="false">#DIV/0!</f>
        <v>#DIV/0!</v>
      </c>
      <c r="J644" s="269" t="s">
        <v>199</v>
      </c>
      <c r="K644" s="27" t="n">
        <v>20000</v>
      </c>
      <c r="L644" s="27" t="n">
        <v>30000</v>
      </c>
      <c r="M644" s="28"/>
      <c r="N644" s="29" t="n">
        <v>30000</v>
      </c>
      <c r="O644" s="29" t="n">
        <v>30000</v>
      </c>
      <c r="P644" s="30" t="n">
        <v>0</v>
      </c>
      <c r="Q644" s="263" t="n">
        <v>45635</v>
      </c>
    </row>
    <row r="645" customFormat="false" ht="15" hidden="false" customHeight="false" outlineLevel="0" collapsed="false">
      <c r="A645" s="294" t="n">
        <v>2757</v>
      </c>
      <c r="B645" s="21" t="s">
        <v>573</v>
      </c>
      <c r="C645" s="21" t="s">
        <v>463</v>
      </c>
      <c r="D645" s="48" t="n">
        <v>2034839888</v>
      </c>
      <c r="E645" s="23" t="n">
        <v>45517</v>
      </c>
      <c r="F645" s="23" t="n">
        <v>45629</v>
      </c>
      <c r="G645" s="37" t="n">
        <v>80</v>
      </c>
      <c r="H645" s="49" t="n">
        <v>80</v>
      </c>
      <c r="I645" s="49" t="n">
        <v>0</v>
      </c>
      <c r="J645" s="269" t="s">
        <v>850</v>
      </c>
      <c r="K645" s="27" t="n">
        <v>30000</v>
      </c>
      <c r="L645" s="27" t="n">
        <v>64800</v>
      </c>
      <c r="M645" s="28" t="n">
        <v>4050</v>
      </c>
      <c r="N645" s="29" t="n">
        <v>16200</v>
      </c>
      <c r="O645" s="29" t="n">
        <v>64800</v>
      </c>
      <c r="P645" s="30" t="n">
        <v>0</v>
      </c>
      <c r="Q645" s="263" t="n">
        <v>45635</v>
      </c>
    </row>
    <row r="646" customFormat="false" ht="17.9" hidden="false" customHeight="false" outlineLevel="0" collapsed="false">
      <c r="A646" s="294" t="n">
        <v>2685</v>
      </c>
      <c r="B646" s="22" t="s">
        <v>200</v>
      </c>
      <c r="C646" s="21" t="s">
        <v>201</v>
      </c>
      <c r="D646" s="48"/>
      <c r="E646" s="23" t="n">
        <v>45470</v>
      </c>
      <c r="F646" s="23" t="n">
        <v>45624</v>
      </c>
      <c r="G646" s="37" t="n">
        <v>110</v>
      </c>
      <c r="H646" s="49" t="n">
        <v>111.111111111111</v>
      </c>
      <c r="I646" s="49" t="n">
        <v>-1.11111111111111</v>
      </c>
      <c r="J646" s="74" t="s">
        <v>1085</v>
      </c>
      <c r="K646" s="27" t="n">
        <v>150000</v>
      </c>
      <c r="L646" s="27" t="n">
        <v>396000</v>
      </c>
      <c r="M646" s="28" t="n">
        <v>18000</v>
      </c>
      <c r="N646" s="29" t="n">
        <v>85000</v>
      </c>
      <c r="O646" s="29" t="n">
        <v>400000</v>
      </c>
      <c r="P646" s="30" t="n">
        <v>-4000</v>
      </c>
      <c r="Q646" s="263" t="n">
        <v>45642</v>
      </c>
    </row>
    <row r="647" customFormat="false" ht="26.1" hidden="false" customHeight="false" outlineLevel="0" collapsed="false">
      <c r="A647" s="294" t="n">
        <v>2780</v>
      </c>
      <c r="B647" s="22" t="s">
        <v>226</v>
      </c>
      <c r="C647" s="21" t="s">
        <v>227</v>
      </c>
      <c r="D647" s="48"/>
      <c r="E647" s="23" t="n">
        <v>45531</v>
      </c>
      <c r="F647" s="23" t="n">
        <v>45631</v>
      </c>
      <c r="G647" s="37" t="n">
        <v>72</v>
      </c>
      <c r="H647" s="49" t="n">
        <v>72.0833333333333</v>
      </c>
      <c r="I647" s="49" t="n">
        <v>-0.0833333333333286</v>
      </c>
      <c r="J647" s="22" t="s">
        <v>679</v>
      </c>
      <c r="K647" s="27" t="n">
        <v>20000</v>
      </c>
      <c r="L647" s="27" t="n">
        <v>43200</v>
      </c>
      <c r="M647" s="28" t="n">
        <v>3000</v>
      </c>
      <c r="N647" s="29" t="n">
        <v>4000</v>
      </c>
      <c r="O647" s="29" t="n">
        <v>43250</v>
      </c>
      <c r="P647" s="30" t="n">
        <v>-50</v>
      </c>
      <c r="Q647" s="263" t="n">
        <v>45642</v>
      </c>
    </row>
    <row r="648" customFormat="false" ht="28.35" hidden="false" customHeight="false" outlineLevel="0" collapsed="false">
      <c r="A648" s="294" t="n">
        <v>2582</v>
      </c>
      <c r="B648" s="21" t="s">
        <v>280</v>
      </c>
      <c r="C648" s="21" t="s">
        <v>281</v>
      </c>
      <c r="D648" s="48" t="s">
        <v>282</v>
      </c>
      <c r="E648" s="23" t="n">
        <v>45400</v>
      </c>
      <c r="F648" s="23" t="n">
        <v>45596</v>
      </c>
      <c r="G648" s="37" t="n">
        <v>140</v>
      </c>
      <c r="H648" s="49" t="n">
        <v>140.373333333333</v>
      </c>
      <c r="I648" s="49" t="n">
        <v>-0.373333333333335</v>
      </c>
      <c r="J648" s="269" t="s">
        <v>1086</v>
      </c>
      <c r="K648" s="27" t="n">
        <v>200000</v>
      </c>
      <c r="L648" s="27" t="n">
        <v>525000</v>
      </c>
      <c r="M648" s="28" t="n">
        <v>18750</v>
      </c>
      <c r="N648" s="29" t="n">
        <v>25000</v>
      </c>
      <c r="O648" s="29" t="n">
        <v>526400</v>
      </c>
      <c r="P648" s="30" t="n">
        <v>-1400</v>
      </c>
      <c r="Q648" s="263" t="n">
        <v>45642</v>
      </c>
    </row>
    <row r="649" customFormat="false" ht="28.35" hidden="false" customHeight="false" outlineLevel="0" collapsed="false">
      <c r="A649" s="294" t="n">
        <v>2929</v>
      </c>
      <c r="B649" s="21" t="s">
        <v>581</v>
      </c>
      <c r="C649" s="21" t="s">
        <v>351</v>
      </c>
      <c r="D649" s="48"/>
      <c r="E649" s="305" t="n">
        <v>45621</v>
      </c>
      <c r="F649" s="23" t="n">
        <v>45649</v>
      </c>
      <c r="G649" s="37" t="n">
        <v>20</v>
      </c>
      <c r="H649" s="49" t="e">
        <f aca="false">#DIV/0!</f>
        <v>#DIV/0!</v>
      </c>
      <c r="I649" s="49" t="e">
        <f aca="false">#DIV/0!</f>
        <v>#DIV/0!</v>
      </c>
      <c r="J649" s="269" t="s">
        <v>1087</v>
      </c>
      <c r="K649" s="27" t="n">
        <v>100000</v>
      </c>
      <c r="L649" s="27" t="n">
        <v>150000</v>
      </c>
      <c r="M649" s="28"/>
      <c r="N649" s="29" t="n">
        <v>150000</v>
      </c>
      <c r="O649" s="29" t="n">
        <v>150000</v>
      </c>
      <c r="P649" s="30" t="n">
        <v>0</v>
      </c>
      <c r="Q649" s="263" t="n">
        <v>45642</v>
      </c>
    </row>
    <row r="650" customFormat="false" ht="15" hidden="false" customHeight="false" outlineLevel="0" collapsed="false">
      <c r="A650" s="294" t="n">
        <v>2933</v>
      </c>
      <c r="B650" s="21" t="s">
        <v>363</v>
      </c>
      <c r="C650" s="21"/>
      <c r="D650" s="48"/>
      <c r="E650" s="23" t="n">
        <v>45624</v>
      </c>
      <c r="F650" s="23" t="n">
        <v>45631</v>
      </c>
      <c r="G650" s="37" t="n">
        <v>5</v>
      </c>
      <c r="H650" s="49" t="e">
        <f aca="false">#DIV/0!</f>
        <v>#DIV/0!</v>
      </c>
      <c r="I650" s="49" t="e">
        <f aca="false">#DIV/0!</f>
        <v>#DIV/0!</v>
      </c>
      <c r="J650" s="269" t="s">
        <v>199</v>
      </c>
      <c r="K650" s="50" t="n">
        <v>30000</v>
      </c>
      <c r="L650" s="27" t="n">
        <v>39000</v>
      </c>
      <c r="M650" s="28"/>
      <c r="N650" s="29" t="n">
        <v>39000</v>
      </c>
      <c r="O650" s="29" t="n">
        <v>39000</v>
      </c>
      <c r="P650" s="30" t="n">
        <v>0</v>
      </c>
      <c r="Q650" s="263" t="n">
        <v>45642</v>
      </c>
    </row>
    <row r="651" customFormat="false" ht="28.35" hidden="false" customHeight="false" outlineLevel="0" collapsed="false">
      <c r="A651" s="294" t="n">
        <v>2627</v>
      </c>
      <c r="B651" s="21" t="s">
        <v>896</v>
      </c>
      <c r="C651" s="21" t="s">
        <v>897</v>
      </c>
      <c r="D651" s="48"/>
      <c r="E651" s="23" t="n">
        <v>45428</v>
      </c>
      <c r="F651" s="23" t="n">
        <v>45530</v>
      </c>
      <c r="G651" s="37" t="n">
        <v>72</v>
      </c>
      <c r="H651" s="49" t="n">
        <v>88.5654135338346</v>
      </c>
      <c r="I651" s="49" t="n">
        <v>-16.5654135338346</v>
      </c>
      <c r="J651" s="74" t="s">
        <v>1088</v>
      </c>
      <c r="K651" s="27" t="n">
        <v>30000</v>
      </c>
      <c r="L651" s="27" t="n">
        <v>66500</v>
      </c>
      <c r="M651" s="28" t="n">
        <v>4618.05555555556</v>
      </c>
      <c r="N651" s="29" t="n">
        <v>24800</v>
      </c>
      <c r="O651" s="29" t="n">
        <v>81800</v>
      </c>
      <c r="P651" s="30" t="n">
        <v>-15300</v>
      </c>
      <c r="Q651" s="263" t="n">
        <v>45642</v>
      </c>
    </row>
    <row r="652" customFormat="false" ht="15" hidden="false" customHeight="false" outlineLevel="0" collapsed="false">
      <c r="A652" s="294" t="n">
        <v>2927</v>
      </c>
      <c r="B652" s="21" t="s">
        <v>791</v>
      </c>
      <c r="C652" s="21"/>
      <c r="D652" s="48"/>
      <c r="E652" s="23" t="n">
        <v>45619</v>
      </c>
      <c r="F652" s="23" t="n">
        <v>45646</v>
      </c>
      <c r="G652" s="37" t="n">
        <v>20</v>
      </c>
      <c r="H652" s="49" t="e">
        <f aca="false">#DIV/0!</f>
        <v>#DIV/0!</v>
      </c>
      <c r="I652" s="49" t="e">
        <f aca="false">#DIV/0!</f>
        <v>#DIV/0!</v>
      </c>
      <c r="J652" s="269" t="s">
        <v>199</v>
      </c>
      <c r="K652" s="30" t="n">
        <v>20000</v>
      </c>
      <c r="L652" s="30" t="n">
        <v>30000</v>
      </c>
      <c r="M652" s="28"/>
      <c r="N652" s="29" t="n">
        <v>30000</v>
      </c>
      <c r="O652" s="29" t="n">
        <v>30000</v>
      </c>
      <c r="P652" s="30" t="n">
        <v>0</v>
      </c>
      <c r="Q652" s="263" t="n">
        <v>45642</v>
      </c>
    </row>
    <row r="653" customFormat="false" ht="15" hidden="false" customHeight="false" outlineLevel="0" collapsed="false">
      <c r="A653" s="294" t="n">
        <v>2937</v>
      </c>
      <c r="B653" s="21" t="s">
        <v>791</v>
      </c>
      <c r="C653" s="21"/>
      <c r="D653" s="48"/>
      <c r="E653" s="23" t="n">
        <v>45624</v>
      </c>
      <c r="F653" s="23" t="n">
        <v>45652</v>
      </c>
      <c r="G653" s="37" t="n">
        <v>20</v>
      </c>
      <c r="H653" s="49" t="e">
        <f aca="false">#DIV/0!</f>
        <v>#DIV/0!</v>
      </c>
      <c r="I653" s="49" t="e">
        <f aca="false">#DIV/0!</f>
        <v>#DIV/0!</v>
      </c>
      <c r="J653" s="269" t="s">
        <v>199</v>
      </c>
      <c r="K653" s="27" t="n">
        <v>20000</v>
      </c>
      <c r="L653" s="27" t="n">
        <v>30000</v>
      </c>
      <c r="M653" s="28"/>
      <c r="N653" s="29" t="n">
        <v>30000</v>
      </c>
      <c r="O653" s="29" t="n">
        <v>30000</v>
      </c>
      <c r="P653" s="30" t="n">
        <v>0</v>
      </c>
      <c r="Q653" s="263" t="n">
        <v>45642</v>
      </c>
    </row>
    <row r="654" customFormat="false" ht="15" hidden="false" customHeight="false" outlineLevel="0" collapsed="false">
      <c r="A654" s="294" t="n">
        <v>2527</v>
      </c>
      <c r="B654" s="21" t="s">
        <v>457</v>
      </c>
      <c r="C654" s="21"/>
      <c r="D654" s="48"/>
      <c r="E654" s="23" t="n">
        <v>45369</v>
      </c>
      <c r="F654" s="23" t="n">
        <v>45649</v>
      </c>
      <c r="G654" s="37" t="n">
        <v>200</v>
      </c>
      <c r="H654" s="49" t="n">
        <v>200</v>
      </c>
      <c r="I654" s="49" t="n">
        <v>0</v>
      </c>
      <c r="J654" s="269" t="s">
        <v>1089</v>
      </c>
      <c r="K654" s="27" t="n">
        <v>100000</v>
      </c>
      <c r="L654" s="27" t="n">
        <v>308000</v>
      </c>
      <c r="M654" s="28" t="n">
        <v>7700</v>
      </c>
      <c r="N654" s="29" t="n">
        <v>30800</v>
      </c>
      <c r="O654" s="29" t="n">
        <v>308000</v>
      </c>
      <c r="P654" s="30" t="n">
        <v>0</v>
      </c>
      <c r="Q654" s="263" t="n">
        <v>45642</v>
      </c>
    </row>
    <row r="655" customFormat="false" ht="21.6" hidden="false" customHeight="false" outlineLevel="0" collapsed="false">
      <c r="A655" s="294" t="n">
        <v>2384</v>
      </c>
      <c r="B655" s="21" t="s">
        <v>502</v>
      </c>
      <c r="C655" s="21" t="s">
        <v>503</v>
      </c>
      <c r="D655" s="48"/>
      <c r="E655" s="23" t="n">
        <v>45281</v>
      </c>
      <c r="F655" s="23" t="n">
        <v>45589</v>
      </c>
      <c r="G655" s="37" t="n">
        <v>220</v>
      </c>
      <c r="H655" s="49" t="n">
        <v>220</v>
      </c>
      <c r="I655" s="49" t="n">
        <v>0</v>
      </c>
      <c r="J655" s="74" t="s">
        <v>1090</v>
      </c>
      <c r="K655" s="27" t="n">
        <v>200000</v>
      </c>
      <c r="L655" s="27" t="n">
        <v>600160</v>
      </c>
      <c r="M655" s="45" t="n">
        <v>13640</v>
      </c>
      <c r="N655" s="29" t="n">
        <v>54560</v>
      </c>
      <c r="O655" s="29" t="n">
        <v>600160</v>
      </c>
      <c r="P655" s="30" t="n">
        <v>0</v>
      </c>
      <c r="Q655" s="263" t="n">
        <v>45642</v>
      </c>
    </row>
    <row r="656" customFormat="false" ht="15" hidden="false" customHeight="false" outlineLevel="0" collapsed="false">
      <c r="A656" s="294" t="n">
        <v>2957</v>
      </c>
      <c r="B656" s="21" t="s">
        <v>363</v>
      </c>
      <c r="C656" s="21"/>
      <c r="D656" s="48"/>
      <c r="E656" s="23" t="n">
        <v>45642</v>
      </c>
      <c r="F656" s="23" t="n">
        <v>45649</v>
      </c>
      <c r="G656" s="37" t="n">
        <v>5</v>
      </c>
      <c r="H656" s="49" t="e">
        <f aca="false">#DIV/0!</f>
        <v>#DIV/0!</v>
      </c>
      <c r="I656" s="49" t="e">
        <f aca="false">#DIV/0!</f>
        <v>#DIV/0!</v>
      </c>
      <c r="J656" s="269" t="s">
        <v>199</v>
      </c>
      <c r="K656" s="50" t="n">
        <v>30000</v>
      </c>
      <c r="L656" s="27" t="n">
        <v>39000</v>
      </c>
      <c r="M656" s="28"/>
      <c r="N656" s="29" t="n">
        <v>39000</v>
      </c>
      <c r="O656" s="29" t="n">
        <v>39000</v>
      </c>
      <c r="P656" s="30" t="n">
        <v>0</v>
      </c>
      <c r="Q656" s="263" t="n">
        <v>45642</v>
      </c>
    </row>
    <row r="657" customFormat="false" ht="26.1" hidden="false" customHeight="false" outlineLevel="0" collapsed="false">
      <c r="A657" s="294" t="n">
        <v>2790</v>
      </c>
      <c r="B657" s="22" t="s">
        <v>226</v>
      </c>
      <c r="C657" s="21" t="s">
        <v>227</v>
      </c>
      <c r="D657" s="48"/>
      <c r="E657" s="23" t="n">
        <v>45539</v>
      </c>
      <c r="F657" s="23" t="n">
        <v>45639</v>
      </c>
      <c r="G657" s="37" t="n">
        <v>72</v>
      </c>
      <c r="H657" s="49" t="n">
        <v>72</v>
      </c>
      <c r="I657" s="49" t="n">
        <v>0</v>
      </c>
      <c r="J657" s="22" t="s">
        <v>716</v>
      </c>
      <c r="K657" s="27" t="n">
        <v>15000</v>
      </c>
      <c r="L657" s="27" t="n">
        <v>32400</v>
      </c>
      <c r="M657" s="28" t="n">
        <v>2250</v>
      </c>
      <c r="N657" s="29" t="n">
        <v>650</v>
      </c>
      <c r="O657" s="29" t="n">
        <v>32400</v>
      </c>
      <c r="P657" s="30" t="n">
        <v>0</v>
      </c>
      <c r="Q657" s="263" t="n">
        <v>45649</v>
      </c>
    </row>
    <row r="658" customFormat="false" ht="17.9" hidden="false" customHeight="false" outlineLevel="0" collapsed="false">
      <c r="A658" s="294" t="n">
        <v>2851</v>
      </c>
      <c r="B658" s="22" t="s">
        <v>251</v>
      </c>
      <c r="C658" s="21" t="s">
        <v>252</v>
      </c>
      <c r="D658" s="48"/>
      <c r="E658" s="23" t="n">
        <v>45575</v>
      </c>
      <c r="F658" s="23" t="n">
        <v>45677</v>
      </c>
      <c r="G658" s="37" t="n">
        <v>72</v>
      </c>
      <c r="H658" s="49" t="n">
        <v>72</v>
      </c>
      <c r="I658" s="49" t="n">
        <v>0</v>
      </c>
      <c r="J658" s="22" t="s">
        <v>333</v>
      </c>
      <c r="K658" s="27" t="n">
        <v>50000</v>
      </c>
      <c r="L658" s="27" t="n">
        <v>108000</v>
      </c>
      <c r="M658" s="28" t="n">
        <v>7500</v>
      </c>
      <c r="N658" s="29" t="n">
        <v>3000</v>
      </c>
      <c r="O658" s="29" t="n">
        <v>108000</v>
      </c>
      <c r="P658" s="30" t="n">
        <v>0</v>
      </c>
      <c r="Q658" s="263" t="n">
        <v>45649</v>
      </c>
    </row>
    <row r="659" customFormat="false" ht="15" hidden="false" customHeight="false" outlineLevel="0" collapsed="false">
      <c r="A659" s="294" t="n">
        <v>2936</v>
      </c>
      <c r="B659" s="21" t="s">
        <v>287</v>
      </c>
      <c r="C659" s="21" t="s">
        <v>288</v>
      </c>
      <c r="D659" s="48"/>
      <c r="E659" s="23" t="n">
        <v>45625</v>
      </c>
      <c r="F659" s="23" t="n">
        <v>45653</v>
      </c>
      <c r="G659" s="37" t="n">
        <v>20</v>
      </c>
      <c r="H659" s="49" t="e">
        <f aca="false">#VALUE!</f>
        <v>#VALUE!</v>
      </c>
      <c r="I659" s="49" t="e">
        <f aca="false">#VALUE!</f>
        <v>#VALUE!</v>
      </c>
      <c r="J659" s="269" t="s">
        <v>199</v>
      </c>
      <c r="K659" s="27" t="n">
        <v>400000</v>
      </c>
      <c r="L659" s="27" t="n">
        <v>550000</v>
      </c>
      <c r="M659" s="28" t="s">
        <v>184</v>
      </c>
      <c r="N659" s="29" t="n">
        <v>550000</v>
      </c>
      <c r="O659" s="29" t="n">
        <v>550000</v>
      </c>
      <c r="P659" s="30" t="n">
        <v>0</v>
      </c>
      <c r="Q659" s="263" t="n">
        <v>45649</v>
      </c>
    </row>
    <row r="660" customFormat="false" ht="15" hidden="false" customHeight="false" outlineLevel="0" collapsed="false">
      <c r="A660" s="294" t="n">
        <v>2966</v>
      </c>
      <c r="B660" s="21" t="s">
        <v>363</v>
      </c>
      <c r="C660" s="21"/>
      <c r="D660" s="48"/>
      <c r="E660" s="23" t="n">
        <v>45647</v>
      </c>
      <c r="F660" s="23" t="n">
        <v>45653</v>
      </c>
      <c r="G660" s="37" t="n">
        <v>5</v>
      </c>
      <c r="H660" s="49" t="e">
        <f aca="false">#DIV/0!</f>
        <v>#DIV/0!</v>
      </c>
      <c r="I660" s="49" t="e">
        <f aca="false">#DIV/0!</f>
        <v>#DIV/0!</v>
      </c>
      <c r="J660" s="269" t="s">
        <v>199</v>
      </c>
      <c r="K660" s="50" t="n">
        <v>30000</v>
      </c>
      <c r="L660" s="27" t="n">
        <v>39000</v>
      </c>
      <c r="M660" s="28"/>
      <c r="N660" s="29" t="n">
        <v>39000</v>
      </c>
      <c r="O660" s="29" t="n">
        <v>39000</v>
      </c>
      <c r="P660" s="30" t="n">
        <v>0</v>
      </c>
      <c r="Q660" s="263" t="n">
        <v>45649</v>
      </c>
    </row>
    <row r="661" customFormat="false" ht="21.6" hidden="false" customHeight="false" outlineLevel="0" collapsed="false">
      <c r="A661" s="294" t="n">
        <v>2767</v>
      </c>
      <c r="B661" s="21" t="s">
        <v>382</v>
      </c>
      <c r="C661" s="21" t="s">
        <v>383</v>
      </c>
      <c r="D661" s="48"/>
      <c r="E661" s="23" t="n">
        <v>45521</v>
      </c>
      <c r="F661" s="23" t="n">
        <v>45622</v>
      </c>
      <c r="G661" s="37" t="n">
        <v>72</v>
      </c>
      <c r="H661" s="49" t="n">
        <v>72</v>
      </c>
      <c r="I661" s="49" t="n">
        <v>0</v>
      </c>
      <c r="J661" s="22" t="s">
        <v>716</v>
      </c>
      <c r="K661" s="27" t="n">
        <v>15000</v>
      </c>
      <c r="L661" s="27" t="n">
        <v>32400</v>
      </c>
      <c r="M661" s="28" t="n">
        <v>2250</v>
      </c>
      <c r="N661" s="29" t="n">
        <v>9900</v>
      </c>
      <c r="O661" s="29" t="n">
        <v>32400</v>
      </c>
      <c r="P661" s="30" t="n">
        <v>0</v>
      </c>
      <c r="Q661" s="263" t="n">
        <v>45649</v>
      </c>
    </row>
    <row r="662" customFormat="false" ht="21.6" hidden="false" customHeight="false" outlineLevel="0" collapsed="false">
      <c r="A662" s="294" t="n">
        <v>2689</v>
      </c>
      <c r="B662" s="21" t="s">
        <v>545</v>
      </c>
      <c r="C662" s="21" t="s">
        <v>546</v>
      </c>
      <c r="D662" s="48" t="n">
        <v>35869349</v>
      </c>
      <c r="E662" s="23" t="n">
        <v>45472</v>
      </c>
      <c r="F662" s="23" t="n">
        <v>45625</v>
      </c>
      <c r="G662" s="37" t="n">
        <v>110</v>
      </c>
      <c r="H662" s="49" t="n">
        <v>110</v>
      </c>
      <c r="I662" s="49" t="n">
        <v>0</v>
      </c>
      <c r="J662" s="74" t="s">
        <v>1091</v>
      </c>
      <c r="K662" s="27" t="n">
        <v>110000</v>
      </c>
      <c r="L662" s="27" t="n">
        <v>290400</v>
      </c>
      <c r="M662" s="28" t="n">
        <v>13200</v>
      </c>
      <c r="N662" s="29" t="n">
        <v>26200</v>
      </c>
      <c r="O662" s="29" t="n">
        <v>290400</v>
      </c>
      <c r="P662" s="30" t="n">
        <v>0</v>
      </c>
      <c r="Q662" s="263" t="n">
        <v>45649</v>
      </c>
    </row>
    <row r="663" customFormat="false" ht="15" hidden="false" customHeight="false" outlineLevel="0" collapsed="false">
      <c r="A663" s="294" t="n">
        <v>2745</v>
      </c>
      <c r="B663" s="21" t="s">
        <v>334</v>
      </c>
      <c r="C663" s="21" t="s">
        <v>725</v>
      </c>
      <c r="D663" s="48"/>
      <c r="E663" s="23" t="n">
        <v>45511</v>
      </c>
      <c r="F663" s="23" t="n">
        <v>45623</v>
      </c>
      <c r="G663" s="37" t="n">
        <v>80</v>
      </c>
      <c r="H663" s="49" t="n">
        <v>80</v>
      </c>
      <c r="I663" s="49" t="n">
        <v>0</v>
      </c>
      <c r="J663" s="269" t="s">
        <v>339</v>
      </c>
      <c r="K663" s="27" t="n">
        <v>70000</v>
      </c>
      <c r="L663" s="27" t="n">
        <v>151200</v>
      </c>
      <c r="M663" s="28" t="n">
        <v>9450</v>
      </c>
      <c r="N663" s="29" t="n">
        <v>37800</v>
      </c>
      <c r="O663" s="29" t="n">
        <v>151200</v>
      </c>
      <c r="P663" s="30" t="n">
        <v>0</v>
      </c>
      <c r="Q663" s="263" t="n">
        <v>45656</v>
      </c>
    </row>
    <row r="664" customFormat="false" ht="15" hidden="false" customHeight="false" outlineLevel="0" collapsed="false">
      <c r="A664" s="294" t="n">
        <v>2977</v>
      </c>
      <c r="B664" s="21" t="s">
        <v>363</v>
      </c>
      <c r="C664" s="21"/>
      <c r="D664" s="48"/>
      <c r="E664" s="23" t="n">
        <v>45654</v>
      </c>
      <c r="F664" s="23" t="n">
        <v>45660</v>
      </c>
      <c r="G664" s="37" t="n">
        <v>5</v>
      </c>
      <c r="H664" s="49" t="e">
        <f aca="false">#DIV/0!</f>
        <v>#DIV/0!</v>
      </c>
      <c r="I664" s="49" t="e">
        <f aca="false">#DIV/0!</f>
        <v>#DIV/0!</v>
      </c>
      <c r="J664" s="269" t="s">
        <v>199</v>
      </c>
      <c r="K664" s="50" t="n">
        <v>30000</v>
      </c>
      <c r="L664" s="27" t="n">
        <v>39000</v>
      </c>
      <c r="M664" s="28"/>
      <c r="N664" s="29" t="n">
        <v>39000</v>
      </c>
      <c r="O664" s="29" t="n">
        <v>39000</v>
      </c>
      <c r="P664" s="30" t="n">
        <v>0</v>
      </c>
      <c r="Q664" s="263" t="n">
        <v>45656</v>
      </c>
    </row>
    <row r="665" customFormat="false" ht="15" hidden="false" customHeight="false" outlineLevel="0" collapsed="false">
      <c r="A665" s="294" t="n">
        <v>2791</v>
      </c>
      <c r="B665" s="21" t="s">
        <v>459</v>
      </c>
      <c r="C665" s="21" t="s">
        <v>460</v>
      </c>
      <c r="D665" s="48"/>
      <c r="E665" s="23" t="n">
        <v>45541</v>
      </c>
      <c r="F665" s="23" t="n">
        <v>45643</v>
      </c>
      <c r="G665" s="37" t="n">
        <v>72</v>
      </c>
      <c r="H665" s="49" t="n">
        <v>72</v>
      </c>
      <c r="I665" s="49" t="n">
        <v>0</v>
      </c>
      <c r="J665" s="22" t="s">
        <v>675</v>
      </c>
      <c r="K665" s="27" t="n">
        <v>30000</v>
      </c>
      <c r="L665" s="27" t="n">
        <v>64800</v>
      </c>
      <c r="M665" s="28" t="n">
        <v>4500</v>
      </c>
      <c r="N665" s="29" t="n">
        <v>14800</v>
      </c>
      <c r="O665" s="29" t="n">
        <v>64800</v>
      </c>
      <c r="P665" s="30" t="n">
        <v>0</v>
      </c>
      <c r="Q665" s="263" t="n">
        <v>45656</v>
      </c>
    </row>
    <row r="666" customFormat="false" ht="17.9" hidden="false" customHeight="false" outlineLevel="0" collapsed="false">
      <c r="A666" s="294" t="n">
        <v>2716</v>
      </c>
      <c r="B666" s="21" t="s">
        <v>505</v>
      </c>
      <c r="C666" s="21" t="s">
        <v>506</v>
      </c>
      <c r="D666" s="48"/>
      <c r="E666" s="23" t="n">
        <v>45490</v>
      </c>
      <c r="F666" s="23" t="n">
        <v>45658</v>
      </c>
      <c r="G666" s="37" t="n">
        <v>120</v>
      </c>
      <c r="H666" s="49" t="n">
        <v>120</v>
      </c>
      <c r="I666" s="49" t="n">
        <v>0</v>
      </c>
      <c r="J666" s="269" t="s">
        <v>1092</v>
      </c>
      <c r="K666" s="27" t="n">
        <v>80000</v>
      </c>
      <c r="L666" s="27" t="n">
        <v>211200</v>
      </c>
      <c r="M666" s="28" t="n">
        <v>8800</v>
      </c>
      <c r="N666" s="29" t="n">
        <v>35200</v>
      </c>
      <c r="O666" s="29" t="n">
        <v>211200</v>
      </c>
      <c r="P666" s="30" t="n">
        <v>0</v>
      </c>
      <c r="Q666" s="263" t="n">
        <v>45656</v>
      </c>
    </row>
    <row r="667" customFormat="false" ht="17.9" hidden="false" customHeight="false" outlineLevel="0" collapsed="false">
      <c r="A667" s="294" t="n">
        <v>2765</v>
      </c>
      <c r="B667" s="21" t="s">
        <v>505</v>
      </c>
      <c r="C667" s="21" t="s">
        <v>506</v>
      </c>
      <c r="D667" s="48"/>
      <c r="E667" s="23" t="n">
        <v>45520</v>
      </c>
      <c r="F667" s="23" t="n">
        <v>45688</v>
      </c>
      <c r="G667" s="37" t="n">
        <v>120</v>
      </c>
      <c r="H667" s="49" t="n">
        <v>120</v>
      </c>
      <c r="I667" s="49" t="n">
        <v>0</v>
      </c>
      <c r="J667" s="269" t="s">
        <v>1092</v>
      </c>
      <c r="K667" s="30" t="n">
        <v>80000</v>
      </c>
      <c r="L667" s="30" t="n">
        <v>211200</v>
      </c>
      <c r="M667" s="45" t="n">
        <v>8800</v>
      </c>
      <c r="N667" s="29" t="n">
        <v>70400</v>
      </c>
      <c r="O667" s="29" t="n">
        <v>211200</v>
      </c>
      <c r="P667" s="30" t="n">
        <v>0</v>
      </c>
      <c r="Q667" s="263" t="n">
        <v>45656</v>
      </c>
    </row>
    <row r="668" customFormat="false" ht="15" hidden="false" customHeight="false" outlineLevel="0" collapsed="false">
      <c r="A668" s="294" t="n">
        <v>2868</v>
      </c>
      <c r="B668" s="21" t="s">
        <v>537</v>
      </c>
      <c r="C668" s="21"/>
      <c r="D668" s="48"/>
      <c r="E668" s="23" t="n">
        <v>45583</v>
      </c>
      <c r="F668" s="23" t="n">
        <v>45681</v>
      </c>
      <c r="G668" s="37" t="n">
        <v>70</v>
      </c>
      <c r="H668" s="49" t="n">
        <v>70</v>
      </c>
      <c r="I668" s="49" t="n">
        <v>0</v>
      </c>
      <c r="J668" s="74" t="s">
        <v>1093</v>
      </c>
      <c r="K668" s="27" t="n">
        <v>40000</v>
      </c>
      <c r="L668" s="27" t="n">
        <v>86450</v>
      </c>
      <c r="M668" s="45" t="n">
        <v>6175</v>
      </c>
      <c r="N668" s="29" t="n">
        <v>12350</v>
      </c>
      <c r="O668" s="29" t="n">
        <v>86450</v>
      </c>
      <c r="P668" s="30" t="n">
        <v>0</v>
      </c>
      <c r="Q668" s="263" t="n">
        <v>45656</v>
      </c>
    </row>
    <row r="669" customFormat="false" ht="21.6" hidden="false" customHeight="false" outlineLevel="0" collapsed="false">
      <c r="A669" s="294" t="n">
        <v>2832</v>
      </c>
      <c r="B669" s="21" t="s">
        <v>561</v>
      </c>
      <c r="C669" s="21" t="s">
        <v>562</v>
      </c>
      <c r="D669" s="22"/>
      <c r="E669" s="23" t="n">
        <v>45562</v>
      </c>
      <c r="F669" s="23" t="n">
        <v>45660</v>
      </c>
      <c r="G669" s="37" t="n">
        <v>70</v>
      </c>
      <c r="H669" s="49" t="n">
        <v>70</v>
      </c>
      <c r="I669" s="49" t="n">
        <v>0</v>
      </c>
      <c r="J669" s="74" t="s">
        <v>1094</v>
      </c>
      <c r="K669" s="27" t="n">
        <v>100000</v>
      </c>
      <c r="L669" s="27" t="n">
        <v>217000</v>
      </c>
      <c r="M669" s="28" t="n">
        <v>15500</v>
      </c>
      <c r="N669" s="29" t="n">
        <v>43000</v>
      </c>
      <c r="O669" s="29" t="n">
        <v>217000</v>
      </c>
      <c r="P669" s="30" t="n">
        <v>0</v>
      </c>
      <c r="Q669" s="263" t="n">
        <v>45656</v>
      </c>
    </row>
    <row r="670" customFormat="false" ht="28.35" hidden="false" customHeight="false" outlineLevel="0" collapsed="false">
      <c r="A670" s="294" t="n">
        <v>2601</v>
      </c>
      <c r="B670" s="22" t="s">
        <v>193</v>
      </c>
      <c r="C670" s="21" t="s">
        <v>194</v>
      </c>
      <c r="D670" s="48"/>
      <c r="E670" s="23" t="n">
        <v>45411</v>
      </c>
      <c r="F670" s="23" t="n">
        <v>45635</v>
      </c>
      <c r="G670" s="37" t="n">
        <v>160</v>
      </c>
      <c r="H670" s="49" t="n">
        <v>160</v>
      </c>
      <c r="I670" s="49" t="n">
        <v>0</v>
      </c>
      <c r="J670" s="269" t="s">
        <v>1095</v>
      </c>
      <c r="K670" s="30" t="n">
        <v>250000</v>
      </c>
      <c r="L670" s="30" t="n">
        <v>660000</v>
      </c>
      <c r="M670" s="28" t="n">
        <v>20625</v>
      </c>
      <c r="N670" s="29" t="n">
        <v>78100</v>
      </c>
      <c r="O670" s="29" t="n">
        <v>660000</v>
      </c>
      <c r="P670" s="30" t="n">
        <v>0</v>
      </c>
      <c r="Q670" s="263" t="n">
        <v>45663</v>
      </c>
    </row>
    <row r="671" customFormat="false" ht="28.35" hidden="false" customHeight="false" outlineLevel="0" collapsed="false">
      <c r="A671" s="294" t="n">
        <v>2719</v>
      </c>
      <c r="B671" s="22" t="s">
        <v>193</v>
      </c>
      <c r="C671" s="21" t="s">
        <v>194</v>
      </c>
      <c r="D671" s="48"/>
      <c r="E671" s="23" t="n">
        <v>45493</v>
      </c>
      <c r="F671" s="23" t="n">
        <v>45660</v>
      </c>
      <c r="G671" s="37" t="n">
        <v>120</v>
      </c>
      <c r="H671" s="49" t="n">
        <v>120</v>
      </c>
      <c r="I671" s="49" t="n">
        <v>0</v>
      </c>
      <c r="J671" s="269" t="s">
        <v>1096</v>
      </c>
      <c r="K671" s="30" t="n">
        <v>50000</v>
      </c>
      <c r="L671" s="30" t="n">
        <v>132000</v>
      </c>
      <c r="M671" s="28" t="n">
        <v>5500</v>
      </c>
      <c r="N671" s="29" t="n">
        <v>22000</v>
      </c>
      <c r="O671" s="29" t="n">
        <v>132000</v>
      </c>
      <c r="P671" s="30" t="n">
        <v>0</v>
      </c>
      <c r="Q671" s="263" t="n">
        <v>45663</v>
      </c>
    </row>
    <row r="672" customFormat="false" ht="17.9" hidden="false" customHeight="false" outlineLevel="0" collapsed="false">
      <c r="A672" s="294" t="n">
        <v>2818</v>
      </c>
      <c r="B672" s="22" t="s">
        <v>209</v>
      </c>
      <c r="C672" s="21"/>
      <c r="D672" s="48"/>
      <c r="E672" s="23" t="n">
        <v>45556</v>
      </c>
      <c r="F672" s="23" t="n">
        <v>45667</v>
      </c>
      <c r="G672" s="37" t="n">
        <v>80</v>
      </c>
      <c r="H672" s="49" t="n">
        <v>80</v>
      </c>
      <c r="I672" s="49" t="n">
        <v>0</v>
      </c>
      <c r="J672" s="269" t="s">
        <v>1027</v>
      </c>
      <c r="K672" s="27" t="n">
        <v>50000</v>
      </c>
      <c r="L672" s="27" t="n">
        <v>108000</v>
      </c>
      <c r="M672" s="28" t="n">
        <v>6750</v>
      </c>
      <c r="N672" s="29" t="n">
        <v>34000</v>
      </c>
      <c r="O672" s="29" t="n">
        <v>108000</v>
      </c>
      <c r="P672" s="30" t="n">
        <v>0</v>
      </c>
      <c r="Q672" s="263" t="n">
        <v>45663</v>
      </c>
    </row>
    <row r="673" customFormat="false" ht="21.6" hidden="false" customHeight="false" outlineLevel="0" collapsed="false">
      <c r="A673" s="294" t="n">
        <v>2787</v>
      </c>
      <c r="B673" s="21" t="s">
        <v>274</v>
      </c>
      <c r="C673" s="21" t="s">
        <v>275</v>
      </c>
      <c r="D673" s="48"/>
      <c r="E673" s="23" t="n">
        <v>45535</v>
      </c>
      <c r="F673" s="23" t="n">
        <v>45646</v>
      </c>
      <c r="G673" s="37" t="n">
        <v>80</v>
      </c>
      <c r="H673" s="49" t="n">
        <v>80</v>
      </c>
      <c r="I673" s="49" t="n">
        <v>0</v>
      </c>
      <c r="J673" s="269" t="s">
        <v>1097</v>
      </c>
      <c r="K673" s="30" t="n">
        <v>200000</v>
      </c>
      <c r="L673" s="30" t="n">
        <v>432000</v>
      </c>
      <c r="M673" s="28" t="n">
        <v>27000</v>
      </c>
      <c r="N673" s="29" t="n">
        <v>108000</v>
      </c>
      <c r="O673" s="29" t="n">
        <v>432000</v>
      </c>
      <c r="P673" s="30" t="n">
        <v>0</v>
      </c>
      <c r="Q673" s="263" t="n">
        <v>45663</v>
      </c>
    </row>
    <row r="674" customFormat="false" ht="28.35" hidden="false" customHeight="false" outlineLevel="0" collapsed="false">
      <c r="A674" s="294" t="n">
        <v>2619</v>
      </c>
      <c r="B674" s="21" t="s">
        <v>350</v>
      </c>
      <c r="C674" s="21" t="s">
        <v>351</v>
      </c>
      <c r="D674" s="48"/>
      <c r="E674" s="23" t="n">
        <v>45423</v>
      </c>
      <c r="F674" s="23" t="n">
        <v>45590</v>
      </c>
      <c r="G674" s="37" t="n">
        <v>120</v>
      </c>
      <c r="H674" s="49" t="n">
        <v>121.900666262871</v>
      </c>
      <c r="I674" s="49" t="n">
        <v>-1.900666262871</v>
      </c>
      <c r="J674" s="74" t="s">
        <v>1098</v>
      </c>
      <c r="K674" s="30" t="n">
        <v>250000</v>
      </c>
      <c r="L674" s="30" t="n">
        <v>660400</v>
      </c>
      <c r="M674" s="28" t="n">
        <v>27516.6666666667</v>
      </c>
      <c r="N674" s="29" t="n">
        <v>5230</v>
      </c>
      <c r="O674" s="29" t="n">
        <v>670860</v>
      </c>
      <c r="P674" s="30" t="n">
        <v>-10460</v>
      </c>
      <c r="Q674" s="263" t="n">
        <v>45663</v>
      </c>
    </row>
    <row r="675" customFormat="false" ht="15" hidden="false" customHeight="false" outlineLevel="0" collapsed="false">
      <c r="A675" s="294" t="n">
        <v>2783</v>
      </c>
      <c r="B675" s="21" t="s">
        <v>357</v>
      </c>
      <c r="C675" s="21" t="s">
        <v>358</v>
      </c>
      <c r="D675" s="48" t="n">
        <v>13589728</v>
      </c>
      <c r="E675" s="23" t="n">
        <v>45534</v>
      </c>
      <c r="F675" s="23" t="n">
        <v>45646</v>
      </c>
      <c r="G675" s="37" t="n">
        <v>80</v>
      </c>
      <c r="H675" s="49" t="n">
        <v>80</v>
      </c>
      <c r="I675" s="49" t="n">
        <v>0</v>
      </c>
      <c r="J675" s="269" t="s">
        <v>1099</v>
      </c>
      <c r="K675" s="27" t="n">
        <v>200000</v>
      </c>
      <c r="L675" s="27" t="n">
        <v>432000</v>
      </c>
      <c r="M675" s="28" t="n">
        <v>27000</v>
      </c>
      <c r="N675" s="29" t="n">
        <v>108000</v>
      </c>
      <c r="O675" s="29" t="n">
        <v>432000</v>
      </c>
      <c r="P675" s="30" t="n">
        <v>0</v>
      </c>
      <c r="Q675" s="263" t="n">
        <v>45663</v>
      </c>
    </row>
    <row r="676" customFormat="false" ht="15" hidden="false" customHeight="false" outlineLevel="0" collapsed="false">
      <c r="A676" s="294" t="n">
        <v>2986</v>
      </c>
      <c r="B676" s="21" t="s">
        <v>363</v>
      </c>
      <c r="C676" s="21"/>
      <c r="D676" s="48"/>
      <c r="E676" s="23" t="n">
        <v>45661</v>
      </c>
      <c r="F676" s="23" t="n">
        <v>45667</v>
      </c>
      <c r="G676" s="37" t="n">
        <v>5</v>
      </c>
      <c r="H676" s="49" t="e">
        <f aca="false">#DIV/0!</f>
        <v>#DIV/0!</v>
      </c>
      <c r="I676" s="49" t="e">
        <f aca="false">#DIV/0!</f>
        <v>#DIV/0!</v>
      </c>
      <c r="J676" s="269" t="s">
        <v>199</v>
      </c>
      <c r="K676" s="50" t="n">
        <v>30000</v>
      </c>
      <c r="L676" s="27" t="n">
        <v>39000</v>
      </c>
      <c r="M676" s="28"/>
      <c r="N676" s="29" t="n">
        <v>39000</v>
      </c>
      <c r="O676" s="29" t="n">
        <v>39000</v>
      </c>
      <c r="P676" s="30" t="n">
        <v>0</v>
      </c>
      <c r="Q676" s="263" t="n">
        <v>45663</v>
      </c>
    </row>
    <row r="677" customFormat="false" ht="15" hidden="false" customHeight="false" outlineLevel="0" collapsed="false">
      <c r="A677" s="294" t="n">
        <v>2987</v>
      </c>
      <c r="B677" s="21" t="s">
        <v>363</v>
      </c>
      <c r="C677" s="21"/>
      <c r="D677" s="48"/>
      <c r="E677" s="23" t="n">
        <v>45661</v>
      </c>
      <c r="F677" s="23" t="n">
        <v>45667</v>
      </c>
      <c r="G677" s="37" t="n">
        <v>5</v>
      </c>
      <c r="H677" s="49" t="e">
        <f aca="false">#DIV/0!</f>
        <v>#DIV/0!</v>
      </c>
      <c r="I677" s="49" t="e">
        <f aca="false">#DIV/0!</f>
        <v>#DIV/0!</v>
      </c>
      <c r="J677" s="269" t="s">
        <v>199</v>
      </c>
      <c r="K677" s="50" t="n">
        <v>100000</v>
      </c>
      <c r="L677" s="27" t="n">
        <v>130000</v>
      </c>
      <c r="M677" s="28"/>
      <c r="N677" s="29" t="n">
        <v>139000</v>
      </c>
      <c r="O677" s="29" t="n">
        <v>139000</v>
      </c>
      <c r="P677" s="30" t="n">
        <v>-9000</v>
      </c>
      <c r="Q677" s="263" t="n">
        <v>45663</v>
      </c>
    </row>
    <row r="678" customFormat="false" ht="21.6" hidden="false" customHeight="false" outlineLevel="0" collapsed="false">
      <c r="A678" s="294" t="n">
        <v>2830</v>
      </c>
      <c r="B678" s="21" t="s">
        <v>440</v>
      </c>
      <c r="C678" s="21" t="s">
        <v>207</v>
      </c>
      <c r="D678" s="48"/>
      <c r="E678" s="23" t="n">
        <v>45560</v>
      </c>
      <c r="F678" s="23" t="n">
        <v>45660</v>
      </c>
      <c r="G678" s="37" t="n">
        <v>72</v>
      </c>
      <c r="H678" s="49" t="n">
        <v>72</v>
      </c>
      <c r="I678" s="49" t="n">
        <v>0</v>
      </c>
      <c r="J678" s="22" t="s">
        <v>188</v>
      </c>
      <c r="K678" s="27" t="n">
        <v>100000</v>
      </c>
      <c r="L678" s="27" t="n">
        <v>216000</v>
      </c>
      <c r="M678" s="28" t="n">
        <v>15000</v>
      </c>
      <c r="N678" s="29" t="n">
        <v>6000</v>
      </c>
      <c r="O678" s="29" t="n">
        <v>216000</v>
      </c>
      <c r="P678" s="30" t="n">
        <v>0</v>
      </c>
      <c r="Q678" s="263" t="n">
        <v>45663</v>
      </c>
    </row>
    <row r="679" customFormat="false" ht="28.35" hidden="false" customHeight="false" outlineLevel="0" collapsed="false">
      <c r="A679" s="294" t="n">
        <v>2701</v>
      </c>
      <c r="B679" s="21" t="s">
        <v>452</v>
      </c>
      <c r="C679" s="21"/>
      <c r="D679" s="48"/>
      <c r="E679" s="23" t="n">
        <v>45482</v>
      </c>
      <c r="F679" s="23" t="n">
        <v>45650</v>
      </c>
      <c r="G679" s="37" t="n">
        <v>120</v>
      </c>
      <c r="H679" s="49" t="n">
        <v>120</v>
      </c>
      <c r="I679" s="49" t="n">
        <v>0</v>
      </c>
      <c r="J679" s="269" t="s">
        <v>1080</v>
      </c>
      <c r="K679" s="27" t="n">
        <v>50000</v>
      </c>
      <c r="L679" s="27" t="n">
        <v>132000</v>
      </c>
      <c r="M679" s="45" t="n">
        <v>5500</v>
      </c>
      <c r="N679" s="29" t="n">
        <v>22000</v>
      </c>
      <c r="O679" s="29" t="n">
        <v>132000</v>
      </c>
      <c r="P679" s="30" t="n">
        <v>0</v>
      </c>
      <c r="Q679" s="263" t="n">
        <v>45663</v>
      </c>
    </row>
    <row r="680" customFormat="false" ht="15" hidden="false" customHeight="false" outlineLevel="0" collapsed="false">
      <c r="A680" s="294" t="n">
        <v>2960</v>
      </c>
      <c r="B680" s="21" t="s">
        <v>1100</v>
      </c>
      <c r="C680" s="21" t="s">
        <v>517</v>
      </c>
      <c r="D680" s="48"/>
      <c r="E680" s="23" t="n">
        <v>45645</v>
      </c>
      <c r="F680" s="23" t="n">
        <v>45671</v>
      </c>
      <c r="G680" s="37" t="n">
        <v>18</v>
      </c>
      <c r="H680" s="49"/>
      <c r="I680" s="49"/>
      <c r="J680" s="269" t="s">
        <v>199</v>
      </c>
      <c r="K680" s="30" t="n">
        <v>250000</v>
      </c>
      <c r="L680" s="30" t="n">
        <v>350000</v>
      </c>
      <c r="M680" s="28"/>
      <c r="N680" s="29" t="n">
        <v>350000</v>
      </c>
      <c r="O680" s="29" t="n">
        <v>350000</v>
      </c>
      <c r="P680" s="30" t="n">
        <v>0</v>
      </c>
      <c r="Q680" s="263" t="n">
        <v>45663</v>
      </c>
    </row>
    <row r="681" customFormat="false" ht="15" hidden="false" customHeight="false" outlineLevel="0" collapsed="false">
      <c r="A681" s="294" t="n">
        <v>2793</v>
      </c>
      <c r="B681" s="21" t="s">
        <v>573</v>
      </c>
      <c r="C681" s="21" t="s">
        <v>463</v>
      </c>
      <c r="D681" s="48" t="n">
        <v>2034839888</v>
      </c>
      <c r="E681" s="23" t="n">
        <v>45542</v>
      </c>
      <c r="F681" s="23" t="n">
        <v>45653</v>
      </c>
      <c r="G681" s="37" t="n">
        <v>80</v>
      </c>
      <c r="H681" s="49" t="n">
        <v>80</v>
      </c>
      <c r="I681" s="49" t="n">
        <v>0</v>
      </c>
      <c r="J681" s="269" t="s">
        <v>1101</v>
      </c>
      <c r="K681" s="27" t="n">
        <v>65000</v>
      </c>
      <c r="L681" s="27" t="n">
        <v>140400</v>
      </c>
      <c r="M681" s="28" t="n">
        <v>8775</v>
      </c>
      <c r="N681" s="29" t="n">
        <v>35100</v>
      </c>
      <c r="O681" s="29" t="n">
        <v>140400</v>
      </c>
      <c r="P681" s="30" t="n">
        <v>0</v>
      </c>
      <c r="Q681" s="263" t="n">
        <v>45663</v>
      </c>
    </row>
    <row r="682" customFormat="false" ht="15" hidden="false" customHeight="false" outlineLevel="0" collapsed="false">
      <c r="A682" s="294" t="n">
        <v>2809</v>
      </c>
      <c r="B682" s="21" t="s">
        <v>573</v>
      </c>
      <c r="C682" s="21" t="s">
        <v>463</v>
      </c>
      <c r="D682" s="48" t="n">
        <v>2034839888</v>
      </c>
      <c r="E682" s="23" t="n">
        <v>45551</v>
      </c>
      <c r="F682" s="23" t="n">
        <v>45663</v>
      </c>
      <c r="G682" s="37" t="n">
        <v>80</v>
      </c>
      <c r="H682" s="49" t="n">
        <v>80</v>
      </c>
      <c r="I682" s="49" t="n">
        <v>0</v>
      </c>
      <c r="J682" s="306" t="s">
        <v>850</v>
      </c>
      <c r="K682" s="27" t="n">
        <v>30000</v>
      </c>
      <c r="L682" s="30" t="n">
        <v>64800</v>
      </c>
      <c r="M682" s="45" t="n">
        <v>4050</v>
      </c>
      <c r="N682" s="29" t="n">
        <v>16200</v>
      </c>
      <c r="O682" s="29" t="n">
        <v>64800</v>
      </c>
      <c r="P682" s="30" t="n">
        <v>0</v>
      </c>
      <c r="Q682" s="263" t="n">
        <v>45663</v>
      </c>
    </row>
    <row r="683" customFormat="false" ht="28.35" hidden="false" customHeight="false" outlineLevel="0" collapsed="false">
      <c r="A683" s="294" t="n">
        <v>2679</v>
      </c>
      <c r="B683" s="22" t="s">
        <v>268</v>
      </c>
      <c r="C683" s="53" t="s">
        <v>269</v>
      </c>
      <c r="D683" s="23" t="n">
        <v>45464</v>
      </c>
      <c r="E683" s="23" t="n">
        <v>45744</v>
      </c>
      <c r="F683" s="37" t="n">
        <v>200</v>
      </c>
      <c r="G683" s="49" t="n">
        <v>200</v>
      </c>
      <c r="H683" s="49" t="n">
        <v>0</v>
      </c>
      <c r="I683" s="269" t="s">
        <v>1102</v>
      </c>
      <c r="J683" s="27" t="n">
        <v>350000</v>
      </c>
      <c r="K683" s="27" t="n">
        <v>1050000</v>
      </c>
      <c r="L683" s="28" t="n">
        <v>26250</v>
      </c>
      <c r="M683" s="29" t="n">
        <v>440000</v>
      </c>
      <c r="N683" s="29"/>
      <c r="O683" s="29" t="n">
        <v>1050000</v>
      </c>
      <c r="P683" s="30" t="n">
        <v>0</v>
      </c>
      <c r="Q683" s="263" t="n">
        <v>45670</v>
      </c>
    </row>
    <row r="684" customFormat="false" ht="17.9" hidden="false" customHeight="false" outlineLevel="0" collapsed="false">
      <c r="A684" s="294" t="n">
        <v>2729</v>
      </c>
      <c r="B684" s="21" t="s">
        <v>287</v>
      </c>
      <c r="C684" s="21" t="s">
        <v>288</v>
      </c>
      <c r="D684" s="23" t="n">
        <v>45498</v>
      </c>
      <c r="E684" s="23" t="n">
        <v>45666</v>
      </c>
      <c r="F684" s="37" t="n">
        <v>120</v>
      </c>
      <c r="G684" s="49" t="n">
        <v>120</v>
      </c>
      <c r="H684" s="49" t="n">
        <v>0</v>
      </c>
      <c r="I684" s="22" t="s">
        <v>991</v>
      </c>
      <c r="J684" s="27" t="n">
        <v>150000</v>
      </c>
      <c r="K684" s="27" t="n">
        <v>379000</v>
      </c>
      <c r="L684" s="28" t="n">
        <v>15791.6666666667</v>
      </c>
      <c r="M684" s="29" t="n">
        <v>33000</v>
      </c>
      <c r="N684" s="29"/>
      <c r="O684" s="29" t="n">
        <v>379000</v>
      </c>
      <c r="P684" s="30" t="n">
        <v>0</v>
      </c>
      <c r="Q684" s="263" t="n">
        <v>45670</v>
      </c>
    </row>
    <row r="685" customFormat="false" ht="17.9" hidden="false" customHeight="false" outlineLevel="0" collapsed="false">
      <c r="A685" s="294" t="n">
        <v>2816</v>
      </c>
      <c r="B685" s="21" t="s">
        <v>1103</v>
      </c>
      <c r="C685" s="21"/>
      <c r="D685" s="23" t="n">
        <v>45555</v>
      </c>
      <c r="E685" s="23" t="n">
        <v>45653</v>
      </c>
      <c r="F685" s="37" t="n">
        <v>70</v>
      </c>
      <c r="G685" s="49" t="n">
        <v>70</v>
      </c>
      <c r="H685" s="49" t="n">
        <v>0</v>
      </c>
      <c r="I685" s="74" t="s">
        <v>1104</v>
      </c>
      <c r="J685" s="27" t="n">
        <v>50000</v>
      </c>
      <c r="K685" s="27" t="n">
        <v>108150</v>
      </c>
      <c r="L685" s="28" t="n">
        <v>7725</v>
      </c>
      <c r="M685" s="29" t="n">
        <v>18150</v>
      </c>
      <c r="N685" s="29"/>
      <c r="O685" s="29" t="n">
        <v>108150</v>
      </c>
      <c r="P685" s="30" t="n">
        <v>0</v>
      </c>
      <c r="Q685" s="263" t="n">
        <v>45670</v>
      </c>
    </row>
    <row r="686" customFormat="false" ht="17.9" hidden="false" customHeight="false" outlineLevel="0" collapsed="false">
      <c r="A686" s="300" t="n">
        <v>2999</v>
      </c>
      <c r="B686" s="21" t="s">
        <v>363</v>
      </c>
      <c r="C686" s="21"/>
      <c r="D686" s="23" t="n">
        <v>45668</v>
      </c>
      <c r="E686" s="23" t="n">
        <v>45674</v>
      </c>
      <c r="F686" s="37" t="n">
        <v>5</v>
      </c>
      <c r="G686" s="49" t="e">
        <f aca="false">#DIV/0!</f>
        <v>#DIV/0!</v>
      </c>
      <c r="H686" s="49" t="e">
        <f aca="false">#DIV/0!</f>
        <v>#DIV/0!</v>
      </c>
      <c r="I686" s="269" t="s">
        <v>199</v>
      </c>
      <c r="J686" s="55" t="n">
        <v>30000</v>
      </c>
      <c r="K686" s="30" t="n">
        <v>39000</v>
      </c>
      <c r="L686" s="28"/>
      <c r="M686" s="29" t="n">
        <v>39000</v>
      </c>
      <c r="N686" s="29"/>
      <c r="O686" s="29" t="n">
        <v>39000</v>
      </c>
      <c r="P686" s="30" t="n">
        <v>0</v>
      </c>
      <c r="Q686" s="263" t="n">
        <v>45670</v>
      </c>
    </row>
    <row r="687" customFormat="false" ht="17.9" hidden="false" customHeight="false" outlineLevel="0" collapsed="false">
      <c r="A687" s="294" t="n">
        <v>2954</v>
      </c>
      <c r="B687" s="21" t="s">
        <v>791</v>
      </c>
      <c r="C687" s="21"/>
      <c r="D687" s="23" t="n">
        <v>45642</v>
      </c>
      <c r="E687" s="23" t="n">
        <v>45670</v>
      </c>
      <c r="F687" s="37" t="n">
        <v>20</v>
      </c>
      <c r="G687" s="49" t="e">
        <f aca="false">#DIV/0!</f>
        <v>#DIV/0!</v>
      </c>
      <c r="H687" s="49" t="e">
        <f aca="false">#DIV/0!</f>
        <v>#DIV/0!</v>
      </c>
      <c r="I687" s="269" t="s">
        <v>199</v>
      </c>
      <c r="J687" s="27" t="n">
        <v>30000</v>
      </c>
      <c r="K687" s="27" t="n">
        <v>48000</v>
      </c>
      <c r="L687" s="28"/>
      <c r="M687" s="29" t="n">
        <v>48000</v>
      </c>
      <c r="N687" s="29"/>
      <c r="O687" s="29" t="n">
        <v>48000</v>
      </c>
      <c r="P687" s="30" t="n">
        <v>0</v>
      </c>
      <c r="Q687" s="263" t="n">
        <v>45670</v>
      </c>
    </row>
    <row r="688" customFormat="false" ht="17.9" hidden="false" customHeight="false" outlineLevel="0" collapsed="false">
      <c r="A688" s="294" t="n">
        <v>2955</v>
      </c>
      <c r="B688" s="21" t="s">
        <v>791</v>
      </c>
      <c r="C688" s="21"/>
      <c r="D688" s="23" t="n">
        <v>45642</v>
      </c>
      <c r="E688" s="23" t="n">
        <v>45670</v>
      </c>
      <c r="F688" s="37" t="n">
        <v>20</v>
      </c>
      <c r="G688" s="49" t="e">
        <f aca="false">#DIV/0!</f>
        <v>#DIV/0!</v>
      </c>
      <c r="H688" s="49" t="e">
        <f aca="false">#DIV/0!</f>
        <v>#DIV/0!</v>
      </c>
      <c r="I688" s="269" t="s">
        <v>199</v>
      </c>
      <c r="J688" s="27" t="n">
        <v>30000</v>
      </c>
      <c r="K688" s="27" t="n">
        <v>48000</v>
      </c>
      <c r="L688" s="28"/>
      <c r="M688" s="29" t="n">
        <v>48000</v>
      </c>
      <c r="N688" s="29"/>
      <c r="O688" s="29" t="n">
        <v>48000</v>
      </c>
      <c r="P688" s="30" t="n">
        <v>0</v>
      </c>
      <c r="Q688" s="263" t="n">
        <v>45670</v>
      </c>
    </row>
    <row r="689" customFormat="false" ht="17.9" hidden="false" customHeight="false" outlineLevel="0" collapsed="false">
      <c r="A689" s="294" t="n">
        <v>2973</v>
      </c>
      <c r="B689" s="21" t="s">
        <v>791</v>
      </c>
      <c r="C689" s="21"/>
      <c r="D689" s="23" t="n">
        <v>45652</v>
      </c>
      <c r="E689" s="23" t="n">
        <v>45680</v>
      </c>
      <c r="F689" s="37" t="n">
        <v>20</v>
      </c>
      <c r="G689" s="49" t="e">
        <f aca="false">#VALUE!</f>
        <v>#VALUE!</v>
      </c>
      <c r="H689" s="49" t="e">
        <f aca="false">#VALUE!</f>
        <v>#VALUE!</v>
      </c>
      <c r="I689" s="269" t="s">
        <v>199</v>
      </c>
      <c r="J689" s="27" t="n">
        <v>70000</v>
      </c>
      <c r="K689" s="27" t="n">
        <v>105000</v>
      </c>
      <c r="L689" s="28" t="s">
        <v>184</v>
      </c>
      <c r="M689" s="29" t="n">
        <v>105000</v>
      </c>
      <c r="N689" s="29"/>
      <c r="O689" s="29" t="n">
        <v>105000</v>
      </c>
      <c r="P689" s="30" t="n">
        <v>0</v>
      </c>
      <c r="Q689" s="263" t="n">
        <v>45670</v>
      </c>
    </row>
    <row r="690" customFormat="false" ht="28.35" hidden="false" customHeight="false" outlineLevel="0" collapsed="false">
      <c r="A690" s="294" t="n">
        <v>2749</v>
      </c>
      <c r="B690" s="21" t="s">
        <v>452</v>
      </c>
      <c r="C690" s="21"/>
      <c r="D690" s="23" t="n">
        <v>45513</v>
      </c>
      <c r="E690" s="23" t="n">
        <v>45681</v>
      </c>
      <c r="F690" s="37" t="n">
        <v>120</v>
      </c>
      <c r="G690" s="49" t="n">
        <v>120</v>
      </c>
      <c r="H690" s="49" t="n">
        <v>0</v>
      </c>
      <c r="I690" s="269" t="s">
        <v>1105</v>
      </c>
      <c r="J690" s="30" t="n">
        <v>70000</v>
      </c>
      <c r="K690" s="30" t="n">
        <v>184800</v>
      </c>
      <c r="L690" s="28" t="n">
        <v>7700</v>
      </c>
      <c r="M690" s="29" t="n">
        <v>30800</v>
      </c>
      <c r="N690" s="29"/>
      <c r="O690" s="29" t="n">
        <v>184800</v>
      </c>
      <c r="P690" s="30" t="n">
        <v>0</v>
      </c>
      <c r="Q690" s="263" t="n">
        <v>45670</v>
      </c>
    </row>
    <row r="691" customFormat="false" ht="17.9" hidden="false" customHeight="false" outlineLevel="0" collapsed="false">
      <c r="A691" s="294" t="n">
        <v>2924</v>
      </c>
      <c r="B691" s="21" t="s">
        <v>909</v>
      </c>
      <c r="C691" s="21"/>
      <c r="D691" s="23" t="n">
        <v>45619</v>
      </c>
      <c r="E691" s="23" t="n">
        <v>45646</v>
      </c>
      <c r="F691" s="37" t="n">
        <v>20</v>
      </c>
      <c r="G691" s="49" t="e">
        <f aca="false">#DIV/0!</f>
        <v>#DIV/0!</v>
      </c>
      <c r="H691" s="49" t="e">
        <f aca="false">#DIV/0!</f>
        <v>#DIV/0!</v>
      </c>
      <c r="I691" s="269" t="s">
        <v>199</v>
      </c>
      <c r="J691" s="27" t="n">
        <v>20000</v>
      </c>
      <c r="K691" s="27" t="n">
        <v>35000</v>
      </c>
      <c r="L691" s="28"/>
      <c r="M691" s="29" t="n">
        <v>15000</v>
      </c>
      <c r="N691" s="29"/>
      <c r="O691" s="29" t="n">
        <v>35000</v>
      </c>
      <c r="P691" s="30" t="n">
        <v>0</v>
      </c>
      <c r="Q691" s="263" t="n">
        <v>45670</v>
      </c>
    </row>
    <row r="692" customFormat="false" ht="17.9" hidden="false" customHeight="false" outlineLevel="0" collapsed="false">
      <c r="A692" s="294" t="n">
        <v>2965</v>
      </c>
      <c r="B692" s="21" t="s">
        <v>909</v>
      </c>
      <c r="C692" s="21"/>
      <c r="D692" s="23" t="n">
        <v>45647</v>
      </c>
      <c r="E692" s="23" t="n">
        <v>45674</v>
      </c>
      <c r="F692" s="37" t="n">
        <v>20</v>
      </c>
      <c r="G692" s="49" t="e">
        <f aca="false">#DIV/0!</f>
        <v>#DIV/0!</v>
      </c>
      <c r="H692" s="49" t="e">
        <f aca="false">#DIV/0!</f>
        <v>#DIV/0!</v>
      </c>
      <c r="I692" s="269" t="s">
        <v>199</v>
      </c>
      <c r="J692" s="27" t="n">
        <v>20000</v>
      </c>
      <c r="K692" s="27" t="n">
        <v>30000</v>
      </c>
      <c r="L692" s="45"/>
      <c r="M692" s="29" t="n">
        <v>30000</v>
      </c>
      <c r="N692" s="29"/>
      <c r="O692" s="29" t="n">
        <v>30000</v>
      </c>
      <c r="P692" s="30" t="n">
        <v>0</v>
      </c>
      <c r="Q692" s="263" t="n">
        <v>45670</v>
      </c>
    </row>
    <row r="693" customFormat="false" ht="17.9" hidden="false" customHeight="false" outlineLevel="0" collapsed="false">
      <c r="A693" s="307" t="n">
        <v>2969</v>
      </c>
      <c r="B693" s="21" t="s">
        <v>909</v>
      </c>
      <c r="C693" s="21"/>
      <c r="D693" s="23" t="n">
        <v>45649</v>
      </c>
      <c r="E693" s="23" t="n">
        <v>45677</v>
      </c>
      <c r="F693" s="37" t="n">
        <v>20</v>
      </c>
      <c r="G693" s="49" t="e">
        <f aca="false">#DIV/0!</f>
        <v>#DIV/0!</v>
      </c>
      <c r="H693" s="49" t="e">
        <f aca="false">#DIV/0!</f>
        <v>#DIV/0!</v>
      </c>
      <c r="I693" s="269" t="s">
        <v>199</v>
      </c>
      <c r="J693" s="30" t="n">
        <v>40000</v>
      </c>
      <c r="K693" s="30" t="n">
        <v>60000</v>
      </c>
      <c r="L693" s="45"/>
      <c r="M693" s="29" t="n">
        <v>60000</v>
      </c>
      <c r="N693" s="29"/>
      <c r="O693" s="29" t="n">
        <v>60000</v>
      </c>
      <c r="P693" s="30" t="n">
        <v>0</v>
      </c>
      <c r="Q693" s="263" t="n">
        <v>45670</v>
      </c>
    </row>
    <row r="694" customFormat="false" ht="17.9" hidden="false" customHeight="false" outlineLevel="0" collapsed="false">
      <c r="A694" s="307" t="n">
        <v>2971</v>
      </c>
      <c r="B694" s="21" t="s">
        <v>909</v>
      </c>
      <c r="C694" s="21"/>
      <c r="D694" s="23" t="n">
        <v>45650</v>
      </c>
      <c r="E694" s="23" t="n">
        <v>45678</v>
      </c>
      <c r="F694" s="37" t="n">
        <v>20</v>
      </c>
      <c r="G694" s="49" t="e">
        <f aca="false">#DIV/0!</f>
        <v>#DIV/0!</v>
      </c>
      <c r="H694" s="49" t="e">
        <f aca="false">#DIV/0!</f>
        <v>#DIV/0!</v>
      </c>
      <c r="I694" s="269" t="s">
        <v>199</v>
      </c>
      <c r="J694" s="30" t="n">
        <v>30000</v>
      </c>
      <c r="K694" s="30" t="n">
        <v>45000</v>
      </c>
      <c r="L694" s="28"/>
      <c r="M694" s="29" t="n">
        <v>45000</v>
      </c>
      <c r="N694" s="29"/>
      <c r="O694" s="29" t="n">
        <v>45000</v>
      </c>
      <c r="P694" s="30" t="n">
        <v>0</v>
      </c>
      <c r="Q694" s="263" t="n">
        <v>45670</v>
      </c>
    </row>
    <row r="695" customFormat="false" ht="17.9" hidden="false" customHeight="false" outlineLevel="0" collapsed="false">
      <c r="A695" s="307" t="n">
        <v>2981</v>
      </c>
      <c r="B695" s="21" t="s">
        <v>909</v>
      </c>
      <c r="C695" s="21"/>
      <c r="D695" s="23" t="n">
        <v>45656</v>
      </c>
      <c r="E695" s="23" t="n">
        <v>45684</v>
      </c>
      <c r="F695" s="37" t="n">
        <v>20</v>
      </c>
      <c r="G695" s="49" t="e">
        <f aca="false">#DIV/0!</f>
        <v>#DIV/0!</v>
      </c>
      <c r="H695" s="49" t="e">
        <f aca="false">#DIV/0!</f>
        <v>#DIV/0!</v>
      </c>
      <c r="I695" s="269" t="s">
        <v>199</v>
      </c>
      <c r="J695" s="30" t="n">
        <v>15000</v>
      </c>
      <c r="K695" s="27" t="n">
        <v>22500</v>
      </c>
      <c r="L695" s="45"/>
      <c r="M695" s="40" t="n">
        <v>22500</v>
      </c>
      <c r="N695" s="29"/>
      <c r="O695" s="29" t="n">
        <v>22500</v>
      </c>
      <c r="P695" s="30" t="n">
        <v>0</v>
      </c>
      <c r="Q695" s="263" t="n">
        <v>45670</v>
      </c>
    </row>
    <row r="696" customFormat="false" ht="17.9" hidden="false" customHeight="false" outlineLevel="0" collapsed="false">
      <c r="A696" s="294" t="n">
        <v>2750</v>
      </c>
      <c r="B696" s="22" t="s">
        <v>1106</v>
      </c>
      <c r="C696" s="21" t="s">
        <v>1107</v>
      </c>
      <c r="D696" s="23" t="s">
        <v>184</v>
      </c>
      <c r="E696" s="23" t="n">
        <v>45514</v>
      </c>
      <c r="F696" s="23" t="n">
        <v>45615</v>
      </c>
      <c r="G696" s="53" t="n">
        <v>72</v>
      </c>
      <c r="H696" s="49" t="n">
        <v>72</v>
      </c>
      <c r="I696" s="49" t="n">
        <v>0</v>
      </c>
      <c r="J696" s="22" t="s">
        <v>784</v>
      </c>
      <c r="K696" s="27" t="n">
        <v>40000</v>
      </c>
      <c r="L696" s="27" t="n">
        <v>86400</v>
      </c>
      <c r="M696" s="28" t="n">
        <v>6000</v>
      </c>
      <c r="N696" s="29" t="n">
        <v>2400</v>
      </c>
      <c r="O696" s="29" t="n">
        <v>86400</v>
      </c>
      <c r="P696" s="30" t="n">
        <v>0</v>
      </c>
      <c r="Q696" s="263" t="n">
        <v>45677</v>
      </c>
    </row>
    <row r="697" customFormat="false" ht="26.1" hidden="false" customHeight="false" outlineLevel="0" collapsed="false">
      <c r="A697" s="294" t="n">
        <v>2826</v>
      </c>
      <c r="B697" s="22" t="s">
        <v>226</v>
      </c>
      <c r="C697" s="21" t="s">
        <v>227</v>
      </c>
      <c r="D697" s="23" t="s">
        <v>474</v>
      </c>
      <c r="E697" s="23" t="n">
        <v>45559</v>
      </c>
      <c r="F697" s="23" t="n">
        <v>45659</v>
      </c>
      <c r="G697" s="37" t="n">
        <v>72</v>
      </c>
      <c r="H697" s="49" t="n">
        <v>72</v>
      </c>
      <c r="I697" s="49" t="n">
        <v>0</v>
      </c>
      <c r="J697" s="22" t="s">
        <v>333</v>
      </c>
      <c r="K697" s="30" t="n">
        <v>50000</v>
      </c>
      <c r="L697" s="30" t="n">
        <v>108000</v>
      </c>
      <c r="M697" s="28" t="n">
        <v>7500</v>
      </c>
      <c r="N697" s="29" t="n">
        <v>3250</v>
      </c>
      <c r="O697" s="29" t="n">
        <v>108000</v>
      </c>
      <c r="P697" s="30" t="n">
        <v>0</v>
      </c>
      <c r="Q697" s="263" t="n">
        <v>45677</v>
      </c>
    </row>
    <row r="698" customFormat="false" ht="15" hidden="false" customHeight="false" outlineLevel="0" collapsed="false">
      <c r="A698" s="294" t="n">
        <v>2781</v>
      </c>
      <c r="B698" s="21" t="s">
        <v>287</v>
      </c>
      <c r="C698" s="21" t="s">
        <v>288</v>
      </c>
      <c r="D698" s="23" t="s">
        <v>184</v>
      </c>
      <c r="E698" s="23" t="n">
        <v>45531</v>
      </c>
      <c r="F698" s="23" t="n">
        <v>45699</v>
      </c>
      <c r="G698" s="37" t="n">
        <v>120</v>
      </c>
      <c r="H698" s="49" t="n">
        <v>120</v>
      </c>
      <c r="I698" s="49" t="n">
        <v>0</v>
      </c>
      <c r="J698" s="22" t="s">
        <v>1108</v>
      </c>
      <c r="K698" s="27" t="n">
        <v>200000</v>
      </c>
      <c r="L698" s="27" t="n">
        <v>528000</v>
      </c>
      <c r="M698" s="28" t="n">
        <v>22000</v>
      </c>
      <c r="N698" s="29" t="n">
        <v>110000</v>
      </c>
      <c r="O698" s="29" t="n">
        <v>528000</v>
      </c>
      <c r="P698" s="30" t="n">
        <v>0</v>
      </c>
      <c r="Q698" s="263" t="n">
        <v>45677</v>
      </c>
    </row>
    <row r="699" customFormat="false" ht="15" hidden="false" customHeight="false" outlineLevel="0" collapsed="false">
      <c r="A699" s="294" t="n">
        <v>2733</v>
      </c>
      <c r="B699" s="21" t="s">
        <v>291</v>
      </c>
      <c r="C699" s="21" t="s">
        <v>292</v>
      </c>
      <c r="D699" s="23" t="s">
        <v>184</v>
      </c>
      <c r="E699" s="23" t="n">
        <v>45500</v>
      </c>
      <c r="F699" s="23" t="n">
        <v>45667</v>
      </c>
      <c r="G699" s="37" t="n">
        <v>120</v>
      </c>
      <c r="H699" s="49" t="n">
        <v>120</v>
      </c>
      <c r="I699" s="49" t="n">
        <v>0</v>
      </c>
      <c r="J699" s="269" t="s">
        <v>1109</v>
      </c>
      <c r="K699" s="27" t="n">
        <v>50000</v>
      </c>
      <c r="L699" s="27" t="n">
        <v>132000</v>
      </c>
      <c r="M699" s="28" t="n">
        <v>5500</v>
      </c>
      <c r="N699" s="29" t="n">
        <v>22000</v>
      </c>
      <c r="O699" s="29" t="n">
        <v>132000</v>
      </c>
      <c r="P699" s="30" t="n">
        <v>0</v>
      </c>
      <c r="Q699" s="263" t="n">
        <v>45677</v>
      </c>
    </row>
    <row r="700" customFormat="false" ht="15" hidden="false" customHeight="false" outlineLevel="0" collapsed="false">
      <c r="A700" s="294" t="n">
        <v>2842</v>
      </c>
      <c r="B700" s="21" t="s">
        <v>291</v>
      </c>
      <c r="C700" s="21" t="s">
        <v>292</v>
      </c>
      <c r="D700" s="23" t="s">
        <v>184</v>
      </c>
      <c r="E700" s="23" t="n">
        <v>45566</v>
      </c>
      <c r="F700" s="23" t="n">
        <v>45678</v>
      </c>
      <c r="G700" s="37" t="n">
        <v>80</v>
      </c>
      <c r="H700" s="49" t="n">
        <v>80</v>
      </c>
      <c r="I700" s="49" t="n">
        <v>0</v>
      </c>
      <c r="J700" s="269" t="s">
        <v>1017</v>
      </c>
      <c r="K700" s="27" t="n">
        <v>10000</v>
      </c>
      <c r="L700" s="27" t="n">
        <v>21600</v>
      </c>
      <c r="M700" s="28" t="n">
        <v>1350</v>
      </c>
      <c r="N700" s="29" t="n">
        <v>5400</v>
      </c>
      <c r="O700" s="29" t="n">
        <v>21600</v>
      </c>
      <c r="P700" s="30" t="n">
        <v>0</v>
      </c>
      <c r="Q700" s="263" t="n">
        <v>45677</v>
      </c>
    </row>
    <row r="701" customFormat="false" ht="15" hidden="false" customHeight="false" outlineLevel="0" collapsed="false">
      <c r="A701" s="294" t="n">
        <v>3009</v>
      </c>
      <c r="B701" s="21" t="s">
        <v>363</v>
      </c>
      <c r="C701" s="21"/>
      <c r="D701" s="23" t="s">
        <v>184</v>
      </c>
      <c r="E701" s="23" t="n">
        <v>45675</v>
      </c>
      <c r="F701" s="23" t="n">
        <v>45681</v>
      </c>
      <c r="G701" s="37" t="n">
        <v>5</v>
      </c>
      <c r="H701" s="49" t="e">
        <f aca="false">#DIV/0!</f>
        <v>#DIV/0!</v>
      </c>
      <c r="I701" s="49" t="e">
        <f aca="false">#DIV/0!</f>
        <v>#DIV/0!</v>
      </c>
      <c r="J701" s="269" t="s">
        <v>199</v>
      </c>
      <c r="K701" s="50" t="n">
        <v>50000</v>
      </c>
      <c r="L701" s="27" t="n">
        <v>65000</v>
      </c>
      <c r="M701" s="28"/>
      <c r="N701" s="29" t="n">
        <v>65000</v>
      </c>
      <c r="O701" s="29" t="n">
        <v>65000</v>
      </c>
      <c r="P701" s="30" t="n">
        <v>0</v>
      </c>
      <c r="Q701" s="263" t="n">
        <v>45677</v>
      </c>
    </row>
    <row r="702" customFormat="false" ht="28.35" hidden="false" customHeight="false" outlineLevel="0" collapsed="false">
      <c r="A702" s="294" t="n">
        <v>2712</v>
      </c>
      <c r="B702" s="21" t="s">
        <v>364</v>
      </c>
      <c r="C702" s="21" t="s">
        <v>365</v>
      </c>
      <c r="D702" s="23" t="s">
        <v>184</v>
      </c>
      <c r="E702" s="23" t="n">
        <v>45488</v>
      </c>
      <c r="F702" s="23" t="n">
        <v>45656</v>
      </c>
      <c r="G702" s="37" t="n">
        <v>120</v>
      </c>
      <c r="H702" s="49" t="n">
        <v>120</v>
      </c>
      <c r="I702" s="49" t="n">
        <v>0</v>
      </c>
      <c r="J702" s="292" t="s">
        <v>1110</v>
      </c>
      <c r="K702" s="30" t="n">
        <v>100000</v>
      </c>
      <c r="L702" s="30" t="n">
        <v>264000</v>
      </c>
      <c r="M702" s="28" t="n">
        <v>11000</v>
      </c>
      <c r="N702" s="29" t="n">
        <v>9000</v>
      </c>
      <c r="O702" s="29" t="n">
        <v>264000</v>
      </c>
      <c r="P702" s="30" t="n">
        <v>0</v>
      </c>
      <c r="Q702" s="263" t="n">
        <v>45677</v>
      </c>
    </row>
    <row r="703" customFormat="false" ht="21.6" hidden="false" customHeight="false" outlineLevel="0" collapsed="false">
      <c r="A703" s="294" t="n">
        <v>2799</v>
      </c>
      <c r="B703" s="21" t="s">
        <v>1111</v>
      </c>
      <c r="C703" s="21" t="s">
        <v>383</v>
      </c>
      <c r="D703" s="23" t="s">
        <v>184</v>
      </c>
      <c r="E703" s="23" t="n">
        <v>45544</v>
      </c>
      <c r="F703" s="23" t="n">
        <v>45644</v>
      </c>
      <c r="G703" s="37" t="n">
        <v>72</v>
      </c>
      <c r="H703" s="49" t="n">
        <v>72</v>
      </c>
      <c r="I703" s="49" t="n">
        <v>0</v>
      </c>
      <c r="J703" s="22" t="s">
        <v>679</v>
      </c>
      <c r="K703" s="27" t="n">
        <v>20000</v>
      </c>
      <c r="L703" s="27" t="n">
        <v>43200</v>
      </c>
      <c r="M703" s="28" t="n">
        <v>3000</v>
      </c>
      <c r="N703" s="29" t="n">
        <v>1200</v>
      </c>
      <c r="O703" s="29" t="n">
        <v>43200</v>
      </c>
      <c r="P703" s="30" t="n">
        <v>0</v>
      </c>
      <c r="Q703" s="263" t="n">
        <v>45677</v>
      </c>
    </row>
    <row r="704" customFormat="false" ht="21.6" hidden="false" customHeight="false" outlineLevel="0" collapsed="false">
      <c r="A704" s="294" t="n">
        <v>2807</v>
      </c>
      <c r="B704" s="21" t="s">
        <v>682</v>
      </c>
      <c r="C704" s="21" t="s">
        <v>683</v>
      </c>
      <c r="D704" s="23" t="s">
        <v>184</v>
      </c>
      <c r="E704" s="23" t="n">
        <v>45549</v>
      </c>
      <c r="F704" s="23" t="n">
        <v>45660</v>
      </c>
      <c r="G704" s="37" t="n">
        <v>80</v>
      </c>
      <c r="H704" s="49" t="n">
        <v>80.2469135802469</v>
      </c>
      <c r="I704" s="49" t="n">
        <v>-0.246913580246911</v>
      </c>
      <c r="J704" s="269" t="s">
        <v>1112</v>
      </c>
      <c r="K704" s="30" t="n">
        <v>150000</v>
      </c>
      <c r="L704" s="30" t="n">
        <v>324000</v>
      </c>
      <c r="M704" s="28" t="n">
        <v>20250</v>
      </c>
      <c r="N704" s="29" t="n">
        <v>81500</v>
      </c>
      <c r="O704" s="29" t="n">
        <v>325000</v>
      </c>
      <c r="P704" s="30" t="n">
        <v>-1000</v>
      </c>
      <c r="Q704" s="263" t="n">
        <v>45677</v>
      </c>
    </row>
    <row r="705" customFormat="false" ht="15" hidden="false" customHeight="false" outlineLevel="0" collapsed="false">
      <c r="A705" s="294" t="n">
        <v>2761</v>
      </c>
      <c r="B705" s="21" t="s">
        <v>409</v>
      </c>
      <c r="C705" s="21" t="s">
        <v>883</v>
      </c>
      <c r="D705" s="23" t="s">
        <v>184</v>
      </c>
      <c r="E705" s="23" t="n">
        <v>45519</v>
      </c>
      <c r="F705" s="23" t="n">
        <v>45621</v>
      </c>
      <c r="G705" s="37" t="n">
        <v>72</v>
      </c>
      <c r="H705" s="49" t="n">
        <v>72</v>
      </c>
      <c r="I705" s="49" t="n">
        <v>0</v>
      </c>
      <c r="J705" s="22" t="s">
        <v>188</v>
      </c>
      <c r="K705" s="27" t="n">
        <v>100000</v>
      </c>
      <c r="L705" s="27" t="n">
        <v>216000</v>
      </c>
      <c r="M705" s="28" t="n">
        <v>15000</v>
      </c>
      <c r="N705" s="29" t="n">
        <v>21000</v>
      </c>
      <c r="O705" s="29" t="n">
        <v>216000</v>
      </c>
      <c r="P705" s="30" t="n">
        <v>0</v>
      </c>
      <c r="Q705" s="263" t="n">
        <v>45677</v>
      </c>
    </row>
    <row r="706" customFormat="false" ht="21.6" hidden="false" customHeight="false" outlineLevel="0" collapsed="false">
      <c r="A706" s="294" t="n">
        <v>2785</v>
      </c>
      <c r="B706" s="21" t="s">
        <v>428</v>
      </c>
      <c r="C706" s="21" t="s">
        <v>1113</v>
      </c>
      <c r="D706" s="23" t="s">
        <v>184</v>
      </c>
      <c r="E706" s="23" t="n">
        <v>45534</v>
      </c>
      <c r="F706" s="23" t="n">
        <v>45646</v>
      </c>
      <c r="G706" s="53" t="n">
        <v>80</v>
      </c>
      <c r="H706" s="49" t="n">
        <v>80</v>
      </c>
      <c r="I706" s="49" t="n">
        <v>0</v>
      </c>
      <c r="J706" s="269" t="s">
        <v>1114</v>
      </c>
      <c r="K706" s="27" t="n">
        <v>40000</v>
      </c>
      <c r="L706" s="27" t="n">
        <v>86400</v>
      </c>
      <c r="M706" s="45" t="n">
        <v>5400</v>
      </c>
      <c r="N706" s="29" t="n">
        <v>5400</v>
      </c>
      <c r="O706" s="29" t="n">
        <v>86400</v>
      </c>
      <c r="P706" s="30" t="n">
        <v>0</v>
      </c>
      <c r="Q706" s="263" t="n">
        <v>45677</v>
      </c>
    </row>
    <row r="707" customFormat="false" ht="15" hidden="false" customHeight="false" outlineLevel="0" collapsed="false">
      <c r="A707" s="294" t="n">
        <v>2825</v>
      </c>
      <c r="B707" s="21" t="s">
        <v>459</v>
      </c>
      <c r="C707" s="21" t="s">
        <v>460</v>
      </c>
      <c r="D707" s="23" t="s">
        <v>184</v>
      </c>
      <c r="E707" s="23" t="n">
        <v>45559</v>
      </c>
      <c r="F707" s="23" t="n">
        <v>45659</v>
      </c>
      <c r="G707" s="37" t="n">
        <v>72</v>
      </c>
      <c r="H707" s="49" t="n">
        <v>72</v>
      </c>
      <c r="I707" s="49" t="n">
        <v>0</v>
      </c>
      <c r="J707" s="22" t="s">
        <v>333</v>
      </c>
      <c r="K707" s="27" t="n">
        <v>50000</v>
      </c>
      <c r="L707" s="27" t="n">
        <v>108000</v>
      </c>
      <c r="M707" s="28" t="n">
        <v>7500</v>
      </c>
      <c r="N707" s="29" t="n">
        <v>4500</v>
      </c>
      <c r="O707" s="29" t="n">
        <v>108000</v>
      </c>
      <c r="P707" s="30" t="n">
        <v>0</v>
      </c>
      <c r="Q707" s="263" t="n">
        <v>45677</v>
      </c>
    </row>
    <row r="708" customFormat="false" ht="28.35" hidden="false" customHeight="false" outlineLevel="0" collapsed="false">
      <c r="A708" s="294" t="n">
        <v>2773</v>
      </c>
      <c r="B708" s="21" t="s">
        <v>489</v>
      </c>
      <c r="C708" s="21" t="s">
        <v>490</v>
      </c>
      <c r="D708" s="23" t="s">
        <v>184</v>
      </c>
      <c r="E708" s="23" t="n">
        <v>45525</v>
      </c>
      <c r="F708" s="23" t="n">
        <v>45665</v>
      </c>
      <c r="G708" s="37" t="n">
        <v>100</v>
      </c>
      <c r="H708" s="49" t="n">
        <v>100</v>
      </c>
      <c r="I708" s="49" t="n">
        <v>0</v>
      </c>
      <c r="J708" s="269" t="s">
        <v>1115</v>
      </c>
      <c r="K708" s="27" t="n">
        <v>250000</v>
      </c>
      <c r="L708" s="27" t="n">
        <v>540000</v>
      </c>
      <c r="M708" s="28" t="n">
        <v>27000</v>
      </c>
      <c r="N708" s="29" t="n">
        <v>108000</v>
      </c>
      <c r="O708" s="29" t="n">
        <v>540000</v>
      </c>
      <c r="P708" s="30" t="n">
        <v>0</v>
      </c>
      <c r="Q708" s="263" t="n">
        <v>45677</v>
      </c>
    </row>
    <row r="709" customFormat="false" ht="35.05" hidden="false" customHeight="false" outlineLevel="0" collapsed="false">
      <c r="A709" s="308" t="n">
        <v>2373</v>
      </c>
      <c r="B709" s="309" t="s">
        <v>522</v>
      </c>
      <c r="C709" s="309" t="s">
        <v>523</v>
      </c>
      <c r="D709" s="310" t="s">
        <v>184</v>
      </c>
      <c r="E709" s="71" t="n">
        <v>45275</v>
      </c>
      <c r="F709" s="71" t="n">
        <v>45611</v>
      </c>
      <c r="G709" s="72" t="n">
        <v>240</v>
      </c>
      <c r="H709" s="296" t="n">
        <v>245.434482758621</v>
      </c>
      <c r="I709" s="296" t="n">
        <v>-5.4344827586207</v>
      </c>
      <c r="J709" s="69" t="s">
        <v>1116</v>
      </c>
      <c r="K709" s="311" t="n">
        <v>250000</v>
      </c>
      <c r="L709" s="311" t="n">
        <v>696000</v>
      </c>
      <c r="M709" s="312" t="n">
        <v>14500</v>
      </c>
      <c r="N709" s="298" t="n">
        <v>14500</v>
      </c>
      <c r="O709" s="298" t="n">
        <v>711760</v>
      </c>
      <c r="P709" s="311" t="n">
        <v>-15760</v>
      </c>
      <c r="Q709" s="263" t="n">
        <v>45677</v>
      </c>
    </row>
    <row r="710" customFormat="false" ht="37.3" hidden="false" customHeight="false" outlineLevel="0" collapsed="false">
      <c r="A710" s="264" t="n">
        <v>2984</v>
      </c>
      <c r="B710" s="34" t="s">
        <v>1117</v>
      </c>
      <c r="C710" s="34" t="s">
        <v>204</v>
      </c>
      <c r="D710" s="41"/>
      <c r="E710" s="42" t="n">
        <v>45657</v>
      </c>
      <c r="F710" s="42" t="n">
        <v>45671</v>
      </c>
      <c r="G710" s="43" t="n">
        <v>10</v>
      </c>
      <c r="H710" s="77" t="e">
        <f aca="false">#VALUE!</f>
        <v>#VALUE!</v>
      </c>
      <c r="I710" s="77" t="e">
        <f aca="false">#VALUE!</f>
        <v>#VALUE!</v>
      </c>
      <c r="J710" s="66" t="s">
        <v>1118</v>
      </c>
      <c r="K710" s="44" t="n">
        <v>200000</v>
      </c>
      <c r="L710" s="44" t="n">
        <v>260000</v>
      </c>
      <c r="M710" s="270" t="s">
        <v>184</v>
      </c>
      <c r="N710" s="267" t="n">
        <v>130000</v>
      </c>
      <c r="O710" s="267" t="n">
        <v>260000</v>
      </c>
      <c r="P710" s="59" t="n">
        <v>0</v>
      </c>
      <c r="Q710" s="263" t="n">
        <v>45684</v>
      </c>
    </row>
    <row r="711" customFormat="false" ht="46.25" hidden="false" customHeight="false" outlineLevel="0" collapsed="false">
      <c r="A711" s="264" t="n">
        <v>2703</v>
      </c>
      <c r="B711" s="34" t="s">
        <v>334</v>
      </c>
      <c r="C711" s="34" t="s">
        <v>335</v>
      </c>
      <c r="D711" s="41"/>
      <c r="E711" s="42" t="n">
        <v>45482</v>
      </c>
      <c r="F711" s="42" t="n">
        <v>45650</v>
      </c>
      <c r="G711" s="43" t="n">
        <v>120</v>
      </c>
      <c r="H711" s="77" t="n">
        <v>120</v>
      </c>
      <c r="I711" s="77" t="n">
        <v>0</v>
      </c>
      <c r="J711" s="66" t="s">
        <v>336</v>
      </c>
      <c r="K711" s="44" t="n">
        <v>50000</v>
      </c>
      <c r="L711" s="44" t="n">
        <v>132000</v>
      </c>
      <c r="M711" s="270" t="n">
        <v>5500</v>
      </c>
      <c r="N711" s="267" t="n">
        <v>22000</v>
      </c>
      <c r="O711" s="267" t="n">
        <v>132000</v>
      </c>
      <c r="P711" s="59" t="n">
        <v>0</v>
      </c>
      <c r="Q711" s="263" t="n">
        <v>45684</v>
      </c>
    </row>
    <row r="712" customFormat="false" ht="19.4" hidden="false" customHeight="false" outlineLevel="0" collapsed="false">
      <c r="A712" s="264" t="n">
        <v>3008</v>
      </c>
      <c r="B712" s="34" t="s">
        <v>363</v>
      </c>
      <c r="C712" s="34"/>
      <c r="D712" s="41"/>
      <c r="E712" s="42" t="n">
        <v>45675</v>
      </c>
      <c r="F712" s="42" t="n">
        <v>45681</v>
      </c>
      <c r="G712" s="43" t="n">
        <v>5</v>
      </c>
      <c r="H712" s="77" t="e">
        <f aca="false">#DIV/0!</f>
        <v>#DIV/0!</v>
      </c>
      <c r="I712" s="77" t="e">
        <f aca="false">#DIV/0!</f>
        <v>#DIV/0!</v>
      </c>
      <c r="J712" s="66" t="s">
        <v>199</v>
      </c>
      <c r="K712" s="313" t="n">
        <v>30000</v>
      </c>
      <c r="L712" s="44" t="n">
        <v>39000</v>
      </c>
      <c r="M712" s="270"/>
      <c r="N712" s="267" t="n">
        <v>48000</v>
      </c>
      <c r="O712" s="267" t="n">
        <v>48000</v>
      </c>
      <c r="P712" s="59" t="n">
        <v>-9000</v>
      </c>
      <c r="Q712" s="263" t="n">
        <v>45684</v>
      </c>
    </row>
    <row r="713" customFormat="false" ht="46.25" hidden="false" customHeight="false" outlineLevel="0" collapsed="false">
      <c r="A713" s="264" t="n">
        <v>2642</v>
      </c>
      <c r="B713" s="34" t="s">
        <v>763</v>
      </c>
      <c r="C713" s="34" t="s">
        <v>389</v>
      </c>
      <c r="D713" s="41"/>
      <c r="E713" s="42" t="n">
        <v>45439</v>
      </c>
      <c r="F713" s="42" t="n">
        <v>45607</v>
      </c>
      <c r="G713" s="43" t="n">
        <v>120</v>
      </c>
      <c r="H713" s="77" t="n">
        <v>120</v>
      </c>
      <c r="I713" s="77" t="n">
        <v>0</v>
      </c>
      <c r="J713" s="66" t="s">
        <v>402</v>
      </c>
      <c r="K713" s="44" t="n">
        <v>100000</v>
      </c>
      <c r="L713" s="44" t="n">
        <v>264000</v>
      </c>
      <c r="M713" s="270" t="n">
        <v>11000</v>
      </c>
      <c r="N713" s="267" t="n">
        <v>32000</v>
      </c>
      <c r="O713" s="267" t="n">
        <v>264000</v>
      </c>
      <c r="P713" s="59" t="n">
        <v>0</v>
      </c>
      <c r="Q713" s="263" t="n">
        <v>45684</v>
      </c>
    </row>
    <row r="714" customFormat="false" ht="28.35" hidden="false" customHeight="false" outlineLevel="0" collapsed="false">
      <c r="A714" s="264" t="n">
        <v>2928</v>
      </c>
      <c r="B714" s="34" t="s">
        <v>505</v>
      </c>
      <c r="C714" s="34" t="s">
        <v>506</v>
      </c>
      <c r="D714" s="41"/>
      <c r="E714" s="42" t="n">
        <v>45619</v>
      </c>
      <c r="F714" s="42" t="n">
        <v>45716</v>
      </c>
      <c r="G714" s="43" t="n">
        <v>70</v>
      </c>
      <c r="H714" s="77" t="n">
        <v>70</v>
      </c>
      <c r="I714" s="77" t="n">
        <v>0</v>
      </c>
      <c r="J714" s="46" t="s">
        <v>1119</v>
      </c>
      <c r="K714" s="44" t="n">
        <v>70000</v>
      </c>
      <c r="L714" s="44" t="n">
        <v>151200</v>
      </c>
      <c r="M714" s="266" t="n">
        <v>10800</v>
      </c>
      <c r="N714" s="267" t="n">
        <v>86400</v>
      </c>
      <c r="O714" s="267" t="n">
        <v>151200</v>
      </c>
      <c r="P714" s="59" t="n">
        <v>0</v>
      </c>
      <c r="Q714" s="263" t="n">
        <v>45684</v>
      </c>
    </row>
    <row r="715" customFormat="false" ht="28.35" hidden="false" customHeight="false" outlineLevel="0" collapsed="false">
      <c r="A715" s="264" t="n">
        <v>2858</v>
      </c>
      <c r="B715" s="34" t="s">
        <v>519</v>
      </c>
      <c r="C715" s="34" t="s">
        <v>520</v>
      </c>
      <c r="D715" s="41"/>
      <c r="E715" s="42" t="n">
        <v>45579</v>
      </c>
      <c r="F715" s="42" t="n">
        <v>45463</v>
      </c>
      <c r="G715" s="43" t="n">
        <v>72</v>
      </c>
      <c r="H715" s="77" t="n">
        <v>72</v>
      </c>
      <c r="I715" s="77" t="n">
        <v>0</v>
      </c>
      <c r="J715" s="34" t="s">
        <v>720</v>
      </c>
      <c r="K715" s="59" t="n">
        <v>60000</v>
      </c>
      <c r="L715" s="59" t="n">
        <v>129600</v>
      </c>
      <c r="M715" s="270" t="n">
        <v>9000</v>
      </c>
      <c r="N715" s="267" t="n">
        <v>3600</v>
      </c>
      <c r="O715" s="267" t="n">
        <v>129600</v>
      </c>
      <c r="P715" s="59" t="n">
        <v>0</v>
      </c>
      <c r="Q715" s="263" t="n">
        <v>45684</v>
      </c>
    </row>
    <row r="716" customFormat="false" ht="37.3" hidden="false" customHeight="false" outlineLevel="0" collapsed="false">
      <c r="A716" s="264" t="n">
        <v>2899</v>
      </c>
      <c r="B716" s="34" t="s">
        <v>1075</v>
      </c>
      <c r="C716" s="34" t="s">
        <v>1076</v>
      </c>
      <c r="D716" s="41"/>
      <c r="E716" s="42" t="n">
        <v>45604</v>
      </c>
      <c r="F716" s="42" t="n">
        <v>45681</v>
      </c>
      <c r="G716" s="43" t="n">
        <v>55</v>
      </c>
      <c r="H716" s="77" t="n">
        <v>55</v>
      </c>
      <c r="I716" s="77" t="n">
        <v>0</v>
      </c>
      <c r="J716" s="34" t="s">
        <v>1120</v>
      </c>
      <c r="K716" s="44" t="n">
        <v>100000</v>
      </c>
      <c r="L716" s="44" t="n">
        <v>175120</v>
      </c>
      <c r="M716" s="270" t="n">
        <v>15920</v>
      </c>
      <c r="N716" s="267" t="n">
        <v>16340</v>
      </c>
      <c r="O716" s="267" t="n">
        <v>175120</v>
      </c>
      <c r="P716" s="59" t="n">
        <v>0</v>
      </c>
      <c r="Q716" s="263" t="n">
        <v>45684</v>
      </c>
    </row>
    <row r="717" customFormat="false" ht="28.35" hidden="false" customHeight="false" outlineLevel="0" collapsed="false">
      <c r="A717" s="264" t="n">
        <v>2853</v>
      </c>
      <c r="B717" s="34" t="s">
        <v>1121</v>
      </c>
      <c r="C717" s="34" t="s">
        <v>252</v>
      </c>
      <c r="D717" s="34"/>
      <c r="E717" s="42" t="n">
        <v>45577</v>
      </c>
      <c r="F717" s="42" t="n">
        <v>45678</v>
      </c>
      <c r="G717" s="43" t="n">
        <v>72</v>
      </c>
      <c r="H717" s="77" t="n">
        <v>72</v>
      </c>
      <c r="I717" s="77" t="n">
        <v>0</v>
      </c>
      <c r="J717" s="34" t="s">
        <v>188</v>
      </c>
      <c r="K717" s="44" t="n">
        <v>100000</v>
      </c>
      <c r="L717" s="44" t="n">
        <v>216000</v>
      </c>
      <c r="M717" s="270" t="n">
        <v>15000</v>
      </c>
      <c r="N717" s="267" t="n">
        <v>6000</v>
      </c>
      <c r="O717" s="267" t="n">
        <v>216000</v>
      </c>
      <c r="P717" s="59" t="n">
        <v>0</v>
      </c>
      <c r="Q717" s="263" t="n">
        <v>45691</v>
      </c>
    </row>
    <row r="718" customFormat="false" ht="46.25" hidden="false" customHeight="false" outlineLevel="0" collapsed="false">
      <c r="A718" s="264" t="n">
        <v>2870</v>
      </c>
      <c r="B718" s="34" t="s">
        <v>364</v>
      </c>
      <c r="C718" s="34" t="s">
        <v>365</v>
      </c>
      <c r="D718" s="34"/>
      <c r="E718" s="42" t="n">
        <v>45584</v>
      </c>
      <c r="F718" s="42" t="n">
        <v>45695</v>
      </c>
      <c r="G718" s="43" t="n">
        <v>80</v>
      </c>
      <c r="H718" s="77" t="n">
        <v>80</v>
      </c>
      <c r="I718" s="77" t="n">
        <v>0</v>
      </c>
      <c r="J718" s="314" t="s">
        <v>851</v>
      </c>
      <c r="K718" s="44" t="n">
        <v>30000</v>
      </c>
      <c r="L718" s="44" t="n">
        <v>64800</v>
      </c>
      <c r="M718" s="270" t="n">
        <v>4050</v>
      </c>
      <c r="N718" s="267" t="n">
        <v>16200</v>
      </c>
      <c r="O718" s="267" t="n">
        <v>64800</v>
      </c>
      <c r="P718" s="59" t="n">
        <v>0</v>
      </c>
      <c r="Q718" s="263" t="n">
        <v>45691</v>
      </c>
    </row>
    <row r="719" customFormat="false" ht="82.05" hidden="false" customHeight="false" outlineLevel="0" collapsed="false">
      <c r="A719" s="264" t="n">
        <v>2907</v>
      </c>
      <c r="B719" s="34" t="s">
        <v>399</v>
      </c>
      <c r="C719" s="34" t="s">
        <v>400</v>
      </c>
      <c r="D719" s="34" t="n">
        <v>27249921551</v>
      </c>
      <c r="E719" s="42" t="n">
        <v>45608</v>
      </c>
      <c r="F719" s="42" t="n">
        <v>45708</v>
      </c>
      <c r="G719" s="43" t="n">
        <v>72</v>
      </c>
      <c r="H719" s="77" t="n">
        <v>72</v>
      </c>
      <c r="I719" s="77" t="n">
        <v>0</v>
      </c>
      <c r="J719" s="34" t="s">
        <v>675</v>
      </c>
      <c r="K719" s="44" t="n">
        <v>30000</v>
      </c>
      <c r="L719" s="44" t="n">
        <v>64800</v>
      </c>
      <c r="M719" s="270" t="n">
        <v>4500</v>
      </c>
      <c r="N719" s="267" t="n">
        <v>16300</v>
      </c>
      <c r="O719" s="267" t="n">
        <v>64800</v>
      </c>
      <c r="P719" s="59" t="n">
        <v>0</v>
      </c>
      <c r="Q719" s="263" t="n">
        <v>45691</v>
      </c>
    </row>
    <row r="720" customFormat="false" ht="28.35" hidden="false" customHeight="false" outlineLevel="0" collapsed="false">
      <c r="A720" s="264" t="n">
        <v>2756</v>
      </c>
      <c r="B720" s="34" t="s">
        <v>434</v>
      </c>
      <c r="C720" s="34" t="s">
        <v>435</v>
      </c>
      <c r="D720" s="34" t="n">
        <v>27352124309</v>
      </c>
      <c r="E720" s="42" t="n">
        <v>45517</v>
      </c>
      <c r="F720" s="42" t="n">
        <v>45671</v>
      </c>
      <c r="G720" s="43" t="n">
        <v>110</v>
      </c>
      <c r="H720" s="77" t="n">
        <v>110</v>
      </c>
      <c r="I720" s="77" t="n">
        <v>0</v>
      </c>
      <c r="J720" s="34" t="s">
        <v>254</v>
      </c>
      <c r="K720" s="59" t="n">
        <v>100000</v>
      </c>
      <c r="L720" s="59" t="n">
        <v>264000</v>
      </c>
      <c r="M720" s="270" t="n">
        <v>12000</v>
      </c>
      <c r="N720" s="267" t="n">
        <v>24000</v>
      </c>
      <c r="O720" s="267" t="n">
        <v>264000</v>
      </c>
      <c r="P720" s="59" t="n">
        <v>0</v>
      </c>
      <c r="Q720" s="263" t="n">
        <v>45691</v>
      </c>
    </row>
    <row r="721" customFormat="false" ht="28.35" hidden="false" customHeight="false" outlineLevel="0" collapsed="false">
      <c r="A721" s="264" t="n">
        <v>2860</v>
      </c>
      <c r="B721" s="34" t="s">
        <v>434</v>
      </c>
      <c r="C721" s="34" t="s">
        <v>435</v>
      </c>
      <c r="D721" s="34" t="n">
        <v>27352124309</v>
      </c>
      <c r="E721" s="42" t="n">
        <v>45580</v>
      </c>
      <c r="F721" s="42" t="n">
        <v>45692</v>
      </c>
      <c r="G721" s="43" t="n">
        <v>80</v>
      </c>
      <c r="H721" s="77" t="n">
        <v>80</v>
      </c>
      <c r="I721" s="77" t="n">
        <v>0</v>
      </c>
      <c r="J721" s="66" t="s">
        <v>1122</v>
      </c>
      <c r="K721" s="44" t="n">
        <v>200000</v>
      </c>
      <c r="L721" s="44" t="n">
        <v>432000</v>
      </c>
      <c r="M721" s="270" t="n">
        <v>27000</v>
      </c>
      <c r="N721" s="267" t="n">
        <v>108000</v>
      </c>
      <c r="O721" s="267" t="n">
        <v>432000</v>
      </c>
      <c r="P721" s="59" t="n">
        <v>0</v>
      </c>
      <c r="Q721" s="263" t="n">
        <v>45691</v>
      </c>
    </row>
    <row r="722" customFormat="false" ht="37.3" hidden="false" customHeight="false" outlineLevel="0" collapsed="false">
      <c r="A722" s="264" t="n">
        <v>2886</v>
      </c>
      <c r="B722" s="34" t="s">
        <v>440</v>
      </c>
      <c r="C722" s="34" t="s">
        <v>207</v>
      </c>
      <c r="D722" s="34"/>
      <c r="E722" s="42" t="n">
        <v>45593</v>
      </c>
      <c r="F722" s="42" t="n">
        <v>45693</v>
      </c>
      <c r="G722" s="43" t="n">
        <v>72</v>
      </c>
      <c r="H722" s="77" t="n">
        <v>72</v>
      </c>
      <c r="I722" s="77" t="n">
        <v>0</v>
      </c>
      <c r="J722" s="34" t="s">
        <v>333</v>
      </c>
      <c r="K722" s="44" t="n">
        <v>50000</v>
      </c>
      <c r="L722" s="44" t="n">
        <v>108000</v>
      </c>
      <c r="M722" s="270" t="n">
        <v>7500</v>
      </c>
      <c r="N722" s="267" t="n">
        <v>3000</v>
      </c>
      <c r="O722" s="267" t="n">
        <v>108000</v>
      </c>
      <c r="P722" s="59" t="n">
        <v>0</v>
      </c>
      <c r="Q722" s="263" t="n">
        <v>45691</v>
      </c>
    </row>
    <row r="723" customFormat="false" ht="37.3" hidden="false" customHeight="false" outlineLevel="0" collapsed="false">
      <c r="A723" s="264" t="n">
        <v>2859</v>
      </c>
      <c r="B723" s="34" t="s">
        <v>441</v>
      </c>
      <c r="C723" s="34" t="s">
        <v>1123</v>
      </c>
      <c r="D723" s="34"/>
      <c r="E723" s="42" t="n">
        <v>45579</v>
      </c>
      <c r="F723" s="42" t="n">
        <v>45691</v>
      </c>
      <c r="G723" s="43" t="n">
        <v>80</v>
      </c>
      <c r="H723" s="77" t="n">
        <v>80</v>
      </c>
      <c r="I723" s="77" t="n">
        <v>0</v>
      </c>
      <c r="J723" s="66" t="s">
        <v>1124</v>
      </c>
      <c r="K723" s="44" t="n">
        <v>50000</v>
      </c>
      <c r="L723" s="44" t="n">
        <v>108000</v>
      </c>
      <c r="M723" s="270" t="n">
        <v>6750</v>
      </c>
      <c r="N723" s="267" t="n">
        <v>49000</v>
      </c>
      <c r="O723" s="267" t="n">
        <v>108000</v>
      </c>
      <c r="P723" s="59" t="n">
        <v>0</v>
      </c>
      <c r="Q723" s="263" t="n">
        <v>45691</v>
      </c>
    </row>
    <row r="724" customFormat="false" ht="28.35" hidden="false" customHeight="false" outlineLevel="0" collapsed="false">
      <c r="A724" s="264" t="n">
        <v>2837</v>
      </c>
      <c r="B724" s="34" t="s">
        <v>459</v>
      </c>
      <c r="C724" s="34" t="s">
        <v>460</v>
      </c>
      <c r="D724" s="34"/>
      <c r="E724" s="42" t="n">
        <v>45563</v>
      </c>
      <c r="F724" s="42" t="n">
        <v>45664</v>
      </c>
      <c r="G724" s="43" t="n">
        <v>72</v>
      </c>
      <c r="H724" s="77" t="n">
        <v>72</v>
      </c>
      <c r="I724" s="77" t="n">
        <v>0</v>
      </c>
      <c r="J724" s="34" t="s">
        <v>333</v>
      </c>
      <c r="K724" s="44" t="n">
        <v>50000</v>
      </c>
      <c r="L724" s="44" t="n">
        <v>108000</v>
      </c>
      <c r="M724" s="266" t="n">
        <v>7500</v>
      </c>
      <c r="N724" s="267" t="n">
        <v>7500</v>
      </c>
      <c r="O724" s="267" t="n">
        <v>108000</v>
      </c>
      <c r="P724" s="59" t="n">
        <v>0</v>
      </c>
      <c r="Q724" s="263" t="n">
        <v>45691</v>
      </c>
    </row>
    <row r="725" customFormat="false" ht="28.35" hidden="false" customHeight="false" outlineLevel="0" collapsed="false">
      <c r="A725" s="264" t="n">
        <v>2845</v>
      </c>
      <c r="B725" s="34" t="s">
        <v>565</v>
      </c>
      <c r="C725" s="34" t="s">
        <v>566</v>
      </c>
      <c r="D725" s="34"/>
      <c r="E725" s="42" t="n">
        <v>45572</v>
      </c>
      <c r="F725" s="42" t="n">
        <v>45684</v>
      </c>
      <c r="G725" s="43" t="n">
        <v>80</v>
      </c>
      <c r="H725" s="77" t="n">
        <v>80</v>
      </c>
      <c r="I725" s="77" t="n">
        <v>0</v>
      </c>
      <c r="J725" s="66" t="s">
        <v>1125</v>
      </c>
      <c r="K725" s="44" t="n">
        <v>400000</v>
      </c>
      <c r="L725" s="44" t="n">
        <v>864000</v>
      </c>
      <c r="M725" s="270" t="n">
        <v>54000</v>
      </c>
      <c r="N725" s="267" t="n">
        <v>216000</v>
      </c>
      <c r="O725" s="267" t="n">
        <v>864000</v>
      </c>
      <c r="P725" s="59" t="n">
        <v>0</v>
      </c>
      <c r="Q725" s="263" t="n">
        <v>45691</v>
      </c>
    </row>
    <row r="726" customFormat="false" ht="28.35" hidden="false" customHeight="false" outlineLevel="0" collapsed="false">
      <c r="A726" s="264" t="n">
        <v>2748</v>
      </c>
      <c r="B726" s="34" t="s">
        <v>216</v>
      </c>
      <c r="C726" s="34" t="s">
        <v>217</v>
      </c>
      <c r="D726" s="34" t="s">
        <v>218</v>
      </c>
      <c r="E726" s="42" t="n">
        <v>45513</v>
      </c>
      <c r="F726" s="42" t="n">
        <v>45681</v>
      </c>
      <c r="G726" s="43" t="n">
        <v>120</v>
      </c>
      <c r="H726" s="77" t="n">
        <v>120</v>
      </c>
      <c r="I726" s="77" t="n">
        <v>0</v>
      </c>
      <c r="J726" s="66" t="s">
        <v>454</v>
      </c>
      <c r="K726" s="59" t="n">
        <v>200000</v>
      </c>
      <c r="L726" s="59" t="n">
        <v>528000</v>
      </c>
      <c r="M726" s="270" t="n">
        <v>22000</v>
      </c>
      <c r="N726" s="267" t="n">
        <v>88000</v>
      </c>
      <c r="O726" s="267" t="n">
        <v>528000</v>
      </c>
      <c r="P726" s="59" t="n">
        <v>0</v>
      </c>
      <c r="Q726" s="263" t="n">
        <v>45698</v>
      </c>
    </row>
    <row r="727" customFormat="false" ht="28.35" hidden="false" customHeight="false" outlineLevel="0" collapsed="false">
      <c r="A727" s="264" t="n">
        <v>2848</v>
      </c>
      <c r="B727" s="34" t="s">
        <v>248</v>
      </c>
      <c r="C727" s="34" t="s">
        <v>249</v>
      </c>
      <c r="D727" s="34"/>
      <c r="E727" s="42" t="n">
        <v>45575</v>
      </c>
      <c r="F727" s="42" t="n">
        <v>45687</v>
      </c>
      <c r="G727" s="43" t="n">
        <v>80</v>
      </c>
      <c r="H727" s="77" t="n">
        <v>80</v>
      </c>
      <c r="I727" s="77" t="n">
        <v>0</v>
      </c>
      <c r="J727" s="66" t="s">
        <v>1126</v>
      </c>
      <c r="K727" s="59" t="n">
        <v>100000</v>
      </c>
      <c r="L727" s="59" t="n">
        <v>216000</v>
      </c>
      <c r="M727" s="270" t="n">
        <v>13500</v>
      </c>
      <c r="N727" s="267" t="n">
        <v>54000</v>
      </c>
      <c r="O727" s="267" t="n">
        <v>216000</v>
      </c>
      <c r="P727" s="59" t="n">
        <v>0</v>
      </c>
      <c r="Q727" s="263" t="n">
        <v>45698</v>
      </c>
    </row>
    <row r="728" customFormat="false" ht="19.4" hidden="false" customHeight="false" outlineLevel="0" collapsed="false">
      <c r="A728" s="264" t="n">
        <v>3040</v>
      </c>
      <c r="B728" s="34" t="s">
        <v>287</v>
      </c>
      <c r="C728" s="34" t="s">
        <v>288</v>
      </c>
      <c r="D728" s="34"/>
      <c r="E728" s="42" t="n">
        <v>45694</v>
      </c>
      <c r="F728" s="42" t="n">
        <v>45705</v>
      </c>
      <c r="G728" s="43" t="n">
        <v>7</v>
      </c>
      <c r="H728" s="77" t="e">
        <f aca="false">#DIV/0!</f>
        <v>#DIV/0!</v>
      </c>
      <c r="I728" s="77" t="e">
        <f aca="false">#DIV/0!</f>
        <v>#DIV/0!</v>
      </c>
      <c r="J728" s="66" t="s">
        <v>199</v>
      </c>
      <c r="K728" s="59" t="n">
        <v>150000</v>
      </c>
      <c r="L728" s="59" t="n">
        <v>200000</v>
      </c>
      <c r="M728" s="270"/>
      <c r="N728" s="267" t="n">
        <v>200000</v>
      </c>
      <c r="O728" s="267" t="n">
        <v>200000</v>
      </c>
      <c r="P728" s="59" t="n">
        <v>0</v>
      </c>
      <c r="Q728" s="263" t="n">
        <v>45698</v>
      </c>
    </row>
    <row r="729" customFormat="false" ht="46.25" hidden="false" customHeight="false" outlineLevel="0" collapsed="false">
      <c r="A729" s="264" t="n">
        <v>2891</v>
      </c>
      <c r="B729" s="34" t="s">
        <v>976</v>
      </c>
      <c r="C729" s="34" t="s">
        <v>725</v>
      </c>
      <c r="D729" s="34"/>
      <c r="E729" s="42" t="n">
        <v>45597</v>
      </c>
      <c r="F729" s="42" t="n">
        <v>45709</v>
      </c>
      <c r="G729" s="43" t="n">
        <v>80</v>
      </c>
      <c r="H729" s="77" t="n">
        <v>97.5308641975309</v>
      </c>
      <c r="I729" s="77" t="n">
        <v>-17.5308641975309</v>
      </c>
      <c r="J729" s="66" t="s">
        <v>1055</v>
      </c>
      <c r="K729" s="44" t="n">
        <v>30000</v>
      </c>
      <c r="L729" s="44" t="n">
        <v>64800</v>
      </c>
      <c r="M729" s="270" t="n">
        <v>4050</v>
      </c>
      <c r="N729" s="267" t="n">
        <v>16200</v>
      </c>
      <c r="O729" s="267" t="n">
        <v>79000</v>
      </c>
      <c r="P729" s="59" t="n">
        <v>-14200</v>
      </c>
      <c r="Q729" s="263" t="n">
        <v>45698</v>
      </c>
    </row>
    <row r="730" customFormat="false" ht="46.25" hidden="false" customHeight="false" outlineLevel="0" collapsed="false">
      <c r="A730" s="264" t="n">
        <v>3035</v>
      </c>
      <c r="B730" s="34" t="s">
        <v>581</v>
      </c>
      <c r="C730" s="34" t="s">
        <v>351</v>
      </c>
      <c r="D730" s="34"/>
      <c r="E730" s="42" t="n">
        <v>45684</v>
      </c>
      <c r="F730" s="42" t="n">
        <v>45698</v>
      </c>
      <c r="G730" s="43" t="n">
        <v>10</v>
      </c>
      <c r="H730" s="77" t="e">
        <f aca="false">#DIV/0!</f>
        <v>#DIV/0!</v>
      </c>
      <c r="I730" s="77" t="e">
        <f aca="false">#DIV/0!</f>
        <v>#DIV/0!</v>
      </c>
      <c r="J730" s="66" t="s">
        <v>1127</v>
      </c>
      <c r="K730" s="44" t="n">
        <v>80000</v>
      </c>
      <c r="L730" s="44" t="n">
        <v>120000</v>
      </c>
      <c r="M730" s="270"/>
      <c r="N730" s="267" t="n">
        <v>120000</v>
      </c>
      <c r="O730" s="267" t="n">
        <v>120000</v>
      </c>
      <c r="P730" s="59" t="n">
        <v>0</v>
      </c>
      <c r="Q730" s="263" t="n">
        <v>45698</v>
      </c>
    </row>
    <row r="731" customFormat="false" ht="46.25" hidden="false" customHeight="false" outlineLevel="0" collapsed="false">
      <c r="A731" s="264" t="n">
        <v>2747</v>
      </c>
      <c r="B731" s="34" t="s">
        <v>350</v>
      </c>
      <c r="C731" s="34" t="s">
        <v>351</v>
      </c>
      <c r="D731" s="34"/>
      <c r="E731" s="42" t="n">
        <v>45513</v>
      </c>
      <c r="F731" s="42" t="n">
        <v>45611</v>
      </c>
      <c r="G731" s="43" t="n">
        <v>70</v>
      </c>
      <c r="H731" s="77" t="n">
        <v>81.5741935483871</v>
      </c>
      <c r="I731" s="77" t="n">
        <v>-11.5741935483871</v>
      </c>
      <c r="J731" s="46" t="s">
        <v>1128</v>
      </c>
      <c r="K731" s="59" t="n">
        <v>50000</v>
      </c>
      <c r="L731" s="59" t="n">
        <v>108500</v>
      </c>
      <c r="M731" s="270" t="n">
        <v>7750</v>
      </c>
      <c r="N731" s="267" t="n">
        <v>30000</v>
      </c>
      <c r="O731" s="267" t="n">
        <v>126440</v>
      </c>
      <c r="P731" s="59" t="n">
        <v>-17940</v>
      </c>
      <c r="Q731" s="263" t="n">
        <v>45698</v>
      </c>
    </row>
    <row r="732" customFormat="false" ht="19.4" hidden="false" customHeight="false" outlineLevel="0" collapsed="false">
      <c r="A732" s="264" t="n">
        <v>3037</v>
      </c>
      <c r="B732" s="34" t="s">
        <v>363</v>
      </c>
      <c r="C732" s="34"/>
      <c r="D732" s="34"/>
      <c r="E732" s="42" t="n">
        <v>45689</v>
      </c>
      <c r="F732" s="42" t="n">
        <v>45695</v>
      </c>
      <c r="G732" s="43" t="n">
        <v>5</v>
      </c>
      <c r="H732" s="77" t="e">
        <f aca="false">#DIV/0!</f>
        <v>#DIV/0!</v>
      </c>
      <c r="I732" s="77" t="e">
        <f aca="false">#DIV/0!</f>
        <v>#DIV/0!</v>
      </c>
      <c r="J732" s="66" t="s">
        <v>199</v>
      </c>
      <c r="K732" s="313" t="n">
        <v>30000</v>
      </c>
      <c r="L732" s="44" t="n">
        <v>39000</v>
      </c>
      <c r="M732" s="266"/>
      <c r="N732" s="267" t="n">
        <v>39000</v>
      </c>
      <c r="O732" s="267" t="n">
        <v>39000</v>
      </c>
      <c r="P732" s="59" t="n">
        <v>0</v>
      </c>
      <c r="Q732" s="263" t="n">
        <v>45698</v>
      </c>
    </row>
    <row r="733" customFormat="false" ht="28.35" hidden="false" customHeight="false" outlineLevel="0" collapsed="false">
      <c r="A733" s="264" t="n">
        <v>2892</v>
      </c>
      <c r="B733" s="34" t="s">
        <v>376</v>
      </c>
      <c r="C733" s="34" t="s">
        <v>377</v>
      </c>
      <c r="D733" s="34"/>
      <c r="E733" s="42" t="n">
        <v>45598</v>
      </c>
      <c r="F733" s="42" t="n">
        <v>45709</v>
      </c>
      <c r="G733" s="43" t="n">
        <v>80</v>
      </c>
      <c r="H733" s="77" t="n">
        <v>80</v>
      </c>
      <c r="I733" s="77" t="n">
        <v>0</v>
      </c>
      <c r="J733" s="66" t="s">
        <v>1129</v>
      </c>
      <c r="K733" s="59" t="n">
        <v>200000</v>
      </c>
      <c r="L733" s="59" t="n">
        <v>432000</v>
      </c>
      <c r="M733" s="270" t="n">
        <v>27000</v>
      </c>
      <c r="N733" s="267" t="n">
        <v>108000</v>
      </c>
      <c r="O733" s="267" t="n">
        <v>432000</v>
      </c>
      <c r="P733" s="59" t="n">
        <v>0</v>
      </c>
      <c r="Q733" s="263" t="n">
        <v>45698</v>
      </c>
    </row>
    <row r="734" customFormat="false" ht="37.3" hidden="false" customHeight="false" outlineLevel="0" collapsed="false">
      <c r="A734" s="264" t="n">
        <v>2884</v>
      </c>
      <c r="B734" s="34" t="s">
        <v>1038</v>
      </c>
      <c r="C734" s="34" t="s">
        <v>1039</v>
      </c>
      <c r="D734" s="34"/>
      <c r="E734" s="42" t="n">
        <v>45591</v>
      </c>
      <c r="F734" s="42" t="n">
        <v>45688</v>
      </c>
      <c r="G734" s="43" t="n">
        <v>70</v>
      </c>
      <c r="H734" s="77" t="n">
        <v>70</v>
      </c>
      <c r="I734" s="77" t="n">
        <v>0</v>
      </c>
      <c r="J734" s="46" t="s">
        <v>1040</v>
      </c>
      <c r="K734" s="59" t="n">
        <v>30000</v>
      </c>
      <c r="L734" s="59" t="n">
        <v>66500</v>
      </c>
      <c r="M734" s="270" t="n">
        <v>4750</v>
      </c>
      <c r="N734" s="267" t="n">
        <v>9500</v>
      </c>
      <c r="O734" s="267" t="n">
        <v>66500</v>
      </c>
      <c r="P734" s="59" t="n">
        <v>0</v>
      </c>
      <c r="Q734" s="263" t="n">
        <v>45698</v>
      </c>
    </row>
    <row r="735" customFormat="false" ht="37.3" hidden="false" customHeight="false" outlineLevel="0" collapsed="false">
      <c r="A735" s="264" t="n">
        <v>2795</v>
      </c>
      <c r="B735" s="34" t="s">
        <v>414</v>
      </c>
      <c r="C735" s="34" t="s">
        <v>415</v>
      </c>
      <c r="D735" s="34"/>
      <c r="E735" s="42" t="n">
        <v>45542</v>
      </c>
      <c r="F735" s="42" t="n">
        <v>45643</v>
      </c>
      <c r="G735" s="43" t="n">
        <v>72</v>
      </c>
      <c r="H735" s="77" t="n">
        <v>73.3333333333333</v>
      </c>
      <c r="I735" s="77" t="n">
        <v>-1.33333333333333</v>
      </c>
      <c r="J735" s="34" t="s">
        <v>1130</v>
      </c>
      <c r="K735" s="59" t="n">
        <v>70000</v>
      </c>
      <c r="L735" s="59" t="n">
        <v>151200</v>
      </c>
      <c r="M735" s="270" t="n">
        <v>10500</v>
      </c>
      <c r="N735" s="267" t="n">
        <v>10500</v>
      </c>
      <c r="O735" s="267" t="n">
        <v>154000</v>
      </c>
      <c r="P735" s="59" t="n">
        <v>-2800</v>
      </c>
      <c r="Q735" s="263" t="n">
        <v>45698</v>
      </c>
    </row>
    <row r="736" customFormat="false" ht="19.4" hidden="false" customHeight="false" outlineLevel="0" collapsed="false">
      <c r="A736" s="264" t="n">
        <v>2989</v>
      </c>
      <c r="B736" s="34" t="s">
        <v>425</v>
      </c>
      <c r="C736" s="34" t="s">
        <v>426</v>
      </c>
      <c r="D736" s="34"/>
      <c r="E736" s="42" t="n">
        <v>45661</v>
      </c>
      <c r="F736" s="42" t="n">
        <v>45688</v>
      </c>
      <c r="G736" s="43" t="n">
        <v>20</v>
      </c>
      <c r="H736" s="77" t="e">
        <f aca="false">#VALUE!</f>
        <v>#VALUE!</v>
      </c>
      <c r="I736" s="77" t="e">
        <f aca="false">#VALUE!</f>
        <v>#VALUE!</v>
      </c>
      <c r="J736" s="66" t="s">
        <v>1131</v>
      </c>
      <c r="K736" s="44" t="n">
        <v>50000</v>
      </c>
      <c r="L736" s="44" t="n">
        <v>75000</v>
      </c>
      <c r="M736" s="270" t="s">
        <v>184</v>
      </c>
      <c r="N736" s="267" t="n">
        <v>75000</v>
      </c>
      <c r="O736" s="267" t="n">
        <v>75000</v>
      </c>
      <c r="P736" s="59" t="n">
        <v>0</v>
      </c>
      <c r="Q736" s="263" t="n">
        <v>45698</v>
      </c>
    </row>
    <row r="737" customFormat="false" ht="15" hidden="false" customHeight="false" outlineLevel="0" collapsed="false">
      <c r="A737" s="264" t="n">
        <v>2972</v>
      </c>
      <c r="B737" s="34" t="s">
        <v>791</v>
      </c>
      <c r="C737" s="34"/>
      <c r="D737" s="34"/>
      <c r="E737" s="42" t="n">
        <v>45650</v>
      </c>
      <c r="F737" s="42" t="n">
        <v>45678</v>
      </c>
      <c r="G737" s="43" t="n">
        <v>20</v>
      </c>
      <c r="H737" s="77" t="e">
        <f aca="false">#DIV/0!</f>
        <v>#DIV/0!</v>
      </c>
      <c r="I737" s="77" t="e">
        <f aca="false">#DIV/0!</f>
        <v>#DIV/0!</v>
      </c>
      <c r="J737" s="66" t="s">
        <v>199</v>
      </c>
      <c r="K737" s="59" t="n">
        <v>20000</v>
      </c>
      <c r="L737" s="59" t="n">
        <v>43000</v>
      </c>
      <c r="M737" s="270"/>
      <c r="N737" s="267" t="n">
        <v>39000</v>
      </c>
      <c r="O737" s="267" t="n">
        <v>43000</v>
      </c>
      <c r="P737" s="59" t="n">
        <v>0</v>
      </c>
      <c r="Q737" s="263" t="n">
        <v>45698</v>
      </c>
    </row>
    <row r="738" customFormat="false" ht="19.4" hidden="false" customHeight="false" outlineLevel="0" collapsed="false">
      <c r="A738" s="264" t="n">
        <v>3007</v>
      </c>
      <c r="B738" s="34" t="s">
        <v>909</v>
      </c>
      <c r="C738" s="34"/>
      <c r="D738" s="34"/>
      <c r="E738" s="42" t="n">
        <v>45674</v>
      </c>
      <c r="F738" s="42" t="n">
        <v>45702</v>
      </c>
      <c r="G738" s="43" t="n">
        <v>20</v>
      </c>
      <c r="H738" s="77" t="e">
        <f aca="false">#DIV/0!</f>
        <v>#DIV/0!</v>
      </c>
      <c r="I738" s="77" t="e">
        <f aca="false">#DIV/0!</f>
        <v>#DIV/0!</v>
      </c>
      <c r="J738" s="66" t="s">
        <v>199</v>
      </c>
      <c r="K738" s="44" t="n">
        <v>40000</v>
      </c>
      <c r="L738" s="44" t="n">
        <v>60000</v>
      </c>
      <c r="M738" s="270"/>
      <c r="N738" s="267" t="n">
        <v>60000</v>
      </c>
      <c r="O738" s="267" t="n">
        <v>60000</v>
      </c>
      <c r="P738" s="59" t="n">
        <v>0</v>
      </c>
      <c r="Q738" s="263" t="n">
        <v>45698</v>
      </c>
    </row>
    <row r="739" customFormat="false" ht="19.4" hidden="false" customHeight="false" outlineLevel="0" collapsed="false">
      <c r="A739" s="264" t="n">
        <v>3015</v>
      </c>
      <c r="B739" s="34" t="s">
        <v>909</v>
      </c>
      <c r="C739" s="34"/>
      <c r="D739" s="34"/>
      <c r="E739" s="42" t="n">
        <v>45679</v>
      </c>
      <c r="F739" s="42" t="n">
        <v>45707</v>
      </c>
      <c r="G739" s="43" t="n">
        <v>20</v>
      </c>
      <c r="H739" s="77" t="e">
        <f aca="false">#DIV/0!</f>
        <v>#DIV/0!</v>
      </c>
      <c r="I739" s="77" t="e">
        <f aca="false">#DIV/0!</f>
        <v>#DIV/0!</v>
      </c>
      <c r="J739" s="66" t="s">
        <v>199</v>
      </c>
      <c r="K739" s="59" t="n">
        <v>40000</v>
      </c>
      <c r="L739" s="59" t="n">
        <v>60000</v>
      </c>
      <c r="M739" s="270"/>
      <c r="N739" s="267" t="n">
        <v>60000</v>
      </c>
      <c r="O739" s="267" t="n">
        <v>60000</v>
      </c>
      <c r="P739" s="59" t="n">
        <v>0</v>
      </c>
      <c r="Q739" s="263" t="n">
        <v>45698</v>
      </c>
    </row>
    <row r="740" customFormat="false" ht="19.4" hidden="false" customHeight="false" outlineLevel="0" collapsed="false">
      <c r="A740" s="264" t="n">
        <v>3023</v>
      </c>
      <c r="B740" s="34" t="s">
        <v>909</v>
      </c>
      <c r="C740" s="34"/>
      <c r="D740" s="34"/>
      <c r="E740" s="42" t="n">
        <v>45682</v>
      </c>
      <c r="F740" s="42" t="n">
        <v>45709</v>
      </c>
      <c r="G740" s="43" t="n">
        <v>20</v>
      </c>
      <c r="H740" s="77" t="e">
        <f aca="false">#DIV/0!</f>
        <v>#DIV/0!</v>
      </c>
      <c r="I740" s="77" t="e">
        <f aca="false">#DIV/0!</f>
        <v>#DIV/0!</v>
      </c>
      <c r="J740" s="66" t="s">
        <v>199</v>
      </c>
      <c r="K740" s="59" t="n">
        <v>50000</v>
      </c>
      <c r="L740" s="59" t="n">
        <v>75000</v>
      </c>
      <c r="M740" s="270"/>
      <c r="N740" s="267" t="n">
        <v>75000</v>
      </c>
      <c r="O740" s="267" t="n">
        <v>75000</v>
      </c>
      <c r="P740" s="59" t="n">
        <v>0</v>
      </c>
      <c r="Q740" s="263" t="n">
        <v>45698</v>
      </c>
    </row>
    <row r="741" customFormat="false" ht="28.35" hidden="false" customHeight="false" outlineLevel="0" collapsed="false">
      <c r="A741" s="264" t="n">
        <v>3000</v>
      </c>
      <c r="B741" s="34" t="s">
        <v>1100</v>
      </c>
      <c r="C741" s="34" t="s">
        <v>517</v>
      </c>
      <c r="D741" s="34"/>
      <c r="E741" s="42" t="n">
        <v>45668</v>
      </c>
      <c r="F741" s="42" t="n">
        <v>45693</v>
      </c>
      <c r="G741" s="43" t="n">
        <v>18</v>
      </c>
      <c r="H741" s="77" t="e">
        <f aca="false">#DIV/0!</f>
        <v>#DIV/0!</v>
      </c>
      <c r="I741" s="77" t="e">
        <f aca="false">#DIV/0!</f>
        <v>#DIV/0!</v>
      </c>
      <c r="J741" s="66" t="s">
        <v>199</v>
      </c>
      <c r="K741" s="44" t="n">
        <v>250000</v>
      </c>
      <c r="L741" s="44" t="n">
        <v>350000</v>
      </c>
      <c r="M741" s="270"/>
      <c r="N741" s="267" t="n">
        <v>350000</v>
      </c>
      <c r="O741" s="267" t="n">
        <v>350000</v>
      </c>
      <c r="P741" s="59" t="n">
        <v>0</v>
      </c>
      <c r="Q741" s="263" t="n">
        <v>45698</v>
      </c>
    </row>
    <row r="742" customFormat="false" ht="37.3" hidden="false" customHeight="false" outlineLevel="0" collapsed="false">
      <c r="A742" s="264" t="n">
        <v>2866</v>
      </c>
      <c r="B742" s="34" t="s">
        <v>532</v>
      </c>
      <c r="C742" s="34" t="s">
        <v>533</v>
      </c>
      <c r="D742" s="34"/>
      <c r="E742" s="42" t="n">
        <v>45583</v>
      </c>
      <c r="F742" s="42" t="n">
        <v>45520</v>
      </c>
      <c r="G742" s="43" t="n">
        <v>80</v>
      </c>
      <c r="H742" s="77" t="n">
        <v>80</v>
      </c>
      <c r="I742" s="77" t="n">
        <v>0</v>
      </c>
      <c r="J742" s="66" t="s">
        <v>1132</v>
      </c>
      <c r="K742" s="44" t="n">
        <v>80000</v>
      </c>
      <c r="L742" s="44" t="n">
        <v>172800</v>
      </c>
      <c r="M742" s="270" t="n">
        <v>10800</v>
      </c>
      <c r="N742" s="267" t="n">
        <v>43200</v>
      </c>
      <c r="O742" s="267" t="n">
        <v>172800</v>
      </c>
      <c r="P742" s="59" t="n">
        <v>0</v>
      </c>
      <c r="Q742" s="263" t="n">
        <v>45698</v>
      </c>
    </row>
    <row r="743" customFormat="false" ht="28.35" hidden="false" customHeight="false" outlineLevel="0" collapsed="false">
      <c r="A743" s="264" t="n">
        <v>2865</v>
      </c>
      <c r="B743" s="34" t="s">
        <v>573</v>
      </c>
      <c r="C743" s="34" t="s">
        <v>463</v>
      </c>
      <c r="D743" s="34" t="n">
        <v>2034839888</v>
      </c>
      <c r="E743" s="42" t="n">
        <v>45583</v>
      </c>
      <c r="F743" s="42" t="n">
        <v>45695</v>
      </c>
      <c r="G743" s="43" t="n">
        <v>80</v>
      </c>
      <c r="H743" s="77" t="n">
        <v>80</v>
      </c>
      <c r="I743" s="77" t="n">
        <v>0</v>
      </c>
      <c r="J743" s="66" t="s">
        <v>1133</v>
      </c>
      <c r="K743" s="44" t="n">
        <v>100000</v>
      </c>
      <c r="L743" s="44" t="n">
        <v>216000</v>
      </c>
      <c r="M743" s="270" t="n">
        <v>13500</v>
      </c>
      <c r="N743" s="267" t="n">
        <v>54000</v>
      </c>
      <c r="O743" s="267" t="n">
        <v>216000</v>
      </c>
      <c r="P743" s="59" t="n">
        <v>0</v>
      </c>
      <c r="Q743" s="263" t="n">
        <v>45698</v>
      </c>
    </row>
    <row r="744" customFormat="false" ht="28.35" hidden="false" customHeight="false" outlineLevel="0" collapsed="false">
      <c r="A744" s="264" t="n">
        <v>2876</v>
      </c>
      <c r="B744" s="34" t="s">
        <v>573</v>
      </c>
      <c r="C744" s="34" t="s">
        <v>463</v>
      </c>
      <c r="D744" s="34" t="n">
        <v>2034839888</v>
      </c>
      <c r="E744" s="42" t="n">
        <v>45587</v>
      </c>
      <c r="F744" s="42" t="n">
        <v>45699</v>
      </c>
      <c r="G744" s="43" t="n">
        <v>80</v>
      </c>
      <c r="H744" s="77" t="n">
        <v>80</v>
      </c>
      <c r="I744" s="77" t="n">
        <v>0</v>
      </c>
      <c r="J744" s="66" t="s">
        <v>1031</v>
      </c>
      <c r="K744" s="44" t="n">
        <v>35000</v>
      </c>
      <c r="L744" s="44" t="n">
        <v>75600</v>
      </c>
      <c r="M744" s="266" t="n">
        <v>4725</v>
      </c>
      <c r="N744" s="267" t="n">
        <v>18900</v>
      </c>
      <c r="O744" s="267" t="n">
        <v>75600</v>
      </c>
      <c r="P744" s="59" t="n">
        <v>0</v>
      </c>
      <c r="Q744" s="263" t="n">
        <v>45698</v>
      </c>
    </row>
    <row r="745" customFormat="false" ht="19.4" hidden="false" customHeight="false" outlineLevel="0" collapsed="false">
      <c r="A745" s="264" t="n">
        <v>2976</v>
      </c>
      <c r="B745" s="34" t="s">
        <v>287</v>
      </c>
      <c r="C745" s="34" t="s">
        <v>288</v>
      </c>
      <c r="D745" s="34"/>
      <c r="E745" s="42" t="n">
        <v>45653</v>
      </c>
      <c r="F745" s="42" t="n">
        <f aca="false">WORKDAY(E745,G745)</f>
        <v>45681</v>
      </c>
      <c r="G745" s="43" t="n">
        <v>20</v>
      </c>
      <c r="H745" s="77" t="e">
        <f aca="false">(EE745* 5)/M745</f>
        <v>#DIV/0!</v>
      </c>
      <c r="I745" s="77" t="e">
        <f aca="false">G745-H745</f>
        <v>#DIV/0!</v>
      </c>
      <c r="J745" s="34" t="s">
        <v>199</v>
      </c>
      <c r="K745" s="44" t="n">
        <v>400000</v>
      </c>
      <c r="L745" s="44" t="n">
        <v>550000</v>
      </c>
      <c r="M745" s="315"/>
      <c r="N745" s="316" t="n">
        <v>100000</v>
      </c>
      <c r="O745" s="316" t="n">
        <v>200000</v>
      </c>
      <c r="P745" s="59" t="n">
        <v>350000</v>
      </c>
      <c r="Q745" s="317" t="n">
        <v>45705</v>
      </c>
    </row>
    <row r="746" customFormat="false" ht="28.35" hidden="false" customHeight="false" outlineLevel="0" collapsed="false">
      <c r="A746" s="264" t="n">
        <v>2864</v>
      </c>
      <c r="B746" s="34" t="s">
        <v>302</v>
      </c>
      <c r="C746" s="34" t="s">
        <v>303</v>
      </c>
      <c r="D746" s="34"/>
      <c r="E746" s="42" t="n">
        <v>45582</v>
      </c>
      <c r="F746" s="42" t="n">
        <v>45684</v>
      </c>
      <c r="G746" s="43" t="n">
        <v>72</v>
      </c>
      <c r="H746" s="77" t="n">
        <v>72.625</v>
      </c>
      <c r="I746" s="77" t="n">
        <v>-0.625</v>
      </c>
      <c r="J746" s="46" t="s">
        <v>679</v>
      </c>
      <c r="K746" s="44" t="n">
        <v>20000</v>
      </c>
      <c r="L746" s="44" t="n">
        <v>43200</v>
      </c>
      <c r="M746" s="270" t="n">
        <v>3000</v>
      </c>
      <c r="N746" s="267" t="n">
        <v>6000</v>
      </c>
      <c r="O746" s="267" t="n">
        <v>43575</v>
      </c>
      <c r="P746" s="59" t="n">
        <v>-375</v>
      </c>
      <c r="Q746" s="263" t="n">
        <v>45705</v>
      </c>
    </row>
    <row r="747" customFormat="false" ht="19.4" hidden="false" customHeight="false" outlineLevel="0" collapsed="false">
      <c r="A747" s="264" t="n">
        <v>3047</v>
      </c>
      <c r="B747" s="34" t="s">
        <v>363</v>
      </c>
      <c r="C747" s="34"/>
      <c r="D747" s="34"/>
      <c r="E747" s="42" t="n">
        <v>45697</v>
      </c>
      <c r="F747" s="42" t="n">
        <v>45702</v>
      </c>
      <c r="G747" s="43" t="n">
        <v>5</v>
      </c>
      <c r="H747" s="77" t="e">
        <f aca="false">#DIV/0!</f>
        <v>#DIV/0!</v>
      </c>
      <c r="I747" s="77" t="e">
        <f aca="false">#DIV/0!</f>
        <v>#DIV/0!</v>
      </c>
      <c r="J747" s="66" t="s">
        <v>199</v>
      </c>
      <c r="K747" s="318" t="n">
        <v>30000</v>
      </c>
      <c r="L747" s="44" t="n">
        <v>39000</v>
      </c>
      <c r="M747" s="270"/>
      <c r="N747" s="267" t="n">
        <v>39000</v>
      </c>
      <c r="O747" s="267" t="n">
        <v>39000</v>
      </c>
      <c r="P747" s="59" t="n">
        <v>0</v>
      </c>
      <c r="Q747" s="263" t="n">
        <v>45705</v>
      </c>
    </row>
    <row r="748" customFormat="false" ht="19.4" hidden="false" customHeight="false" outlineLevel="0" collapsed="false">
      <c r="A748" s="319" t="n">
        <v>3063</v>
      </c>
      <c r="B748" s="34" t="s">
        <v>363</v>
      </c>
      <c r="C748" s="34"/>
      <c r="D748" s="34"/>
      <c r="E748" s="42" t="n">
        <v>45705</v>
      </c>
      <c r="F748" s="42" t="n">
        <v>45712</v>
      </c>
      <c r="G748" s="43" t="n">
        <v>5</v>
      </c>
      <c r="H748" s="77" t="e">
        <f aca="false">#VALUE!</f>
        <v>#VALUE!</v>
      </c>
      <c r="I748" s="77" t="e">
        <f aca="false">#VALUE!</f>
        <v>#VALUE!</v>
      </c>
      <c r="J748" s="66" t="s">
        <v>199</v>
      </c>
      <c r="K748" s="44" t="n">
        <v>30000</v>
      </c>
      <c r="L748" s="44" t="n">
        <v>39000</v>
      </c>
      <c r="M748" s="270" t="s">
        <v>184</v>
      </c>
      <c r="N748" s="267" t="n">
        <v>39000</v>
      </c>
      <c r="O748" s="267" t="n">
        <v>39000</v>
      </c>
      <c r="P748" s="59" t="n">
        <v>0</v>
      </c>
      <c r="Q748" s="263" t="n">
        <v>45705</v>
      </c>
    </row>
    <row r="749" customFormat="false" ht="64.15" hidden="false" customHeight="false" outlineLevel="0" collapsed="false">
      <c r="A749" s="264" t="n">
        <v>2938</v>
      </c>
      <c r="B749" s="34" t="s">
        <v>422</v>
      </c>
      <c r="C749" s="34" t="s">
        <v>423</v>
      </c>
      <c r="D749" s="34" t="n">
        <v>39446403</v>
      </c>
      <c r="E749" s="42" t="n">
        <v>45626</v>
      </c>
      <c r="F749" s="42" t="n">
        <v>45723</v>
      </c>
      <c r="G749" s="43" t="n">
        <v>70</v>
      </c>
      <c r="H749" s="77" t="n">
        <v>70</v>
      </c>
      <c r="I749" s="77" t="n">
        <v>0</v>
      </c>
      <c r="J749" s="66" t="s">
        <v>1134</v>
      </c>
      <c r="K749" s="44" t="n">
        <v>100000</v>
      </c>
      <c r="L749" s="44" t="n">
        <v>216000</v>
      </c>
      <c r="M749" s="270" t="n">
        <v>15428.5714285714</v>
      </c>
      <c r="N749" s="267" t="n">
        <v>77429</v>
      </c>
      <c r="O749" s="267" t="n">
        <v>216000</v>
      </c>
      <c r="P749" s="59" t="n">
        <v>0</v>
      </c>
      <c r="Q749" s="263" t="n">
        <v>45705</v>
      </c>
    </row>
    <row r="750" customFormat="false" ht="55.2" hidden="false" customHeight="false" outlineLevel="0" collapsed="false">
      <c r="A750" s="264" t="n">
        <v>2856</v>
      </c>
      <c r="B750" s="34" t="s">
        <v>748</v>
      </c>
      <c r="C750" s="34" t="s">
        <v>493</v>
      </c>
      <c r="D750" s="34"/>
      <c r="E750" s="42" t="n">
        <v>45577</v>
      </c>
      <c r="F750" s="42" t="n">
        <v>45730</v>
      </c>
      <c r="G750" s="43" t="n">
        <v>110</v>
      </c>
      <c r="H750" s="77" t="n">
        <v>110</v>
      </c>
      <c r="I750" s="77" t="n">
        <v>0</v>
      </c>
      <c r="J750" s="34" t="s">
        <v>858</v>
      </c>
      <c r="K750" s="44" t="n">
        <v>100000</v>
      </c>
      <c r="L750" s="44" t="n">
        <v>264000</v>
      </c>
      <c r="M750" s="270" t="n">
        <v>12000</v>
      </c>
      <c r="N750" s="267" t="n">
        <v>65000</v>
      </c>
      <c r="O750" s="267" t="n">
        <v>264000</v>
      </c>
      <c r="P750" s="59" t="n">
        <v>0</v>
      </c>
      <c r="Q750" s="263" t="n">
        <v>45705</v>
      </c>
    </row>
    <row r="751" customFormat="false" ht="37.3" hidden="false" customHeight="false" outlineLevel="0" collapsed="false">
      <c r="A751" s="264" t="n">
        <v>2882</v>
      </c>
      <c r="B751" s="34" t="s">
        <v>552</v>
      </c>
      <c r="C751" s="34" t="s">
        <v>553</v>
      </c>
      <c r="D751" s="34"/>
      <c r="E751" s="42" t="n">
        <v>45589</v>
      </c>
      <c r="F751" s="42" t="n">
        <v>45691</v>
      </c>
      <c r="G751" s="43" t="n">
        <v>72</v>
      </c>
      <c r="H751" s="77" t="n">
        <v>72</v>
      </c>
      <c r="I751" s="77" t="n">
        <v>0</v>
      </c>
      <c r="J751" s="34" t="s">
        <v>495</v>
      </c>
      <c r="K751" s="44" t="n">
        <v>70000</v>
      </c>
      <c r="L751" s="44" t="n">
        <v>151200</v>
      </c>
      <c r="M751" s="266" t="n">
        <v>10500</v>
      </c>
      <c r="N751" s="267" t="n">
        <v>14700</v>
      </c>
      <c r="O751" s="267" t="n">
        <v>151200</v>
      </c>
      <c r="P751" s="59" t="n">
        <v>0</v>
      </c>
      <c r="Q751" s="263" t="n">
        <v>45705</v>
      </c>
    </row>
    <row r="752" customFormat="false" ht="28.35" hidden="false" customHeight="false" outlineLevel="0" collapsed="false">
      <c r="A752" s="264" t="n">
        <v>2872</v>
      </c>
      <c r="B752" s="34" t="s">
        <v>555</v>
      </c>
      <c r="C752" s="34" t="s">
        <v>556</v>
      </c>
      <c r="D752" s="34"/>
      <c r="E752" s="42" t="n">
        <v>45584</v>
      </c>
      <c r="F752" s="42" t="n">
        <v>45685</v>
      </c>
      <c r="G752" s="43" t="n">
        <v>72</v>
      </c>
      <c r="H752" s="77" t="n">
        <v>72</v>
      </c>
      <c r="I752" s="77" t="n">
        <v>0</v>
      </c>
      <c r="J752" s="34" t="s">
        <v>679</v>
      </c>
      <c r="K752" s="44" t="n">
        <v>20000</v>
      </c>
      <c r="L752" s="44" t="n">
        <v>43200</v>
      </c>
      <c r="M752" s="270" t="n">
        <v>3000</v>
      </c>
      <c r="N752" s="267" t="n">
        <v>4200</v>
      </c>
      <c r="O752" s="267" t="n">
        <v>43200</v>
      </c>
      <c r="P752" s="59" t="n">
        <v>0</v>
      </c>
      <c r="Q752" s="263" t="n">
        <v>45705</v>
      </c>
    </row>
    <row r="753" customFormat="false" ht="28.35" hidden="false" customHeight="false" outlineLevel="0" collapsed="false">
      <c r="A753" s="264" t="n">
        <v>2890</v>
      </c>
      <c r="B753" s="34" t="s">
        <v>291</v>
      </c>
      <c r="C753" s="34" t="s">
        <v>292</v>
      </c>
      <c r="D753" s="34"/>
      <c r="E753" s="42" t="n">
        <v>45595</v>
      </c>
      <c r="F753" s="42" t="n">
        <v>45707</v>
      </c>
      <c r="G753" s="43" t="n">
        <v>80</v>
      </c>
      <c r="H753" s="77" t="n">
        <v>80</v>
      </c>
      <c r="I753" s="77" t="n">
        <v>0</v>
      </c>
      <c r="J753" s="66" t="s">
        <v>1018</v>
      </c>
      <c r="K753" s="44" t="n">
        <v>20000</v>
      </c>
      <c r="L753" s="44" t="n">
        <v>43200</v>
      </c>
      <c r="M753" s="270" t="n">
        <v>2700</v>
      </c>
      <c r="N753" s="267" t="n">
        <v>10800</v>
      </c>
      <c r="O753" s="267" t="n">
        <v>43200</v>
      </c>
      <c r="P753" s="59" t="n">
        <v>0</v>
      </c>
      <c r="Q753" s="263" t="n">
        <v>45712</v>
      </c>
    </row>
    <row r="754" customFormat="false" ht="28.35" hidden="false" customHeight="false" outlineLevel="0" collapsed="false">
      <c r="A754" s="264" t="n">
        <v>2873</v>
      </c>
      <c r="B754" s="34" t="s">
        <v>332</v>
      </c>
      <c r="C754" s="34" t="s">
        <v>252</v>
      </c>
      <c r="D754" s="34"/>
      <c r="E754" s="42" t="n">
        <v>45586</v>
      </c>
      <c r="F754" s="42" t="n">
        <v>45686</v>
      </c>
      <c r="G754" s="43" t="n">
        <v>72</v>
      </c>
      <c r="H754" s="77" t="n">
        <v>72</v>
      </c>
      <c r="I754" s="77" t="n">
        <v>0</v>
      </c>
      <c r="J754" s="34" t="s">
        <v>1045</v>
      </c>
      <c r="K754" s="320" t="n">
        <v>80000</v>
      </c>
      <c r="L754" s="44" t="n">
        <v>172800</v>
      </c>
      <c r="M754" s="270" t="n">
        <v>12000</v>
      </c>
      <c r="N754" s="267"/>
      <c r="O754" s="267" t="n">
        <v>172800</v>
      </c>
      <c r="P754" s="59" t="n">
        <v>0</v>
      </c>
      <c r="Q754" s="263" t="n">
        <v>45712</v>
      </c>
    </row>
    <row r="755" customFormat="false" ht="19.4" hidden="false" customHeight="false" outlineLevel="0" collapsed="false">
      <c r="A755" s="319" t="n">
        <v>3074</v>
      </c>
      <c r="B755" s="34" t="s">
        <v>363</v>
      </c>
      <c r="C755" s="34"/>
      <c r="D755" s="34"/>
      <c r="E755" s="42" t="n">
        <v>45709</v>
      </c>
      <c r="F755" s="42" t="n">
        <v>45716</v>
      </c>
      <c r="G755" s="43" t="n">
        <v>5</v>
      </c>
      <c r="H755" s="77" t="e">
        <f aca="false">#DIV/0!</f>
        <v>#DIV/0!</v>
      </c>
      <c r="I755" s="77" t="e">
        <f aca="false">#DIV/0!</f>
        <v>#DIV/0!</v>
      </c>
      <c r="J755" s="66" t="s">
        <v>199</v>
      </c>
      <c r="K755" s="44" t="n">
        <v>30000</v>
      </c>
      <c r="L755" s="44" t="n">
        <v>39000</v>
      </c>
      <c r="M755" s="270"/>
      <c r="N755" s="267" t="n">
        <v>39000</v>
      </c>
      <c r="O755" s="267" t="n">
        <v>39000</v>
      </c>
      <c r="P755" s="59" t="n">
        <v>0</v>
      </c>
      <c r="Q755" s="263" t="n">
        <v>45712</v>
      </c>
    </row>
    <row r="756" customFormat="false" ht="19.4" hidden="false" customHeight="false" outlineLevel="0" collapsed="false">
      <c r="A756" s="264" t="n">
        <v>3075</v>
      </c>
      <c r="B756" s="34" t="s">
        <v>363</v>
      </c>
      <c r="C756" s="34"/>
      <c r="D756" s="34"/>
      <c r="E756" s="42" t="n">
        <v>45705</v>
      </c>
      <c r="F756" s="42" t="n">
        <v>45712</v>
      </c>
      <c r="G756" s="43" t="n">
        <v>5</v>
      </c>
      <c r="H756" s="77" t="e">
        <f aca="false">#DIV/0!</f>
        <v>#DIV/0!</v>
      </c>
      <c r="I756" s="77" t="e">
        <f aca="false">#DIV/0!</f>
        <v>#DIV/0!</v>
      </c>
      <c r="J756" s="66" t="s">
        <v>199</v>
      </c>
      <c r="K756" s="44" t="n">
        <v>100000</v>
      </c>
      <c r="L756" s="44" t="n">
        <v>130000</v>
      </c>
      <c r="M756" s="270"/>
      <c r="N756" s="267" t="n">
        <v>130000</v>
      </c>
      <c r="O756" s="267" t="n">
        <v>130000</v>
      </c>
      <c r="P756" s="59" t="n">
        <v>0</v>
      </c>
      <c r="Q756" s="263" t="n">
        <v>45712</v>
      </c>
    </row>
    <row r="757" customFormat="false" ht="37.3" hidden="false" customHeight="false" outlineLevel="0" collapsed="false">
      <c r="A757" s="264" t="n">
        <v>2805</v>
      </c>
      <c r="B757" s="34" t="s">
        <v>995</v>
      </c>
      <c r="C757" s="34" t="s">
        <v>383</v>
      </c>
      <c r="D757" s="34"/>
      <c r="E757" s="42" t="n">
        <v>45548</v>
      </c>
      <c r="F757" s="42" t="n">
        <v>45650</v>
      </c>
      <c r="G757" s="43" t="n">
        <v>72</v>
      </c>
      <c r="H757" s="77" t="n">
        <v>72</v>
      </c>
      <c r="I757" s="77" t="n">
        <v>0</v>
      </c>
      <c r="J757" s="34" t="s">
        <v>679</v>
      </c>
      <c r="K757" s="59" t="n">
        <v>20000</v>
      </c>
      <c r="L757" s="59" t="n">
        <v>43200</v>
      </c>
      <c r="M757" s="270" t="n">
        <v>3000</v>
      </c>
      <c r="N757" s="267" t="n">
        <v>1200</v>
      </c>
      <c r="O757" s="267" t="n">
        <v>43200</v>
      </c>
      <c r="P757" s="59" t="n">
        <v>0</v>
      </c>
      <c r="Q757" s="263" t="n">
        <v>45712</v>
      </c>
    </row>
    <row r="758" customFormat="false" ht="28.35" hidden="false" customHeight="false" outlineLevel="0" collapsed="false">
      <c r="A758" s="264" t="n">
        <v>2798</v>
      </c>
      <c r="B758" s="34" t="s">
        <v>393</v>
      </c>
      <c r="C758" s="34"/>
      <c r="D758" s="34"/>
      <c r="E758" s="42" t="n">
        <v>45544</v>
      </c>
      <c r="F758" s="42" t="n">
        <v>45656</v>
      </c>
      <c r="G758" s="43" t="n">
        <v>80</v>
      </c>
      <c r="H758" s="77" t="n">
        <v>86.412037037037</v>
      </c>
      <c r="I758" s="77" t="n">
        <v>-6.41203703703704</v>
      </c>
      <c r="J758" s="66" t="s">
        <v>1135</v>
      </c>
      <c r="K758" s="44" t="n">
        <v>80000</v>
      </c>
      <c r="L758" s="44" t="n">
        <v>172800</v>
      </c>
      <c r="M758" s="266" t="n">
        <v>10800</v>
      </c>
      <c r="N758" s="267" t="n">
        <v>50000</v>
      </c>
      <c r="O758" s="267" t="n">
        <v>186650</v>
      </c>
      <c r="P758" s="59" t="n">
        <v>-13850</v>
      </c>
      <c r="Q758" s="263" t="n">
        <v>45712</v>
      </c>
    </row>
    <row r="759" customFormat="false" ht="82.05" hidden="false" customHeight="false" outlineLevel="0" collapsed="false">
      <c r="A759" s="264" t="n">
        <v>2942</v>
      </c>
      <c r="B759" s="34" t="s">
        <v>399</v>
      </c>
      <c r="C759" s="34" t="s">
        <v>400</v>
      </c>
      <c r="D759" s="34" t="n">
        <v>27249921551</v>
      </c>
      <c r="E759" s="42" t="n">
        <v>45629</v>
      </c>
      <c r="F759" s="42" t="n">
        <v>45729</v>
      </c>
      <c r="G759" s="43" t="n">
        <v>72</v>
      </c>
      <c r="H759" s="77" t="n">
        <v>72</v>
      </c>
      <c r="I759" s="77" t="n">
        <v>0</v>
      </c>
      <c r="J759" s="34" t="s">
        <v>333</v>
      </c>
      <c r="K759" s="44" t="n">
        <v>50000</v>
      </c>
      <c r="L759" s="44" t="n">
        <v>108000</v>
      </c>
      <c r="M759" s="270" t="n">
        <v>7500</v>
      </c>
      <c r="N759" s="267" t="n">
        <v>25500</v>
      </c>
      <c r="O759" s="267" t="n">
        <v>108000</v>
      </c>
      <c r="P759" s="59" t="n">
        <v>0</v>
      </c>
      <c r="Q759" s="263" t="n">
        <v>45712</v>
      </c>
    </row>
    <row r="760" customFormat="false" ht="28.35" hidden="false" customHeight="false" outlineLevel="0" collapsed="false">
      <c r="A760" s="264" t="n">
        <v>2941</v>
      </c>
      <c r="B760" s="34" t="s">
        <v>540</v>
      </c>
      <c r="C760" s="34"/>
      <c r="D760" s="34"/>
      <c r="E760" s="42" t="n">
        <v>45532</v>
      </c>
      <c r="F760" s="42" t="n">
        <v>45630</v>
      </c>
      <c r="G760" s="43" t="n">
        <v>70</v>
      </c>
      <c r="H760" s="77" t="n">
        <v>70</v>
      </c>
      <c r="I760" s="77" t="n">
        <v>0</v>
      </c>
      <c r="J760" s="46" t="s">
        <v>1070</v>
      </c>
      <c r="K760" s="44" t="n">
        <v>50000</v>
      </c>
      <c r="L760" s="44" t="n">
        <v>108500</v>
      </c>
      <c r="M760" s="270" t="n">
        <v>7750</v>
      </c>
      <c r="N760" s="267" t="n">
        <v>31000</v>
      </c>
      <c r="O760" s="267" t="n">
        <v>108500</v>
      </c>
      <c r="P760" s="59" t="n">
        <v>0</v>
      </c>
      <c r="Q760" s="263" t="n">
        <v>45712</v>
      </c>
    </row>
    <row r="761" customFormat="false" ht="46.25" hidden="false" customHeight="false" outlineLevel="0" collapsed="false">
      <c r="A761" s="264" t="n">
        <v>2800</v>
      </c>
      <c r="B761" s="34" t="s">
        <v>193</v>
      </c>
      <c r="C761" s="34" t="s">
        <v>194</v>
      </c>
      <c r="D761" s="34"/>
      <c r="E761" s="42" t="n">
        <v>45545</v>
      </c>
      <c r="F761" s="42" t="n">
        <v>45713</v>
      </c>
      <c r="G761" s="43" t="n">
        <v>120</v>
      </c>
      <c r="H761" s="77" t="n">
        <v>120</v>
      </c>
      <c r="I761" s="77" t="n">
        <v>0</v>
      </c>
      <c r="J761" s="66" t="s">
        <v>1136</v>
      </c>
      <c r="K761" s="44" t="n">
        <v>120000</v>
      </c>
      <c r="L761" s="44" t="n">
        <v>316800</v>
      </c>
      <c r="M761" s="270" t="n">
        <v>13200</v>
      </c>
      <c r="N761" s="267" t="n">
        <v>52800</v>
      </c>
      <c r="O761" s="267" t="n">
        <v>316800</v>
      </c>
      <c r="P761" s="59" t="n">
        <v>0</v>
      </c>
      <c r="Q761" s="263" t="n">
        <v>45719</v>
      </c>
    </row>
    <row r="762" customFormat="false" ht="37.3" hidden="false" customHeight="false" outlineLevel="0" collapsed="false">
      <c r="A762" s="264" t="n">
        <v>2754</v>
      </c>
      <c r="B762" s="34" t="s">
        <v>196</v>
      </c>
      <c r="C762" s="34" t="s">
        <v>197</v>
      </c>
      <c r="D762" s="34"/>
      <c r="E762" s="42" t="n">
        <v>45516</v>
      </c>
      <c r="F762" s="42" t="n">
        <v>45684</v>
      </c>
      <c r="G762" s="43" t="n">
        <v>120</v>
      </c>
      <c r="H762" s="77" t="n">
        <v>120</v>
      </c>
      <c r="I762" s="77" t="n">
        <v>0</v>
      </c>
      <c r="J762" s="66" t="s">
        <v>879</v>
      </c>
      <c r="K762" s="320" t="n">
        <v>50000</v>
      </c>
      <c r="L762" s="44" t="n">
        <v>132000</v>
      </c>
      <c r="M762" s="270" t="n">
        <v>5500</v>
      </c>
      <c r="N762" s="267" t="n">
        <v>22000</v>
      </c>
      <c r="O762" s="267" t="n">
        <v>132000</v>
      </c>
      <c r="P762" s="59" t="n">
        <v>0</v>
      </c>
      <c r="Q762" s="263" t="n">
        <v>45719</v>
      </c>
    </row>
    <row r="763" customFormat="false" ht="28.35" hidden="false" customHeight="false" outlineLevel="0" collapsed="false">
      <c r="A763" s="264" t="n">
        <v>2939</v>
      </c>
      <c r="B763" s="34" t="s">
        <v>302</v>
      </c>
      <c r="C763" s="34" t="s">
        <v>303</v>
      </c>
      <c r="D763" s="34"/>
      <c r="E763" s="42" t="n">
        <v>45626</v>
      </c>
      <c r="F763" s="42" t="n">
        <v>45727</v>
      </c>
      <c r="G763" s="43" t="n">
        <v>72</v>
      </c>
      <c r="H763" s="77" t="n">
        <v>72</v>
      </c>
      <c r="I763" s="77" t="n">
        <v>0</v>
      </c>
      <c r="J763" s="46" t="s">
        <v>679</v>
      </c>
      <c r="K763" s="44" t="n">
        <v>20000</v>
      </c>
      <c r="L763" s="44" t="n">
        <v>43200</v>
      </c>
      <c r="M763" s="270" t="n">
        <v>3000</v>
      </c>
      <c r="N763" s="267" t="n">
        <v>6575</v>
      </c>
      <c r="O763" s="267" t="n">
        <v>43200</v>
      </c>
      <c r="P763" s="59" t="n">
        <v>0</v>
      </c>
      <c r="Q763" s="263" t="n">
        <v>45719</v>
      </c>
    </row>
    <row r="764" customFormat="false" ht="19.4" hidden="false" customHeight="false" outlineLevel="0" collapsed="false">
      <c r="A764" s="264" t="n">
        <v>2829</v>
      </c>
      <c r="B764" s="34" t="s">
        <v>330</v>
      </c>
      <c r="C764" s="34"/>
      <c r="D764" s="34"/>
      <c r="E764" s="42" t="n">
        <v>45560</v>
      </c>
      <c r="F764" s="42" t="n">
        <v>45471</v>
      </c>
      <c r="G764" s="43" t="n">
        <v>72</v>
      </c>
      <c r="H764" s="77" t="n">
        <v>72</v>
      </c>
      <c r="I764" s="77" t="n">
        <v>0</v>
      </c>
      <c r="J764" s="66" t="s">
        <v>1137</v>
      </c>
      <c r="K764" s="44" t="n">
        <v>50000</v>
      </c>
      <c r="L764" s="44" t="n">
        <v>108000</v>
      </c>
      <c r="M764" s="270" t="n">
        <v>7500</v>
      </c>
      <c r="N764" s="267" t="n">
        <v>27000</v>
      </c>
      <c r="O764" s="267" t="n">
        <v>108000</v>
      </c>
      <c r="P764" s="59" t="n">
        <v>0</v>
      </c>
      <c r="Q764" s="263" t="n">
        <v>45719</v>
      </c>
    </row>
    <row r="765" customFormat="false" ht="19.4" hidden="false" customHeight="false" outlineLevel="0" collapsed="false">
      <c r="A765" s="264" t="n">
        <v>2888</v>
      </c>
      <c r="B765" s="34" t="s">
        <v>330</v>
      </c>
      <c r="C765" s="34"/>
      <c r="D765" s="34"/>
      <c r="E765" s="42" t="n">
        <v>45594</v>
      </c>
      <c r="F765" s="42" t="n">
        <v>45471</v>
      </c>
      <c r="G765" s="43" t="n">
        <v>72</v>
      </c>
      <c r="H765" s="77" t="n">
        <v>72</v>
      </c>
      <c r="I765" s="77" t="n">
        <v>0</v>
      </c>
      <c r="J765" s="66" t="s">
        <v>1138</v>
      </c>
      <c r="K765" s="44" t="n">
        <v>30000</v>
      </c>
      <c r="L765" s="44" t="n">
        <v>64800</v>
      </c>
      <c r="M765" s="270" t="n">
        <v>4500</v>
      </c>
      <c r="N765" s="267" t="n">
        <v>16200</v>
      </c>
      <c r="O765" s="267" t="n">
        <v>64800</v>
      </c>
      <c r="P765" s="59" t="n">
        <v>0</v>
      </c>
      <c r="Q765" s="263" t="n">
        <v>45719</v>
      </c>
    </row>
    <row r="766" customFormat="false" ht="19.4" hidden="false" customHeight="false" outlineLevel="0" collapsed="false">
      <c r="A766" s="264" t="n">
        <v>2889</v>
      </c>
      <c r="B766" s="34" t="s">
        <v>330</v>
      </c>
      <c r="C766" s="34"/>
      <c r="D766" s="34"/>
      <c r="E766" s="42" t="n">
        <v>45587</v>
      </c>
      <c r="F766" s="42" t="n">
        <v>45699</v>
      </c>
      <c r="G766" s="43" t="n">
        <v>80</v>
      </c>
      <c r="H766" s="77" t="n">
        <v>80</v>
      </c>
      <c r="I766" s="77" t="n">
        <v>0</v>
      </c>
      <c r="J766" s="66" t="s">
        <v>1138</v>
      </c>
      <c r="K766" s="44" t="n">
        <v>30000</v>
      </c>
      <c r="L766" s="44" t="n">
        <v>64800</v>
      </c>
      <c r="M766" s="270" t="n">
        <v>4050</v>
      </c>
      <c r="N766" s="267" t="n">
        <v>16200</v>
      </c>
      <c r="O766" s="267" t="n">
        <v>64800</v>
      </c>
      <c r="P766" s="59" t="n">
        <v>0</v>
      </c>
      <c r="Q766" s="263" t="n">
        <v>45719</v>
      </c>
    </row>
    <row r="767" customFormat="false" ht="37.3" hidden="false" customHeight="false" outlineLevel="0" collapsed="false">
      <c r="A767" s="264" t="n">
        <v>2821</v>
      </c>
      <c r="B767" s="34" t="s">
        <v>414</v>
      </c>
      <c r="C767" s="34" t="s">
        <v>415</v>
      </c>
      <c r="D767" s="34"/>
      <c r="E767" s="42" t="n">
        <v>45558</v>
      </c>
      <c r="F767" s="42" t="n">
        <v>45658</v>
      </c>
      <c r="G767" s="43" t="n">
        <v>72</v>
      </c>
      <c r="H767" s="77" t="n">
        <v>72.2916666666667</v>
      </c>
      <c r="I767" s="77" t="n">
        <v>-0.291666666666671</v>
      </c>
      <c r="J767" s="34" t="s">
        <v>1019</v>
      </c>
      <c r="K767" s="59" t="n">
        <v>80000</v>
      </c>
      <c r="L767" s="59" t="n">
        <v>172800</v>
      </c>
      <c r="M767" s="270" t="n">
        <v>12000</v>
      </c>
      <c r="N767" s="267" t="n">
        <v>24000</v>
      </c>
      <c r="O767" s="267" t="n">
        <v>173500</v>
      </c>
      <c r="P767" s="59" t="n">
        <v>-700</v>
      </c>
      <c r="Q767" s="263" t="n">
        <v>45719</v>
      </c>
    </row>
    <row r="768" customFormat="false" ht="19.4" hidden="false" customHeight="false" outlineLevel="0" collapsed="false">
      <c r="A768" s="264" t="n">
        <v>3049</v>
      </c>
      <c r="B768" s="34" t="s">
        <v>425</v>
      </c>
      <c r="C768" s="34" t="s">
        <v>426</v>
      </c>
      <c r="D768" s="34"/>
      <c r="E768" s="42" t="n">
        <v>45698</v>
      </c>
      <c r="F768" s="42" t="n">
        <v>45726</v>
      </c>
      <c r="G768" s="43" t="n">
        <v>20</v>
      </c>
      <c r="H768" s="77" t="e">
        <f aca="false">#DIV/0!</f>
        <v>#DIV/0!</v>
      </c>
      <c r="I768" s="77" t="e">
        <f aca="false">#DIV/0!</f>
        <v>#DIV/0!</v>
      </c>
      <c r="J768" s="66" t="s">
        <v>1131</v>
      </c>
      <c r="K768" s="44" t="n">
        <v>50000</v>
      </c>
      <c r="L768" s="44" t="n">
        <v>75000</v>
      </c>
      <c r="M768" s="270"/>
      <c r="N768" s="267" t="n">
        <v>75000</v>
      </c>
      <c r="O768" s="267" t="n">
        <v>75000</v>
      </c>
      <c r="P768" s="59" t="n">
        <v>0</v>
      </c>
      <c r="Q768" s="263" t="n">
        <v>45719</v>
      </c>
    </row>
    <row r="769" customFormat="false" ht="28.35" hidden="false" customHeight="false" outlineLevel="0" collapsed="false">
      <c r="A769" s="264" t="n">
        <v>2895</v>
      </c>
      <c r="B769" s="34" t="s">
        <v>1139</v>
      </c>
      <c r="C769" s="34" t="s">
        <v>1140</v>
      </c>
      <c r="D769" s="34"/>
      <c r="E769" s="42" t="n">
        <v>45599</v>
      </c>
      <c r="F769" s="42" t="n">
        <v>45699</v>
      </c>
      <c r="G769" s="43" t="n">
        <v>72</v>
      </c>
      <c r="H769" s="77" t="n">
        <v>72.8</v>
      </c>
      <c r="I769" s="77" t="n">
        <v>-0.799999999999997</v>
      </c>
      <c r="J769" s="34" t="s">
        <v>333</v>
      </c>
      <c r="K769" s="59" t="n">
        <v>50000</v>
      </c>
      <c r="L769" s="59" t="n">
        <v>108000</v>
      </c>
      <c r="M769" s="270" t="n">
        <v>7500</v>
      </c>
      <c r="N769" s="267" t="n">
        <v>18500</v>
      </c>
      <c r="O769" s="267" t="n">
        <v>109200</v>
      </c>
      <c r="P769" s="59" t="n">
        <v>-1200</v>
      </c>
      <c r="Q769" s="263" t="n">
        <v>45719</v>
      </c>
    </row>
    <row r="770" customFormat="false" ht="28.35" hidden="false" customHeight="false" outlineLevel="0" collapsed="false">
      <c r="A770" s="264" t="n">
        <v>2880</v>
      </c>
      <c r="B770" s="34" t="s">
        <v>459</v>
      </c>
      <c r="C770" s="34" t="s">
        <v>460</v>
      </c>
      <c r="D770" s="34"/>
      <c r="E770" s="42" t="n">
        <v>45506</v>
      </c>
      <c r="F770" s="42" t="n">
        <v>45608</v>
      </c>
      <c r="G770" s="43" t="n">
        <v>72</v>
      </c>
      <c r="H770" s="77" t="n">
        <v>72</v>
      </c>
      <c r="I770" s="77" t="n">
        <v>0</v>
      </c>
      <c r="J770" s="34" t="s">
        <v>333</v>
      </c>
      <c r="K770" s="44" t="n">
        <v>50000</v>
      </c>
      <c r="L770" s="44" t="n">
        <v>108000</v>
      </c>
      <c r="M770" s="266" t="n">
        <v>7500</v>
      </c>
      <c r="N770" s="267" t="n">
        <v>9000</v>
      </c>
      <c r="O770" s="267" t="n">
        <v>108000</v>
      </c>
      <c r="P770" s="59" t="n">
        <v>0</v>
      </c>
      <c r="Q770" s="263" t="n">
        <v>45719</v>
      </c>
    </row>
    <row r="771" customFormat="false" ht="55.2" hidden="false" customHeight="false" outlineLevel="0" collapsed="false">
      <c r="A771" s="264" t="n">
        <v>2804</v>
      </c>
      <c r="B771" s="34" t="s">
        <v>185</v>
      </c>
      <c r="C771" s="34" t="s">
        <v>186</v>
      </c>
      <c r="D771" s="34"/>
      <c r="E771" s="42" t="n">
        <v>45548</v>
      </c>
      <c r="F771" s="42" t="n">
        <v>45716</v>
      </c>
      <c r="G771" s="43" t="n">
        <v>120</v>
      </c>
      <c r="H771" s="77" t="n">
        <v>120</v>
      </c>
      <c r="I771" s="77" t="n">
        <v>0</v>
      </c>
      <c r="J771" s="66" t="s">
        <v>1141</v>
      </c>
      <c r="K771" s="44" t="n">
        <v>80000</v>
      </c>
      <c r="L771" s="44" t="n">
        <v>211200</v>
      </c>
      <c r="M771" s="270" t="n">
        <v>8800</v>
      </c>
      <c r="N771" s="267" t="n">
        <v>35200</v>
      </c>
      <c r="O771" s="267" t="n">
        <v>211200</v>
      </c>
      <c r="P771" s="59" t="n">
        <v>0</v>
      </c>
      <c r="Q771" s="263" t="n">
        <v>45726</v>
      </c>
    </row>
    <row r="772" customFormat="false" ht="55.2" hidden="false" customHeight="false" outlineLevel="0" collapsed="false">
      <c r="A772" s="264" t="n">
        <v>2903</v>
      </c>
      <c r="B772" s="34" t="s">
        <v>243</v>
      </c>
      <c r="C772" s="34" t="s">
        <v>244</v>
      </c>
      <c r="D772" s="34" t="n">
        <v>20386454729</v>
      </c>
      <c r="E772" s="42" t="n">
        <v>45607</v>
      </c>
      <c r="F772" s="42" t="n">
        <v>45719</v>
      </c>
      <c r="G772" s="43" t="n">
        <v>80</v>
      </c>
      <c r="H772" s="77" t="n">
        <v>80</v>
      </c>
      <c r="I772" s="77" t="n">
        <v>0</v>
      </c>
      <c r="J772" s="66" t="s">
        <v>1129</v>
      </c>
      <c r="K772" s="44" t="n">
        <v>200000</v>
      </c>
      <c r="L772" s="44" t="n">
        <v>432000</v>
      </c>
      <c r="M772" s="270" t="n">
        <v>27000</v>
      </c>
      <c r="N772" s="267" t="n">
        <v>108000</v>
      </c>
      <c r="O772" s="267" t="n">
        <v>432000</v>
      </c>
      <c r="P772" s="59" t="n">
        <v>0</v>
      </c>
      <c r="Q772" s="263" t="n">
        <v>45726</v>
      </c>
    </row>
    <row r="773" customFormat="false" ht="46.25" hidden="false" customHeight="false" outlineLevel="0" collapsed="false">
      <c r="A773" s="264" t="n">
        <v>3091</v>
      </c>
      <c r="B773" s="34" t="s">
        <v>581</v>
      </c>
      <c r="C773" s="34" t="s">
        <v>351</v>
      </c>
      <c r="D773" s="34"/>
      <c r="E773" s="42" t="n">
        <v>45721</v>
      </c>
      <c r="F773" s="42" t="n">
        <v>45728</v>
      </c>
      <c r="G773" s="43" t="n">
        <v>5</v>
      </c>
      <c r="H773" s="77" t="e">
        <f aca="false">#DIV/0!</f>
        <v>#DIV/0!</v>
      </c>
      <c r="I773" s="77" t="e">
        <f aca="false">#DIV/0!</f>
        <v>#DIV/0!</v>
      </c>
      <c r="J773" s="66" t="s">
        <v>444</v>
      </c>
      <c r="K773" s="44" t="n">
        <v>50000</v>
      </c>
      <c r="L773" s="44" t="n">
        <v>70000</v>
      </c>
      <c r="M773" s="270"/>
      <c r="N773" s="267" t="n">
        <v>70000</v>
      </c>
      <c r="O773" s="267" t="n">
        <v>70000</v>
      </c>
      <c r="P773" s="59" t="n">
        <v>0</v>
      </c>
      <c r="Q773" s="263" t="n">
        <v>45726</v>
      </c>
    </row>
    <row r="774" customFormat="false" ht="37.3" hidden="false" customHeight="false" outlineLevel="0" collapsed="false">
      <c r="A774" s="264" t="n">
        <v>2898</v>
      </c>
      <c r="B774" s="34" t="s">
        <v>353</v>
      </c>
      <c r="C774" s="34" t="s">
        <v>354</v>
      </c>
      <c r="D774" s="34" t="n">
        <v>37095915</v>
      </c>
      <c r="E774" s="42" t="n">
        <v>45604</v>
      </c>
      <c r="F774" s="42" t="n">
        <v>45716</v>
      </c>
      <c r="G774" s="43" t="n">
        <v>80</v>
      </c>
      <c r="H774" s="77" t="n">
        <v>80</v>
      </c>
      <c r="I774" s="77" t="n">
        <v>0</v>
      </c>
      <c r="J774" s="66" t="s">
        <v>273</v>
      </c>
      <c r="K774" s="59" t="n">
        <v>300000</v>
      </c>
      <c r="L774" s="59" t="n">
        <v>648000</v>
      </c>
      <c r="M774" s="270" t="n">
        <v>40500</v>
      </c>
      <c r="N774" s="267" t="n">
        <v>160000</v>
      </c>
      <c r="O774" s="267" t="n">
        <v>648000</v>
      </c>
      <c r="P774" s="59" t="n">
        <v>0</v>
      </c>
      <c r="Q774" s="263" t="n">
        <v>45726</v>
      </c>
    </row>
    <row r="775" customFormat="false" ht="19.4" hidden="false" customHeight="false" outlineLevel="0" collapsed="false">
      <c r="A775" s="264" t="n">
        <v>3087</v>
      </c>
      <c r="B775" s="34" t="s">
        <v>363</v>
      </c>
      <c r="C775" s="34"/>
      <c r="D775" s="34"/>
      <c r="E775" s="42" t="n">
        <v>45716</v>
      </c>
      <c r="F775" s="42" t="n">
        <v>45723</v>
      </c>
      <c r="G775" s="43" t="n">
        <v>5</v>
      </c>
      <c r="H775" s="77" t="n">
        <v>5</v>
      </c>
      <c r="I775" s="77" t="n">
        <v>0</v>
      </c>
      <c r="J775" s="66" t="s">
        <v>199</v>
      </c>
      <c r="K775" s="59" t="n">
        <v>30000</v>
      </c>
      <c r="L775" s="59" t="n">
        <v>39000</v>
      </c>
      <c r="M775" s="270" t="n">
        <v>39000</v>
      </c>
      <c r="N775" s="267" t="n">
        <v>39000</v>
      </c>
      <c r="O775" s="267" t="n">
        <v>39000</v>
      </c>
      <c r="P775" s="59" t="n">
        <v>0</v>
      </c>
      <c r="Q775" s="263" t="n">
        <v>45726</v>
      </c>
    </row>
    <row r="776" customFormat="false" ht="64.15" hidden="false" customHeight="false" outlineLevel="0" collapsed="false">
      <c r="A776" s="264" t="n">
        <v>2755</v>
      </c>
      <c r="B776" s="34" t="s">
        <v>979</v>
      </c>
      <c r="C776" s="34" t="s">
        <v>396</v>
      </c>
      <c r="D776" s="34"/>
      <c r="E776" s="42" t="n">
        <v>45516</v>
      </c>
      <c r="F776" s="42" t="n">
        <v>45684</v>
      </c>
      <c r="G776" s="43" t="n">
        <v>120</v>
      </c>
      <c r="H776" s="77" t="n">
        <v>120</v>
      </c>
      <c r="I776" s="77" t="n">
        <v>0</v>
      </c>
      <c r="J776" s="46" t="s">
        <v>1078</v>
      </c>
      <c r="K776" s="313" t="n">
        <v>150000</v>
      </c>
      <c r="L776" s="44" t="n">
        <v>396000</v>
      </c>
      <c r="M776" s="266" t="n">
        <v>16500</v>
      </c>
      <c r="N776" s="267" t="n">
        <v>33000</v>
      </c>
      <c r="O776" s="267" t="n">
        <v>396000</v>
      </c>
      <c r="P776" s="59" t="n">
        <v>0</v>
      </c>
      <c r="Q776" s="263" t="n">
        <v>45726</v>
      </c>
    </row>
    <row r="777" customFormat="false" ht="37.3" hidden="false" customHeight="false" outlineLevel="0" collapsed="false">
      <c r="A777" s="264" t="n">
        <v>2483</v>
      </c>
      <c r="B777" s="34" t="s">
        <v>441</v>
      </c>
      <c r="C777" s="34" t="s">
        <v>1123</v>
      </c>
      <c r="D777" s="34"/>
      <c r="E777" s="42" t="n">
        <v>45342</v>
      </c>
      <c r="F777" s="42" t="n">
        <v>45784</v>
      </c>
      <c r="G777" s="43" t="n">
        <v>316</v>
      </c>
      <c r="H777" s="77" t="n">
        <v>316</v>
      </c>
      <c r="I777" s="77" t="n">
        <v>0</v>
      </c>
      <c r="J777" s="66" t="s">
        <v>1142</v>
      </c>
      <c r="K777" s="44" t="n">
        <v>120000</v>
      </c>
      <c r="L777" s="44" t="n">
        <v>240000</v>
      </c>
      <c r="M777" s="270" t="n">
        <v>3797.46835443038</v>
      </c>
      <c r="N777" s="267" t="n">
        <v>30000</v>
      </c>
      <c r="O777" s="267" t="n">
        <v>240000</v>
      </c>
      <c r="P777" s="59" t="n">
        <v>0</v>
      </c>
      <c r="Q777" s="263" t="n">
        <v>45726</v>
      </c>
    </row>
    <row r="778" customFormat="false" ht="15" hidden="false" customHeight="false" outlineLevel="0" collapsed="false">
      <c r="A778" s="264" t="n">
        <v>3057</v>
      </c>
      <c r="B778" s="34" t="s">
        <v>791</v>
      </c>
      <c r="C778" s="34"/>
      <c r="D778" s="34"/>
      <c r="E778" s="42" t="n">
        <v>45701</v>
      </c>
      <c r="F778" s="42" t="n">
        <v>45729</v>
      </c>
      <c r="G778" s="43" t="n">
        <v>20</v>
      </c>
      <c r="H778" s="77" t="e">
        <f aca="false">#DIV/0!</f>
        <v>#DIV/0!</v>
      </c>
      <c r="I778" s="77" t="e">
        <f aca="false">#DIV/0!</f>
        <v>#DIV/0!</v>
      </c>
      <c r="J778" s="66" t="s">
        <v>199</v>
      </c>
      <c r="K778" s="44" t="n">
        <v>20000</v>
      </c>
      <c r="L778" s="44" t="n">
        <v>30000</v>
      </c>
      <c r="M778" s="270"/>
      <c r="N778" s="267" t="n">
        <v>30000</v>
      </c>
      <c r="O778" s="267" t="n">
        <v>30000</v>
      </c>
      <c r="P778" s="59" t="n">
        <v>0</v>
      </c>
      <c r="Q778" s="263" t="n">
        <v>45726</v>
      </c>
    </row>
    <row r="779" customFormat="false" ht="15" hidden="false" customHeight="false" outlineLevel="0" collapsed="false">
      <c r="A779" s="264" t="n">
        <v>3067</v>
      </c>
      <c r="B779" s="22" t="s">
        <v>791</v>
      </c>
      <c r="C779" s="34"/>
      <c r="D779" s="34"/>
      <c r="E779" s="42" t="n">
        <v>45705</v>
      </c>
      <c r="F779" s="42" t="n">
        <v>45733</v>
      </c>
      <c r="G779" s="43" t="n">
        <v>20</v>
      </c>
      <c r="H779" s="77" t="e">
        <f aca="false">#VALUE!</f>
        <v>#VALUE!</v>
      </c>
      <c r="I779" s="77" t="e">
        <f aca="false">#VALUE!</f>
        <v>#VALUE!</v>
      </c>
      <c r="J779" s="66" t="s">
        <v>444</v>
      </c>
      <c r="K779" s="44" t="n">
        <v>50000</v>
      </c>
      <c r="L779" s="44" t="n">
        <v>80000</v>
      </c>
      <c r="M779" s="266" t="s">
        <v>184</v>
      </c>
      <c r="N779" s="267" t="n">
        <v>80000</v>
      </c>
      <c r="O779" s="267" t="n">
        <v>80000</v>
      </c>
      <c r="P779" s="59" t="n">
        <v>0</v>
      </c>
      <c r="Q779" s="263" t="n">
        <v>45726</v>
      </c>
    </row>
    <row r="780" customFormat="false" ht="19.4" hidden="false" customHeight="false" outlineLevel="0" collapsed="false">
      <c r="A780" s="264" t="n">
        <v>3033</v>
      </c>
      <c r="B780" s="34" t="s">
        <v>909</v>
      </c>
      <c r="C780" s="34"/>
      <c r="D780" s="34"/>
      <c r="E780" s="42" t="n">
        <v>45684</v>
      </c>
      <c r="F780" s="42" t="n">
        <v>45712</v>
      </c>
      <c r="G780" s="43" t="n">
        <v>20</v>
      </c>
      <c r="H780" s="77" t="e">
        <f aca="false">#VALUE!</f>
        <v>#VALUE!</v>
      </c>
      <c r="I780" s="77" t="e">
        <f aca="false">#VALUE!</f>
        <v>#VALUE!</v>
      </c>
      <c r="J780" s="66" t="s">
        <v>199</v>
      </c>
      <c r="K780" s="44" t="n">
        <v>20000</v>
      </c>
      <c r="L780" s="44" t="n">
        <v>32500</v>
      </c>
      <c r="M780" s="270" t="s">
        <v>184</v>
      </c>
      <c r="N780" s="267" t="n">
        <v>7500</v>
      </c>
      <c r="O780" s="267" t="n">
        <v>32500</v>
      </c>
      <c r="P780" s="59" t="n">
        <v>0</v>
      </c>
      <c r="Q780" s="263" t="n">
        <v>45726</v>
      </c>
    </row>
    <row r="781" customFormat="false" ht="19.4" hidden="false" customHeight="false" outlineLevel="0" collapsed="false">
      <c r="A781" s="264" t="n">
        <v>3058</v>
      </c>
      <c r="B781" s="34" t="s">
        <v>909</v>
      </c>
      <c r="C781" s="34"/>
      <c r="D781" s="34"/>
      <c r="E781" s="42" t="n">
        <v>45702</v>
      </c>
      <c r="F781" s="42" t="n">
        <v>45730</v>
      </c>
      <c r="G781" s="43" t="n">
        <v>20</v>
      </c>
      <c r="H781" s="77" t="e">
        <f aca="false">#DIV/0!</f>
        <v>#DIV/0!</v>
      </c>
      <c r="I781" s="77" t="e">
        <f aca="false">#DIV/0!</f>
        <v>#DIV/0!</v>
      </c>
      <c r="J781" s="66" t="s">
        <v>199</v>
      </c>
      <c r="K781" s="59" t="n">
        <v>45000</v>
      </c>
      <c r="L781" s="59" t="n">
        <v>67500</v>
      </c>
      <c r="M781" s="270"/>
      <c r="N781" s="267" t="n">
        <v>67500</v>
      </c>
      <c r="O781" s="267" t="n">
        <v>67500</v>
      </c>
      <c r="P781" s="59" t="n">
        <v>0</v>
      </c>
      <c r="Q781" s="263" t="n">
        <v>45726</v>
      </c>
    </row>
    <row r="782" customFormat="false" ht="19.4" hidden="false" customHeight="false" outlineLevel="0" collapsed="false">
      <c r="A782" s="264" t="n">
        <v>3060</v>
      </c>
      <c r="B782" s="34" t="s">
        <v>909</v>
      </c>
      <c r="C782" s="34"/>
      <c r="D782" s="34"/>
      <c r="E782" s="42" t="n">
        <v>45702</v>
      </c>
      <c r="F782" s="42" t="n">
        <v>45730</v>
      </c>
      <c r="G782" s="43" t="n">
        <v>20</v>
      </c>
      <c r="H782" s="77" t="e">
        <f aca="false">#DIV/0!</f>
        <v>#DIV/0!</v>
      </c>
      <c r="I782" s="77" t="e">
        <f aca="false">#DIV/0!</f>
        <v>#DIV/0!</v>
      </c>
      <c r="J782" s="66" t="s">
        <v>199</v>
      </c>
      <c r="K782" s="44" t="n">
        <v>30000</v>
      </c>
      <c r="L782" s="44" t="n">
        <v>45000</v>
      </c>
      <c r="M782" s="270"/>
      <c r="N782" s="267" t="n">
        <v>45000</v>
      </c>
      <c r="O782" s="267" t="n">
        <v>45000</v>
      </c>
      <c r="P782" s="59" t="n">
        <v>0</v>
      </c>
      <c r="Q782" s="263" t="n">
        <v>45726</v>
      </c>
    </row>
    <row r="783" customFormat="false" ht="19.4" hidden="false" customHeight="false" outlineLevel="0" collapsed="false">
      <c r="A783" s="264" t="n">
        <v>3072</v>
      </c>
      <c r="B783" s="34" t="s">
        <v>909</v>
      </c>
      <c r="C783" s="34"/>
      <c r="D783" s="34"/>
      <c r="E783" s="42" t="n">
        <v>45708</v>
      </c>
      <c r="F783" s="42" t="n">
        <v>45736</v>
      </c>
      <c r="G783" s="43" t="n">
        <v>20</v>
      </c>
      <c r="H783" s="77" t="e">
        <f aca="false">#DIV/0!</f>
        <v>#DIV/0!</v>
      </c>
      <c r="I783" s="77" t="e">
        <f aca="false">#DIV/0!</f>
        <v>#DIV/0!</v>
      </c>
      <c r="J783" s="66" t="s">
        <v>199</v>
      </c>
      <c r="K783" s="44" t="n">
        <v>20000</v>
      </c>
      <c r="L783" s="44" t="n">
        <v>32500</v>
      </c>
      <c r="M783" s="270"/>
      <c r="N783" s="267" t="n">
        <v>32500</v>
      </c>
      <c r="O783" s="267" t="n">
        <v>32500</v>
      </c>
      <c r="P783" s="59" t="n">
        <v>0</v>
      </c>
      <c r="Q783" s="263" t="n">
        <v>45726</v>
      </c>
    </row>
    <row r="784" customFormat="false" ht="37.3" hidden="false" customHeight="false" outlineLevel="0" collapsed="false">
      <c r="A784" s="264" t="n">
        <v>2904</v>
      </c>
      <c r="B784" s="34" t="s">
        <v>486</v>
      </c>
      <c r="C784" s="34" t="s">
        <v>476</v>
      </c>
      <c r="D784" s="34"/>
      <c r="E784" s="42" t="n">
        <v>45607</v>
      </c>
      <c r="F784" s="42" t="n">
        <v>45302</v>
      </c>
      <c r="G784" s="43" t="n">
        <v>80</v>
      </c>
      <c r="H784" s="77" t="n">
        <v>80</v>
      </c>
      <c r="I784" s="77" t="n">
        <v>0</v>
      </c>
      <c r="J784" s="66" t="s">
        <v>1143</v>
      </c>
      <c r="K784" s="44" t="n">
        <v>50000</v>
      </c>
      <c r="L784" s="44" t="n">
        <v>108000</v>
      </c>
      <c r="M784" s="266" t="n">
        <v>6750</v>
      </c>
      <c r="N784" s="267" t="n">
        <v>27000</v>
      </c>
      <c r="O784" s="267" t="n">
        <v>108000</v>
      </c>
      <c r="P784" s="59" t="n">
        <v>0</v>
      </c>
      <c r="Q784" s="263" t="n">
        <v>45726</v>
      </c>
    </row>
    <row r="785" customFormat="false" ht="28.35" hidden="false" customHeight="false" outlineLevel="0" collapsed="false">
      <c r="A785" s="264" t="n">
        <v>3061</v>
      </c>
      <c r="B785" s="34" t="s">
        <v>1100</v>
      </c>
      <c r="C785" s="34" t="s">
        <v>517</v>
      </c>
      <c r="D785" s="34"/>
      <c r="E785" s="42" t="n">
        <v>45703</v>
      </c>
      <c r="F785" s="42" t="n">
        <v>45728</v>
      </c>
      <c r="G785" s="43" t="n">
        <v>18</v>
      </c>
      <c r="H785" s="77" t="e">
        <f aca="false">#DIV/0!</f>
        <v>#DIV/0!</v>
      </c>
      <c r="I785" s="77" t="e">
        <f aca="false">#DIV/0!</f>
        <v>#DIV/0!</v>
      </c>
      <c r="J785" s="66" t="s">
        <v>199</v>
      </c>
      <c r="K785" s="44" t="n">
        <v>250000</v>
      </c>
      <c r="L785" s="44" t="n">
        <v>350000</v>
      </c>
      <c r="M785" s="270"/>
      <c r="N785" s="267" t="n">
        <v>350000</v>
      </c>
      <c r="O785" s="267" t="n">
        <v>350000</v>
      </c>
      <c r="P785" s="59" t="n">
        <v>0</v>
      </c>
      <c r="Q785" s="263" t="n">
        <v>45726</v>
      </c>
    </row>
    <row r="786" customFormat="false" ht="19.4" hidden="false" customHeight="false" outlineLevel="0" collapsed="false">
      <c r="A786" s="264" t="n">
        <v>2961</v>
      </c>
      <c r="B786" s="34" t="s">
        <v>537</v>
      </c>
      <c r="C786" s="34"/>
      <c r="D786" s="34"/>
      <c r="E786" s="42" t="n">
        <v>45645</v>
      </c>
      <c r="F786" s="42" t="n">
        <v>45743</v>
      </c>
      <c r="G786" s="43" t="n">
        <v>70</v>
      </c>
      <c r="H786" s="77" t="n">
        <v>70</v>
      </c>
      <c r="I786" s="77" t="n">
        <v>0</v>
      </c>
      <c r="J786" s="46" t="s">
        <v>1144</v>
      </c>
      <c r="K786" s="44" t="n">
        <v>70000</v>
      </c>
      <c r="L786" s="44" t="n">
        <v>151200</v>
      </c>
      <c r="M786" s="266" t="n">
        <v>10800</v>
      </c>
      <c r="N786" s="267" t="n">
        <v>38550</v>
      </c>
      <c r="O786" s="267" t="n">
        <v>151200</v>
      </c>
      <c r="P786" s="59" t="n">
        <v>0</v>
      </c>
      <c r="Q786" s="263" t="n">
        <v>45726</v>
      </c>
    </row>
    <row r="787" customFormat="false" ht="28.35" hidden="false" customHeight="false" outlineLevel="0" collapsed="false">
      <c r="A787" s="264" t="n">
        <v>3104</v>
      </c>
      <c r="B787" s="34" t="s">
        <v>1145</v>
      </c>
      <c r="C787" s="34"/>
      <c r="D787" s="34"/>
      <c r="E787" s="42" t="n">
        <v>45728</v>
      </c>
      <c r="F787" s="42" t="n">
        <v>45826</v>
      </c>
      <c r="G787" s="43" t="n">
        <v>70</v>
      </c>
      <c r="H787" s="77" t="n">
        <v>70</v>
      </c>
      <c r="I787" s="77" t="n">
        <v>0</v>
      </c>
      <c r="J787" s="46" t="s">
        <v>1070</v>
      </c>
      <c r="K787" s="44" t="n">
        <v>50000</v>
      </c>
      <c r="L787" s="44" t="n">
        <v>65000</v>
      </c>
      <c r="M787" s="266" t="n">
        <v>4642.85714285714</v>
      </c>
      <c r="N787" s="267" t="n">
        <v>65000</v>
      </c>
      <c r="O787" s="267" t="n">
        <v>65000</v>
      </c>
      <c r="P787" s="59" t="n">
        <v>0</v>
      </c>
      <c r="Q787" s="263" t="n">
        <v>45726</v>
      </c>
    </row>
    <row r="788" customFormat="false" ht="28.35" hidden="false" customHeight="false" outlineLevel="0" collapsed="false">
      <c r="A788" s="264" t="n">
        <v>2828</v>
      </c>
      <c r="B788" s="34" t="s">
        <v>561</v>
      </c>
      <c r="C788" s="34" t="s">
        <v>562</v>
      </c>
      <c r="D788" s="34"/>
      <c r="E788" s="42" t="n">
        <v>45560</v>
      </c>
      <c r="F788" s="42" t="n">
        <v>45658</v>
      </c>
      <c r="G788" s="43" t="n">
        <v>70</v>
      </c>
      <c r="H788" s="77" t="n">
        <v>70</v>
      </c>
      <c r="I788" s="77" t="n">
        <v>0</v>
      </c>
      <c r="J788" s="46" t="s">
        <v>1094</v>
      </c>
      <c r="K788" s="44" t="n">
        <v>100000</v>
      </c>
      <c r="L788" s="44" t="n">
        <v>217000</v>
      </c>
      <c r="M788" s="270" t="n">
        <v>15500</v>
      </c>
      <c r="N788" s="267" t="n">
        <v>4000</v>
      </c>
      <c r="O788" s="267" t="n">
        <v>217000</v>
      </c>
      <c r="P788" s="59" t="n">
        <v>0</v>
      </c>
      <c r="Q788" s="263" t="n">
        <v>45726</v>
      </c>
    </row>
    <row r="789" customFormat="false" ht="37.3" hidden="false" customHeight="false" outlineLevel="0" collapsed="false">
      <c r="A789" s="264" t="n">
        <v>2948</v>
      </c>
      <c r="B789" s="34" t="s">
        <v>1146</v>
      </c>
      <c r="C789" s="34" t="s">
        <v>533</v>
      </c>
      <c r="D789" s="34"/>
      <c r="E789" s="42" t="n">
        <v>45633</v>
      </c>
      <c r="F789" s="42" t="n">
        <v>45139</v>
      </c>
      <c r="G789" s="43" t="n">
        <v>80</v>
      </c>
      <c r="H789" s="77" t="n">
        <f aca="false">(EH789* 5)/M789</f>
        <v>0</v>
      </c>
      <c r="I789" s="77" t="n">
        <f aca="false">G789-H789</f>
        <v>80</v>
      </c>
      <c r="J789" s="66" t="s">
        <v>1143</v>
      </c>
      <c r="K789" s="44" t="n">
        <v>50000</v>
      </c>
      <c r="L789" s="44" t="n">
        <v>108000</v>
      </c>
      <c r="M789" s="266" t="n">
        <f aca="false">(L789/G789)*5</f>
        <v>6750</v>
      </c>
      <c r="N789" s="297" t="s">
        <v>1147</v>
      </c>
      <c r="O789" s="321" t="n">
        <v>54000</v>
      </c>
      <c r="P789" s="322" t="n">
        <v>54000</v>
      </c>
      <c r="Q789" s="263" t="n">
        <v>45726</v>
      </c>
    </row>
    <row r="790" customFormat="false" ht="30.55" hidden="false" customHeight="false" outlineLevel="0" collapsed="false">
      <c r="A790" s="323" t="n">
        <v>2940</v>
      </c>
      <c r="B790" s="324" t="s">
        <v>232</v>
      </c>
      <c r="C790" s="324" t="s">
        <v>233</v>
      </c>
      <c r="D790" s="324"/>
      <c r="E790" s="325" t="n">
        <v>45628</v>
      </c>
      <c r="F790" s="325" t="n">
        <v>45728</v>
      </c>
      <c r="G790" s="326" t="n">
        <v>72</v>
      </c>
      <c r="H790" s="327" t="n">
        <v>72</v>
      </c>
      <c r="I790" s="327" t="n">
        <v>0</v>
      </c>
      <c r="J790" s="324" t="s">
        <v>190</v>
      </c>
      <c r="K790" s="328" t="n">
        <v>200000</v>
      </c>
      <c r="L790" s="329" t="n">
        <v>432000</v>
      </c>
      <c r="M790" s="330" t="n">
        <v>30000</v>
      </c>
      <c r="N790" s="331" t="n">
        <v>12000</v>
      </c>
      <c r="O790" s="331" t="n">
        <v>432000</v>
      </c>
      <c r="P790" s="329" t="n">
        <v>0</v>
      </c>
      <c r="Q790" s="263" t="n">
        <v>45733</v>
      </c>
    </row>
    <row r="791" customFormat="false" ht="30.55" hidden="false" customHeight="false" outlineLevel="0" collapsed="false">
      <c r="A791" s="323" t="n">
        <v>2905</v>
      </c>
      <c r="B791" s="324" t="s">
        <v>277</v>
      </c>
      <c r="C791" s="324" t="s">
        <v>278</v>
      </c>
      <c r="D791" s="324" t="n">
        <v>14154231</v>
      </c>
      <c r="E791" s="325" t="n">
        <v>45607</v>
      </c>
      <c r="F791" s="325" t="n">
        <v>45707</v>
      </c>
      <c r="G791" s="326" t="n">
        <v>72</v>
      </c>
      <c r="H791" s="327" t="n">
        <v>72</v>
      </c>
      <c r="I791" s="327" t="n">
        <v>0</v>
      </c>
      <c r="J791" s="332" t="s">
        <v>279</v>
      </c>
      <c r="K791" s="333" t="n">
        <v>300000</v>
      </c>
      <c r="L791" s="333" t="n">
        <v>648000</v>
      </c>
      <c r="M791" s="330" t="n">
        <v>45000</v>
      </c>
      <c r="N791" s="331" t="n">
        <v>162000</v>
      </c>
      <c r="O791" s="331" t="n">
        <v>648000</v>
      </c>
      <c r="P791" s="329" t="n">
        <v>0</v>
      </c>
      <c r="Q791" s="263" t="n">
        <v>45733</v>
      </c>
    </row>
    <row r="792" customFormat="false" ht="30.55" hidden="false" customHeight="false" outlineLevel="0" collapsed="false">
      <c r="A792" s="323" t="n">
        <v>3069</v>
      </c>
      <c r="B792" s="324" t="s">
        <v>287</v>
      </c>
      <c r="C792" s="324" t="s">
        <v>288</v>
      </c>
      <c r="D792" s="324"/>
      <c r="E792" s="325" t="n">
        <v>45707</v>
      </c>
      <c r="F792" s="325" t="n">
        <v>45735</v>
      </c>
      <c r="G792" s="326" t="n">
        <v>20</v>
      </c>
      <c r="H792" s="327" t="n">
        <v>73.3241925655088</v>
      </c>
      <c r="I792" s="327" t="n">
        <v>-53.3241925655088</v>
      </c>
      <c r="J792" s="332" t="s">
        <v>199</v>
      </c>
      <c r="K792" s="333" t="n">
        <v>350000</v>
      </c>
      <c r="L792" s="333" t="n">
        <v>481280</v>
      </c>
      <c r="M792" s="330" t="n">
        <v>32820</v>
      </c>
      <c r="N792" s="331" t="n">
        <v>124200</v>
      </c>
      <c r="O792" s="331" t="n">
        <v>481300</v>
      </c>
      <c r="P792" s="329" t="n">
        <v>-20</v>
      </c>
      <c r="Q792" s="263" t="n">
        <v>45733</v>
      </c>
    </row>
    <row r="793" customFormat="false" ht="30.55" hidden="false" customHeight="false" outlineLevel="0" collapsed="false">
      <c r="A793" s="323" t="n">
        <v>2827</v>
      </c>
      <c r="B793" s="324" t="s">
        <v>291</v>
      </c>
      <c r="C793" s="324" t="s">
        <v>292</v>
      </c>
      <c r="D793" s="324"/>
      <c r="E793" s="325" t="n">
        <v>45560</v>
      </c>
      <c r="F793" s="325" t="n">
        <v>45728</v>
      </c>
      <c r="G793" s="326" t="n">
        <v>120</v>
      </c>
      <c r="H793" s="327" t="n">
        <v>120</v>
      </c>
      <c r="I793" s="327" t="n">
        <v>0</v>
      </c>
      <c r="J793" s="332" t="s">
        <v>1148</v>
      </c>
      <c r="K793" s="333" t="n">
        <v>100000</v>
      </c>
      <c r="L793" s="333" t="n">
        <v>264000</v>
      </c>
      <c r="M793" s="330" t="n">
        <v>11000</v>
      </c>
      <c r="N793" s="331" t="n">
        <v>44000</v>
      </c>
      <c r="O793" s="331" t="n">
        <v>264000</v>
      </c>
      <c r="P793" s="329" t="n">
        <v>0</v>
      </c>
      <c r="Q793" s="263" t="n">
        <v>45733</v>
      </c>
    </row>
    <row r="794" customFormat="false" ht="20.85" hidden="false" customHeight="false" outlineLevel="0" collapsed="false">
      <c r="A794" s="323" t="n">
        <v>3098</v>
      </c>
      <c r="B794" s="324" t="s">
        <v>363</v>
      </c>
      <c r="C794" s="324"/>
      <c r="D794" s="324"/>
      <c r="E794" s="325" t="n">
        <v>45725</v>
      </c>
      <c r="F794" s="325" t="n">
        <v>45730</v>
      </c>
      <c r="G794" s="326" t="n">
        <v>5</v>
      </c>
      <c r="H794" s="327" t="e">
        <f aca="false">#DIV/0!</f>
        <v>#DIV/0!</v>
      </c>
      <c r="I794" s="327" t="e">
        <f aca="false">#DIV/0!</f>
        <v>#DIV/0!</v>
      </c>
      <c r="J794" s="332" t="s">
        <v>199</v>
      </c>
      <c r="K794" s="333" t="n">
        <v>30000</v>
      </c>
      <c r="L794" s="333" t="n">
        <v>39000</v>
      </c>
      <c r="M794" s="334"/>
      <c r="N794" s="331" t="n">
        <v>39000</v>
      </c>
      <c r="O794" s="331" t="n">
        <v>39000</v>
      </c>
      <c r="P794" s="329" t="n">
        <v>0</v>
      </c>
      <c r="Q794" s="263" t="n">
        <v>45733</v>
      </c>
    </row>
    <row r="795" customFormat="false" ht="20.85" hidden="false" customHeight="false" outlineLevel="0" collapsed="false">
      <c r="A795" s="323" t="n">
        <v>3105</v>
      </c>
      <c r="B795" s="324" t="s">
        <v>363</v>
      </c>
      <c r="C795" s="324"/>
      <c r="D795" s="324"/>
      <c r="E795" s="325" t="n">
        <v>45729</v>
      </c>
      <c r="F795" s="325" t="n">
        <v>45736</v>
      </c>
      <c r="G795" s="326" t="n">
        <v>5</v>
      </c>
      <c r="H795" s="327" t="e">
        <f aca="false">#VALUE!</f>
        <v>#VALUE!</v>
      </c>
      <c r="I795" s="327" t="e">
        <f aca="false">#VALUE!</f>
        <v>#VALUE!</v>
      </c>
      <c r="J795" s="332" t="s">
        <v>199</v>
      </c>
      <c r="K795" s="329" t="n">
        <v>100000</v>
      </c>
      <c r="L795" s="329" t="n">
        <v>130000</v>
      </c>
      <c r="M795" s="330" t="s">
        <v>184</v>
      </c>
      <c r="N795" s="331" t="n">
        <v>130000</v>
      </c>
      <c r="O795" s="331" t="n">
        <v>130000</v>
      </c>
      <c r="P795" s="329" t="n">
        <v>0</v>
      </c>
      <c r="Q795" s="263" t="n">
        <v>45733</v>
      </c>
    </row>
    <row r="796" customFormat="false" ht="40.25" hidden="false" customHeight="false" outlineLevel="0" collapsed="false">
      <c r="A796" s="323" t="n">
        <v>2834</v>
      </c>
      <c r="B796" s="324" t="s">
        <v>382</v>
      </c>
      <c r="C796" s="324" t="s">
        <v>383</v>
      </c>
      <c r="D796" s="324"/>
      <c r="E796" s="325" t="n">
        <v>45563</v>
      </c>
      <c r="F796" s="325" t="n">
        <v>45664</v>
      </c>
      <c r="G796" s="326" t="n">
        <v>72</v>
      </c>
      <c r="H796" s="327" t="n">
        <v>72</v>
      </c>
      <c r="I796" s="327" t="n">
        <v>0</v>
      </c>
      <c r="J796" s="324" t="s">
        <v>560</v>
      </c>
      <c r="K796" s="333" t="n">
        <v>10000</v>
      </c>
      <c r="L796" s="333" t="n">
        <v>21600</v>
      </c>
      <c r="M796" s="330" t="n">
        <v>1500</v>
      </c>
      <c r="N796" s="331" t="n">
        <v>600</v>
      </c>
      <c r="O796" s="331" t="n">
        <v>21600</v>
      </c>
      <c r="P796" s="329" t="n">
        <v>0</v>
      </c>
      <c r="Q796" s="263" t="n">
        <v>45733</v>
      </c>
    </row>
    <row r="797" customFormat="false" ht="40.25" hidden="false" customHeight="false" outlineLevel="0" collapsed="false">
      <c r="A797" s="323" t="n">
        <v>2887</v>
      </c>
      <c r="B797" s="324" t="s">
        <v>682</v>
      </c>
      <c r="C797" s="324" t="s">
        <v>683</v>
      </c>
      <c r="D797" s="324"/>
      <c r="E797" s="325" t="n">
        <v>45593</v>
      </c>
      <c r="F797" s="325" t="n">
        <v>45693</v>
      </c>
      <c r="G797" s="326" t="n">
        <v>72</v>
      </c>
      <c r="H797" s="327" t="n">
        <v>72</v>
      </c>
      <c r="I797" s="327" t="n">
        <v>0</v>
      </c>
      <c r="J797" s="324" t="s">
        <v>333</v>
      </c>
      <c r="K797" s="333" t="n">
        <v>50000</v>
      </c>
      <c r="L797" s="333" t="n">
        <v>108000</v>
      </c>
      <c r="M797" s="334" t="n">
        <v>7500</v>
      </c>
      <c r="N797" s="331" t="n">
        <v>10500</v>
      </c>
      <c r="O797" s="331" t="n">
        <v>108000</v>
      </c>
      <c r="P797" s="329" t="n">
        <v>0</v>
      </c>
      <c r="Q797" s="263" t="n">
        <v>45733</v>
      </c>
    </row>
    <row r="798" customFormat="false" ht="49.95" hidden="false" customHeight="false" outlineLevel="0" collapsed="false">
      <c r="A798" s="323" t="n">
        <v>2902</v>
      </c>
      <c r="B798" s="324" t="s">
        <v>440</v>
      </c>
      <c r="C798" s="324" t="s">
        <v>207</v>
      </c>
      <c r="D798" s="324"/>
      <c r="E798" s="325" t="n">
        <v>45607</v>
      </c>
      <c r="F798" s="325" t="n">
        <v>45707</v>
      </c>
      <c r="G798" s="326" t="n">
        <v>72</v>
      </c>
      <c r="H798" s="327" t="n">
        <v>72</v>
      </c>
      <c r="I798" s="327" t="n">
        <v>0</v>
      </c>
      <c r="J798" s="324" t="s">
        <v>720</v>
      </c>
      <c r="K798" s="335" t="n">
        <v>60000</v>
      </c>
      <c r="L798" s="329" t="n">
        <v>129600</v>
      </c>
      <c r="M798" s="330" t="n">
        <v>9000</v>
      </c>
      <c r="N798" s="331" t="n">
        <v>9000</v>
      </c>
      <c r="O798" s="331" t="n">
        <v>129600</v>
      </c>
      <c r="P798" s="329" t="n">
        <v>0</v>
      </c>
      <c r="Q798" s="263" t="n">
        <v>45733</v>
      </c>
    </row>
    <row r="799" customFormat="false" ht="49.95" hidden="false" customHeight="false" outlineLevel="0" collapsed="false">
      <c r="A799" s="323" t="n">
        <v>2784</v>
      </c>
      <c r="B799" s="324" t="s">
        <v>452</v>
      </c>
      <c r="C799" s="324"/>
      <c r="D799" s="324"/>
      <c r="E799" s="325" t="n">
        <v>45534</v>
      </c>
      <c r="F799" s="325" t="n">
        <v>45702</v>
      </c>
      <c r="G799" s="326" t="n">
        <v>120</v>
      </c>
      <c r="H799" s="327" t="n">
        <v>120</v>
      </c>
      <c r="I799" s="327" t="n">
        <v>0</v>
      </c>
      <c r="J799" s="332" t="s">
        <v>456</v>
      </c>
      <c r="K799" s="333" t="n">
        <v>100000</v>
      </c>
      <c r="L799" s="333" t="n">
        <v>264000</v>
      </c>
      <c r="M799" s="330" t="n">
        <v>11000</v>
      </c>
      <c r="N799" s="331" t="n">
        <v>44000</v>
      </c>
      <c r="O799" s="331" t="n">
        <v>264000</v>
      </c>
      <c r="P799" s="329" t="n">
        <v>0</v>
      </c>
      <c r="Q799" s="263" t="n">
        <v>45733</v>
      </c>
    </row>
    <row r="800" customFormat="false" ht="30.55" hidden="false" customHeight="false" outlineLevel="0" collapsed="false">
      <c r="A800" s="323" t="n">
        <v>2911</v>
      </c>
      <c r="B800" s="324" t="s">
        <v>469</v>
      </c>
      <c r="C800" s="324" t="s">
        <v>470</v>
      </c>
      <c r="D800" s="324" t="s">
        <v>471</v>
      </c>
      <c r="E800" s="325" t="n">
        <v>45609</v>
      </c>
      <c r="F800" s="325" t="n">
        <v>45709</v>
      </c>
      <c r="G800" s="326" t="n">
        <v>72</v>
      </c>
      <c r="H800" s="327" t="n">
        <v>72</v>
      </c>
      <c r="I800" s="327" t="n">
        <v>0</v>
      </c>
      <c r="J800" s="324" t="s">
        <v>190</v>
      </c>
      <c r="K800" s="333" t="n">
        <v>200000</v>
      </c>
      <c r="L800" s="333" t="n">
        <v>432000</v>
      </c>
      <c r="M800" s="330" t="n">
        <v>30000</v>
      </c>
      <c r="N800" s="331" t="n">
        <v>12000</v>
      </c>
      <c r="O800" s="331" t="n">
        <v>432000</v>
      </c>
      <c r="P800" s="329" t="n">
        <v>0</v>
      </c>
      <c r="Q800" s="263" t="n">
        <v>45733</v>
      </c>
    </row>
    <row r="801" customFormat="false" ht="69.4" hidden="false" customHeight="false" outlineLevel="0" collapsed="false">
      <c r="A801" s="323" t="n">
        <v>2737</v>
      </c>
      <c r="B801" s="324" t="s">
        <v>522</v>
      </c>
      <c r="C801" s="324" t="s">
        <v>523</v>
      </c>
      <c r="D801" s="324"/>
      <c r="E801" s="325" t="n">
        <v>45504</v>
      </c>
      <c r="F801" s="325" t="n">
        <v>45672</v>
      </c>
      <c r="G801" s="326" t="n">
        <v>120</v>
      </c>
      <c r="H801" s="327" t="n">
        <v>120</v>
      </c>
      <c r="I801" s="327" t="n">
        <v>0</v>
      </c>
      <c r="J801" s="324" t="s">
        <v>1149</v>
      </c>
      <c r="K801" s="333" t="n">
        <v>500000</v>
      </c>
      <c r="L801" s="333" t="n">
        <v>1320000</v>
      </c>
      <c r="M801" s="330" t="n">
        <v>55000</v>
      </c>
      <c r="N801" s="331" t="n">
        <v>75000</v>
      </c>
      <c r="O801" s="331" t="n">
        <v>1320000</v>
      </c>
      <c r="P801" s="329" t="n">
        <v>0</v>
      </c>
      <c r="Q801" s="263" t="n">
        <v>45733</v>
      </c>
    </row>
    <row r="802" customFormat="false" ht="49.95" hidden="false" customHeight="false" outlineLevel="0" collapsed="false">
      <c r="A802" s="323" t="n">
        <v>2812</v>
      </c>
      <c r="B802" s="324" t="s">
        <v>324</v>
      </c>
      <c r="C802" s="324" t="s">
        <v>325</v>
      </c>
      <c r="D802" s="324"/>
      <c r="E802" s="325" t="n">
        <v>45553</v>
      </c>
      <c r="F802" s="325" t="n">
        <v>45742</v>
      </c>
      <c r="G802" s="326" t="n">
        <v>135</v>
      </c>
      <c r="H802" s="332" t="s">
        <v>1150</v>
      </c>
      <c r="I802" s="329" t="n">
        <v>300000</v>
      </c>
      <c r="J802" s="329" t="n">
        <v>810000</v>
      </c>
      <c r="K802" s="330" t="n">
        <v>30000</v>
      </c>
      <c r="L802" s="329" t="n">
        <v>810000</v>
      </c>
      <c r="M802" s="330" t="n">
        <v>30000</v>
      </c>
      <c r="N802" s="331" t="n">
        <v>90000</v>
      </c>
      <c r="O802" s="331" t="n">
        <v>810000</v>
      </c>
      <c r="P802" s="329" t="n">
        <v>0</v>
      </c>
      <c r="Q802" s="263" t="n">
        <v>45740</v>
      </c>
    </row>
    <row r="803" customFormat="false" ht="49.95" hidden="false" customHeight="false" outlineLevel="0" collapsed="false">
      <c r="A803" s="323" t="n">
        <v>2926</v>
      </c>
      <c r="B803" s="324" t="s">
        <v>324</v>
      </c>
      <c r="C803" s="324" t="s">
        <v>325</v>
      </c>
      <c r="D803" s="324"/>
      <c r="E803" s="325" t="n">
        <v>45619</v>
      </c>
      <c r="F803" s="325" t="n">
        <v>45730</v>
      </c>
      <c r="G803" s="326" t="n">
        <v>80</v>
      </c>
      <c r="H803" s="332" t="s">
        <v>250</v>
      </c>
      <c r="I803" s="333" t="n">
        <v>100000</v>
      </c>
      <c r="J803" s="333" t="n">
        <v>216000</v>
      </c>
      <c r="K803" s="330" t="n">
        <v>13500</v>
      </c>
      <c r="L803" s="333" t="n">
        <v>216000</v>
      </c>
      <c r="M803" s="330" t="n">
        <v>13500</v>
      </c>
      <c r="N803" s="331" t="n">
        <v>54000</v>
      </c>
      <c r="O803" s="331" t="n">
        <v>216000</v>
      </c>
      <c r="P803" s="329" t="n">
        <v>0</v>
      </c>
      <c r="Q803" s="263" t="n">
        <v>45740</v>
      </c>
    </row>
    <row r="804" customFormat="false" ht="20.85" hidden="false" customHeight="false" outlineLevel="0" collapsed="false">
      <c r="A804" s="323" t="n">
        <v>3117</v>
      </c>
      <c r="B804" s="324" t="s">
        <v>363</v>
      </c>
      <c r="C804" s="324"/>
      <c r="D804" s="324"/>
      <c r="E804" s="325" t="n">
        <v>45736</v>
      </c>
      <c r="F804" s="325" t="n">
        <v>45743</v>
      </c>
      <c r="G804" s="326" t="n">
        <v>5</v>
      </c>
      <c r="H804" s="332" t="s">
        <v>199</v>
      </c>
      <c r="I804" s="333" t="n">
        <v>100000</v>
      </c>
      <c r="J804" s="333" t="n">
        <v>130000</v>
      </c>
      <c r="K804" s="330"/>
      <c r="L804" s="333" t="n">
        <v>130000</v>
      </c>
      <c r="M804" s="330"/>
      <c r="N804" s="331" t="n">
        <v>130000</v>
      </c>
      <c r="O804" s="331" t="n">
        <v>130000</v>
      </c>
      <c r="P804" s="329" t="n">
        <v>0</v>
      </c>
      <c r="Q804" s="263" t="n">
        <v>45740</v>
      </c>
    </row>
    <row r="805" customFormat="false" ht="49.95" hidden="false" customHeight="false" outlineLevel="0" collapsed="false">
      <c r="A805" s="323" t="n">
        <v>2879</v>
      </c>
      <c r="B805" s="324" t="s">
        <v>763</v>
      </c>
      <c r="C805" s="324" t="s">
        <v>389</v>
      </c>
      <c r="D805" s="324"/>
      <c r="E805" s="325" t="n">
        <v>45588</v>
      </c>
      <c r="F805" s="325" t="n">
        <v>45700</v>
      </c>
      <c r="G805" s="326" t="n">
        <v>80</v>
      </c>
      <c r="H805" s="332" t="s">
        <v>1151</v>
      </c>
      <c r="I805" s="333" t="n">
        <v>50000</v>
      </c>
      <c r="J805" s="333" t="n">
        <v>120000</v>
      </c>
      <c r="K805" s="334" t="n">
        <v>7500</v>
      </c>
      <c r="L805" s="333" t="n">
        <v>120000</v>
      </c>
      <c r="M805" s="334" t="n">
        <v>7500</v>
      </c>
      <c r="N805" s="331" t="n">
        <v>30000</v>
      </c>
      <c r="O805" s="331" t="n">
        <v>137020</v>
      </c>
      <c r="P805" s="329" t="n">
        <v>-17020</v>
      </c>
      <c r="Q805" s="263" t="n">
        <v>45740</v>
      </c>
    </row>
    <row r="806" customFormat="false" ht="49.95" hidden="false" customHeight="false" outlineLevel="0" collapsed="false">
      <c r="A806" s="323" t="n">
        <v>2839</v>
      </c>
      <c r="B806" s="324" t="s">
        <v>420</v>
      </c>
      <c r="C806" s="324" t="s">
        <v>210</v>
      </c>
      <c r="D806" s="324"/>
      <c r="E806" s="325" t="n">
        <v>45566</v>
      </c>
      <c r="F806" s="325" t="n">
        <v>45666</v>
      </c>
      <c r="G806" s="326" t="n">
        <v>72</v>
      </c>
      <c r="H806" s="324" t="s">
        <v>1152</v>
      </c>
      <c r="I806" s="329" t="n">
        <v>80000</v>
      </c>
      <c r="J806" s="329" t="n">
        <v>198000</v>
      </c>
      <c r="K806" s="330" t="n">
        <v>13750</v>
      </c>
      <c r="L806" s="329" t="n">
        <v>198000</v>
      </c>
      <c r="M806" s="330" t="n">
        <v>13750</v>
      </c>
      <c r="N806" s="331" t="n">
        <v>25000</v>
      </c>
      <c r="O806" s="331" t="n">
        <v>203000</v>
      </c>
      <c r="P806" s="329" t="n">
        <v>-5000</v>
      </c>
      <c r="Q806" s="263" t="n">
        <v>45740</v>
      </c>
    </row>
    <row r="807" customFormat="false" ht="40.25" hidden="false" customHeight="false" outlineLevel="0" collapsed="false">
      <c r="A807" s="323" t="n">
        <v>2920</v>
      </c>
      <c r="B807" s="324" t="s">
        <v>459</v>
      </c>
      <c r="C807" s="324" t="s">
        <v>460</v>
      </c>
      <c r="D807" s="324"/>
      <c r="E807" s="325" t="n">
        <v>45616</v>
      </c>
      <c r="F807" s="325" t="n">
        <v>45716</v>
      </c>
      <c r="G807" s="326" t="n">
        <v>72</v>
      </c>
      <c r="H807" s="324" t="s">
        <v>333</v>
      </c>
      <c r="I807" s="329" t="n">
        <v>50000</v>
      </c>
      <c r="J807" s="329" t="n">
        <v>108000</v>
      </c>
      <c r="K807" s="334" t="n">
        <v>7500</v>
      </c>
      <c r="L807" s="329" t="n">
        <v>108000</v>
      </c>
      <c r="M807" s="334" t="n">
        <v>7500</v>
      </c>
      <c r="N807" s="331" t="n">
        <v>10500</v>
      </c>
      <c r="O807" s="331" t="n">
        <v>108000</v>
      </c>
      <c r="P807" s="329" t="n">
        <v>0</v>
      </c>
      <c r="Q807" s="263" t="n">
        <v>45740</v>
      </c>
    </row>
    <row r="808" customFormat="false" ht="40.25" hidden="false" customHeight="false" outlineLevel="0" collapsed="false">
      <c r="A808" s="323" t="n">
        <v>2943</v>
      </c>
      <c r="B808" s="324" t="s">
        <v>459</v>
      </c>
      <c r="C808" s="324" t="s">
        <v>460</v>
      </c>
      <c r="D808" s="324"/>
      <c r="E808" s="325" t="n">
        <v>45630</v>
      </c>
      <c r="F808" s="325" t="n">
        <v>45730</v>
      </c>
      <c r="G808" s="326" t="n">
        <v>72</v>
      </c>
      <c r="H808" s="324" t="s">
        <v>720</v>
      </c>
      <c r="I808" s="333" t="n">
        <v>60000</v>
      </c>
      <c r="J808" s="333" t="n">
        <v>129600</v>
      </c>
      <c r="K808" s="330" t="n">
        <v>9000</v>
      </c>
      <c r="L808" s="333" t="n">
        <v>129600</v>
      </c>
      <c r="M808" s="330" t="n">
        <v>9000</v>
      </c>
      <c r="N808" s="331" t="n">
        <v>23900</v>
      </c>
      <c r="O808" s="331" t="n">
        <v>129600</v>
      </c>
      <c r="P808" s="329" t="n">
        <v>0</v>
      </c>
      <c r="Q808" s="263" t="n">
        <v>45740</v>
      </c>
    </row>
    <row r="809" customFormat="false" ht="26.1" hidden="false" customHeight="false" outlineLevel="0" collapsed="false">
      <c r="A809" s="20" t="n">
        <v>3032</v>
      </c>
      <c r="B809" s="22" t="s">
        <v>1117</v>
      </c>
      <c r="C809" s="22" t="s">
        <v>204</v>
      </c>
      <c r="D809" s="22"/>
      <c r="E809" s="23" t="n">
        <v>45684</v>
      </c>
      <c r="F809" s="23" t="n">
        <v>45705</v>
      </c>
      <c r="G809" s="24" t="n">
        <v>15</v>
      </c>
      <c r="H809" s="283" t="n">
        <v>15</v>
      </c>
      <c r="I809" s="283" t="n">
        <v>0</v>
      </c>
      <c r="J809" s="269" t="s">
        <v>1153</v>
      </c>
      <c r="K809" s="27" t="n">
        <v>130000</v>
      </c>
      <c r="L809" s="27" t="n">
        <v>180000</v>
      </c>
      <c r="M809" s="28" t="n">
        <v>60000</v>
      </c>
      <c r="N809" s="29" t="n">
        <v>30000</v>
      </c>
      <c r="O809" s="29" t="n">
        <v>180000</v>
      </c>
      <c r="P809" s="30" t="n">
        <v>0</v>
      </c>
      <c r="Q809" s="263" t="n">
        <v>45747</v>
      </c>
    </row>
    <row r="810" customFormat="false" ht="42.5" hidden="false" customHeight="false" outlineLevel="0" collapsed="false">
      <c r="A810" s="20" t="n">
        <v>2863</v>
      </c>
      <c r="B810" s="22" t="s">
        <v>334</v>
      </c>
      <c r="C810" s="22" t="s">
        <v>335</v>
      </c>
      <c r="D810" s="22"/>
      <c r="E810" s="23" t="n">
        <v>45582</v>
      </c>
      <c r="F810" s="23" t="n">
        <v>45694</v>
      </c>
      <c r="G810" s="24" t="n">
        <v>80</v>
      </c>
      <c r="H810" s="283" t="n">
        <v>80</v>
      </c>
      <c r="I810" s="283" t="n">
        <v>0</v>
      </c>
      <c r="J810" s="269" t="s">
        <v>956</v>
      </c>
      <c r="K810" s="27" t="n">
        <v>20000</v>
      </c>
      <c r="L810" s="27" t="n">
        <v>43200</v>
      </c>
      <c r="M810" s="45" t="n">
        <v>2700</v>
      </c>
      <c r="N810" s="29" t="n">
        <v>5600</v>
      </c>
      <c r="O810" s="29" t="n">
        <v>43200</v>
      </c>
      <c r="P810" s="30" t="n">
        <v>0</v>
      </c>
      <c r="Q810" s="263" t="n">
        <v>45747</v>
      </c>
    </row>
    <row r="811" customFormat="false" ht="34.3" hidden="false" customHeight="false" outlineLevel="0" collapsed="false">
      <c r="A811" s="20" t="n">
        <v>2945</v>
      </c>
      <c r="B811" s="22" t="s">
        <v>384</v>
      </c>
      <c r="C811" s="22" t="s">
        <v>383</v>
      </c>
      <c r="D811" s="22"/>
      <c r="E811" s="23" t="n">
        <v>45630</v>
      </c>
      <c r="F811" s="23" t="n">
        <v>45730</v>
      </c>
      <c r="G811" s="24" t="n">
        <v>72</v>
      </c>
      <c r="H811" s="283" t="n">
        <v>72</v>
      </c>
      <c r="I811" s="283" t="n">
        <v>0</v>
      </c>
      <c r="J811" s="22" t="s">
        <v>679</v>
      </c>
      <c r="K811" s="27" t="n">
        <v>20000</v>
      </c>
      <c r="L811" s="27" t="n">
        <v>43200</v>
      </c>
      <c r="M811" s="28" t="n">
        <v>3000</v>
      </c>
      <c r="N811" s="29" t="n">
        <v>8400</v>
      </c>
      <c r="O811" s="29" t="n">
        <v>43200</v>
      </c>
      <c r="P811" s="30" t="n">
        <v>0</v>
      </c>
      <c r="Q811" s="263" t="n">
        <v>45747</v>
      </c>
    </row>
    <row r="812" customFormat="false" ht="34.3" hidden="false" customHeight="false" outlineLevel="0" collapsed="false">
      <c r="A812" s="20" t="n">
        <v>2697</v>
      </c>
      <c r="B812" s="22" t="s">
        <v>405</v>
      </c>
      <c r="C812" s="22" t="s">
        <v>406</v>
      </c>
      <c r="D812" s="22"/>
      <c r="E812" s="23" t="n">
        <v>45479</v>
      </c>
      <c r="F812" s="23" t="n">
        <v>45688</v>
      </c>
      <c r="G812" s="24" t="n">
        <v>150</v>
      </c>
      <c r="H812" s="283" t="n">
        <v>150</v>
      </c>
      <c r="I812" s="283" t="n">
        <v>0</v>
      </c>
      <c r="J812" s="74" t="s">
        <v>408</v>
      </c>
      <c r="K812" s="30" t="n">
        <v>300000</v>
      </c>
      <c r="L812" s="30" t="n">
        <v>792000</v>
      </c>
      <c r="M812" s="28" t="n">
        <v>26400</v>
      </c>
      <c r="N812" s="29" t="n">
        <v>75800</v>
      </c>
      <c r="O812" s="29" t="n">
        <v>792000</v>
      </c>
      <c r="P812" s="30" t="n">
        <v>0</v>
      </c>
      <c r="Q812" s="263" t="n">
        <v>45747</v>
      </c>
    </row>
    <row r="813" customFormat="false" ht="26.1" hidden="false" customHeight="false" outlineLevel="0" collapsed="false">
      <c r="A813" s="20" t="n">
        <v>2811</v>
      </c>
      <c r="B813" s="22" t="s">
        <v>431</v>
      </c>
      <c r="C813" s="22" t="s">
        <v>432</v>
      </c>
      <c r="D813" s="22"/>
      <c r="E813" s="23" t="n">
        <v>45552</v>
      </c>
      <c r="F813" s="23" t="n">
        <v>45706</v>
      </c>
      <c r="G813" s="24" t="n">
        <v>110</v>
      </c>
      <c r="H813" s="283" t="n">
        <v>111.053571428571</v>
      </c>
      <c r="I813" s="283" t="n">
        <v>-1.05357142857143</v>
      </c>
      <c r="J813" s="74" t="s">
        <v>1154</v>
      </c>
      <c r="K813" s="30" t="n">
        <v>70000</v>
      </c>
      <c r="L813" s="30" t="n">
        <v>184800</v>
      </c>
      <c r="M813" s="45" t="n">
        <v>8400</v>
      </c>
      <c r="N813" s="29" t="n">
        <v>20000</v>
      </c>
      <c r="O813" s="29" t="n">
        <v>186570</v>
      </c>
      <c r="P813" s="30" t="n">
        <v>-1770</v>
      </c>
      <c r="Q813" s="263" t="n">
        <v>45747</v>
      </c>
    </row>
    <row r="814" customFormat="false" ht="34.3" hidden="false" customHeight="false" outlineLevel="0" collapsed="false">
      <c r="A814" s="20" t="n">
        <v>2925</v>
      </c>
      <c r="B814" s="22" t="s">
        <v>440</v>
      </c>
      <c r="C814" s="22" t="s">
        <v>207</v>
      </c>
      <c r="D814" s="22"/>
      <c r="E814" s="23" t="n">
        <v>45619</v>
      </c>
      <c r="F814" s="23" t="n">
        <v>45720</v>
      </c>
      <c r="G814" s="24" t="n">
        <v>72</v>
      </c>
      <c r="H814" s="283" t="n">
        <v>72</v>
      </c>
      <c r="I814" s="283" t="n">
        <v>0</v>
      </c>
      <c r="J814" s="22" t="s">
        <v>333</v>
      </c>
      <c r="K814" s="27" t="n">
        <v>50000</v>
      </c>
      <c r="L814" s="27" t="n">
        <v>108000</v>
      </c>
      <c r="M814" s="45" t="n">
        <v>7500</v>
      </c>
      <c r="N814" s="29" t="n">
        <v>5500</v>
      </c>
      <c r="O814" s="29" t="n">
        <v>108000</v>
      </c>
      <c r="P814" s="30" t="n">
        <v>0</v>
      </c>
      <c r="Q814" s="263" t="n">
        <v>45747</v>
      </c>
    </row>
    <row r="815" customFormat="false" ht="26.1" hidden="false" customHeight="false" outlineLevel="0" collapsed="false">
      <c r="A815" s="20" t="n">
        <v>2958</v>
      </c>
      <c r="B815" s="22" t="s">
        <v>459</v>
      </c>
      <c r="C815" s="22" t="s">
        <v>460</v>
      </c>
      <c r="D815" s="22"/>
      <c r="E815" s="23" t="n">
        <v>45643</v>
      </c>
      <c r="F815" s="23" t="n">
        <v>45743</v>
      </c>
      <c r="G815" s="24" t="n">
        <v>72</v>
      </c>
      <c r="H815" s="283" t="n">
        <v>72</v>
      </c>
      <c r="I815" s="283" t="n">
        <v>0</v>
      </c>
      <c r="J815" s="22" t="s">
        <v>333</v>
      </c>
      <c r="K815" s="27" t="n">
        <v>50000</v>
      </c>
      <c r="L815" s="27" t="n">
        <v>108000</v>
      </c>
      <c r="M815" s="45" t="n">
        <v>7500</v>
      </c>
      <c r="N815" s="29" t="n">
        <v>38500</v>
      </c>
      <c r="O815" s="29" t="n">
        <v>108000</v>
      </c>
      <c r="P815" s="30" t="n">
        <v>0</v>
      </c>
      <c r="Q815" s="263" t="n">
        <v>45747</v>
      </c>
    </row>
    <row r="816" customFormat="false" ht="34.3" hidden="false" customHeight="false" outlineLevel="0" collapsed="false">
      <c r="A816" s="20" t="n">
        <v>2992</v>
      </c>
      <c r="B816" s="22" t="s">
        <v>1155</v>
      </c>
      <c r="C816" s="22" t="s">
        <v>506</v>
      </c>
      <c r="D816" s="22"/>
      <c r="E816" s="23" t="n">
        <v>45665</v>
      </c>
      <c r="F816" s="23" t="n">
        <v>45765</v>
      </c>
      <c r="G816" s="24" t="n">
        <v>72</v>
      </c>
      <c r="H816" s="283" t="n">
        <v>72</v>
      </c>
      <c r="I816" s="283" t="n">
        <v>0</v>
      </c>
      <c r="J816" s="22" t="s">
        <v>188</v>
      </c>
      <c r="K816" s="27" t="n">
        <v>100000</v>
      </c>
      <c r="L816" s="27" t="n">
        <v>216000</v>
      </c>
      <c r="M816" s="28" t="n">
        <v>15000</v>
      </c>
      <c r="N816" s="29" t="n">
        <v>81000</v>
      </c>
      <c r="O816" s="29" t="n">
        <v>216000</v>
      </c>
      <c r="P816" s="30" t="n">
        <v>0</v>
      </c>
      <c r="Q816" s="263" t="n">
        <v>45747</v>
      </c>
    </row>
    <row r="817" customFormat="false" ht="34.3" hidden="false" customHeight="false" outlineLevel="0" collapsed="false">
      <c r="A817" s="20" t="n">
        <v>2914</v>
      </c>
      <c r="B817" s="22" t="s">
        <v>226</v>
      </c>
      <c r="C817" s="22" t="s">
        <v>227</v>
      </c>
      <c r="D817" s="22"/>
      <c r="E817" s="23" t="n">
        <v>45610</v>
      </c>
      <c r="F817" s="23" t="n">
        <v>45712</v>
      </c>
      <c r="G817" s="24" t="n">
        <v>72</v>
      </c>
      <c r="H817" s="283" t="n">
        <v>72</v>
      </c>
      <c r="I817" s="283" t="n">
        <v>0</v>
      </c>
      <c r="J817" s="22" t="s">
        <v>675</v>
      </c>
      <c r="K817" s="30" t="n">
        <v>30000</v>
      </c>
      <c r="L817" s="30" t="n">
        <v>64800</v>
      </c>
      <c r="M817" s="28" t="n">
        <v>4500</v>
      </c>
      <c r="N817" s="29" t="n">
        <v>150</v>
      </c>
      <c r="O817" s="29" t="n">
        <v>64800</v>
      </c>
      <c r="P817" s="30" t="n">
        <v>0</v>
      </c>
      <c r="Q817" s="263" t="n">
        <v>45754</v>
      </c>
    </row>
    <row r="818" customFormat="false" ht="26.1" hidden="false" customHeight="false" outlineLevel="0" collapsed="false">
      <c r="A818" s="20" t="n">
        <v>2672</v>
      </c>
      <c r="B818" s="22" t="s">
        <v>357</v>
      </c>
      <c r="C818" s="22" t="s">
        <v>358</v>
      </c>
      <c r="D818" s="22" t="n">
        <v>13589728</v>
      </c>
      <c r="E818" s="23" t="n">
        <v>45462</v>
      </c>
      <c r="F818" s="23" t="n">
        <v>45742</v>
      </c>
      <c r="G818" s="24" t="n">
        <v>200</v>
      </c>
      <c r="H818" s="283" t="n">
        <v>200</v>
      </c>
      <c r="I818" s="283" t="n">
        <v>0</v>
      </c>
      <c r="J818" s="269" t="s">
        <v>1156</v>
      </c>
      <c r="K818" s="30" t="n">
        <v>300000</v>
      </c>
      <c r="L818" s="30" t="n">
        <v>900000</v>
      </c>
      <c r="M818" s="28" t="n">
        <v>22500</v>
      </c>
      <c r="N818" s="29" t="n">
        <v>90000</v>
      </c>
      <c r="O818" s="29" t="n">
        <v>900000</v>
      </c>
      <c r="P818" s="30" t="n">
        <v>0</v>
      </c>
      <c r="Q818" s="263" t="n">
        <v>45754</v>
      </c>
    </row>
    <row r="819" customFormat="false" ht="15" hidden="false" customHeight="false" outlineLevel="0" collapsed="false">
      <c r="A819" s="20" t="n">
        <v>3106</v>
      </c>
      <c r="B819" s="22" t="s">
        <v>791</v>
      </c>
      <c r="C819" s="22"/>
      <c r="D819" s="22"/>
      <c r="E819" s="23" t="n">
        <v>45730</v>
      </c>
      <c r="F819" s="23" t="n">
        <v>45758</v>
      </c>
      <c r="G819" s="24" t="n">
        <v>20</v>
      </c>
      <c r="H819" s="283" t="e">
        <f aca="false">#VALUE!</f>
        <v>#VALUE!</v>
      </c>
      <c r="I819" s="283" t="e">
        <f aca="false">#VALUE!</f>
        <v>#VALUE!</v>
      </c>
      <c r="J819" s="269" t="s">
        <v>444</v>
      </c>
      <c r="K819" s="27" t="n">
        <v>30000</v>
      </c>
      <c r="L819" s="27" t="n">
        <v>48000</v>
      </c>
      <c r="M819" s="28" t="s">
        <v>184</v>
      </c>
      <c r="N819" s="29" t="n">
        <v>48000</v>
      </c>
      <c r="O819" s="29" t="n">
        <v>48000</v>
      </c>
      <c r="P819" s="30" t="n">
        <v>0</v>
      </c>
      <c r="Q819" s="263" t="n">
        <v>45754</v>
      </c>
    </row>
    <row r="820" customFormat="false" ht="15" hidden="false" customHeight="false" outlineLevel="0" collapsed="false">
      <c r="A820" s="20" t="n">
        <v>3129</v>
      </c>
      <c r="B820" s="22" t="s">
        <v>791</v>
      </c>
      <c r="C820" s="22"/>
      <c r="D820" s="22"/>
      <c r="E820" s="23" t="n">
        <v>45744</v>
      </c>
      <c r="F820" s="23" t="n">
        <v>45758</v>
      </c>
      <c r="G820" s="24" t="n">
        <v>10</v>
      </c>
      <c r="H820" s="283" t="e">
        <f aca="false">#DIV/0!</f>
        <v>#DIV/0!</v>
      </c>
      <c r="I820" s="283" t="e">
        <f aca="false">#DIV/0!</f>
        <v>#DIV/0!</v>
      </c>
      <c r="J820" s="269" t="s">
        <v>444</v>
      </c>
      <c r="K820" s="27" t="n">
        <v>20000</v>
      </c>
      <c r="L820" s="27" t="n">
        <v>32500</v>
      </c>
      <c r="M820" s="28"/>
      <c r="N820" s="29" t="n">
        <v>32500</v>
      </c>
      <c r="O820" s="29" t="n">
        <v>32500</v>
      </c>
      <c r="P820" s="30" t="n">
        <v>0</v>
      </c>
      <c r="Q820" s="263" t="n">
        <v>45754</v>
      </c>
    </row>
    <row r="821" customFormat="false" ht="34.3" hidden="false" customHeight="false" outlineLevel="0" collapsed="false">
      <c r="A821" s="20" t="n">
        <v>2778</v>
      </c>
      <c r="B821" s="22" t="s">
        <v>448</v>
      </c>
      <c r="C821" s="22" t="s">
        <v>449</v>
      </c>
      <c r="D821" s="22"/>
      <c r="E821" s="23" t="n">
        <v>45528</v>
      </c>
      <c r="F821" s="23" t="n">
        <v>45723</v>
      </c>
      <c r="G821" s="24" t="n">
        <v>140</v>
      </c>
      <c r="H821" s="283" t="n">
        <v>140</v>
      </c>
      <c r="I821" s="283" t="n">
        <v>0</v>
      </c>
      <c r="J821" s="269" t="s">
        <v>1157</v>
      </c>
      <c r="K821" s="27" t="n">
        <v>150000</v>
      </c>
      <c r="L821" s="27" t="n">
        <v>396004</v>
      </c>
      <c r="M821" s="28" t="n">
        <v>14143</v>
      </c>
      <c r="N821" s="29" t="n">
        <v>56572</v>
      </c>
      <c r="O821" s="29" t="n">
        <v>396004</v>
      </c>
      <c r="P821" s="30" t="n">
        <v>0</v>
      </c>
      <c r="Q821" s="263" t="n">
        <v>45754</v>
      </c>
    </row>
    <row r="822" customFormat="false" ht="34.3" hidden="false" customHeight="false" outlineLevel="0" collapsed="false">
      <c r="A822" s="20" t="n">
        <v>2833</v>
      </c>
      <c r="B822" s="22" t="s">
        <v>452</v>
      </c>
      <c r="C822" s="22"/>
      <c r="D822" s="22"/>
      <c r="E822" s="23" t="n">
        <v>45563</v>
      </c>
      <c r="F822" s="23" t="n">
        <v>45730</v>
      </c>
      <c r="G822" s="24" t="n">
        <v>120</v>
      </c>
      <c r="H822" s="283" t="n">
        <v>120</v>
      </c>
      <c r="I822" s="283" t="n">
        <v>0</v>
      </c>
      <c r="J822" s="269" t="s">
        <v>456</v>
      </c>
      <c r="K822" s="27" t="n">
        <v>100000</v>
      </c>
      <c r="L822" s="27" t="n">
        <v>264000</v>
      </c>
      <c r="M822" s="28" t="n">
        <v>11000</v>
      </c>
      <c r="N822" s="29" t="n">
        <v>44000</v>
      </c>
      <c r="O822" s="29" t="n">
        <v>264000</v>
      </c>
      <c r="P822" s="30" t="n">
        <v>0</v>
      </c>
      <c r="Q822" s="263" t="n">
        <v>45754</v>
      </c>
    </row>
    <row r="823" customFormat="false" ht="34.3" hidden="false" customHeight="false" outlineLevel="0" collapsed="false">
      <c r="A823" s="20" t="n">
        <v>2869</v>
      </c>
      <c r="B823" s="22" t="s">
        <v>452</v>
      </c>
      <c r="C823" s="22"/>
      <c r="D823" s="22"/>
      <c r="E823" s="23" t="n">
        <v>45584</v>
      </c>
      <c r="F823" s="23" t="n">
        <v>45751</v>
      </c>
      <c r="G823" s="24" t="n">
        <v>120</v>
      </c>
      <c r="H823" s="283" t="n">
        <v>120</v>
      </c>
      <c r="I823" s="283" t="n">
        <v>0</v>
      </c>
      <c r="J823" s="269" t="s">
        <v>1105</v>
      </c>
      <c r="K823" s="27" t="n">
        <v>70000</v>
      </c>
      <c r="L823" s="27" t="n">
        <v>184800</v>
      </c>
      <c r="M823" s="28" t="n">
        <v>7700</v>
      </c>
      <c r="N823" s="29" t="n">
        <v>30800</v>
      </c>
      <c r="O823" s="29" t="n">
        <v>184800</v>
      </c>
      <c r="P823" s="30" t="n">
        <v>0</v>
      </c>
      <c r="Q823" s="263" t="n">
        <v>45754</v>
      </c>
    </row>
    <row r="824" customFormat="false" ht="17.9" hidden="false" customHeight="false" outlineLevel="0" collapsed="false">
      <c r="A824" s="20" t="n">
        <v>2838</v>
      </c>
      <c r="B824" s="22" t="s">
        <v>457</v>
      </c>
      <c r="C824" s="22"/>
      <c r="D824" s="22"/>
      <c r="E824" s="23" t="n">
        <v>45565</v>
      </c>
      <c r="F824" s="23" t="n">
        <v>45733</v>
      </c>
      <c r="G824" s="24" t="n">
        <v>120</v>
      </c>
      <c r="H824" s="283" t="n">
        <v>124.545454545455</v>
      </c>
      <c r="I824" s="283" t="n">
        <v>-4.54545454545455</v>
      </c>
      <c r="J824" s="269" t="s">
        <v>879</v>
      </c>
      <c r="K824" s="27" t="n">
        <v>50000</v>
      </c>
      <c r="L824" s="27" t="n">
        <v>132000</v>
      </c>
      <c r="M824" s="28" t="n">
        <v>5500</v>
      </c>
      <c r="N824" s="29" t="n">
        <v>27000</v>
      </c>
      <c r="O824" s="29" t="n">
        <v>137000</v>
      </c>
      <c r="P824" s="30" t="n">
        <v>-5000</v>
      </c>
      <c r="Q824" s="263" t="n">
        <v>45754</v>
      </c>
    </row>
    <row r="825" customFormat="false" ht="17.9" hidden="false" customHeight="false" outlineLevel="0" collapsed="false">
      <c r="A825" s="20" t="n">
        <v>3118</v>
      </c>
      <c r="B825" s="22" t="s">
        <v>909</v>
      </c>
      <c r="C825" s="22"/>
      <c r="D825" s="22"/>
      <c r="E825" s="23" t="n">
        <v>45736</v>
      </c>
      <c r="F825" s="23" t="n">
        <v>45757</v>
      </c>
      <c r="G825" s="24" t="n">
        <v>15</v>
      </c>
      <c r="H825" s="283" t="e">
        <f aca="false">#DIV/0!</f>
        <v>#DIV/0!</v>
      </c>
      <c r="I825" s="283" t="e">
        <f aca="false">#DIV/0!</f>
        <v>#DIV/0!</v>
      </c>
      <c r="J825" s="269" t="s">
        <v>199</v>
      </c>
      <c r="K825" s="27" t="n">
        <v>50000</v>
      </c>
      <c r="L825" s="27" t="n">
        <v>75000</v>
      </c>
      <c r="M825" s="28"/>
      <c r="N825" s="29" t="n">
        <v>75000</v>
      </c>
      <c r="O825" s="29" t="n">
        <v>75000</v>
      </c>
      <c r="P825" s="30" t="n">
        <v>0</v>
      </c>
      <c r="Q825" s="263" t="n">
        <v>45754</v>
      </c>
    </row>
    <row r="826" customFormat="false" ht="17.9" hidden="false" customHeight="false" outlineLevel="0" collapsed="false">
      <c r="A826" s="20" t="n">
        <v>3122</v>
      </c>
      <c r="B826" s="22" t="s">
        <v>909</v>
      </c>
      <c r="C826" s="22"/>
      <c r="D826" s="22"/>
      <c r="E826" s="23" t="n">
        <v>45738</v>
      </c>
      <c r="F826" s="23" t="n">
        <v>45758</v>
      </c>
      <c r="G826" s="24" t="n">
        <v>15</v>
      </c>
      <c r="H826" s="283" t="e">
        <f aca="false">#DIV/0!</f>
        <v>#DIV/0!</v>
      </c>
      <c r="I826" s="283" t="e">
        <f aca="false">#DIV/0!</f>
        <v>#DIV/0!</v>
      </c>
      <c r="J826" s="269" t="s">
        <v>199</v>
      </c>
      <c r="K826" s="27" t="n">
        <v>50000</v>
      </c>
      <c r="L826" s="27" t="n">
        <v>75000</v>
      </c>
      <c r="M826" s="45"/>
      <c r="N826" s="29" t="n">
        <v>75000</v>
      </c>
      <c r="O826" s="29" t="n">
        <v>75000</v>
      </c>
      <c r="P826" s="30" t="n">
        <v>0</v>
      </c>
      <c r="Q826" s="263" t="n">
        <v>45754</v>
      </c>
    </row>
    <row r="827" customFormat="false" ht="58.95" hidden="false" customHeight="false" outlineLevel="0" collapsed="false">
      <c r="A827" s="20" t="n">
        <v>2952</v>
      </c>
      <c r="B827" s="22" t="s">
        <v>237</v>
      </c>
      <c r="C827" s="22" t="s">
        <v>238</v>
      </c>
      <c r="D827" s="22"/>
      <c r="E827" s="23" t="n">
        <v>45639</v>
      </c>
      <c r="F827" s="23" t="n">
        <v>45624</v>
      </c>
      <c r="G827" s="24" t="n">
        <v>110</v>
      </c>
      <c r="H827" s="283" t="n">
        <v>110</v>
      </c>
      <c r="I827" s="283" t="n">
        <v>0</v>
      </c>
      <c r="J827" s="30" t="s">
        <v>508</v>
      </c>
      <c r="K827" s="45" t="n">
        <v>200000</v>
      </c>
      <c r="L827" s="27" t="n">
        <v>528000</v>
      </c>
      <c r="M827" s="28" t="n">
        <v>24000</v>
      </c>
      <c r="N827" s="29" t="n">
        <v>164000</v>
      </c>
      <c r="O827" s="29" t="n">
        <v>528000</v>
      </c>
      <c r="P827" s="30" t="n">
        <v>0</v>
      </c>
      <c r="Q827" s="263" t="n">
        <v>45761</v>
      </c>
    </row>
    <row r="828" customFormat="false" ht="42.5" hidden="false" customHeight="false" outlineLevel="0" collapsed="false">
      <c r="A828" s="20" t="n">
        <v>2711</v>
      </c>
      <c r="B828" s="22" t="s">
        <v>280</v>
      </c>
      <c r="C828" s="22" t="s">
        <v>281</v>
      </c>
      <c r="D828" s="22" t="s">
        <v>282</v>
      </c>
      <c r="E828" s="23" t="n">
        <v>45488</v>
      </c>
      <c r="F828" s="23" t="n">
        <v>45684</v>
      </c>
      <c r="G828" s="24" t="n">
        <v>140</v>
      </c>
      <c r="H828" s="283" t="n">
        <v>140</v>
      </c>
      <c r="I828" s="283" t="n">
        <v>0</v>
      </c>
      <c r="J828" s="269" t="s">
        <v>1158</v>
      </c>
      <c r="K828" s="33" t="n">
        <v>150000</v>
      </c>
      <c r="L828" s="27" t="n">
        <v>396200</v>
      </c>
      <c r="M828" s="28" t="n">
        <v>14150</v>
      </c>
      <c r="N828" s="29" t="n">
        <v>19800</v>
      </c>
      <c r="O828" s="29" t="n">
        <v>396200</v>
      </c>
      <c r="P828" s="30" t="n">
        <v>0</v>
      </c>
      <c r="Q828" s="263" t="n">
        <v>45761</v>
      </c>
    </row>
    <row r="829" customFormat="false" ht="37.3" hidden="false" customHeight="false" outlineLevel="0" collapsed="false">
      <c r="A829" s="20" t="n">
        <v>3148</v>
      </c>
      <c r="B829" s="34" t="s">
        <v>677</v>
      </c>
      <c r="C829" s="34" t="s">
        <v>678</v>
      </c>
      <c r="D829" s="34"/>
      <c r="E829" s="23" t="n">
        <v>45758</v>
      </c>
      <c r="F829" s="23" t="n">
        <v>45765</v>
      </c>
      <c r="G829" s="24" t="n">
        <v>5</v>
      </c>
      <c r="H829" s="283" t="e">
        <f aca="false">#DIV/0!</f>
        <v>#DIV/0!</v>
      </c>
      <c r="I829" s="283" t="e">
        <f aca="false">#DIV/0!</f>
        <v>#DIV/0!</v>
      </c>
      <c r="J829" s="22" t="s">
        <v>679</v>
      </c>
      <c r="K829" s="44" t="n">
        <v>200000</v>
      </c>
      <c r="L829" s="44" t="n">
        <v>260000</v>
      </c>
      <c r="M829" s="45"/>
      <c r="N829" s="29" t="n">
        <v>260000</v>
      </c>
      <c r="O829" s="29" t="n">
        <v>260000</v>
      </c>
      <c r="P829" s="30" t="n">
        <v>0</v>
      </c>
      <c r="Q829" s="263" t="n">
        <v>45761</v>
      </c>
    </row>
    <row r="830" customFormat="false" ht="34.3" hidden="false" customHeight="false" outlineLevel="0" collapsed="false">
      <c r="A830" s="20" t="n">
        <v>2569</v>
      </c>
      <c r="B830" s="22" t="s">
        <v>466</v>
      </c>
      <c r="C830" s="22" t="s">
        <v>467</v>
      </c>
      <c r="D830" s="22"/>
      <c r="E830" s="23" t="n">
        <v>45393</v>
      </c>
      <c r="F830" s="23" t="n">
        <v>45547</v>
      </c>
      <c r="G830" s="24" t="n">
        <v>110</v>
      </c>
      <c r="H830" s="283" t="n">
        <v>116.875</v>
      </c>
      <c r="I830" s="283" t="n">
        <v>-6.875</v>
      </c>
      <c r="J830" s="22" t="s">
        <v>1159</v>
      </c>
      <c r="K830" s="27" t="n">
        <v>160000</v>
      </c>
      <c r="L830" s="27" t="n">
        <v>422400</v>
      </c>
      <c r="M830" s="28" t="n">
        <v>19200</v>
      </c>
      <c r="N830" s="29" t="n">
        <v>39800</v>
      </c>
      <c r="O830" s="29" t="n">
        <v>448800</v>
      </c>
      <c r="P830" s="30" t="n">
        <v>-26400</v>
      </c>
      <c r="Q830" s="263" t="n">
        <v>45761</v>
      </c>
    </row>
    <row r="831" customFormat="false" ht="34.3" hidden="false" customHeight="false" outlineLevel="0" collapsed="false">
      <c r="A831" s="20" t="n">
        <v>2916</v>
      </c>
      <c r="B831" s="22" t="s">
        <v>552</v>
      </c>
      <c r="C831" s="22" t="s">
        <v>553</v>
      </c>
      <c r="D831" s="22"/>
      <c r="E831" s="23" t="n">
        <v>45611</v>
      </c>
      <c r="F831" s="23" t="n">
        <v>45713</v>
      </c>
      <c r="G831" s="24" t="n">
        <v>72</v>
      </c>
      <c r="H831" s="283" t="n">
        <v>72</v>
      </c>
      <c r="I831" s="283" t="n">
        <v>0</v>
      </c>
      <c r="J831" s="22" t="s">
        <v>495</v>
      </c>
      <c r="K831" s="27" t="n">
        <v>70000</v>
      </c>
      <c r="L831" s="27" t="n">
        <v>151200</v>
      </c>
      <c r="M831" s="45" t="n">
        <v>10500</v>
      </c>
      <c r="N831" s="29" t="n">
        <v>4200</v>
      </c>
      <c r="O831" s="29" t="n">
        <v>151200</v>
      </c>
      <c r="P831" s="27" t="n">
        <v>0</v>
      </c>
      <c r="Q831" s="263" t="n">
        <v>45761</v>
      </c>
    </row>
    <row r="832" customFormat="false" ht="26.1" hidden="false" customHeight="false" outlineLevel="0" collapsed="false">
      <c r="A832" s="20" t="n">
        <v>2910</v>
      </c>
      <c r="B832" s="22" t="s">
        <v>212</v>
      </c>
      <c r="C832" s="22" t="s">
        <v>213</v>
      </c>
      <c r="D832" s="22" t="n">
        <v>27252034574</v>
      </c>
      <c r="E832" s="23" t="n">
        <v>45609</v>
      </c>
      <c r="F832" s="23" t="n">
        <v>45763</v>
      </c>
      <c r="G832" s="24" t="n">
        <v>110</v>
      </c>
      <c r="H832" s="283" t="n">
        <v>110</v>
      </c>
      <c r="I832" s="283" t="n">
        <v>0</v>
      </c>
      <c r="J832" s="74" t="s">
        <v>307</v>
      </c>
      <c r="K832" s="27" t="n">
        <v>200000</v>
      </c>
      <c r="L832" s="27" t="n">
        <v>528000</v>
      </c>
      <c r="M832" s="28" t="n">
        <v>24000</v>
      </c>
      <c r="N832" s="29" t="n">
        <v>48000</v>
      </c>
      <c r="O832" s="29" t="n">
        <v>528000</v>
      </c>
      <c r="P832" s="30" t="n">
        <v>0</v>
      </c>
      <c r="Q832" s="263" t="n">
        <v>45768</v>
      </c>
    </row>
    <row r="833" customFormat="false" ht="34.3" hidden="false" customHeight="false" outlineLevel="0" collapsed="false">
      <c r="A833" s="20" t="n">
        <v>3076</v>
      </c>
      <c r="B833" s="22" t="s">
        <v>274</v>
      </c>
      <c r="C833" s="22" t="s">
        <v>275</v>
      </c>
      <c r="D833" s="22"/>
      <c r="E833" s="23" t="n">
        <v>45710</v>
      </c>
      <c r="F833" s="23" t="n">
        <v>45821</v>
      </c>
      <c r="G833" s="24" t="n">
        <v>80</v>
      </c>
      <c r="H833" s="283" t="n">
        <v>80</v>
      </c>
      <c r="I833" s="283" t="n">
        <v>0</v>
      </c>
      <c r="J833" s="269" t="s">
        <v>355</v>
      </c>
      <c r="K833" s="30" t="n">
        <v>100000</v>
      </c>
      <c r="L833" s="30" t="n">
        <v>216000</v>
      </c>
      <c r="M833" s="28" t="n">
        <v>13500</v>
      </c>
      <c r="N833" s="29" t="n">
        <v>108000</v>
      </c>
      <c r="O833" s="29" t="n">
        <v>216000</v>
      </c>
      <c r="P833" s="30" t="n">
        <v>0</v>
      </c>
      <c r="Q833" s="263" t="n">
        <v>45768</v>
      </c>
    </row>
    <row r="834" customFormat="false" ht="26.1" hidden="false" customHeight="false" outlineLevel="0" collapsed="false">
      <c r="A834" s="20" t="n">
        <v>2822</v>
      </c>
      <c r="B834" s="22" t="s">
        <v>302</v>
      </c>
      <c r="C834" s="22" t="s">
        <v>303</v>
      </c>
      <c r="D834" s="22" t="n">
        <v>27212523</v>
      </c>
      <c r="E834" s="23" t="n">
        <v>45558</v>
      </c>
      <c r="F834" s="23" t="n">
        <v>45782</v>
      </c>
      <c r="G834" s="24" t="n">
        <v>160</v>
      </c>
      <c r="H834" s="283" t="n">
        <v>164.568888888889</v>
      </c>
      <c r="I834" s="283" t="n">
        <v>-4.56888888888889</v>
      </c>
      <c r="J834" s="74" t="s">
        <v>1160</v>
      </c>
      <c r="K834" s="30" t="n">
        <v>150000</v>
      </c>
      <c r="L834" s="30" t="n">
        <v>450000</v>
      </c>
      <c r="M834" s="28" t="n">
        <v>14062.5</v>
      </c>
      <c r="N834" s="29" t="n">
        <v>28600</v>
      </c>
      <c r="O834" s="29" t="n">
        <v>462850</v>
      </c>
      <c r="P834" s="30" t="n">
        <v>-12850</v>
      </c>
      <c r="Q834" s="263" t="n">
        <v>45768</v>
      </c>
    </row>
    <row r="835" customFormat="false" ht="42.5" hidden="false" customHeight="false" outlineLevel="0" collapsed="false">
      <c r="A835" s="20" t="n">
        <v>2988</v>
      </c>
      <c r="B835" s="22" t="s">
        <v>329</v>
      </c>
      <c r="C835" s="22" t="s">
        <v>325</v>
      </c>
      <c r="D835" s="22"/>
      <c r="E835" s="23" t="n">
        <v>45661</v>
      </c>
      <c r="F835" s="23" t="n">
        <v>45762</v>
      </c>
      <c r="G835" s="24" t="n">
        <v>72</v>
      </c>
      <c r="H835" s="283" t="n">
        <v>72</v>
      </c>
      <c r="I835" s="283" t="n">
        <v>0</v>
      </c>
      <c r="J835" s="22" t="s">
        <v>188</v>
      </c>
      <c r="K835" s="27" t="n">
        <v>100000</v>
      </c>
      <c r="L835" s="27" t="n">
        <v>216000</v>
      </c>
      <c r="M835" s="28" t="n">
        <v>15000</v>
      </c>
      <c r="N835" s="29" t="n">
        <v>6000</v>
      </c>
      <c r="O835" s="29" t="n">
        <v>216000</v>
      </c>
      <c r="P835" s="30" t="n">
        <v>0</v>
      </c>
      <c r="Q835" s="263" t="n">
        <v>45768</v>
      </c>
    </row>
    <row r="836" customFormat="false" ht="26.1" hidden="false" customHeight="false" outlineLevel="0" collapsed="false">
      <c r="A836" s="20" t="n">
        <v>3013</v>
      </c>
      <c r="B836" s="22" t="s">
        <v>459</v>
      </c>
      <c r="C836" s="22" t="s">
        <v>460</v>
      </c>
      <c r="D836" s="22"/>
      <c r="E836" s="23" t="n">
        <v>45677</v>
      </c>
      <c r="F836" s="23" t="n">
        <v>45777</v>
      </c>
      <c r="G836" s="24" t="n">
        <v>72</v>
      </c>
      <c r="H836" s="283" t="n">
        <v>72</v>
      </c>
      <c r="I836" s="283" t="n">
        <v>0</v>
      </c>
      <c r="J836" s="22" t="s">
        <v>333</v>
      </c>
      <c r="K836" s="27" t="n">
        <v>50000</v>
      </c>
      <c r="L836" s="27" t="n">
        <v>108000</v>
      </c>
      <c r="M836" s="28" t="n">
        <v>7500</v>
      </c>
      <c r="N836" s="29" t="n">
        <v>25000</v>
      </c>
      <c r="O836" s="29" t="n">
        <v>108000</v>
      </c>
      <c r="P836" s="30" t="n">
        <v>0</v>
      </c>
      <c r="Q836" s="263" t="n">
        <v>45768</v>
      </c>
    </row>
    <row r="837" customFormat="false" ht="26.1" hidden="false" customHeight="false" outlineLevel="0" collapsed="false">
      <c r="A837" s="20" t="n">
        <v>2525</v>
      </c>
      <c r="B837" s="22" t="s">
        <v>535</v>
      </c>
      <c r="C837" s="22" t="s">
        <v>536</v>
      </c>
      <c r="D837" s="22" t="n">
        <v>13141036</v>
      </c>
      <c r="E837" s="286" t="n">
        <v>45369</v>
      </c>
      <c r="F837" s="23" t="n">
        <v>45523</v>
      </c>
      <c r="G837" s="24" t="n">
        <v>110</v>
      </c>
      <c r="H837" s="283" t="n">
        <v>114.583333333333</v>
      </c>
      <c r="I837" s="283" t="n">
        <v>-4.58333333333333</v>
      </c>
      <c r="J837" s="22" t="s">
        <v>254</v>
      </c>
      <c r="K837" s="27" t="n">
        <v>100000</v>
      </c>
      <c r="L837" s="27" t="n">
        <v>264000</v>
      </c>
      <c r="M837" s="28" t="n">
        <v>12000</v>
      </c>
      <c r="N837" s="29" t="n">
        <v>15000</v>
      </c>
      <c r="O837" s="29" t="n">
        <v>275000</v>
      </c>
      <c r="P837" s="30" t="n">
        <v>-11000</v>
      </c>
      <c r="Q837" s="263" t="n">
        <v>45768</v>
      </c>
    </row>
    <row r="838" customFormat="false" ht="17.9" hidden="false" customHeight="false" outlineLevel="0" collapsed="false">
      <c r="A838" s="20" t="n">
        <v>3002</v>
      </c>
      <c r="B838" s="22" t="s">
        <v>232</v>
      </c>
      <c r="C838" s="22" t="s">
        <v>233</v>
      </c>
      <c r="D838" s="22"/>
      <c r="E838" s="23" t="n">
        <v>45671</v>
      </c>
      <c r="F838" s="23" t="n">
        <v>45771</v>
      </c>
      <c r="G838" s="24" t="n">
        <v>72</v>
      </c>
      <c r="H838" s="283" t="n">
        <v>73.8888888888889</v>
      </c>
      <c r="I838" s="283" t="n">
        <v>-1.88888888888889</v>
      </c>
      <c r="J838" s="22" t="s">
        <v>1054</v>
      </c>
      <c r="K838" s="58" t="n">
        <v>150000</v>
      </c>
      <c r="L838" s="30" t="n">
        <v>324000</v>
      </c>
      <c r="M838" s="28" t="n">
        <v>22500</v>
      </c>
      <c r="N838" s="29" t="n">
        <v>22500</v>
      </c>
      <c r="O838" s="29" t="n">
        <v>332500</v>
      </c>
      <c r="P838" s="30" t="n">
        <v>-8500</v>
      </c>
      <c r="Q838" s="263" t="n">
        <v>45775</v>
      </c>
    </row>
    <row r="839" customFormat="false" ht="42.5" hidden="false" customHeight="false" outlineLevel="0" collapsed="false">
      <c r="A839" s="20" t="n">
        <v>2967</v>
      </c>
      <c r="B839" s="22" t="s">
        <v>1161</v>
      </c>
      <c r="C839" s="24" t="s">
        <v>269</v>
      </c>
      <c r="D839" s="22" t="n">
        <v>22375673</v>
      </c>
      <c r="E839" s="23" t="n">
        <v>45647</v>
      </c>
      <c r="F839" s="23" t="n">
        <v>45748</v>
      </c>
      <c r="G839" s="24" t="n">
        <v>72</v>
      </c>
      <c r="H839" s="283" t="n">
        <v>74.7777777777778</v>
      </c>
      <c r="I839" s="283" t="n">
        <v>-2.77777777777777</v>
      </c>
      <c r="J839" s="22" t="s">
        <v>1054</v>
      </c>
      <c r="K839" s="27" t="n">
        <v>150000</v>
      </c>
      <c r="L839" s="27" t="n">
        <v>324000</v>
      </c>
      <c r="M839" s="28" t="n">
        <v>22500</v>
      </c>
      <c r="N839" s="29" t="n">
        <v>22500</v>
      </c>
      <c r="O839" s="29" t="n">
        <v>336500</v>
      </c>
      <c r="P839" s="30" t="n">
        <v>-12500</v>
      </c>
      <c r="Q839" s="263" t="n">
        <v>45775</v>
      </c>
    </row>
    <row r="840" customFormat="false" ht="42.5" hidden="false" customHeight="false" outlineLevel="0" collapsed="false">
      <c r="A840" s="20" t="n">
        <v>3115</v>
      </c>
      <c r="B840" s="22" t="s">
        <v>581</v>
      </c>
      <c r="C840" s="22" t="s">
        <v>351</v>
      </c>
      <c r="D840" s="22"/>
      <c r="E840" s="23" t="n">
        <v>45735</v>
      </c>
      <c r="F840" s="23" t="n">
        <v>45763</v>
      </c>
      <c r="G840" s="24" t="n">
        <v>20</v>
      </c>
      <c r="H840" s="283" t="e">
        <f aca="false">#DIV/0!</f>
        <v>#DIV/0!</v>
      </c>
      <c r="I840" s="283" t="e">
        <f aca="false">#DIV/0!</f>
        <v>#DIV/0!</v>
      </c>
      <c r="J840" s="269" t="s">
        <v>1131</v>
      </c>
      <c r="K840" s="30" t="n">
        <v>50000</v>
      </c>
      <c r="L840" s="30" t="n">
        <v>75000</v>
      </c>
      <c r="M840" s="28"/>
      <c r="N840" s="29" t="n">
        <v>75000</v>
      </c>
      <c r="O840" s="29" t="n">
        <v>75000</v>
      </c>
      <c r="P840" s="30" t="n">
        <v>0</v>
      </c>
      <c r="Q840" s="263" t="n">
        <v>45775</v>
      </c>
    </row>
    <row r="841" customFormat="false" ht="17.9" hidden="false" customHeight="false" outlineLevel="0" collapsed="false">
      <c r="A841" s="20" t="n">
        <v>3160</v>
      </c>
      <c r="B841" s="22" t="s">
        <v>363</v>
      </c>
      <c r="C841" s="22"/>
      <c r="D841" s="22"/>
      <c r="E841" s="23" t="n">
        <v>45770</v>
      </c>
      <c r="F841" s="23" t="n">
        <v>45777</v>
      </c>
      <c r="G841" s="24" t="n">
        <v>5</v>
      </c>
      <c r="H841" s="283" t="e">
        <f aca="false">#DIV/0!</f>
        <v>#DIV/0!</v>
      </c>
      <c r="I841" s="283" t="e">
        <f aca="false">#DIV/0!</f>
        <v>#DIV/0!</v>
      </c>
      <c r="J841" s="22" t="s">
        <v>199</v>
      </c>
      <c r="K841" s="27" t="n">
        <v>100000</v>
      </c>
      <c r="L841" s="27" t="n">
        <v>130000</v>
      </c>
      <c r="M841" s="28"/>
      <c r="N841" s="29" t="n">
        <v>130000</v>
      </c>
      <c r="O841" s="29" t="n">
        <v>130000</v>
      </c>
      <c r="P841" s="30" t="n">
        <v>0</v>
      </c>
      <c r="Q841" s="263" t="n">
        <v>45775</v>
      </c>
    </row>
    <row r="842" customFormat="false" ht="34.3" hidden="false" customHeight="false" outlineLevel="0" collapsed="false">
      <c r="A842" s="20" t="n">
        <v>3021</v>
      </c>
      <c r="B842" s="22" t="s">
        <v>486</v>
      </c>
      <c r="C842" s="22" t="s">
        <v>476</v>
      </c>
      <c r="D842" s="22"/>
      <c r="E842" s="23" t="n">
        <v>45681</v>
      </c>
      <c r="F842" s="23" t="n">
        <v>45793</v>
      </c>
      <c r="G842" s="24" t="n">
        <v>80</v>
      </c>
      <c r="H842" s="283" t="n">
        <v>80.1234567901235</v>
      </c>
      <c r="I842" s="283" t="n">
        <v>-0.123456790123456</v>
      </c>
      <c r="J842" s="269" t="s">
        <v>1162</v>
      </c>
      <c r="K842" s="27" t="n">
        <v>30000</v>
      </c>
      <c r="L842" s="27" t="n">
        <v>64800</v>
      </c>
      <c r="M842" s="45" t="n">
        <v>4050</v>
      </c>
      <c r="N842" s="29" t="n">
        <v>16200</v>
      </c>
      <c r="O842" s="29" t="n">
        <v>64900</v>
      </c>
      <c r="P842" s="30" t="n">
        <v>-100</v>
      </c>
      <c r="Q842" s="263" t="n">
        <v>45775</v>
      </c>
    </row>
    <row r="843" customFormat="false" ht="34.3" hidden="false" customHeight="false" outlineLevel="0" collapsed="false">
      <c r="A843" s="20" t="n">
        <v>3078</v>
      </c>
      <c r="B843" s="22" t="s">
        <v>486</v>
      </c>
      <c r="C843" s="22" t="s">
        <v>476</v>
      </c>
      <c r="D843" s="22"/>
      <c r="E843" s="23" t="n">
        <v>45712</v>
      </c>
      <c r="F843" s="23" t="n">
        <v>45824</v>
      </c>
      <c r="G843" s="24" t="n">
        <v>80</v>
      </c>
      <c r="H843" s="283" t="n">
        <v>80</v>
      </c>
      <c r="I843" s="283" t="n">
        <v>0</v>
      </c>
      <c r="J843" s="269" t="s">
        <v>1143</v>
      </c>
      <c r="K843" s="57" t="n">
        <v>50000</v>
      </c>
      <c r="L843" s="27" t="n">
        <v>108000</v>
      </c>
      <c r="M843" s="45" t="n">
        <v>6750</v>
      </c>
      <c r="N843" s="29" t="n">
        <v>54000</v>
      </c>
      <c r="O843" s="29" t="n">
        <v>108000</v>
      </c>
      <c r="P843" s="30" t="n">
        <v>0</v>
      </c>
      <c r="Q843" s="263" t="n">
        <v>45775</v>
      </c>
    </row>
    <row r="844" customFormat="false" ht="42.5" hidden="false" customHeight="false" outlineLevel="0" collapsed="false">
      <c r="A844" s="20" t="n">
        <v>2770</v>
      </c>
      <c r="B844" s="22" t="s">
        <v>581</v>
      </c>
      <c r="C844" s="22" t="s">
        <v>351</v>
      </c>
      <c r="D844" s="22"/>
      <c r="E844" s="23" t="n">
        <v>45523</v>
      </c>
      <c r="F844" s="23" t="n">
        <f aca="false">WORKDAY(E844,G844)</f>
        <v>45747</v>
      </c>
      <c r="G844" s="24" t="n">
        <v>160</v>
      </c>
      <c r="H844" s="283" t="n">
        <f aca="false">(EP844* 5)/M844</f>
        <v>0</v>
      </c>
      <c r="I844" s="283" t="n">
        <f aca="false">G844-H844</f>
        <v>160</v>
      </c>
      <c r="J844" s="269" t="s">
        <v>1163</v>
      </c>
      <c r="K844" s="27" t="n">
        <v>300000</v>
      </c>
      <c r="L844" s="27" t="n">
        <v>900000</v>
      </c>
      <c r="M844" s="28" t="n">
        <f aca="false">(L844/G844)*5</f>
        <v>28125</v>
      </c>
      <c r="N844" s="29" t="n">
        <v>700</v>
      </c>
      <c r="O844" s="29" t="n">
        <v>900000</v>
      </c>
      <c r="P844" s="30" t="n">
        <v>0</v>
      </c>
      <c r="Q844" s="263" t="n">
        <v>45775</v>
      </c>
    </row>
    <row r="845" customFormat="false" ht="42.5" hidden="false" customHeight="false" outlineLevel="0" collapsed="false">
      <c r="A845" s="20" t="n">
        <v>2912</v>
      </c>
      <c r="B845" s="22" t="s">
        <v>193</v>
      </c>
      <c r="C845" s="22" t="s">
        <v>194</v>
      </c>
      <c r="D845" s="22"/>
      <c r="E845" s="23" t="n">
        <v>45609</v>
      </c>
      <c r="F845" s="23" t="n">
        <v>45777</v>
      </c>
      <c r="G845" s="24" t="n">
        <v>120</v>
      </c>
      <c r="H845" s="283" t="n">
        <v>120</v>
      </c>
      <c r="I845" s="283" t="n">
        <v>0</v>
      </c>
      <c r="J845" s="269" t="s">
        <v>1096</v>
      </c>
      <c r="K845" s="27" t="n">
        <v>50000</v>
      </c>
      <c r="L845" s="27" t="n">
        <v>132000</v>
      </c>
      <c r="M845" s="28" t="n">
        <v>5500</v>
      </c>
      <c r="N845" s="29" t="n">
        <v>22000</v>
      </c>
      <c r="O845" s="29" t="n">
        <v>132000</v>
      </c>
      <c r="P845" s="30" t="n">
        <v>0</v>
      </c>
      <c r="Q845" s="263" t="n">
        <v>45782</v>
      </c>
    </row>
    <row r="846" customFormat="false" ht="42.5" hidden="false" customHeight="false" outlineLevel="0" collapsed="false">
      <c r="A846" s="20" t="n">
        <v>3005</v>
      </c>
      <c r="B846" s="22" t="s">
        <v>193</v>
      </c>
      <c r="C846" s="22" t="s">
        <v>194</v>
      </c>
      <c r="D846" s="22"/>
      <c r="E846" s="23" t="n">
        <v>45673</v>
      </c>
      <c r="F846" s="23" t="n">
        <v>45785</v>
      </c>
      <c r="G846" s="24" t="n">
        <v>80</v>
      </c>
      <c r="H846" s="283" t="n">
        <v>80</v>
      </c>
      <c r="I846" s="283" t="n">
        <v>0</v>
      </c>
      <c r="J846" s="269" t="s">
        <v>355</v>
      </c>
      <c r="K846" s="27" t="n">
        <v>100000</v>
      </c>
      <c r="L846" s="27" t="n">
        <v>216000</v>
      </c>
      <c r="M846" s="336" t="n">
        <v>13500</v>
      </c>
      <c r="N846" s="29" t="n">
        <v>54000</v>
      </c>
      <c r="O846" s="29" t="n">
        <v>216000</v>
      </c>
      <c r="P846" s="30" t="n">
        <v>0</v>
      </c>
      <c r="Q846" s="263" t="n">
        <v>45782</v>
      </c>
    </row>
    <row r="847" customFormat="false" ht="34.3" hidden="false" customHeight="false" outlineLevel="0" collapsed="false">
      <c r="A847" s="20" t="n">
        <v>3010</v>
      </c>
      <c r="B847" s="22" t="s">
        <v>226</v>
      </c>
      <c r="C847" s="22" t="s">
        <v>227</v>
      </c>
      <c r="D847" s="22"/>
      <c r="E847" s="23" t="n">
        <v>45675</v>
      </c>
      <c r="F847" s="23" t="n">
        <v>45776</v>
      </c>
      <c r="G847" s="24" t="n">
        <v>72</v>
      </c>
      <c r="H847" s="283" t="n">
        <v>86</v>
      </c>
      <c r="I847" s="283" t="n">
        <v>-14</v>
      </c>
      <c r="J847" s="22" t="s">
        <v>679</v>
      </c>
      <c r="K847" s="30" t="n">
        <v>20000</v>
      </c>
      <c r="L847" s="30" t="n">
        <v>43200</v>
      </c>
      <c r="M847" s="28" t="n">
        <v>3000</v>
      </c>
      <c r="N847" s="29" t="n">
        <v>9600</v>
      </c>
      <c r="O847" s="29" t="n">
        <v>51600</v>
      </c>
      <c r="P847" s="30" t="n">
        <v>-8400</v>
      </c>
      <c r="Q847" s="263" t="n">
        <v>45782</v>
      </c>
    </row>
    <row r="848" customFormat="false" ht="26.1" hidden="false" customHeight="false" outlineLevel="0" collapsed="false">
      <c r="A848" s="20" t="n">
        <v>2930</v>
      </c>
      <c r="B848" s="22" t="s">
        <v>302</v>
      </c>
      <c r="C848" s="22" t="s">
        <v>303</v>
      </c>
      <c r="D848" s="22" t="n">
        <v>27212523</v>
      </c>
      <c r="E848" s="23" t="n">
        <v>45621</v>
      </c>
      <c r="F848" s="23" t="n">
        <v>45775</v>
      </c>
      <c r="G848" s="24" t="n">
        <v>110</v>
      </c>
      <c r="H848" s="283" t="n">
        <v>110</v>
      </c>
      <c r="I848" s="283" t="n">
        <v>0</v>
      </c>
      <c r="J848" s="74" t="s">
        <v>1164</v>
      </c>
      <c r="K848" s="30" t="n">
        <v>80000</v>
      </c>
      <c r="L848" s="30" t="n">
        <v>211200</v>
      </c>
      <c r="M848" s="28" t="n">
        <v>9600</v>
      </c>
      <c r="N848" s="29" t="n">
        <v>19200</v>
      </c>
      <c r="O848" s="29" t="n">
        <v>211200</v>
      </c>
      <c r="P848" s="30" t="n">
        <v>0</v>
      </c>
      <c r="Q848" s="263" t="n">
        <v>45782</v>
      </c>
    </row>
    <row r="849" customFormat="false" ht="42.5" hidden="false" customHeight="false" outlineLevel="0" collapsed="false">
      <c r="A849" s="20" t="n">
        <v>3003</v>
      </c>
      <c r="B849" s="22" t="s">
        <v>329</v>
      </c>
      <c r="C849" s="22" t="s">
        <v>325</v>
      </c>
      <c r="D849" s="22"/>
      <c r="E849" s="23" t="n">
        <v>45672</v>
      </c>
      <c r="F849" s="23" t="n">
        <v>45772</v>
      </c>
      <c r="G849" s="24" t="n">
        <v>72</v>
      </c>
      <c r="H849" s="283" t="n">
        <v>72</v>
      </c>
      <c r="I849" s="283" t="n">
        <v>0</v>
      </c>
      <c r="J849" s="22" t="s">
        <v>333</v>
      </c>
      <c r="K849" s="27" t="n">
        <v>50000</v>
      </c>
      <c r="L849" s="27" t="n">
        <v>108000</v>
      </c>
      <c r="M849" s="28" t="n">
        <v>7500</v>
      </c>
      <c r="N849" s="29" t="n">
        <v>3000</v>
      </c>
      <c r="O849" s="29" t="n">
        <v>108000</v>
      </c>
      <c r="P849" s="30" t="n">
        <v>0</v>
      </c>
      <c r="Q849" s="263" t="n">
        <v>45782</v>
      </c>
    </row>
    <row r="850" customFormat="false" ht="17.9" hidden="false" customHeight="false" outlineLevel="0" collapsed="false">
      <c r="A850" s="20" t="n">
        <v>2915</v>
      </c>
      <c r="B850" s="22" t="s">
        <v>342</v>
      </c>
      <c r="C850" s="22" t="s">
        <v>343</v>
      </c>
      <c r="D850" s="22"/>
      <c r="E850" s="23" t="n">
        <v>45611</v>
      </c>
      <c r="F850" s="23" t="n">
        <v>45779</v>
      </c>
      <c r="G850" s="24" t="n">
        <v>120</v>
      </c>
      <c r="H850" s="283" t="n">
        <v>120.060606060606</v>
      </c>
      <c r="I850" s="283" t="n">
        <v>-0.0606060606060623</v>
      </c>
      <c r="J850" s="269" t="s">
        <v>1165</v>
      </c>
      <c r="K850" s="27" t="n">
        <v>150000</v>
      </c>
      <c r="L850" s="27" t="n">
        <v>396000</v>
      </c>
      <c r="M850" s="45" t="n">
        <v>16500</v>
      </c>
      <c r="N850" s="29" t="n">
        <v>66200</v>
      </c>
      <c r="O850" s="29" t="n">
        <v>396200</v>
      </c>
      <c r="P850" s="30" t="n">
        <v>-200</v>
      </c>
      <c r="Q850" s="263" t="n">
        <v>45782</v>
      </c>
    </row>
    <row r="851" customFormat="false" ht="34.3" hidden="false" customHeight="false" outlineLevel="0" collapsed="false">
      <c r="A851" s="20" t="n">
        <v>2854</v>
      </c>
      <c r="B851" s="22" t="s">
        <v>382</v>
      </c>
      <c r="C851" s="22" t="s">
        <v>383</v>
      </c>
      <c r="D851" s="22"/>
      <c r="E851" s="23" t="n">
        <v>45577</v>
      </c>
      <c r="F851" s="23" t="n">
        <v>45678</v>
      </c>
      <c r="G851" s="24" t="n">
        <v>72</v>
      </c>
      <c r="H851" s="283" t="n">
        <v>75</v>
      </c>
      <c r="I851" s="283" t="n">
        <v>-3</v>
      </c>
      <c r="J851" s="22" t="s">
        <v>716</v>
      </c>
      <c r="K851" s="30" t="n">
        <v>15000</v>
      </c>
      <c r="L851" s="30" t="n">
        <v>32400</v>
      </c>
      <c r="M851" s="28" t="n">
        <v>2250</v>
      </c>
      <c r="N851" s="29" t="n">
        <v>2250</v>
      </c>
      <c r="O851" s="29" t="n">
        <v>33750</v>
      </c>
      <c r="P851" s="30" t="n">
        <v>-1350</v>
      </c>
      <c r="Q851" s="263" t="n">
        <v>45782</v>
      </c>
    </row>
    <row r="852" customFormat="false" ht="26.1" hidden="false" customHeight="false" outlineLevel="0" collapsed="false">
      <c r="A852" s="20" t="n">
        <v>2900</v>
      </c>
      <c r="B852" s="22" t="s">
        <v>431</v>
      </c>
      <c r="C852" s="22" t="s">
        <v>432</v>
      </c>
      <c r="D852" s="22"/>
      <c r="E852" s="23" t="n">
        <v>45605</v>
      </c>
      <c r="F852" s="23" t="n">
        <v>45772</v>
      </c>
      <c r="G852" s="24" t="n">
        <v>120</v>
      </c>
      <c r="H852" s="283" t="n">
        <v>120.006445375443</v>
      </c>
      <c r="I852" s="283" t="n">
        <v>-0.00644537544312129</v>
      </c>
      <c r="J852" s="74" t="s">
        <v>1049</v>
      </c>
      <c r="K852" s="27" t="n">
        <v>141000</v>
      </c>
      <c r="L852" s="27" t="n">
        <v>372360</v>
      </c>
      <c r="M852" s="28" t="n">
        <v>15515</v>
      </c>
      <c r="N852" s="29" t="n">
        <v>49950</v>
      </c>
      <c r="O852" s="29" t="n">
        <v>372380</v>
      </c>
      <c r="P852" s="30" t="n">
        <v>-20</v>
      </c>
      <c r="Q852" s="263" t="n">
        <v>45782</v>
      </c>
    </row>
    <row r="853" customFormat="false" ht="34.3" hidden="false" customHeight="false" outlineLevel="0" collapsed="false">
      <c r="A853" s="20" t="n">
        <v>2885</v>
      </c>
      <c r="B853" s="22" t="s">
        <v>448</v>
      </c>
      <c r="C853" s="22" t="s">
        <v>449</v>
      </c>
      <c r="D853" s="22"/>
      <c r="E853" s="23" t="n">
        <v>45593</v>
      </c>
      <c r="F853" s="23" t="n">
        <v>45733</v>
      </c>
      <c r="G853" s="24" t="n">
        <v>100</v>
      </c>
      <c r="H853" s="283" t="n">
        <v>100</v>
      </c>
      <c r="I853" s="283" t="n">
        <v>0</v>
      </c>
      <c r="J853" s="269" t="s">
        <v>988</v>
      </c>
      <c r="K853" s="30" t="n">
        <v>200000</v>
      </c>
      <c r="L853" s="30" t="n">
        <v>432000</v>
      </c>
      <c r="M853" s="28" t="n">
        <v>21600</v>
      </c>
      <c r="N853" s="29" t="n">
        <v>86400</v>
      </c>
      <c r="O853" s="29" t="n">
        <v>432000</v>
      </c>
      <c r="P853" s="30" t="n">
        <v>0</v>
      </c>
      <c r="Q853" s="263" t="n">
        <v>45782</v>
      </c>
    </row>
    <row r="854" customFormat="false" ht="26.1" hidden="false" customHeight="false" outlineLevel="0" collapsed="false">
      <c r="A854" s="20" t="n">
        <v>2706</v>
      </c>
      <c r="B854" s="22" t="s">
        <v>216</v>
      </c>
      <c r="C854" s="22" t="s">
        <v>217</v>
      </c>
      <c r="D854" s="41"/>
      <c r="E854" s="23" t="n">
        <v>45483</v>
      </c>
      <c r="F854" s="23" t="n">
        <v>45763</v>
      </c>
      <c r="G854" s="24" t="n">
        <v>200</v>
      </c>
      <c r="H854" s="283" t="n">
        <v>200</v>
      </c>
      <c r="I854" s="283" t="n">
        <v>0</v>
      </c>
      <c r="J854" s="26" t="s">
        <v>1166</v>
      </c>
      <c r="K854" s="27" t="n">
        <v>300000</v>
      </c>
      <c r="L854" s="27" t="n">
        <v>990000</v>
      </c>
      <c r="M854" s="28" t="n">
        <v>24750</v>
      </c>
      <c r="N854" s="29" t="n">
        <v>99000</v>
      </c>
      <c r="O854" s="29" t="n">
        <v>990000</v>
      </c>
      <c r="P854" s="30" t="n">
        <v>0</v>
      </c>
      <c r="Q854" s="263" t="n">
        <v>45789</v>
      </c>
    </row>
    <row r="855" customFormat="false" ht="26.1" hidden="false" customHeight="false" outlineLevel="0" collapsed="false">
      <c r="A855" s="20" t="n">
        <v>3039</v>
      </c>
      <c r="B855" s="22" t="s">
        <v>1167</v>
      </c>
      <c r="C855" s="22" t="s">
        <v>241</v>
      </c>
      <c r="D855" s="41"/>
      <c r="E855" s="23" t="n">
        <v>45693</v>
      </c>
      <c r="F855" s="23" t="n">
        <v>45793</v>
      </c>
      <c r="G855" s="24" t="n">
        <v>72</v>
      </c>
      <c r="H855" s="283" t="n">
        <v>72</v>
      </c>
      <c r="I855" s="283" t="n">
        <v>0</v>
      </c>
      <c r="J855" s="34" t="s">
        <v>1168</v>
      </c>
      <c r="K855" s="27" t="n">
        <v>150000</v>
      </c>
      <c r="L855" s="27" t="n">
        <v>324000</v>
      </c>
      <c r="M855" s="28" t="n">
        <v>22500</v>
      </c>
      <c r="N855" s="29" t="n">
        <v>33000</v>
      </c>
      <c r="O855" s="29" t="n">
        <v>324000</v>
      </c>
      <c r="P855" s="30" t="n">
        <v>0</v>
      </c>
      <c r="Q855" s="263" t="n">
        <v>45789</v>
      </c>
    </row>
    <row r="856" customFormat="false" ht="26.1" hidden="false" customHeight="false" outlineLevel="0" collapsed="false">
      <c r="A856" s="20" t="n">
        <v>3020</v>
      </c>
      <c r="B856" s="22" t="s">
        <v>248</v>
      </c>
      <c r="C856" s="22" t="s">
        <v>249</v>
      </c>
      <c r="D856" s="41"/>
      <c r="E856" s="23" t="n">
        <v>45681</v>
      </c>
      <c r="F856" s="23" t="n">
        <v>45793</v>
      </c>
      <c r="G856" s="24" t="n">
        <v>80</v>
      </c>
      <c r="H856" s="283" t="n">
        <v>80</v>
      </c>
      <c r="I856" s="283" t="n">
        <v>0</v>
      </c>
      <c r="J856" s="26" t="s">
        <v>1126</v>
      </c>
      <c r="K856" s="27" t="n">
        <v>100000</v>
      </c>
      <c r="L856" s="27" t="n">
        <v>216000</v>
      </c>
      <c r="M856" s="28" t="n">
        <v>13500</v>
      </c>
      <c r="N856" s="29" t="n">
        <v>54000</v>
      </c>
      <c r="O856" s="29" t="n">
        <v>216000</v>
      </c>
      <c r="P856" s="30" t="n">
        <v>0</v>
      </c>
      <c r="Q856" s="263" t="n">
        <v>45789</v>
      </c>
    </row>
    <row r="857" customFormat="false" ht="34.3" hidden="false" customHeight="false" outlineLevel="0" collapsed="false">
      <c r="A857" s="20" t="n">
        <v>2923</v>
      </c>
      <c r="B857" s="22" t="s">
        <v>262</v>
      </c>
      <c r="C857" s="22" t="s">
        <v>263</v>
      </c>
      <c r="D857" s="41"/>
      <c r="E857" s="23" t="n">
        <v>45618</v>
      </c>
      <c r="F857" s="23" t="n">
        <v>45730</v>
      </c>
      <c r="G857" s="24" t="n">
        <v>80</v>
      </c>
      <c r="H857" s="283" t="n">
        <v>80</v>
      </c>
      <c r="I857" s="283" t="n">
        <v>0</v>
      </c>
      <c r="J857" s="26" t="s">
        <v>1169</v>
      </c>
      <c r="K857" s="30" t="n">
        <v>300000</v>
      </c>
      <c r="L857" s="30" t="n">
        <v>648000</v>
      </c>
      <c r="M857" s="28" t="n">
        <v>40500</v>
      </c>
      <c r="N857" s="29" t="n">
        <v>162000</v>
      </c>
      <c r="O857" s="29" t="n">
        <v>648000</v>
      </c>
      <c r="P857" s="30" t="n">
        <v>0</v>
      </c>
      <c r="Q857" s="263" t="n">
        <v>45789</v>
      </c>
    </row>
    <row r="858" customFormat="false" ht="42.5" hidden="false" customHeight="false" outlineLevel="0" collapsed="false">
      <c r="A858" s="20" t="n">
        <v>2953</v>
      </c>
      <c r="B858" s="22" t="s">
        <v>364</v>
      </c>
      <c r="C858" s="22" t="s">
        <v>365</v>
      </c>
      <c r="D858" s="41"/>
      <c r="E858" s="23" t="n">
        <v>45641</v>
      </c>
      <c r="F858" s="23" t="n">
        <v>45807</v>
      </c>
      <c r="G858" s="24" t="n">
        <v>120</v>
      </c>
      <c r="H858" s="283" t="n">
        <v>120</v>
      </c>
      <c r="I858" s="283" t="n">
        <v>0</v>
      </c>
      <c r="J858" s="62" t="s">
        <v>1110</v>
      </c>
      <c r="K858" s="337" t="n">
        <v>100000</v>
      </c>
      <c r="L858" s="30" t="n">
        <v>264000</v>
      </c>
      <c r="M858" s="28" t="n">
        <v>11000</v>
      </c>
      <c r="N858" s="29" t="n">
        <v>88000</v>
      </c>
      <c r="O858" s="29" t="n">
        <v>264000</v>
      </c>
      <c r="P858" s="30" t="n">
        <v>0</v>
      </c>
      <c r="Q858" s="263" t="n">
        <v>45789</v>
      </c>
    </row>
    <row r="859" customFormat="false" ht="42.5" hidden="false" customHeight="false" outlineLevel="0" collapsed="false">
      <c r="A859" s="20" t="n">
        <v>2980</v>
      </c>
      <c r="B859" s="22" t="s">
        <v>364</v>
      </c>
      <c r="C859" s="22" t="s">
        <v>365</v>
      </c>
      <c r="D859" s="41"/>
      <c r="E859" s="23" t="n">
        <v>45656</v>
      </c>
      <c r="F859" s="23" t="n">
        <v>45768</v>
      </c>
      <c r="G859" s="24" t="n">
        <v>80</v>
      </c>
      <c r="H859" s="283" t="n">
        <v>80</v>
      </c>
      <c r="I859" s="283" t="n">
        <v>0</v>
      </c>
      <c r="J859" s="62" t="s">
        <v>1170</v>
      </c>
      <c r="K859" s="27" t="n">
        <v>50000</v>
      </c>
      <c r="L859" s="27" t="n">
        <v>108000</v>
      </c>
      <c r="M859" s="45" t="n">
        <v>6750</v>
      </c>
      <c r="N859" s="29" t="n">
        <v>27000</v>
      </c>
      <c r="O859" s="29" t="n">
        <v>108000</v>
      </c>
      <c r="P859" s="30" t="n">
        <v>0</v>
      </c>
      <c r="Q859" s="263" t="n">
        <v>45789</v>
      </c>
    </row>
    <row r="860" customFormat="false" ht="67.15" hidden="false" customHeight="false" outlineLevel="0" collapsed="false">
      <c r="A860" s="20" t="n">
        <v>3046</v>
      </c>
      <c r="B860" s="22" t="s">
        <v>399</v>
      </c>
      <c r="C860" s="22" t="s">
        <v>400</v>
      </c>
      <c r="D860" s="41"/>
      <c r="E860" s="23" t="n">
        <v>45696</v>
      </c>
      <c r="F860" s="23" t="n">
        <v>45797</v>
      </c>
      <c r="G860" s="24" t="n">
        <v>72</v>
      </c>
      <c r="H860" s="283" t="n">
        <v>72</v>
      </c>
      <c r="I860" s="283" t="n">
        <v>0</v>
      </c>
      <c r="J860" s="34" t="s">
        <v>720</v>
      </c>
      <c r="K860" s="27" t="n">
        <v>60000</v>
      </c>
      <c r="L860" s="27" t="n">
        <v>129600</v>
      </c>
      <c r="M860" s="45" t="n">
        <v>9000</v>
      </c>
      <c r="N860" s="29" t="n">
        <v>21600</v>
      </c>
      <c r="O860" s="29" t="n">
        <v>129600</v>
      </c>
      <c r="P860" s="30" t="n">
        <v>0</v>
      </c>
      <c r="Q860" s="263" t="n">
        <v>45789</v>
      </c>
    </row>
    <row r="861" customFormat="false" ht="67.15" hidden="false" customHeight="false" outlineLevel="0" collapsed="false">
      <c r="A861" s="20" t="n">
        <v>3055</v>
      </c>
      <c r="B861" s="22" t="s">
        <v>399</v>
      </c>
      <c r="C861" s="22" t="s">
        <v>400</v>
      </c>
      <c r="D861" s="41"/>
      <c r="E861" s="23" t="n">
        <v>45701</v>
      </c>
      <c r="F861" s="23" t="n">
        <v>45803</v>
      </c>
      <c r="G861" s="24" t="n">
        <v>72</v>
      </c>
      <c r="H861" s="283" t="n">
        <v>72</v>
      </c>
      <c r="I861" s="283" t="n">
        <v>0</v>
      </c>
      <c r="J861" s="34" t="s">
        <v>675</v>
      </c>
      <c r="K861" s="27" t="n">
        <v>30000</v>
      </c>
      <c r="L861" s="27" t="n">
        <v>64800</v>
      </c>
      <c r="M861" s="28" t="n">
        <v>4500</v>
      </c>
      <c r="N861" s="29" t="n">
        <v>10800</v>
      </c>
      <c r="O861" s="29" t="n">
        <v>64800</v>
      </c>
      <c r="P861" s="30" t="n">
        <v>0</v>
      </c>
      <c r="Q861" s="263" t="n">
        <v>45789</v>
      </c>
    </row>
    <row r="862" customFormat="false" ht="19.4" hidden="false" customHeight="false" outlineLevel="0" collapsed="false">
      <c r="A862" s="20" t="n">
        <v>3092</v>
      </c>
      <c r="B862" s="22" t="s">
        <v>425</v>
      </c>
      <c r="C862" s="22" t="s">
        <v>426</v>
      </c>
      <c r="D862" s="41"/>
      <c r="E862" s="23" t="n">
        <v>45722</v>
      </c>
      <c r="F862" s="23" t="n">
        <v>45750</v>
      </c>
      <c r="G862" s="24" t="n">
        <v>20</v>
      </c>
      <c r="H862" s="283" t="e">
        <f aca="false">#DIV/0!</f>
        <v>#DIV/0!</v>
      </c>
      <c r="I862" s="283" t="e">
        <f aca="false">#DIV/0!</f>
        <v>#DIV/0!</v>
      </c>
      <c r="J862" s="26" t="s">
        <v>1131</v>
      </c>
      <c r="K862" s="27" t="n">
        <v>45000</v>
      </c>
      <c r="L862" s="27" t="n">
        <v>67500</v>
      </c>
      <c r="M862" s="28"/>
      <c r="N862" s="273" t="n">
        <v>37500</v>
      </c>
      <c r="O862" s="29" t="n">
        <v>67500</v>
      </c>
      <c r="P862" s="30" t="n">
        <v>0</v>
      </c>
      <c r="Q862" s="263" t="n">
        <v>45789</v>
      </c>
    </row>
    <row r="863" customFormat="false" ht="19.4" hidden="false" customHeight="false" outlineLevel="0" collapsed="false">
      <c r="A863" s="20" t="n">
        <v>3093</v>
      </c>
      <c r="B863" s="22" t="s">
        <v>425</v>
      </c>
      <c r="C863" s="22" t="s">
        <v>426</v>
      </c>
      <c r="D863" s="41"/>
      <c r="E863" s="23" t="n">
        <v>45722</v>
      </c>
      <c r="F863" s="23" t="n">
        <v>45750</v>
      </c>
      <c r="G863" s="24" t="n">
        <v>20</v>
      </c>
      <c r="H863" s="283" t="e">
        <f aca="false">#DIV/0!</f>
        <v>#DIV/0!</v>
      </c>
      <c r="I863" s="283" t="e">
        <f aca="false">#DIV/0!</f>
        <v>#DIV/0!</v>
      </c>
      <c r="J863" s="26" t="s">
        <v>1131</v>
      </c>
      <c r="K863" s="27" t="n">
        <v>40000</v>
      </c>
      <c r="L863" s="27" t="n">
        <v>60000</v>
      </c>
      <c r="M863" s="45"/>
      <c r="N863" s="29" t="n">
        <v>60000</v>
      </c>
      <c r="O863" s="29" t="n">
        <v>60000</v>
      </c>
      <c r="P863" s="30" t="n">
        <v>0</v>
      </c>
      <c r="Q863" s="263" t="n">
        <v>45789</v>
      </c>
    </row>
    <row r="864" customFormat="false" ht="15" hidden="false" customHeight="false" outlineLevel="0" collapsed="false">
      <c r="A864" s="20" t="n">
        <v>3152</v>
      </c>
      <c r="B864" s="22" t="s">
        <v>791</v>
      </c>
      <c r="C864" s="22"/>
      <c r="D864" s="41"/>
      <c r="E864" s="23" t="n">
        <v>45759</v>
      </c>
      <c r="F864" s="23" t="n">
        <v>45786</v>
      </c>
      <c r="G864" s="24" t="n">
        <v>20</v>
      </c>
      <c r="H864" s="283" t="e">
        <f aca="false">#DIV/0!</f>
        <v>#DIV/0!</v>
      </c>
      <c r="I864" s="283" t="e">
        <f aca="false">#DIV/0!</f>
        <v>#DIV/0!</v>
      </c>
      <c r="J864" s="26" t="s">
        <v>444</v>
      </c>
      <c r="K864" s="27" t="n">
        <v>30000</v>
      </c>
      <c r="L864" s="27" t="n">
        <v>48000</v>
      </c>
      <c r="M864" s="45"/>
      <c r="N864" s="29" t="n">
        <v>48000</v>
      </c>
      <c r="O864" s="29" t="n">
        <v>48000</v>
      </c>
      <c r="P864" s="30" t="n">
        <v>0</v>
      </c>
      <c r="Q864" s="263" t="n">
        <v>45789</v>
      </c>
    </row>
    <row r="865" customFormat="false" ht="15" hidden="false" customHeight="false" outlineLevel="0" collapsed="false">
      <c r="A865" s="20" t="n">
        <v>3178</v>
      </c>
      <c r="B865" s="22" t="s">
        <v>791</v>
      </c>
      <c r="C865" s="22"/>
      <c r="D865" s="41"/>
      <c r="E865" s="23" t="n">
        <v>45779</v>
      </c>
      <c r="F865" s="23" t="n">
        <v>45807</v>
      </c>
      <c r="G865" s="24" t="n">
        <v>20</v>
      </c>
      <c r="H865" s="283" t="e">
        <f aca="false">#DIV/0!</f>
        <v>#DIV/0!</v>
      </c>
      <c r="I865" s="283" t="e">
        <f aca="false">#DIV/0!</f>
        <v>#DIV/0!</v>
      </c>
      <c r="J865" s="26" t="s">
        <v>444</v>
      </c>
      <c r="K865" s="27" t="n">
        <v>40000</v>
      </c>
      <c r="L865" s="27" t="n">
        <v>60000</v>
      </c>
      <c r="M865" s="45"/>
      <c r="N865" s="29" t="n">
        <v>60000</v>
      </c>
      <c r="O865" s="29" t="n">
        <v>60000</v>
      </c>
      <c r="P865" s="30" t="n">
        <v>0</v>
      </c>
      <c r="Q865" s="263" t="n">
        <v>45789</v>
      </c>
    </row>
    <row r="866" customFormat="false" ht="34.3" hidden="false" customHeight="false" outlineLevel="0" collapsed="false">
      <c r="A866" s="20" t="n">
        <v>2894</v>
      </c>
      <c r="B866" s="22" t="s">
        <v>452</v>
      </c>
      <c r="C866" s="22"/>
      <c r="D866" s="41"/>
      <c r="E866" s="23" t="n">
        <v>45598</v>
      </c>
      <c r="F866" s="23" t="n">
        <v>45765</v>
      </c>
      <c r="G866" s="24" t="n">
        <v>120</v>
      </c>
      <c r="H866" s="283" t="n">
        <v>120</v>
      </c>
      <c r="I866" s="283" t="n">
        <v>0</v>
      </c>
      <c r="J866" s="26" t="s">
        <v>456</v>
      </c>
      <c r="K866" s="27" t="n">
        <v>100000</v>
      </c>
      <c r="L866" s="27" t="n">
        <v>264000</v>
      </c>
      <c r="M866" s="28" t="n">
        <v>11000</v>
      </c>
      <c r="N866" s="29" t="n">
        <v>44000</v>
      </c>
      <c r="O866" s="29" t="n">
        <v>264000</v>
      </c>
      <c r="P866" s="30" t="n">
        <v>0</v>
      </c>
      <c r="Q866" s="263" t="n">
        <v>45789</v>
      </c>
    </row>
    <row r="867" customFormat="false" ht="26.1" hidden="false" customHeight="false" outlineLevel="0" collapsed="false">
      <c r="A867" s="20" t="n">
        <v>3050</v>
      </c>
      <c r="B867" s="22" t="s">
        <v>459</v>
      </c>
      <c r="C867" s="22" t="s">
        <v>460</v>
      </c>
      <c r="D867" s="41"/>
      <c r="E867" s="23" t="n">
        <v>45698</v>
      </c>
      <c r="F867" s="23" t="n">
        <v>45798</v>
      </c>
      <c r="G867" s="24" t="n">
        <v>72</v>
      </c>
      <c r="H867" s="283" t="n">
        <v>72</v>
      </c>
      <c r="I867" s="283" t="n">
        <v>0</v>
      </c>
      <c r="J867" s="34" t="s">
        <v>188</v>
      </c>
      <c r="K867" s="27" t="n">
        <v>100000</v>
      </c>
      <c r="L867" s="27" t="n">
        <v>216000</v>
      </c>
      <c r="M867" s="28" t="n">
        <v>15000</v>
      </c>
      <c r="N867" s="40" t="n">
        <v>58900</v>
      </c>
      <c r="O867" s="29" t="n">
        <v>216000</v>
      </c>
      <c r="P867" s="27" t="n">
        <v>0</v>
      </c>
      <c r="Q867" s="263" t="n">
        <v>45789</v>
      </c>
    </row>
    <row r="868" customFormat="false" ht="17.9" hidden="false" customHeight="false" outlineLevel="0" collapsed="false">
      <c r="A868" s="20" t="n">
        <v>3126</v>
      </c>
      <c r="B868" s="22" t="s">
        <v>909</v>
      </c>
      <c r="C868" s="22"/>
      <c r="D868" s="41"/>
      <c r="E868" s="23" t="n">
        <v>45742</v>
      </c>
      <c r="F868" s="23" t="n">
        <v>45763</v>
      </c>
      <c r="G868" s="24" t="n">
        <v>15</v>
      </c>
      <c r="H868" s="283" t="e">
        <f aca="false">#DIV/0!</f>
        <v>#DIV/0!</v>
      </c>
      <c r="I868" s="283" t="e">
        <f aca="false">#DIV/0!</f>
        <v>#DIV/0!</v>
      </c>
      <c r="J868" s="26" t="s">
        <v>199</v>
      </c>
      <c r="K868" s="27" t="n">
        <v>30000</v>
      </c>
      <c r="L868" s="27" t="n">
        <v>45000</v>
      </c>
      <c r="M868" s="28"/>
      <c r="N868" s="40" t="n">
        <v>5000</v>
      </c>
      <c r="O868" s="29" t="n">
        <v>45000</v>
      </c>
      <c r="P868" s="27" t="n">
        <v>0</v>
      </c>
      <c r="Q868" s="263" t="n">
        <v>45789</v>
      </c>
    </row>
    <row r="869" customFormat="false" ht="17.9" hidden="false" customHeight="false" outlineLevel="0" collapsed="false">
      <c r="A869" s="20" t="n">
        <v>3141</v>
      </c>
      <c r="B869" s="22" t="s">
        <v>909</v>
      </c>
      <c r="C869" s="22"/>
      <c r="D869" s="41"/>
      <c r="E869" s="23" t="n">
        <v>45750</v>
      </c>
      <c r="F869" s="23" t="n">
        <v>45771</v>
      </c>
      <c r="G869" s="24" t="n">
        <v>15</v>
      </c>
      <c r="H869" s="283" t="e">
        <f aca="false">#DIV/0!</f>
        <v>#DIV/0!</v>
      </c>
      <c r="I869" s="283" t="e">
        <f aca="false">#DIV/0!</f>
        <v>#DIV/0!</v>
      </c>
      <c r="J869" s="26" t="s">
        <v>199</v>
      </c>
      <c r="K869" s="27" t="n">
        <v>10000</v>
      </c>
      <c r="L869" s="27" t="n">
        <v>15000</v>
      </c>
      <c r="M869" s="28"/>
      <c r="N869" s="40" t="n">
        <v>15000</v>
      </c>
      <c r="O869" s="29" t="n">
        <v>15000</v>
      </c>
      <c r="P869" s="27" t="n">
        <v>0</v>
      </c>
      <c r="Q869" s="263" t="n">
        <v>45789</v>
      </c>
    </row>
    <row r="870" customFormat="false" ht="17.9" hidden="false" customHeight="false" outlineLevel="0" collapsed="false">
      <c r="A870" s="20" t="n">
        <v>3159</v>
      </c>
      <c r="B870" s="22" t="s">
        <v>909</v>
      </c>
      <c r="C870" s="22"/>
      <c r="D870" s="41"/>
      <c r="E870" s="23" t="n">
        <v>45768</v>
      </c>
      <c r="F870" s="23" t="n">
        <v>45789</v>
      </c>
      <c r="G870" s="24" t="n">
        <v>15</v>
      </c>
      <c r="H870" s="283" t="e">
        <f aca="false">#DIV/0!</f>
        <v>#DIV/0!</v>
      </c>
      <c r="I870" s="283" t="e">
        <f aca="false">#DIV/0!</f>
        <v>#DIV/0!</v>
      </c>
      <c r="J870" s="26" t="s">
        <v>199</v>
      </c>
      <c r="K870" s="27" t="n">
        <v>40000</v>
      </c>
      <c r="L870" s="27" t="n">
        <v>60000</v>
      </c>
      <c r="M870" s="28"/>
      <c r="N870" s="40" t="n">
        <v>60000</v>
      </c>
      <c r="O870" s="29" t="n">
        <v>60000</v>
      </c>
      <c r="P870" s="27" t="n">
        <v>0</v>
      </c>
      <c r="Q870" s="263" t="n">
        <v>45789</v>
      </c>
    </row>
    <row r="871" customFormat="false" ht="17.9" hidden="false" customHeight="false" outlineLevel="0" collapsed="false">
      <c r="A871" s="20" t="n">
        <v>3164</v>
      </c>
      <c r="B871" s="22" t="s">
        <v>909</v>
      </c>
      <c r="C871" s="22"/>
      <c r="D871" s="41"/>
      <c r="E871" s="23" t="n">
        <v>45771</v>
      </c>
      <c r="F871" s="23" t="n">
        <v>45792</v>
      </c>
      <c r="G871" s="24" t="n">
        <v>15</v>
      </c>
      <c r="H871" s="283" t="e">
        <f aca="false">#DIV/0!</f>
        <v>#DIV/0!</v>
      </c>
      <c r="I871" s="283" t="e">
        <f aca="false">#DIV/0!</f>
        <v>#DIV/0!</v>
      </c>
      <c r="J871" s="26" t="s">
        <v>199</v>
      </c>
      <c r="K871" s="27" t="n">
        <v>30000</v>
      </c>
      <c r="L871" s="27" t="n">
        <v>45000</v>
      </c>
      <c r="M871" s="28"/>
      <c r="N871" s="40" t="n">
        <v>45000</v>
      </c>
      <c r="O871" s="29" t="n">
        <v>45000</v>
      </c>
      <c r="P871" s="27" t="n">
        <v>0</v>
      </c>
      <c r="Q871" s="263" t="n">
        <v>45789</v>
      </c>
    </row>
    <row r="872" customFormat="false" ht="34.3" hidden="false" customHeight="false" outlineLevel="0" collapsed="false">
      <c r="A872" s="20" t="n">
        <v>2997</v>
      </c>
      <c r="B872" s="22" t="s">
        <v>532</v>
      </c>
      <c r="C872" s="22" t="s">
        <v>533</v>
      </c>
      <c r="D872" s="41"/>
      <c r="E872" s="23" t="n">
        <v>45667</v>
      </c>
      <c r="F872" s="23" t="n">
        <v>45779</v>
      </c>
      <c r="G872" s="24" t="n">
        <v>80</v>
      </c>
      <c r="H872" s="283" t="n">
        <v>80</v>
      </c>
      <c r="I872" s="283" t="n">
        <v>0</v>
      </c>
      <c r="J872" s="26" t="s">
        <v>1171</v>
      </c>
      <c r="K872" s="27" t="n">
        <v>60000</v>
      </c>
      <c r="L872" s="27" t="n">
        <v>158400</v>
      </c>
      <c r="M872" s="28" t="n">
        <v>9900</v>
      </c>
      <c r="N872" s="40" t="n">
        <v>49200</v>
      </c>
      <c r="O872" s="29" t="n">
        <v>158400</v>
      </c>
      <c r="P872" s="27" t="n">
        <v>0</v>
      </c>
      <c r="Q872" s="263" t="n">
        <v>45789</v>
      </c>
    </row>
    <row r="873" customFormat="false" ht="26.1" hidden="false" customHeight="false" outlineLevel="0" collapsed="false">
      <c r="A873" s="20" t="n">
        <v>3011</v>
      </c>
      <c r="B873" s="22" t="s">
        <v>561</v>
      </c>
      <c r="C873" s="22" t="s">
        <v>562</v>
      </c>
      <c r="D873" s="41"/>
      <c r="E873" s="23" t="n">
        <v>45677</v>
      </c>
      <c r="F873" s="23" t="n">
        <v>45777</v>
      </c>
      <c r="G873" s="24" t="n">
        <v>72</v>
      </c>
      <c r="H873" s="283" t="n">
        <v>72</v>
      </c>
      <c r="I873" s="283" t="n">
        <v>0</v>
      </c>
      <c r="J873" s="46" t="s">
        <v>468</v>
      </c>
      <c r="K873" s="27" t="n">
        <v>300000</v>
      </c>
      <c r="L873" s="27" t="n">
        <v>648000</v>
      </c>
      <c r="M873" s="28" t="n">
        <v>45000</v>
      </c>
      <c r="N873" s="29" t="n">
        <v>23000</v>
      </c>
      <c r="O873" s="29" t="n">
        <v>648000</v>
      </c>
      <c r="P873" s="30" t="n">
        <v>0</v>
      </c>
      <c r="Q873" s="263" t="n">
        <v>45789</v>
      </c>
    </row>
    <row r="874" customFormat="false" ht="34.3" hidden="false" customHeight="false" outlineLevel="0" collapsed="false">
      <c r="A874" s="20" t="n">
        <v>2846</v>
      </c>
      <c r="B874" s="22" t="s">
        <v>262</v>
      </c>
      <c r="C874" s="22" t="s">
        <v>263</v>
      </c>
      <c r="D874" s="41"/>
      <c r="E874" s="23" t="n">
        <v>45573</v>
      </c>
      <c r="F874" s="23" t="n">
        <v>45685</v>
      </c>
      <c r="G874" s="24" t="n">
        <v>80</v>
      </c>
      <c r="H874" s="283" t="n">
        <v>80</v>
      </c>
      <c r="I874" s="283" t="n">
        <v>0</v>
      </c>
      <c r="J874" s="26" t="s">
        <v>1172</v>
      </c>
      <c r="K874" s="30" t="n">
        <v>500000</v>
      </c>
      <c r="L874" s="30" t="n">
        <v>1080000</v>
      </c>
      <c r="M874" s="28" t="n">
        <v>67500</v>
      </c>
      <c r="N874" s="29" t="n">
        <v>70000</v>
      </c>
      <c r="O874" s="29" t="n">
        <v>1080000</v>
      </c>
      <c r="P874" s="30" t="n">
        <v>0</v>
      </c>
      <c r="Q874" s="263" t="n">
        <v>45796</v>
      </c>
    </row>
    <row r="875" customFormat="false" ht="26.1" hidden="false" customHeight="false" outlineLevel="0" collapsed="false">
      <c r="A875" s="20" t="n">
        <v>2931</v>
      </c>
      <c r="B875" s="22" t="s">
        <v>332</v>
      </c>
      <c r="C875" s="22" t="s">
        <v>252</v>
      </c>
      <c r="D875" s="41"/>
      <c r="E875" s="23" t="n">
        <v>45621</v>
      </c>
      <c r="F875" s="23" t="n">
        <v>45775</v>
      </c>
      <c r="G875" s="24" t="n">
        <v>110</v>
      </c>
      <c r="H875" s="283" t="n">
        <v>110</v>
      </c>
      <c r="I875" s="283" t="n">
        <v>0</v>
      </c>
      <c r="J875" s="46" t="s">
        <v>254</v>
      </c>
      <c r="K875" s="27" t="n">
        <v>100000</v>
      </c>
      <c r="L875" s="27" t="n">
        <v>264000</v>
      </c>
      <c r="M875" s="45" t="n">
        <v>12000</v>
      </c>
      <c r="N875" s="29" t="n">
        <v>12000</v>
      </c>
      <c r="O875" s="29" t="n">
        <v>264000</v>
      </c>
      <c r="P875" s="30" t="n">
        <v>0</v>
      </c>
      <c r="Q875" s="263" t="n">
        <v>45796</v>
      </c>
    </row>
    <row r="876" customFormat="false" ht="67.15" hidden="false" customHeight="false" outlineLevel="0" collapsed="false">
      <c r="A876" s="20" t="n">
        <v>3086</v>
      </c>
      <c r="B876" s="22" t="s">
        <v>399</v>
      </c>
      <c r="C876" s="22" t="s">
        <v>400</v>
      </c>
      <c r="D876" s="41"/>
      <c r="E876" s="23" t="n">
        <v>45716</v>
      </c>
      <c r="F876" s="23" t="n">
        <v>45818</v>
      </c>
      <c r="G876" s="24" t="n">
        <v>72</v>
      </c>
      <c r="H876" s="283" t="n">
        <v>72</v>
      </c>
      <c r="I876" s="283" t="n">
        <v>0</v>
      </c>
      <c r="J876" s="34" t="s">
        <v>333</v>
      </c>
      <c r="K876" s="30" t="n">
        <v>60000</v>
      </c>
      <c r="L876" s="30" t="n">
        <v>129600</v>
      </c>
      <c r="M876" s="45" t="n">
        <v>9000</v>
      </c>
      <c r="N876" s="29" t="n">
        <v>30600</v>
      </c>
      <c r="O876" s="29" t="n">
        <v>129600</v>
      </c>
      <c r="P876" s="30" t="n">
        <v>0</v>
      </c>
      <c r="Q876" s="263" t="n">
        <v>45796</v>
      </c>
    </row>
    <row r="877" customFormat="false" ht="15" hidden="false" customHeight="false" outlineLevel="0" collapsed="false">
      <c r="A877" s="20" t="n">
        <v>3162</v>
      </c>
      <c r="B877" s="22" t="s">
        <v>791</v>
      </c>
      <c r="C877" s="22"/>
      <c r="D877" s="41"/>
      <c r="E877" s="23" t="n">
        <v>45770</v>
      </c>
      <c r="F877" s="23" t="n">
        <v>45798</v>
      </c>
      <c r="G877" s="24" t="n">
        <v>20</v>
      </c>
      <c r="H877" s="283" t="e">
        <f aca="false">#DIV/0!</f>
        <v>#DIV/0!</v>
      </c>
      <c r="I877" s="283" t="e">
        <f aca="false">#DIV/0!</f>
        <v>#DIV/0!</v>
      </c>
      <c r="J877" s="26" t="s">
        <v>444</v>
      </c>
      <c r="K877" s="30" t="n">
        <v>30000</v>
      </c>
      <c r="L877" s="30" t="n">
        <v>45000</v>
      </c>
      <c r="M877" s="28"/>
      <c r="N877" s="29" t="n">
        <v>45000</v>
      </c>
      <c r="O877" s="29" t="n">
        <v>45000</v>
      </c>
      <c r="P877" s="27" t="n">
        <v>0</v>
      </c>
      <c r="Q877" s="263" t="n">
        <v>45796</v>
      </c>
    </row>
    <row r="878" customFormat="false" ht="17.9" hidden="false" customHeight="false" outlineLevel="0" collapsed="false">
      <c r="A878" s="20" t="n">
        <v>3153</v>
      </c>
      <c r="B878" s="22" t="s">
        <v>516</v>
      </c>
      <c r="C878" s="22" t="s">
        <v>517</v>
      </c>
      <c r="D878" s="41"/>
      <c r="E878" s="23" t="n">
        <v>45761</v>
      </c>
      <c r="F878" s="23" t="n">
        <v>45785</v>
      </c>
      <c r="G878" s="24" t="n">
        <v>18</v>
      </c>
      <c r="H878" s="283" t="e">
        <f aca="false">#DIV/0!</f>
        <v>#DIV/0!</v>
      </c>
      <c r="I878" s="283" t="e">
        <f aca="false">#DIV/0!</f>
        <v>#DIV/0!</v>
      </c>
      <c r="J878" s="26" t="s">
        <v>199</v>
      </c>
      <c r="K878" s="30" t="n">
        <v>250000</v>
      </c>
      <c r="L878" s="30" t="n">
        <v>350000</v>
      </c>
      <c r="M878" s="28"/>
      <c r="N878" s="29" t="n">
        <v>350000</v>
      </c>
      <c r="O878" s="29" t="n">
        <v>350000</v>
      </c>
      <c r="P878" s="27" t="n">
        <v>0</v>
      </c>
      <c r="Q878" s="263" t="n">
        <v>45796</v>
      </c>
    </row>
    <row r="879" customFormat="false" ht="26.1" hidden="false" customHeight="false" outlineLevel="0" collapsed="false">
      <c r="A879" s="20" t="n">
        <v>3113</v>
      </c>
      <c r="B879" s="22" t="s">
        <v>1145</v>
      </c>
      <c r="C879" s="22"/>
      <c r="D879" s="41"/>
      <c r="E879" s="23" t="n">
        <v>45734</v>
      </c>
      <c r="F879" s="23" t="n">
        <v>45832</v>
      </c>
      <c r="G879" s="24" t="n">
        <v>70</v>
      </c>
      <c r="H879" s="283" t="n">
        <v>70</v>
      </c>
      <c r="I879" s="283" t="n">
        <v>0</v>
      </c>
      <c r="J879" s="46" t="s">
        <v>1173</v>
      </c>
      <c r="K879" s="27" t="n">
        <v>50000</v>
      </c>
      <c r="L879" s="27" t="n">
        <v>108500</v>
      </c>
      <c r="M879" s="28" t="n">
        <v>7750</v>
      </c>
      <c r="N879" s="29" t="n">
        <v>46500</v>
      </c>
      <c r="O879" s="29" t="n">
        <v>108500</v>
      </c>
      <c r="P879" s="30" t="n">
        <v>0</v>
      </c>
      <c r="Q879" s="263" t="n">
        <v>45796</v>
      </c>
    </row>
    <row r="880" customFormat="false" ht="50.7" hidden="false" customHeight="false" outlineLevel="0" collapsed="false">
      <c r="A880" s="20" t="n">
        <v>3034</v>
      </c>
      <c r="B880" s="22" t="s">
        <v>885</v>
      </c>
      <c r="C880" s="22" t="s">
        <v>309</v>
      </c>
      <c r="D880" s="41"/>
      <c r="E880" s="23" t="n">
        <v>45688</v>
      </c>
      <c r="F880" s="23" t="n">
        <v>45800</v>
      </c>
      <c r="G880" s="24" t="n">
        <v>80</v>
      </c>
      <c r="H880" s="338" t="n">
        <v>80</v>
      </c>
      <c r="I880" s="338" t="n">
        <v>0</v>
      </c>
      <c r="J880" s="26" t="s">
        <v>1125</v>
      </c>
      <c r="K880" s="27" t="n">
        <v>400000</v>
      </c>
      <c r="L880" s="27" t="n">
        <v>864000</v>
      </c>
      <c r="M880" s="28" t="n">
        <v>54000</v>
      </c>
      <c r="N880" s="29" t="n">
        <v>216000</v>
      </c>
      <c r="O880" s="29" t="n">
        <v>864000</v>
      </c>
      <c r="P880" s="30" t="n">
        <v>0</v>
      </c>
      <c r="Q880" s="263" t="n">
        <v>45803</v>
      </c>
    </row>
    <row r="881" customFormat="false" ht="67.15" hidden="false" customHeight="false" outlineLevel="0" collapsed="false">
      <c r="A881" s="20" t="n">
        <v>3099</v>
      </c>
      <c r="B881" s="22" t="s">
        <v>399</v>
      </c>
      <c r="C881" s="22" t="s">
        <v>400</v>
      </c>
      <c r="D881" s="41"/>
      <c r="E881" s="23" t="n">
        <v>45726</v>
      </c>
      <c r="F881" s="23" t="n">
        <v>45826</v>
      </c>
      <c r="G881" s="24" t="n">
        <v>72</v>
      </c>
      <c r="H881" s="338" t="n">
        <v>72</v>
      </c>
      <c r="I881" s="338" t="n">
        <v>0</v>
      </c>
      <c r="J881" s="34" t="s">
        <v>333</v>
      </c>
      <c r="K881" s="339" t="n">
        <v>50000</v>
      </c>
      <c r="L881" s="27" t="n">
        <v>108000</v>
      </c>
      <c r="M881" s="45" t="n">
        <v>7500</v>
      </c>
      <c r="N881" s="29" t="n">
        <v>33000</v>
      </c>
      <c r="O881" s="29" t="n">
        <v>108000</v>
      </c>
      <c r="P881" s="27" t="n">
        <v>0</v>
      </c>
      <c r="Q881" s="263" t="n">
        <v>45803</v>
      </c>
    </row>
    <row r="882" customFormat="false" ht="34.3" hidden="false" customHeight="false" outlineLevel="0" collapsed="false">
      <c r="A882" s="20" t="n">
        <v>3220</v>
      </c>
      <c r="B882" s="22" t="s">
        <v>448</v>
      </c>
      <c r="C882" s="22" t="s">
        <v>449</v>
      </c>
      <c r="D882" s="41"/>
      <c r="E882" s="23" t="n">
        <v>45806</v>
      </c>
      <c r="F882" s="23" t="n">
        <v>45807</v>
      </c>
      <c r="G882" s="24" t="n">
        <v>1</v>
      </c>
      <c r="H882" s="338" t="e">
        <f aca="false">#DIV/0!</f>
        <v>#DIV/0!</v>
      </c>
      <c r="I882" s="338" t="e">
        <f aca="false">#DIV/0!</f>
        <v>#DIV/0!</v>
      </c>
      <c r="J882" s="26" t="s">
        <v>444</v>
      </c>
      <c r="K882" s="27" t="n">
        <v>100000</v>
      </c>
      <c r="L882" s="27" t="n">
        <v>120000</v>
      </c>
      <c r="M882" s="28"/>
      <c r="N882" s="29" t="n">
        <v>120000</v>
      </c>
      <c r="O882" s="29" t="n">
        <v>120000</v>
      </c>
      <c r="P882" s="27" t="n">
        <v>0</v>
      </c>
      <c r="Q882" s="263" t="n">
        <v>45803</v>
      </c>
    </row>
    <row r="883" customFormat="false" ht="26.1" hidden="false" customHeight="false" outlineLevel="0" collapsed="false">
      <c r="A883" s="20" t="n">
        <v>3103</v>
      </c>
      <c r="B883" s="22" t="s">
        <v>459</v>
      </c>
      <c r="C883" s="22" t="s">
        <v>460</v>
      </c>
      <c r="D883" s="41"/>
      <c r="E883" s="23" t="n">
        <v>45728</v>
      </c>
      <c r="F883" s="23" t="n">
        <v>45828</v>
      </c>
      <c r="G883" s="24" t="n">
        <v>72</v>
      </c>
      <c r="H883" s="338" t="n">
        <v>72</v>
      </c>
      <c r="I883" s="338" t="n">
        <v>0</v>
      </c>
      <c r="J883" s="34" t="s">
        <v>333</v>
      </c>
      <c r="K883" s="30" t="n">
        <v>50000</v>
      </c>
      <c r="L883" s="30" t="n">
        <v>108000</v>
      </c>
      <c r="M883" s="28" t="n">
        <v>7500</v>
      </c>
      <c r="N883" s="29" t="n">
        <v>55500</v>
      </c>
      <c r="O883" s="29" t="n">
        <v>108000</v>
      </c>
      <c r="P883" s="27" t="n">
        <v>0</v>
      </c>
      <c r="Q883" s="263" t="n">
        <v>45803</v>
      </c>
    </row>
    <row r="884" customFormat="false" ht="58.95" hidden="false" customHeight="false" outlineLevel="0" collapsed="false">
      <c r="A884" s="20" t="n">
        <v>2789</v>
      </c>
      <c r="B884" s="22" t="s">
        <v>522</v>
      </c>
      <c r="C884" s="22" t="s">
        <v>523</v>
      </c>
      <c r="D884" s="41"/>
      <c r="E884" s="23" t="n">
        <v>45537</v>
      </c>
      <c r="F884" s="23" t="n">
        <v>45705</v>
      </c>
      <c r="G884" s="24" t="n">
        <v>120</v>
      </c>
      <c r="H884" s="338" t="n">
        <v>120</v>
      </c>
      <c r="I884" s="338" t="n">
        <v>0</v>
      </c>
      <c r="J884" s="34" t="s">
        <v>1174</v>
      </c>
      <c r="K884" s="27" t="n">
        <v>600000</v>
      </c>
      <c r="L884" s="27" t="n">
        <v>1584000</v>
      </c>
      <c r="M884" s="28" t="n">
        <v>66000</v>
      </c>
      <c r="N884" s="29"/>
      <c r="O884" s="29" t="n">
        <v>1584000</v>
      </c>
      <c r="P884" s="30" t="n">
        <v>0</v>
      </c>
      <c r="Q884" s="263" t="n">
        <v>45803</v>
      </c>
    </row>
    <row r="885" customFormat="false" ht="42.5" hidden="false" customHeight="false" outlineLevel="0" collapsed="false">
      <c r="A885" s="20" t="n">
        <v>2852</v>
      </c>
      <c r="B885" s="22" t="s">
        <v>268</v>
      </c>
      <c r="C885" s="24" t="s">
        <v>269</v>
      </c>
      <c r="D885" s="22" t="n">
        <v>22375673</v>
      </c>
      <c r="E885" s="23" t="n">
        <v>45575</v>
      </c>
      <c r="F885" s="23" t="n">
        <v>45799</v>
      </c>
      <c r="G885" s="24" t="n">
        <v>160</v>
      </c>
      <c r="H885" s="338" t="n">
        <v>160</v>
      </c>
      <c r="I885" s="338" t="n">
        <v>0</v>
      </c>
      <c r="J885" s="26" t="s">
        <v>1175</v>
      </c>
      <c r="K885" s="27" t="n">
        <v>400000</v>
      </c>
      <c r="L885" s="27" t="n">
        <v>1200000</v>
      </c>
      <c r="M885" s="28" t="n">
        <v>37500</v>
      </c>
      <c r="N885" s="29" t="n">
        <v>150000</v>
      </c>
      <c r="O885" s="29" t="n">
        <v>1200000</v>
      </c>
      <c r="P885" s="30" t="n">
        <v>0</v>
      </c>
      <c r="Q885" s="263" t="n">
        <v>45810</v>
      </c>
    </row>
    <row r="886" customFormat="false" ht="17.9" hidden="false" customHeight="false" outlineLevel="0" collapsed="false">
      <c r="A886" s="20" t="n">
        <v>3170</v>
      </c>
      <c r="B886" s="22" t="s">
        <v>330</v>
      </c>
      <c r="C886" s="22"/>
      <c r="D886" s="22"/>
      <c r="E886" s="23" t="n">
        <v>45772</v>
      </c>
      <c r="F886" s="23" t="n">
        <v>45797</v>
      </c>
      <c r="G886" s="24" t="n">
        <v>17</v>
      </c>
      <c r="H886" s="338" t="e">
        <f aca="false">#DIV/0!</f>
        <v>#DIV/0!</v>
      </c>
      <c r="I886" s="338" t="e">
        <f aca="false">#DIV/0!</f>
        <v>#DIV/0!</v>
      </c>
      <c r="J886" s="26" t="s">
        <v>1176</v>
      </c>
      <c r="K886" s="27" t="n">
        <v>100000</v>
      </c>
      <c r="L886" s="27" t="n">
        <v>150000</v>
      </c>
      <c r="M886" s="45"/>
      <c r="N886" s="29" t="n">
        <v>150000</v>
      </c>
      <c r="O886" s="29" t="n">
        <v>150000</v>
      </c>
      <c r="P886" s="30" t="n">
        <v>0</v>
      </c>
      <c r="Q886" s="263" t="n">
        <v>45810</v>
      </c>
    </row>
    <row r="887" customFormat="false" ht="26.1" hidden="false" customHeight="false" outlineLevel="0" collapsed="false">
      <c r="A887" s="20" t="n">
        <v>3027</v>
      </c>
      <c r="B887" s="22" t="s">
        <v>332</v>
      </c>
      <c r="C887" s="22" t="s">
        <v>252</v>
      </c>
      <c r="D887" s="22"/>
      <c r="E887" s="23" t="n">
        <v>45684</v>
      </c>
      <c r="F887" s="23" t="n">
        <v>45784</v>
      </c>
      <c r="G887" s="24" t="n">
        <v>72</v>
      </c>
      <c r="H887" s="338" t="n">
        <v>72</v>
      </c>
      <c r="I887" s="338" t="n">
        <v>0</v>
      </c>
      <c r="J887" s="34" t="s">
        <v>188</v>
      </c>
      <c r="K887" s="27" t="n">
        <v>100000</v>
      </c>
      <c r="L887" s="27" t="n">
        <v>216000</v>
      </c>
      <c r="M887" s="45" t="n">
        <v>15000</v>
      </c>
      <c r="N887" s="29" t="n">
        <v>3600</v>
      </c>
      <c r="O887" s="29" t="n">
        <v>216000</v>
      </c>
      <c r="P887" s="30" t="n">
        <v>0</v>
      </c>
      <c r="Q887" s="263" t="n">
        <v>45810</v>
      </c>
    </row>
    <row r="888" customFormat="false" ht="37.3" hidden="false" customHeight="false" outlineLevel="0" collapsed="false">
      <c r="A888" s="20" t="n">
        <v>3222</v>
      </c>
      <c r="B888" s="34" t="s">
        <v>677</v>
      </c>
      <c r="C888" s="34" t="s">
        <v>680</v>
      </c>
      <c r="D888" s="34"/>
      <c r="E888" s="23" t="n">
        <v>45807</v>
      </c>
      <c r="F888" s="42" t="n">
        <v>45205</v>
      </c>
      <c r="G888" s="24" t="n">
        <v>5</v>
      </c>
      <c r="H888" s="265" t="e">
        <f aca="false">#VALUE!</f>
        <v>#VALUE!</v>
      </c>
      <c r="I888" s="265" t="e">
        <f aca="false">#VALUE!</f>
        <v>#VALUE!</v>
      </c>
      <c r="J888" s="35" t="s">
        <v>681</v>
      </c>
      <c r="K888" s="59" t="n">
        <v>100000</v>
      </c>
      <c r="L888" s="59" t="n">
        <v>130000</v>
      </c>
      <c r="M888" s="28"/>
      <c r="N888" s="29" t="n">
        <v>130000</v>
      </c>
      <c r="O888" s="29" t="n">
        <v>130000</v>
      </c>
      <c r="P888" s="30" t="n">
        <v>0</v>
      </c>
      <c r="Q888" s="263" t="n">
        <v>45810</v>
      </c>
    </row>
    <row r="889" customFormat="false" ht="50.7" hidden="false" customHeight="false" outlineLevel="0" collapsed="false">
      <c r="A889" s="20" t="n">
        <v>2946</v>
      </c>
      <c r="B889" s="22" t="s">
        <v>898</v>
      </c>
      <c r="C889" s="22" t="s">
        <v>899</v>
      </c>
      <c r="D889" s="22" t="n">
        <v>27242809519</v>
      </c>
      <c r="E889" s="23" t="n">
        <v>45633</v>
      </c>
      <c r="F889" s="23" t="n">
        <v>45744</v>
      </c>
      <c r="G889" s="24" t="n">
        <v>80</v>
      </c>
      <c r="H889" s="338" t="n">
        <v>84.4444444444444</v>
      </c>
      <c r="I889" s="338" t="n">
        <v>-4.44444444444444</v>
      </c>
      <c r="J889" s="26" t="s">
        <v>733</v>
      </c>
      <c r="K889" s="30" t="n">
        <v>50000</v>
      </c>
      <c r="L889" s="30" t="n">
        <v>108000</v>
      </c>
      <c r="M889" s="28" t="n">
        <v>6750</v>
      </c>
      <c r="N889" s="29" t="n">
        <v>60000</v>
      </c>
      <c r="O889" s="29" t="n">
        <v>114000</v>
      </c>
      <c r="P889" s="30" t="n">
        <v>-6000</v>
      </c>
      <c r="Q889" s="263" t="n">
        <v>45810</v>
      </c>
    </row>
    <row r="890" customFormat="false" ht="34.3" hidden="false" customHeight="false" outlineLevel="0" collapsed="false">
      <c r="A890" s="20" t="n">
        <v>2897</v>
      </c>
      <c r="B890" s="22" t="s">
        <v>448</v>
      </c>
      <c r="C890" s="22" t="s">
        <v>449</v>
      </c>
      <c r="D890" s="22"/>
      <c r="E890" s="23" t="n">
        <v>45593</v>
      </c>
      <c r="F890" s="23" t="n">
        <v>45733</v>
      </c>
      <c r="G890" s="24" t="n">
        <v>100</v>
      </c>
      <c r="H890" s="338" t="n">
        <v>100</v>
      </c>
      <c r="I890" s="338" t="n">
        <v>0</v>
      </c>
      <c r="J890" s="26" t="s">
        <v>1084</v>
      </c>
      <c r="K890" s="30" t="n">
        <v>100000</v>
      </c>
      <c r="L890" s="30" t="n">
        <v>216000</v>
      </c>
      <c r="M890" s="28" t="n">
        <v>10800</v>
      </c>
      <c r="N890" s="29" t="n">
        <v>21600</v>
      </c>
      <c r="O890" s="29" t="n">
        <v>216000</v>
      </c>
      <c r="P890" s="30" t="n">
        <v>0</v>
      </c>
      <c r="Q890" s="263" t="n">
        <v>45810</v>
      </c>
    </row>
    <row r="891" customFormat="false" ht="34.3" hidden="false" customHeight="false" outlineLevel="0" collapsed="false">
      <c r="A891" s="20" t="n">
        <v>2932</v>
      </c>
      <c r="B891" s="22" t="s">
        <v>448</v>
      </c>
      <c r="C891" s="22" t="s">
        <v>449</v>
      </c>
      <c r="D891" s="22"/>
      <c r="E891" s="23" t="n">
        <v>45623</v>
      </c>
      <c r="F891" s="23" t="n">
        <v>45763</v>
      </c>
      <c r="G891" s="24" t="n">
        <v>100</v>
      </c>
      <c r="H891" s="338" t="n">
        <v>100</v>
      </c>
      <c r="I891" s="338" t="n">
        <v>0</v>
      </c>
      <c r="J891" s="26" t="s">
        <v>1177</v>
      </c>
      <c r="K891" s="30" t="n">
        <v>150000</v>
      </c>
      <c r="L891" s="30" t="n">
        <v>324000</v>
      </c>
      <c r="M891" s="28" t="n">
        <v>16200</v>
      </c>
      <c r="N891" s="29" t="n">
        <v>64800</v>
      </c>
      <c r="O891" s="29" t="n">
        <v>324000</v>
      </c>
      <c r="P891" s="30" t="n">
        <v>0</v>
      </c>
      <c r="Q891" s="263" t="n">
        <v>45810</v>
      </c>
    </row>
    <row r="892" customFormat="false" ht="42.5" hidden="false" customHeight="false" outlineLevel="0" collapsed="false">
      <c r="A892" s="20" t="n">
        <v>2696</v>
      </c>
      <c r="B892" s="22" t="s">
        <v>815</v>
      </c>
      <c r="C892" s="22" t="s">
        <v>816</v>
      </c>
      <c r="D892" s="22" t="n">
        <v>24172612</v>
      </c>
      <c r="E892" s="23" t="n">
        <v>45479</v>
      </c>
      <c r="F892" s="23" t="n">
        <v>45580</v>
      </c>
      <c r="G892" s="24" t="n">
        <v>72</v>
      </c>
      <c r="H892" s="338" t="n">
        <v>72</v>
      </c>
      <c r="I892" s="338" t="n">
        <v>0</v>
      </c>
      <c r="J892" s="34" t="s">
        <v>333</v>
      </c>
      <c r="K892" s="27" t="n">
        <v>50000</v>
      </c>
      <c r="L892" s="27" t="n">
        <v>108000</v>
      </c>
      <c r="M892" s="28" t="n">
        <v>7500</v>
      </c>
      <c r="N892" s="29" t="n">
        <v>6000</v>
      </c>
      <c r="O892" s="29" t="n">
        <v>108000</v>
      </c>
      <c r="P892" s="27" t="n">
        <v>0</v>
      </c>
      <c r="Q892" s="263" t="n">
        <v>45810</v>
      </c>
    </row>
    <row r="893" customFormat="false" ht="28.35" hidden="false" customHeight="false" outlineLevel="0" collapsed="false">
      <c r="A893" s="20" t="n">
        <v>3051</v>
      </c>
      <c r="B893" s="21" t="s">
        <v>185</v>
      </c>
      <c r="C893" s="21" t="s">
        <v>186</v>
      </c>
      <c r="D893" s="22"/>
      <c r="E893" s="23" t="n">
        <v>45699</v>
      </c>
      <c r="F893" s="23" t="n">
        <v>45811</v>
      </c>
      <c r="G893" s="24" t="n">
        <v>80</v>
      </c>
      <c r="H893" s="283" t="n">
        <v>80</v>
      </c>
      <c r="I893" s="283" t="n">
        <v>0</v>
      </c>
      <c r="J893" s="26" t="s">
        <v>587</v>
      </c>
      <c r="K893" s="30" t="n">
        <v>100000</v>
      </c>
      <c r="L893" s="30" t="n">
        <v>216000</v>
      </c>
      <c r="M893" s="28" t="n">
        <v>13500</v>
      </c>
      <c r="N893" s="29" t="n">
        <v>54000</v>
      </c>
      <c r="O893" s="29" t="n">
        <v>216000</v>
      </c>
      <c r="P893" s="30" t="n">
        <v>0</v>
      </c>
      <c r="Q893" s="263" t="n">
        <v>45817</v>
      </c>
    </row>
    <row r="894" customFormat="false" ht="21.6" hidden="false" customHeight="false" outlineLevel="0" collapsed="false">
      <c r="A894" s="20" t="n">
        <v>2998</v>
      </c>
      <c r="B894" s="21" t="s">
        <v>209</v>
      </c>
      <c r="C894" s="21" t="s">
        <v>210</v>
      </c>
      <c r="D894" s="22"/>
      <c r="E894" s="23" t="n">
        <v>45668</v>
      </c>
      <c r="F894" s="23" t="n">
        <v>45779</v>
      </c>
      <c r="G894" s="24" t="n">
        <v>80</v>
      </c>
      <c r="H894" s="283" t="n">
        <v>80</v>
      </c>
      <c r="I894" s="283" t="n">
        <v>0</v>
      </c>
      <c r="J894" s="26" t="s">
        <v>1178</v>
      </c>
      <c r="K894" s="27" t="n">
        <v>80000</v>
      </c>
      <c r="L894" s="27" t="n">
        <v>172800</v>
      </c>
      <c r="M894" s="28" t="n">
        <v>10800</v>
      </c>
      <c r="N894" s="29" t="n">
        <v>43200</v>
      </c>
      <c r="O894" s="29" t="n">
        <v>172800</v>
      </c>
      <c r="P894" s="30" t="n">
        <v>0</v>
      </c>
      <c r="Q894" s="263" t="n">
        <v>45817</v>
      </c>
    </row>
    <row r="895" customFormat="false" ht="28.35" hidden="false" customHeight="false" outlineLevel="0" collapsed="false">
      <c r="A895" s="20" t="n">
        <v>3053</v>
      </c>
      <c r="B895" s="21" t="s">
        <v>277</v>
      </c>
      <c r="C895" s="21" t="s">
        <v>278</v>
      </c>
      <c r="D895" s="22" t="n">
        <v>14154231</v>
      </c>
      <c r="E895" s="23" t="n">
        <v>45699</v>
      </c>
      <c r="F895" s="23" t="n">
        <v>45811</v>
      </c>
      <c r="G895" s="24" t="n">
        <v>80</v>
      </c>
      <c r="H895" s="338" t="n">
        <v>80</v>
      </c>
      <c r="I895" s="338" t="n">
        <v>0</v>
      </c>
      <c r="J895" s="26" t="s">
        <v>279</v>
      </c>
      <c r="K895" s="27" t="n">
        <v>300000</v>
      </c>
      <c r="L895" s="27" t="n">
        <v>648000</v>
      </c>
      <c r="M895" s="28" t="n">
        <v>40500</v>
      </c>
      <c r="N895" s="29" t="n">
        <v>92000</v>
      </c>
      <c r="O895" s="29" t="n">
        <v>648000</v>
      </c>
      <c r="P895" s="30" t="n">
        <v>0</v>
      </c>
      <c r="Q895" s="263" t="n">
        <v>45817</v>
      </c>
    </row>
    <row r="896" customFormat="false" ht="28.35" hidden="false" customHeight="false" outlineLevel="0" collapsed="false">
      <c r="A896" s="20" t="n">
        <v>3177</v>
      </c>
      <c r="B896" s="21" t="s">
        <v>581</v>
      </c>
      <c r="C896" s="21" t="s">
        <v>351</v>
      </c>
      <c r="D896" s="22"/>
      <c r="E896" s="23" t="n">
        <v>45777</v>
      </c>
      <c r="F896" s="23" t="n">
        <v>45805</v>
      </c>
      <c r="G896" s="24" t="n">
        <v>20</v>
      </c>
      <c r="H896" s="338" t="e">
        <f aca="false">#DIV/0!</f>
        <v>#DIV/0!</v>
      </c>
      <c r="I896" s="338" t="e">
        <f aca="false">#DIV/0!</f>
        <v>#DIV/0!</v>
      </c>
      <c r="J896" s="26" t="s">
        <v>1131</v>
      </c>
      <c r="K896" s="27" t="n">
        <v>100000</v>
      </c>
      <c r="L896" s="27" t="n">
        <v>150000</v>
      </c>
      <c r="M896" s="45"/>
      <c r="N896" s="29" t="n">
        <v>75000</v>
      </c>
      <c r="O896" s="29" t="n">
        <v>150000</v>
      </c>
      <c r="P896" s="30" t="n">
        <v>0</v>
      </c>
      <c r="Q896" s="263" t="n">
        <v>45817</v>
      </c>
    </row>
    <row r="897" customFormat="false" ht="28.35" hidden="false" customHeight="false" outlineLevel="0" collapsed="false">
      <c r="A897" s="20" t="n">
        <v>2758</v>
      </c>
      <c r="B897" s="21" t="s">
        <v>350</v>
      </c>
      <c r="C897" s="21" t="s">
        <v>351</v>
      </c>
      <c r="D897" s="22"/>
      <c r="E897" s="23" t="n">
        <v>45518</v>
      </c>
      <c r="F897" s="23" t="n">
        <v>45616</v>
      </c>
      <c r="G897" s="24" t="n">
        <v>70</v>
      </c>
      <c r="H897" s="338" t="n">
        <v>70</v>
      </c>
      <c r="I897" s="338" t="n">
        <v>0</v>
      </c>
      <c r="J897" s="46" t="s">
        <v>1128</v>
      </c>
      <c r="K897" s="27" t="n">
        <v>50000</v>
      </c>
      <c r="L897" s="27" t="n">
        <v>125000</v>
      </c>
      <c r="M897" s="45" t="n">
        <v>8928.57142857143</v>
      </c>
      <c r="N897" s="29" t="n">
        <v>30000</v>
      </c>
      <c r="O897" s="29" t="n">
        <v>125000</v>
      </c>
      <c r="P897" s="30" t="n">
        <v>0</v>
      </c>
      <c r="Q897" s="263" t="n">
        <v>45817</v>
      </c>
    </row>
    <row r="898" customFormat="false" ht="19.4" hidden="false" customHeight="false" outlineLevel="0" collapsed="false">
      <c r="A898" s="20" t="n">
        <v>3193</v>
      </c>
      <c r="B898" s="21" t="s">
        <v>425</v>
      </c>
      <c r="C898" s="21" t="s">
        <v>426</v>
      </c>
      <c r="D898" s="22"/>
      <c r="E898" s="23" t="n">
        <v>45791</v>
      </c>
      <c r="F898" s="23" t="n">
        <v>45819</v>
      </c>
      <c r="G898" s="24" t="n">
        <v>20</v>
      </c>
      <c r="H898" s="338" t="e">
        <f aca="false">#DIV/0!</f>
        <v>#DIV/0!</v>
      </c>
      <c r="I898" s="338" t="e">
        <f aca="false">#DIV/0!</f>
        <v>#DIV/0!</v>
      </c>
      <c r="J898" s="26" t="s">
        <v>1131</v>
      </c>
      <c r="K898" s="27" t="n">
        <v>45000</v>
      </c>
      <c r="L898" s="27" t="n">
        <v>67500</v>
      </c>
      <c r="M898" s="45"/>
      <c r="N898" s="29" t="n">
        <v>17500</v>
      </c>
      <c r="O898" s="29" t="n">
        <v>67500</v>
      </c>
      <c r="P898" s="27" t="n">
        <v>0</v>
      </c>
      <c r="Q898" s="263" t="n">
        <v>45817</v>
      </c>
    </row>
    <row r="899" customFormat="false" ht="15" hidden="false" customHeight="false" outlineLevel="0" collapsed="false">
      <c r="A899" s="20" t="n">
        <v>3196</v>
      </c>
      <c r="B899" s="21" t="s">
        <v>791</v>
      </c>
      <c r="C899" s="21"/>
      <c r="D899" s="22"/>
      <c r="E899" s="23" t="n">
        <v>45792</v>
      </c>
      <c r="F899" s="23" t="n">
        <v>45820</v>
      </c>
      <c r="G899" s="24" t="n">
        <v>20</v>
      </c>
      <c r="H899" s="338" t="e">
        <f aca="false">#DIV/0!</f>
        <v>#DIV/0!</v>
      </c>
      <c r="I899" s="338" t="e">
        <f aca="false">#DIV/0!</f>
        <v>#DIV/0!</v>
      </c>
      <c r="J899" s="26" t="s">
        <v>444</v>
      </c>
      <c r="K899" s="27" t="n">
        <v>70000</v>
      </c>
      <c r="L899" s="27" t="n">
        <v>105000</v>
      </c>
      <c r="M899" s="28"/>
      <c r="N899" s="29" t="n">
        <v>105000</v>
      </c>
      <c r="O899" s="29" t="n">
        <v>105000</v>
      </c>
      <c r="P899" s="27" t="n">
        <v>0</v>
      </c>
      <c r="Q899" s="263" t="n">
        <v>45817</v>
      </c>
    </row>
    <row r="900" customFormat="false" ht="15" hidden="false" customHeight="false" outlineLevel="0" collapsed="false">
      <c r="A900" s="20" t="n">
        <v>3204</v>
      </c>
      <c r="B900" s="21" t="s">
        <v>791</v>
      </c>
      <c r="C900" s="21"/>
      <c r="D900" s="22"/>
      <c r="E900" s="23" t="n">
        <v>45797</v>
      </c>
      <c r="F900" s="23" t="n">
        <v>45825</v>
      </c>
      <c r="G900" s="24" t="n">
        <v>20</v>
      </c>
      <c r="H900" s="338" t="e">
        <f aca="false">#DIV/0!</f>
        <v>#DIV/0!</v>
      </c>
      <c r="I900" s="338" t="e">
        <f aca="false">#DIV/0!</f>
        <v>#DIV/0!</v>
      </c>
      <c r="J900" s="26" t="s">
        <v>444</v>
      </c>
      <c r="K900" s="27" t="n">
        <v>45000</v>
      </c>
      <c r="L900" s="27" t="n">
        <v>72000</v>
      </c>
      <c r="M900" s="28"/>
      <c r="N900" s="29" t="n">
        <v>72000</v>
      </c>
      <c r="O900" s="29" t="n">
        <v>72000</v>
      </c>
      <c r="P900" s="27" t="n">
        <v>0</v>
      </c>
      <c r="Q900" s="263" t="n">
        <v>45817</v>
      </c>
    </row>
    <row r="901" customFormat="false" ht="28.35" hidden="false" customHeight="false" outlineLevel="0" collapsed="false">
      <c r="A901" s="20" t="n">
        <v>2919</v>
      </c>
      <c r="B901" s="21" t="s">
        <v>452</v>
      </c>
      <c r="C901" s="21"/>
      <c r="D901" s="22"/>
      <c r="E901" s="23" t="n">
        <v>45616</v>
      </c>
      <c r="F901" s="23" t="n">
        <v>45784</v>
      </c>
      <c r="G901" s="24" t="n">
        <v>120</v>
      </c>
      <c r="H901" s="338" t="n">
        <v>120</v>
      </c>
      <c r="I901" s="338" t="n">
        <v>0</v>
      </c>
      <c r="J901" s="26" t="s">
        <v>456</v>
      </c>
      <c r="K901" s="30" t="n">
        <v>100000</v>
      </c>
      <c r="L901" s="30" t="n">
        <v>264000</v>
      </c>
      <c r="M901" s="28" t="n">
        <v>11000</v>
      </c>
      <c r="N901" s="29" t="n">
        <v>44000</v>
      </c>
      <c r="O901" s="29" t="n">
        <v>264000</v>
      </c>
      <c r="P901" s="27" t="n">
        <v>0</v>
      </c>
      <c r="Q901" s="263" t="n">
        <v>45817</v>
      </c>
    </row>
    <row r="902" customFormat="false" ht="15" hidden="false" customHeight="false" outlineLevel="0" collapsed="false">
      <c r="A902" s="20" t="n">
        <v>2735</v>
      </c>
      <c r="B902" s="21" t="s">
        <v>457</v>
      </c>
      <c r="C902" s="21"/>
      <c r="D902" s="22"/>
      <c r="E902" s="23" t="n">
        <v>45502</v>
      </c>
      <c r="F902" s="23" t="n">
        <v>45782</v>
      </c>
      <c r="G902" s="24" t="n">
        <v>200</v>
      </c>
      <c r="H902" s="338" t="n">
        <v>200</v>
      </c>
      <c r="I902" s="338" t="n">
        <v>0</v>
      </c>
      <c r="J902" s="26" t="s">
        <v>1089</v>
      </c>
      <c r="K902" s="30" t="n">
        <v>100000</v>
      </c>
      <c r="L902" s="30" t="n">
        <v>308000</v>
      </c>
      <c r="M902" s="28" t="n">
        <v>7700</v>
      </c>
      <c r="N902" s="29" t="n">
        <v>30800</v>
      </c>
      <c r="O902" s="29" t="n">
        <v>308000</v>
      </c>
      <c r="P902" s="27" t="n">
        <v>0</v>
      </c>
      <c r="Q902" s="263" t="n">
        <v>45817</v>
      </c>
    </row>
    <row r="903" customFormat="false" ht="15" hidden="false" customHeight="false" outlineLevel="0" collapsed="false">
      <c r="A903" s="20" t="n">
        <v>3029</v>
      </c>
      <c r="B903" s="21" t="s">
        <v>457</v>
      </c>
      <c r="C903" s="21"/>
      <c r="D903" s="22"/>
      <c r="E903" s="23" t="n">
        <v>45684</v>
      </c>
      <c r="F903" s="23" t="n">
        <v>45796</v>
      </c>
      <c r="G903" s="24" t="n">
        <v>80</v>
      </c>
      <c r="H903" s="338" t="n">
        <v>80</v>
      </c>
      <c r="I903" s="338" t="n">
        <v>0</v>
      </c>
      <c r="J903" s="26" t="s">
        <v>458</v>
      </c>
      <c r="K903" s="27" t="n">
        <v>150000</v>
      </c>
      <c r="L903" s="27" t="n">
        <v>324000</v>
      </c>
      <c r="M903" s="28" t="n">
        <v>20250</v>
      </c>
      <c r="N903" s="29" t="n">
        <v>81000</v>
      </c>
      <c r="O903" s="29" t="n">
        <v>324000</v>
      </c>
      <c r="P903" s="27" t="n">
        <v>0</v>
      </c>
      <c r="Q903" s="263" t="n">
        <v>45817</v>
      </c>
    </row>
    <row r="904" customFormat="false" ht="15" hidden="false" customHeight="false" outlineLevel="0" collapsed="false">
      <c r="A904" s="20" t="n">
        <v>3198</v>
      </c>
      <c r="B904" s="21" t="s">
        <v>909</v>
      </c>
      <c r="C904" s="21"/>
      <c r="D904" s="22"/>
      <c r="E904" s="23" t="n">
        <v>45793</v>
      </c>
      <c r="F904" s="23" t="n">
        <v>45814</v>
      </c>
      <c r="G904" s="24" t="n">
        <v>15</v>
      </c>
      <c r="H904" s="338" t="e">
        <f aca="false">#DIV/0!</f>
        <v>#DIV/0!</v>
      </c>
      <c r="I904" s="338" t="e">
        <f aca="false">#DIV/0!</f>
        <v>#DIV/0!</v>
      </c>
      <c r="J904" s="26" t="s">
        <v>199</v>
      </c>
      <c r="K904" s="27" t="n">
        <v>40000</v>
      </c>
      <c r="L904" s="27" t="n">
        <v>60000</v>
      </c>
      <c r="M904" s="28"/>
      <c r="N904" s="29" t="n">
        <v>60000</v>
      </c>
      <c r="O904" s="29" t="n">
        <v>60000</v>
      </c>
      <c r="P904" s="27" t="n">
        <v>0</v>
      </c>
      <c r="Q904" s="263" t="n">
        <v>45817</v>
      </c>
    </row>
    <row r="905" customFormat="false" ht="15" hidden="false" customHeight="false" outlineLevel="0" collapsed="false">
      <c r="A905" s="20" t="n">
        <v>3202</v>
      </c>
      <c r="B905" s="21" t="s">
        <v>909</v>
      </c>
      <c r="C905" s="21"/>
      <c r="D905" s="22"/>
      <c r="E905" s="23" t="n">
        <v>45794</v>
      </c>
      <c r="F905" s="23" t="n">
        <v>45814</v>
      </c>
      <c r="G905" s="24" t="n">
        <v>15</v>
      </c>
      <c r="H905" s="338" t="e">
        <f aca="false">#DIV/0!</f>
        <v>#DIV/0!</v>
      </c>
      <c r="I905" s="338" t="e">
        <f aca="false">#DIV/0!</f>
        <v>#DIV/0!</v>
      </c>
      <c r="J905" s="26" t="s">
        <v>199</v>
      </c>
      <c r="K905" s="27" t="n">
        <v>40000</v>
      </c>
      <c r="L905" s="27" t="n">
        <v>60000</v>
      </c>
      <c r="M905" s="28"/>
      <c r="N905" s="29" t="n">
        <v>60000</v>
      </c>
      <c r="O905" s="29" t="n">
        <v>60000</v>
      </c>
      <c r="P905" s="27" t="n">
        <v>0</v>
      </c>
      <c r="Q905" s="263" t="n">
        <v>45817</v>
      </c>
    </row>
    <row r="906" customFormat="false" ht="15" hidden="false" customHeight="false" outlineLevel="0" collapsed="false">
      <c r="A906" s="20" t="n">
        <v>3207</v>
      </c>
      <c r="B906" s="21" t="s">
        <v>909</v>
      </c>
      <c r="C906" s="21"/>
      <c r="D906" s="22"/>
      <c r="E906" s="23" t="n">
        <v>45793</v>
      </c>
      <c r="F906" s="23" t="n">
        <v>45814</v>
      </c>
      <c r="G906" s="24" t="n">
        <v>15</v>
      </c>
      <c r="H906" s="338" t="e">
        <f aca="false">#DIV/0!</f>
        <v>#DIV/0!</v>
      </c>
      <c r="I906" s="338" t="e">
        <f aca="false">#DIV/0!</f>
        <v>#DIV/0!</v>
      </c>
      <c r="J906" s="26" t="s">
        <v>199</v>
      </c>
      <c r="K906" s="30" t="n">
        <v>25000</v>
      </c>
      <c r="L906" s="30" t="n">
        <v>37500</v>
      </c>
      <c r="M906" s="28"/>
      <c r="N906" s="29" t="n">
        <v>37500</v>
      </c>
      <c r="O906" s="29" t="n">
        <v>37500</v>
      </c>
      <c r="P906" s="27" t="n">
        <v>0</v>
      </c>
      <c r="Q906" s="263" t="n">
        <v>45817</v>
      </c>
    </row>
    <row r="907" customFormat="false" ht="15" hidden="false" customHeight="false" outlineLevel="0" collapsed="false">
      <c r="A907" s="20" t="n">
        <v>3223</v>
      </c>
      <c r="B907" s="21" t="s">
        <v>909</v>
      </c>
      <c r="C907" s="21"/>
      <c r="D907" s="22"/>
      <c r="E907" s="23" t="n">
        <v>45807</v>
      </c>
      <c r="F907" s="23" t="n">
        <v>45828</v>
      </c>
      <c r="G907" s="24" t="n">
        <v>15</v>
      </c>
      <c r="H907" s="338" t="e">
        <f aca="false">#DIV/0!</f>
        <v>#DIV/0!</v>
      </c>
      <c r="I907" s="338" t="e">
        <f aca="false">#DIV/0!</f>
        <v>#DIV/0!</v>
      </c>
      <c r="J907" s="26" t="s">
        <v>199</v>
      </c>
      <c r="K907" s="27" t="n">
        <v>20000</v>
      </c>
      <c r="L907" s="27" t="n">
        <v>30000</v>
      </c>
      <c r="M907" s="45"/>
      <c r="N907" s="29" t="n">
        <v>30000</v>
      </c>
      <c r="O907" s="29" t="n">
        <v>30000</v>
      </c>
      <c r="P907" s="27" t="n">
        <v>0</v>
      </c>
      <c r="Q907" s="263" t="n">
        <v>45817</v>
      </c>
    </row>
    <row r="908" customFormat="false" ht="28.35" hidden="false" customHeight="false" outlineLevel="0" collapsed="false">
      <c r="A908" s="20" t="n">
        <v>3083</v>
      </c>
      <c r="B908" s="21" t="s">
        <v>514</v>
      </c>
      <c r="C908" s="21" t="s">
        <v>515</v>
      </c>
      <c r="D908" s="22"/>
      <c r="E908" s="23" t="n">
        <v>45714</v>
      </c>
      <c r="F908" s="23" t="n">
        <v>45814</v>
      </c>
      <c r="G908" s="24" t="n">
        <v>72</v>
      </c>
      <c r="H908" s="338" t="n">
        <v>72</v>
      </c>
      <c r="I908" s="338" t="n">
        <v>0</v>
      </c>
      <c r="J908" s="34" t="s">
        <v>333</v>
      </c>
      <c r="K908" s="30" t="n">
        <v>50000</v>
      </c>
      <c r="L908" s="30" t="n">
        <v>108000</v>
      </c>
      <c r="M908" s="28" t="n">
        <v>7500</v>
      </c>
      <c r="N908" s="29" t="n">
        <v>3000</v>
      </c>
      <c r="O908" s="29" t="n">
        <v>108000</v>
      </c>
      <c r="P908" s="27" t="n">
        <v>0</v>
      </c>
      <c r="Q908" s="263" t="n">
        <v>45817</v>
      </c>
    </row>
    <row r="909" customFormat="false" ht="21.6" hidden="false" customHeight="false" outlineLevel="0" collapsed="false">
      <c r="A909" s="20" t="n">
        <v>3026</v>
      </c>
      <c r="B909" s="21" t="s">
        <v>212</v>
      </c>
      <c r="C909" s="21" t="s">
        <v>213</v>
      </c>
      <c r="D909" s="22" t="n">
        <v>27252034574</v>
      </c>
      <c r="E909" s="23" t="n">
        <v>45684</v>
      </c>
      <c r="F909" s="23" t="n">
        <v>45784</v>
      </c>
      <c r="G909" s="24" t="n">
        <v>72</v>
      </c>
      <c r="H909" s="49" t="n">
        <v>72</v>
      </c>
      <c r="I909" s="49" t="n">
        <v>0</v>
      </c>
      <c r="J909" s="34" t="s">
        <v>188</v>
      </c>
      <c r="K909" s="30" t="n">
        <v>100000</v>
      </c>
      <c r="L909" s="30" t="n">
        <v>216000</v>
      </c>
      <c r="M909" s="28" t="n">
        <v>15000</v>
      </c>
      <c r="N909" s="29" t="n">
        <v>1000</v>
      </c>
      <c r="O909" s="29" t="n">
        <v>216000</v>
      </c>
      <c r="P909" s="30" t="n">
        <v>0</v>
      </c>
      <c r="Q909" s="263" t="n">
        <v>45824</v>
      </c>
    </row>
    <row r="910" customFormat="false" ht="15" hidden="false" customHeight="false" outlineLevel="0" collapsed="false">
      <c r="A910" s="20" t="n">
        <v>3062</v>
      </c>
      <c r="B910" s="21" t="s">
        <v>1121</v>
      </c>
      <c r="C910" s="21" t="s">
        <v>252</v>
      </c>
      <c r="D910" s="22"/>
      <c r="E910" s="23" t="n">
        <v>45703</v>
      </c>
      <c r="F910" s="23" t="n">
        <v>45804</v>
      </c>
      <c r="G910" s="24" t="n">
        <v>72</v>
      </c>
      <c r="H910" s="49" t="n">
        <v>72</v>
      </c>
      <c r="I910" s="49" t="n">
        <v>0</v>
      </c>
      <c r="J910" s="34" t="s">
        <v>188</v>
      </c>
      <c r="K910" s="27" t="n">
        <v>100000</v>
      </c>
      <c r="L910" s="27" t="n">
        <v>216000</v>
      </c>
      <c r="M910" s="28" t="n">
        <v>15000</v>
      </c>
      <c r="N910" s="29" t="n">
        <v>6000</v>
      </c>
      <c r="O910" s="29" t="n">
        <v>216000</v>
      </c>
      <c r="P910" s="30" t="n">
        <v>0</v>
      </c>
      <c r="Q910" s="263" t="n">
        <v>45824</v>
      </c>
    </row>
    <row r="911" customFormat="false" ht="37.3" hidden="false" customHeight="false" outlineLevel="0" collapsed="false">
      <c r="A911" s="20" t="n">
        <v>3238</v>
      </c>
      <c r="B911" s="34" t="s">
        <v>677</v>
      </c>
      <c r="C911" s="34" t="s">
        <v>680</v>
      </c>
      <c r="D911" s="34"/>
      <c r="E911" s="23" t="n">
        <v>45912</v>
      </c>
      <c r="F911" s="23" t="n">
        <v>45919</v>
      </c>
      <c r="G911" s="24" t="n">
        <v>5</v>
      </c>
      <c r="H911" s="340" t="e">
        <f aca="false">#VALUE!</f>
        <v>#VALUE!</v>
      </c>
      <c r="I911" s="340" t="e">
        <f aca="false">#VALUE!</f>
        <v>#VALUE!</v>
      </c>
      <c r="J911" s="269" t="s">
        <v>681</v>
      </c>
      <c r="K911" s="59" t="n">
        <v>150000</v>
      </c>
      <c r="L911" s="59" t="n">
        <v>195000</v>
      </c>
      <c r="M911" s="45"/>
      <c r="N911" s="29" t="n">
        <v>195000</v>
      </c>
      <c r="O911" s="29" t="n">
        <v>195000</v>
      </c>
      <c r="P911" s="30" t="n">
        <v>0</v>
      </c>
      <c r="Q911" s="263" t="n">
        <v>45824</v>
      </c>
    </row>
    <row r="912" customFormat="false" ht="15" hidden="false" customHeight="false" outlineLevel="0" collapsed="false">
      <c r="A912" s="20" t="n">
        <v>3025</v>
      </c>
      <c r="B912" s="21" t="s">
        <v>409</v>
      </c>
      <c r="C912" s="21" t="s">
        <v>883</v>
      </c>
      <c r="D912" s="23" t="s">
        <v>184</v>
      </c>
      <c r="E912" s="23" t="n">
        <v>45684</v>
      </c>
      <c r="F912" s="23" t="n">
        <v>45784</v>
      </c>
      <c r="G912" s="24" t="n">
        <v>72</v>
      </c>
      <c r="H912" s="49" t="n">
        <v>72</v>
      </c>
      <c r="I912" s="49" t="n">
        <v>0</v>
      </c>
      <c r="J912" s="34" t="s">
        <v>188</v>
      </c>
      <c r="K912" s="27" t="n">
        <v>100000</v>
      </c>
      <c r="L912" s="27" t="n">
        <v>216000</v>
      </c>
      <c r="M912" s="45" t="n">
        <v>15000</v>
      </c>
      <c r="N912" s="29" t="n">
        <v>22000</v>
      </c>
      <c r="O912" s="29" t="n">
        <v>216000</v>
      </c>
      <c r="P912" s="30" t="n">
        <v>0</v>
      </c>
      <c r="Q912" s="263" t="n">
        <v>45824</v>
      </c>
    </row>
    <row r="913" customFormat="false" ht="15" hidden="false" customHeight="false" outlineLevel="0" collapsed="false">
      <c r="A913" s="20" t="n">
        <v>3203</v>
      </c>
      <c r="B913" s="21" t="s">
        <v>516</v>
      </c>
      <c r="C913" s="21" t="s">
        <v>517</v>
      </c>
      <c r="D913" s="22"/>
      <c r="E913" s="23" t="n">
        <v>45796</v>
      </c>
      <c r="F913" s="23" t="n">
        <v>45820</v>
      </c>
      <c r="G913" s="24" t="n">
        <v>18</v>
      </c>
      <c r="H913" s="49" t="e">
        <f aca="false">#DIV/0!</f>
        <v>#DIV/0!</v>
      </c>
      <c r="I913" s="49" t="e">
        <f aca="false">#DIV/0!</f>
        <v>#DIV/0!</v>
      </c>
      <c r="J913" s="26" t="s">
        <v>199</v>
      </c>
      <c r="K913" s="33" t="n">
        <v>250000</v>
      </c>
      <c r="L913" s="27" t="n">
        <v>350000</v>
      </c>
      <c r="M913" s="28"/>
      <c r="N913" s="29" t="n">
        <v>350000</v>
      </c>
      <c r="O913" s="29" t="n">
        <v>350000</v>
      </c>
      <c r="P913" s="27" t="n">
        <v>0</v>
      </c>
      <c r="Q913" s="263" t="n">
        <v>45824</v>
      </c>
    </row>
    <row r="914" customFormat="false" ht="15" hidden="false" customHeight="false" outlineLevel="0" collapsed="false">
      <c r="A914" s="20" t="n">
        <v>2963</v>
      </c>
      <c r="B914" s="21" t="s">
        <v>200</v>
      </c>
      <c r="C914" s="21" t="s">
        <v>201</v>
      </c>
      <c r="D914" s="22"/>
      <c r="E914" s="23" t="n">
        <v>45647</v>
      </c>
      <c r="F914" s="23" t="n">
        <v>45800</v>
      </c>
      <c r="G914" s="24" t="n">
        <v>110</v>
      </c>
      <c r="H914" s="49" t="n">
        <v>112.5</v>
      </c>
      <c r="I914" s="49" t="n">
        <v>-2.5</v>
      </c>
      <c r="J914" s="34" t="s">
        <v>381</v>
      </c>
      <c r="K914" s="27" t="n">
        <v>300000</v>
      </c>
      <c r="L914" s="27" t="n">
        <v>792000</v>
      </c>
      <c r="M914" s="28" t="n">
        <v>36000</v>
      </c>
      <c r="N914" s="29" t="n">
        <v>120000</v>
      </c>
      <c r="O914" s="29" t="n">
        <v>810000</v>
      </c>
      <c r="P914" s="30" t="n">
        <v>-18000</v>
      </c>
      <c r="Q914" s="263" t="n">
        <v>45831</v>
      </c>
    </row>
    <row r="915" customFormat="false" ht="15" hidden="false" customHeight="false" outlineLevel="0" collapsed="false">
      <c r="A915" s="20" t="n">
        <v>3089</v>
      </c>
      <c r="B915" s="21" t="s">
        <v>206</v>
      </c>
      <c r="C915" s="21" t="s">
        <v>207</v>
      </c>
      <c r="D915" s="22"/>
      <c r="E915" s="23" t="n">
        <v>45717</v>
      </c>
      <c r="F915" s="23" t="n">
        <v>45818</v>
      </c>
      <c r="G915" s="24" t="n">
        <v>72</v>
      </c>
      <c r="H915" s="49" t="n">
        <v>74.5</v>
      </c>
      <c r="I915" s="49" t="n">
        <v>-2.5</v>
      </c>
      <c r="J915" s="34" t="s">
        <v>720</v>
      </c>
      <c r="K915" s="30" t="n">
        <v>60000</v>
      </c>
      <c r="L915" s="30" t="n">
        <v>129600</v>
      </c>
      <c r="M915" s="28" t="n">
        <v>9000</v>
      </c>
      <c r="N915" s="29" t="n">
        <v>3600</v>
      </c>
      <c r="O915" s="29" t="n">
        <v>134100</v>
      </c>
      <c r="P915" s="30" t="n">
        <v>-4500</v>
      </c>
      <c r="Q915" s="263" t="n">
        <v>45831</v>
      </c>
    </row>
    <row r="916" customFormat="false" ht="19.4" hidden="false" customHeight="false" outlineLevel="0" collapsed="false">
      <c r="A916" s="20" t="n">
        <v>2695</v>
      </c>
      <c r="B916" s="21" t="s">
        <v>240</v>
      </c>
      <c r="C916" s="21" t="s">
        <v>241</v>
      </c>
      <c r="D916" s="22"/>
      <c r="E916" s="23" t="n">
        <v>45478</v>
      </c>
      <c r="F916" s="23" t="n">
        <v>45674</v>
      </c>
      <c r="G916" s="24" t="n">
        <v>140</v>
      </c>
      <c r="H916" s="49" t="n">
        <v>140</v>
      </c>
      <c r="I916" s="49" t="n">
        <v>0</v>
      </c>
      <c r="J916" s="46" t="s">
        <v>948</v>
      </c>
      <c r="K916" s="27" t="n">
        <v>150000</v>
      </c>
      <c r="L916" s="27" t="n">
        <v>360220</v>
      </c>
      <c r="M916" s="28" t="n">
        <v>12865</v>
      </c>
      <c r="N916" s="29" t="n">
        <v>39000</v>
      </c>
      <c r="O916" s="29" t="n">
        <v>360220</v>
      </c>
      <c r="P916" s="30" t="n">
        <v>0</v>
      </c>
      <c r="Q916" s="263" t="n">
        <v>45831</v>
      </c>
    </row>
    <row r="917" customFormat="false" ht="28.35" hidden="false" customHeight="false" outlineLevel="0" collapsed="false">
      <c r="A917" s="20" t="n">
        <v>3064</v>
      </c>
      <c r="B917" s="21" t="s">
        <v>1161</v>
      </c>
      <c r="C917" s="53" t="s">
        <v>269</v>
      </c>
      <c r="D917" s="22" t="n">
        <v>22375673</v>
      </c>
      <c r="E917" s="23" t="n">
        <v>45705</v>
      </c>
      <c r="F917" s="23" t="n">
        <v>45805</v>
      </c>
      <c r="G917" s="24" t="n">
        <v>72</v>
      </c>
      <c r="H917" s="49" t="n">
        <v>72</v>
      </c>
      <c r="I917" s="49" t="n">
        <v>0</v>
      </c>
      <c r="J917" s="34" t="s">
        <v>333</v>
      </c>
      <c r="K917" s="27" t="n">
        <v>50000</v>
      </c>
      <c r="L917" s="27" t="n">
        <v>108000</v>
      </c>
      <c r="M917" s="28" t="n">
        <v>7500</v>
      </c>
      <c r="N917" s="29" t="n">
        <v>6500</v>
      </c>
      <c r="O917" s="29" t="n">
        <v>108000</v>
      </c>
      <c r="P917" s="30" t="n">
        <v>0</v>
      </c>
      <c r="Q917" s="263" t="n">
        <v>45831</v>
      </c>
    </row>
    <row r="918" customFormat="false" ht="15" hidden="false" customHeight="false" outlineLevel="0" collapsed="false">
      <c r="A918" s="20" t="n">
        <v>3116</v>
      </c>
      <c r="B918" s="21" t="s">
        <v>287</v>
      </c>
      <c r="C918" s="21" t="s">
        <v>288</v>
      </c>
      <c r="D918" s="22"/>
      <c r="E918" s="23" t="n">
        <v>45736</v>
      </c>
      <c r="F918" s="23" t="n">
        <v>45834</v>
      </c>
      <c r="G918" s="24" t="n">
        <v>70</v>
      </c>
      <c r="H918" s="49" t="n">
        <v>70.1296176279974</v>
      </c>
      <c r="I918" s="49" t="n">
        <v>-0.129617627997405</v>
      </c>
      <c r="J918" s="26" t="s">
        <v>1179</v>
      </c>
      <c r="K918" s="27" t="n">
        <v>500000</v>
      </c>
      <c r="L918" s="27" t="n">
        <v>1080100</v>
      </c>
      <c r="M918" s="28" t="n">
        <v>77150</v>
      </c>
      <c r="N918" s="29" t="n">
        <v>154300</v>
      </c>
      <c r="O918" s="29" t="n">
        <v>1082100</v>
      </c>
      <c r="P918" s="30" t="n">
        <v>-2000</v>
      </c>
      <c r="Q918" s="263" t="n">
        <v>45831</v>
      </c>
    </row>
    <row r="919" customFormat="false" ht="15" hidden="false" customHeight="false" outlineLevel="0" collapsed="false">
      <c r="A919" s="20" t="n">
        <v>2995</v>
      </c>
      <c r="B919" s="21" t="s">
        <v>291</v>
      </c>
      <c r="C919" s="21" t="s">
        <v>292</v>
      </c>
      <c r="D919" s="22"/>
      <c r="E919" s="23" t="n">
        <v>45666</v>
      </c>
      <c r="F919" s="23" t="n">
        <v>45834</v>
      </c>
      <c r="G919" s="24" t="n">
        <v>120</v>
      </c>
      <c r="H919" s="49" t="n">
        <v>120</v>
      </c>
      <c r="I919" s="49" t="n">
        <v>0</v>
      </c>
      <c r="J919" s="26" t="s">
        <v>1180</v>
      </c>
      <c r="K919" s="27" t="n">
        <v>40000</v>
      </c>
      <c r="L919" s="27" t="n">
        <v>105600</v>
      </c>
      <c r="M919" s="45" t="n">
        <v>4400</v>
      </c>
      <c r="N919" s="29" t="n">
        <v>17600</v>
      </c>
      <c r="O919" s="29" t="n">
        <v>105600</v>
      </c>
      <c r="P919" s="30" t="n">
        <v>0</v>
      </c>
      <c r="Q919" s="263" t="n">
        <v>45831</v>
      </c>
    </row>
    <row r="920" customFormat="false" ht="21.6" hidden="false" customHeight="false" outlineLevel="0" collapsed="false">
      <c r="A920" s="20" t="n">
        <v>3024</v>
      </c>
      <c r="B920" s="21" t="s">
        <v>334</v>
      </c>
      <c r="C920" s="21" t="s">
        <v>335</v>
      </c>
      <c r="D920" s="22"/>
      <c r="E920" s="23" t="n">
        <v>45682</v>
      </c>
      <c r="F920" s="23" t="n">
        <v>45793</v>
      </c>
      <c r="G920" s="24" t="n">
        <v>80</v>
      </c>
      <c r="H920" s="49" t="n">
        <v>80</v>
      </c>
      <c r="I920" s="49" t="n">
        <v>0</v>
      </c>
      <c r="J920" s="26" t="s">
        <v>1055</v>
      </c>
      <c r="K920" s="27" t="n">
        <v>30000</v>
      </c>
      <c r="L920" s="27" t="n">
        <v>64800</v>
      </c>
      <c r="M920" s="28" t="n">
        <v>4050</v>
      </c>
      <c r="N920" s="29" t="n">
        <v>16200</v>
      </c>
      <c r="O920" s="29" t="n">
        <v>64800</v>
      </c>
      <c r="P920" s="30" t="n">
        <v>0</v>
      </c>
      <c r="Q920" s="263" t="n">
        <v>45831</v>
      </c>
    </row>
    <row r="921" customFormat="false" ht="21.6" hidden="false" customHeight="false" outlineLevel="0" collapsed="false">
      <c r="A921" s="20" t="n">
        <v>3056</v>
      </c>
      <c r="B921" s="21" t="s">
        <v>334</v>
      </c>
      <c r="C921" s="21" t="s">
        <v>335</v>
      </c>
      <c r="D921" s="22"/>
      <c r="E921" s="23" t="n">
        <v>45701</v>
      </c>
      <c r="F921" s="23" t="n">
        <v>45813</v>
      </c>
      <c r="G921" s="24" t="n">
        <v>80</v>
      </c>
      <c r="H921" s="49" t="n">
        <v>80</v>
      </c>
      <c r="I921" s="49" t="n">
        <v>0</v>
      </c>
      <c r="J921" s="26" t="s">
        <v>338</v>
      </c>
      <c r="K921" s="27" t="n">
        <v>50000</v>
      </c>
      <c r="L921" s="27" t="n">
        <v>108000</v>
      </c>
      <c r="M921" s="45" t="n">
        <v>6750</v>
      </c>
      <c r="N921" s="29" t="n">
        <v>27000</v>
      </c>
      <c r="O921" s="29" t="n">
        <v>108000</v>
      </c>
      <c r="P921" s="30" t="n">
        <v>0</v>
      </c>
      <c r="Q921" s="263" t="n">
        <v>45831</v>
      </c>
    </row>
    <row r="922" customFormat="false" ht="21.6" hidden="false" customHeight="false" outlineLevel="0" collapsed="false">
      <c r="A922" s="20" t="n">
        <v>3041</v>
      </c>
      <c r="B922" s="21" t="s">
        <v>976</v>
      </c>
      <c r="C922" s="21" t="s">
        <v>725</v>
      </c>
      <c r="D922" s="22"/>
      <c r="E922" s="23" t="n">
        <v>45694</v>
      </c>
      <c r="F922" s="23" t="n">
        <v>45806</v>
      </c>
      <c r="G922" s="24" t="n">
        <v>80</v>
      </c>
      <c r="H922" s="49" t="n">
        <v>80</v>
      </c>
      <c r="I922" s="49" t="n">
        <v>0</v>
      </c>
      <c r="J922" s="26" t="s">
        <v>1055</v>
      </c>
      <c r="K922" s="27" t="n">
        <v>30000</v>
      </c>
      <c r="L922" s="27" t="n">
        <v>64800</v>
      </c>
      <c r="M922" s="28" t="n">
        <v>4050</v>
      </c>
      <c r="N922" s="29"/>
      <c r="O922" s="29" t="n">
        <v>64800</v>
      </c>
      <c r="P922" s="30" t="n">
        <v>0</v>
      </c>
      <c r="Q922" s="263" t="n">
        <v>45831</v>
      </c>
    </row>
    <row r="923" customFormat="false" ht="21.6" hidden="false" customHeight="false" outlineLevel="0" collapsed="false">
      <c r="A923" s="20" t="n">
        <v>2908</v>
      </c>
      <c r="B923" s="21" t="s">
        <v>382</v>
      </c>
      <c r="C923" s="21" t="s">
        <v>383</v>
      </c>
      <c r="D923" s="22"/>
      <c r="E923" s="23" t="n">
        <v>45608</v>
      </c>
      <c r="F923" s="23" t="n">
        <v>45708</v>
      </c>
      <c r="G923" s="24" t="n">
        <v>72</v>
      </c>
      <c r="H923" s="49" t="n">
        <v>72.0833333333333</v>
      </c>
      <c r="I923" s="49" t="n">
        <v>-0.0833333333333286</v>
      </c>
      <c r="J923" s="34" t="s">
        <v>679</v>
      </c>
      <c r="K923" s="27" t="n">
        <v>20000</v>
      </c>
      <c r="L923" s="27" t="n">
        <v>43200</v>
      </c>
      <c r="M923" s="45" t="n">
        <v>3000</v>
      </c>
      <c r="N923" s="29" t="n">
        <v>4500</v>
      </c>
      <c r="O923" s="29" t="n">
        <v>43250</v>
      </c>
      <c r="P923" s="30" t="n">
        <v>-50</v>
      </c>
      <c r="Q923" s="263" t="n">
        <v>45831</v>
      </c>
    </row>
    <row r="924" customFormat="false" ht="35.05" hidden="false" customHeight="false" outlineLevel="0" collapsed="false">
      <c r="A924" s="20" t="n">
        <v>2947</v>
      </c>
      <c r="B924" s="21" t="s">
        <v>395</v>
      </c>
      <c r="C924" s="21" t="s">
        <v>396</v>
      </c>
      <c r="D924" s="22"/>
      <c r="E924" s="23" t="n">
        <v>45633</v>
      </c>
      <c r="F924" s="23" t="n">
        <v>45800</v>
      </c>
      <c r="G924" s="24" t="n">
        <v>120</v>
      </c>
      <c r="H924" s="49" t="n">
        <v>120</v>
      </c>
      <c r="I924" s="49" t="n">
        <v>0</v>
      </c>
      <c r="J924" s="46" t="s">
        <v>1078</v>
      </c>
      <c r="K924" s="55" t="n">
        <v>150000</v>
      </c>
      <c r="L924" s="30" t="n">
        <v>396000</v>
      </c>
      <c r="M924" s="28" t="n">
        <v>16500</v>
      </c>
      <c r="N924" s="29" t="n">
        <v>11000</v>
      </c>
      <c r="O924" s="29" t="n">
        <v>396000</v>
      </c>
      <c r="P924" s="30" t="n">
        <v>0</v>
      </c>
      <c r="Q924" s="263" t="n">
        <v>45831</v>
      </c>
    </row>
    <row r="925" customFormat="false" ht="15" hidden="false" customHeight="false" outlineLevel="0" collapsed="false">
      <c r="A925" s="20" t="n">
        <v>2861</v>
      </c>
      <c r="B925" s="21" t="s">
        <v>967</v>
      </c>
      <c r="C925" s="21"/>
      <c r="D925" s="22"/>
      <c r="E925" s="23" t="n">
        <v>45581</v>
      </c>
      <c r="F925" s="23" t="n">
        <v>45805</v>
      </c>
      <c r="G925" s="24" t="n">
        <v>160</v>
      </c>
      <c r="H925" s="49" t="n">
        <v>160</v>
      </c>
      <c r="I925" s="49" t="n">
        <v>0</v>
      </c>
      <c r="J925" s="26" t="s">
        <v>1181</v>
      </c>
      <c r="K925" s="27" t="n">
        <v>500000</v>
      </c>
      <c r="L925" s="27" t="n">
        <v>1500000</v>
      </c>
      <c r="M925" s="28" t="n">
        <v>46875</v>
      </c>
      <c r="N925" s="29" t="n">
        <v>187500</v>
      </c>
      <c r="O925" s="29" t="n">
        <v>1500000</v>
      </c>
      <c r="P925" s="27" t="n">
        <v>0</v>
      </c>
      <c r="Q925" s="263" t="n">
        <v>45831</v>
      </c>
    </row>
    <row r="926" customFormat="false" ht="19.4" hidden="false" customHeight="false" outlineLevel="0" collapsed="false">
      <c r="A926" s="20" t="n">
        <v>3194</v>
      </c>
      <c r="B926" s="21" t="s">
        <v>425</v>
      </c>
      <c r="C926" s="21" t="s">
        <v>426</v>
      </c>
      <c r="D926" s="22"/>
      <c r="E926" s="23" t="n">
        <v>45791</v>
      </c>
      <c r="F926" s="23" t="n">
        <v>45819</v>
      </c>
      <c r="G926" s="24" t="n">
        <v>20</v>
      </c>
      <c r="H926" s="49" t="e">
        <f aca="false">#DIV/0!</f>
        <v>#DIV/0!</v>
      </c>
      <c r="I926" s="49" t="e">
        <f aca="false">#DIV/0!</f>
        <v>#DIV/0!</v>
      </c>
      <c r="J926" s="26" t="s">
        <v>1131</v>
      </c>
      <c r="K926" s="27" t="n">
        <v>40000</v>
      </c>
      <c r="L926" s="27" t="n">
        <v>60000</v>
      </c>
      <c r="M926" s="28"/>
      <c r="N926" s="29" t="n">
        <v>37500</v>
      </c>
      <c r="O926" s="29" t="n">
        <v>60000</v>
      </c>
      <c r="P926" s="27" t="n">
        <v>0</v>
      </c>
      <c r="Q926" s="263" t="n">
        <v>45831</v>
      </c>
    </row>
    <row r="927" customFormat="false" ht="28.35" hidden="false" customHeight="false" outlineLevel="0" collapsed="false">
      <c r="A927" s="20" t="n">
        <v>2707</v>
      </c>
      <c r="B927" s="21" t="s">
        <v>478</v>
      </c>
      <c r="C927" s="21" t="s">
        <v>984</v>
      </c>
      <c r="D927" s="22"/>
      <c r="E927" s="23" t="n">
        <v>45483</v>
      </c>
      <c r="F927" s="23" t="n">
        <v>45707</v>
      </c>
      <c r="G927" s="24" t="n">
        <v>160</v>
      </c>
      <c r="H927" s="49" t="n">
        <v>177.535353535354</v>
      </c>
      <c r="I927" s="49" t="n">
        <v>-17.5353535353535</v>
      </c>
      <c r="J927" s="26" t="s">
        <v>985</v>
      </c>
      <c r="K927" s="27" t="n">
        <v>300000</v>
      </c>
      <c r="L927" s="27" t="n">
        <v>792000</v>
      </c>
      <c r="M927" s="28" t="n">
        <v>24750</v>
      </c>
      <c r="N927" s="29" t="n">
        <v>100000</v>
      </c>
      <c r="O927" s="29" t="n">
        <v>878800</v>
      </c>
      <c r="P927" s="27" t="n">
        <v>-86800</v>
      </c>
      <c r="Q927" s="263" t="n">
        <v>45831</v>
      </c>
    </row>
    <row r="928" customFormat="false" ht="21.6" hidden="false" customHeight="false" outlineLevel="0" collapsed="false">
      <c r="A928" s="341" t="n">
        <v>2962</v>
      </c>
      <c r="B928" s="342" t="s">
        <v>196</v>
      </c>
      <c r="C928" s="342" t="s">
        <v>197</v>
      </c>
      <c r="D928" s="343"/>
      <c r="E928" s="344" t="n">
        <v>45645</v>
      </c>
      <c r="F928" s="344" t="n">
        <v>45813</v>
      </c>
      <c r="G928" s="345" t="n">
        <v>120</v>
      </c>
      <c r="H928" s="346" t="n">
        <v>120</v>
      </c>
      <c r="I928" s="346" t="n">
        <v>0</v>
      </c>
      <c r="J928" s="347" t="s">
        <v>456</v>
      </c>
      <c r="K928" s="348" t="n">
        <v>100000</v>
      </c>
      <c r="L928" s="349" t="n">
        <v>264000</v>
      </c>
      <c r="M928" s="350" t="n">
        <v>11000</v>
      </c>
      <c r="N928" s="351" t="n">
        <v>22000</v>
      </c>
      <c r="O928" s="351" t="n">
        <v>264000</v>
      </c>
      <c r="P928" s="349" t="n">
        <v>0</v>
      </c>
      <c r="Q928" s="263" t="n">
        <v>45845</v>
      </c>
    </row>
    <row r="929" customFormat="false" ht="21.6" hidden="false" customHeight="false" outlineLevel="0" collapsed="false">
      <c r="A929" s="341" t="n">
        <v>3088</v>
      </c>
      <c r="B929" s="342" t="s">
        <v>196</v>
      </c>
      <c r="C929" s="342" t="s">
        <v>197</v>
      </c>
      <c r="D929" s="343"/>
      <c r="E929" s="344" t="n">
        <v>45717</v>
      </c>
      <c r="F929" s="344" t="n">
        <v>45828</v>
      </c>
      <c r="G929" s="345" t="n">
        <v>80</v>
      </c>
      <c r="H929" s="346" t="n">
        <v>80</v>
      </c>
      <c r="I929" s="346" t="n">
        <v>0</v>
      </c>
      <c r="J929" s="347" t="s">
        <v>733</v>
      </c>
      <c r="K929" s="352" t="n">
        <v>50000</v>
      </c>
      <c r="L929" s="353" t="n">
        <v>108000</v>
      </c>
      <c r="M929" s="350" t="n">
        <v>6750</v>
      </c>
      <c r="N929" s="351" t="n">
        <v>13000</v>
      </c>
      <c r="O929" s="351" t="n">
        <v>108000</v>
      </c>
      <c r="P929" s="349" t="n">
        <v>0</v>
      </c>
      <c r="Q929" s="263" t="n">
        <v>45845</v>
      </c>
    </row>
    <row r="930" customFormat="false" ht="21.6" hidden="false" customHeight="false" outlineLevel="0" collapsed="false">
      <c r="A930" s="20" t="n">
        <v>3247</v>
      </c>
      <c r="B930" s="21" t="s">
        <v>212</v>
      </c>
      <c r="C930" s="21" t="s">
        <v>213</v>
      </c>
      <c r="D930" s="22" t="n">
        <v>27252034574</v>
      </c>
      <c r="E930" s="23" t="n">
        <v>45826</v>
      </c>
      <c r="F930" s="23" t="n">
        <v>45833</v>
      </c>
      <c r="G930" s="24" t="n">
        <v>5</v>
      </c>
      <c r="H930" s="25" t="e">
        <f aca="false">#DIV/0!</f>
        <v>#DIV/0!</v>
      </c>
      <c r="I930" s="25" t="e">
        <f aca="false">#DIV/0!</f>
        <v>#DIV/0!</v>
      </c>
      <c r="J930" s="26" t="s">
        <v>444</v>
      </c>
      <c r="K930" s="27" t="n">
        <v>100000</v>
      </c>
      <c r="L930" s="27" t="n">
        <v>130000</v>
      </c>
      <c r="M930" s="28"/>
      <c r="N930" s="29" t="n">
        <v>25000</v>
      </c>
      <c r="O930" s="29" t="n">
        <v>130000</v>
      </c>
      <c r="P930" s="30" t="n">
        <v>0</v>
      </c>
      <c r="Q930" s="263" t="n">
        <v>45845</v>
      </c>
    </row>
    <row r="931" customFormat="false" ht="19.4" hidden="false" customHeight="false" outlineLevel="0" collapsed="false">
      <c r="A931" s="20" t="n">
        <v>3016</v>
      </c>
      <c r="B931" s="21" t="s">
        <v>342</v>
      </c>
      <c r="C931" s="21" t="s">
        <v>343</v>
      </c>
      <c r="D931" s="22"/>
      <c r="E931" s="23" t="n">
        <v>45679</v>
      </c>
      <c r="F931" s="23" t="n">
        <v>45847</v>
      </c>
      <c r="G931" s="24" t="n">
        <v>120</v>
      </c>
      <c r="H931" s="25" t="n">
        <v>120</v>
      </c>
      <c r="I931" s="25" t="n">
        <v>0</v>
      </c>
      <c r="J931" s="26" t="s">
        <v>1182</v>
      </c>
      <c r="K931" s="27" t="n">
        <v>300000</v>
      </c>
      <c r="L931" s="27" t="n">
        <v>792000</v>
      </c>
      <c r="M931" s="28" t="n">
        <v>33000</v>
      </c>
      <c r="N931" s="29" t="n">
        <v>132000</v>
      </c>
      <c r="O931" s="29" t="n">
        <v>792000</v>
      </c>
      <c r="P931" s="30" t="n">
        <v>0</v>
      </c>
      <c r="Q931" s="263" t="n">
        <v>45845</v>
      </c>
    </row>
    <row r="932" customFormat="false" ht="17.9" hidden="false" customHeight="false" outlineLevel="0" collapsed="false">
      <c r="A932" s="20" t="n">
        <v>3277</v>
      </c>
      <c r="B932" s="22" t="s">
        <v>363</v>
      </c>
      <c r="C932" s="22"/>
      <c r="D932" s="22"/>
      <c r="E932" s="23" t="n">
        <v>45842</v>
      </c>
      <c r="F932" s="23" t="n">
        <v>45777</v>
      </c>
      <c r="G932" s="24" t="n">
        <v>5</v>
      </c>
      <c r="H932" s="25" t="e">
        <f aca="false">#DIV/0!</f>
        <v>#DIV/0!</v>
      </c>
      <c r="I932" s="25" t="e">
        <f aca="false">#DIV/0!</f>
        <v>#DIV/0!</v>
      </c>
      <c r="J932" s="22" t="s">
        <v>199</v>
      </c>
      <c r="K932" s="27" t="n">
        <v>100000</v>
      </c>
      <c r="L932" s="27" t="n">
        <v>130000</v>
      </c>
      <c r="M932" s="28"/>
      <c r="N932" s="29" t="n">
        <v>130000</v>
      </c>
      <c r="O932" s="29" t="n">
        <v>130000</v>
      </c>
      <c r="P932" s="30" t="n">
        <v>0</v>
      </c>
      <c r="Q932" s="263" t="n">
        <v>45845</v>
      </c>
    </row>
    <row r="933" customFormat="false" ht="21.6" hidden="false" customHeight="false" outlineLevel="0" collapsed="false">
      <c r="A933" s="20" t="n">
        <v>3097</v>
      </c>
      <c r="B933" s="21" t="s">
        <v>371</v>
      </c>
      <c r="C933" s="21" t="s">
        <v>372</v>
      </c>
      <c r="D933" s="22"/>
      <c r="E933" s="23" t="n">
        <v>45724</v>
      </c>
      <c r="F933" s="23" t="n">
        <v>45825</v>
      </c>
      <c r="G933" s="24" t="n">
        <v>72</v>
      </c>
      <c r="H933" s="25" t="n">
        <v>72</v>
      </c>
      <c r="I933" s="25" t="n">
        <v>0</v>
      </c>
      <c r="J933" s="34" t="s">
        <v>333</v>
      </c>
      <c r="K933" s="30" t="n">
        <v>50000</v>
      </c>
      <c r="L933" s="30" t="n">
        <v>108000</v>
      </c>
      <c r="M933" s="354" t="n">
        <v>7500</v>
      </c>
      <c r="N933" s="29" t="n">
        <v>10500</v>
      </c>
      <c r="O933" s="29" t="n">
        <v>108000</v>
      </c>
      <c r="P933" s="30" t="n">
        <v>0</v>
      </c>
      <c r="Q933" s="263" t="n">
        <v>45845</v>
      </c>
    </row>
    <row r="934" customFormat="false" ht="21.6" hidden="false" customHeight="false" outlineLevel="0" collapsed="false">
      <c r="A934" s="20" t="n">
        <v>2921</v>
      </c>
      <c r="B934" s="21" t="s">
        <v>379</v>
      </c>
      <c r="C934" s="21" t="s">
        <v>380</v>
      </c>
      <c r="D934" s="22"/>
      <c r="E934" s="23" t="n">
        <v>45618</v>
      </c>
      <c r="F934" s="23" t="n">
        <v>45779</v>
      </c>
      <c r="G934" s="24" t="n">
        <v>115</v>
      </c>
      <c r="H934" s="25" t="n">
        <v>117.826086956522</v>
      </c>
      <c r="I934" s="25" t="n">
        <v>-2.82608695652174</v>
      </c>
      <c r="J934" s="34" t="s">
        <v>1183</v>
      </c>
      <c r="K934" s="27" t="n">
        <v>200000</v>
      </c>
      <c r="L934" s="27" t="n">
        <v>529000</v>
      </c>
      <c r="M934" s="45" t="n">
        <v>23000</v>
      </c>
      <c r="N934" s="29" t="n">
        <v>50000</v>
      </c>
      <c r="O934" s="29" t="n">
        <v>542000</v>
      </c>
      <c r="P934" s="30" t="n">
        <v>-13000</v>
      </c>
      <c r="Q934" s="263" t="n">
        <v>45845</v>
      </c>
    </row>
    <row r="935" customFormat="false" ht="48.5" hidden="false" customHeight="false" outlineLevel="0" collapsed="false">
      <c r="A935" s="20" t="n">
        <v>3163</v>
      </c>
      <c r="B935" s="21" t="s">
        <v>399</v>
      </c>
      <c r="C935" s="21" t="s">
        <v>400</v>
      </c>
      <c r="D935" s="22" t="n">
        <v>27249921551</v>
      </c>
      <c r="E935" s="23" t="n">
        <v>45771</v>
      </c>
      <c r="F935" s="23" t="n">
        <v>45873</v>
      </c>
      <c r="G935" s="24" t="n">
        <v>72</v>
      </c>
      <c r="H935" s="25" t="n">
        <v>72</v>
      </c>
      <c r="I935" s="25" t="n">
        <v>0</v>
      </c>
      <c r="J935" s="34" t="s">
        <v>333</v>
      </c>
      <c r="K935" s="27" t="n">
        <v>50000</v>
      </c>
      <c r="L935" s="27" t="n">
        <v>108000</v>
      </c>
      <c r="M935" s="28" t="n">
        <v>7500</v>
      </c>
      <c r="N935" s="29" t="n">
        <v>33000</v>
      </c>
      <c r="O935" s="29" t="n">
        <v>108000</v>
      </c>
      <c r="P935" s="30" t="n">
        <v>0</v>
      </c>
      <c r="Q935" s="263" t="n">
        <v>45845</v>
      </c>
    </row>
    <row r="936" customFormat="false" ht="15" hidden="false" customHeight="false" outlineLevel="0" collapsed="false">
      <c r="A936" s="20" t="n">
        <v>3245</v>
      </c>
      <c r="B936" s="21" t="s">
        <v>791</v>
      </c>
      <c r="C936" s="21"/>
      <c r="D936" s="22"/>
      <c r="E936" s="23" t="n">
        <v>45826</v>
      </c>
      <c r="F936" s="23" t="n">
        <v>45820</v>
      </c>
      <c r="G936" s="24" t="n">
        <v>20</v>
      </c>
      <c r="H936" s="25" t="e">
        <f aca="false">#DIV/0!</f>
        <v>#DIV/0!</v>
      </c>
      <c r="I936" s="25" t="e">
        <f aca="false">#DIV/0!</f>
        <v>#DIV/0!</v>
      </c>
      <c r="J936" s="26" t="s">
        <v>444</v>
      </c>
      <c r="K936" s="27" t="n">
        <v>50000</v>
      </c>
      <c r="L936" s="27" t="n">
        <v>75000</v>
      </c>
      <c r="M936" s="28"/>
      <c r="N936" s="29" t="n">
        <v>75000</v>
      </c>
      <c r="O936" s="29" t="n">
        <v>75000</v>
      </c>
      <c r="P936" s="27" t="n">
        <v>0</v>
      </c>
      <c r="Q936" s="263" t="n">
        <v>45845</v>
      </c>
    </row>
    <row r="937" customFormat="false" ht="15" hidden="false" customHeight="false" outlineLevel="0" collapsed="false">
      <c r="A937" s="52" t="n">
        <v>3270</v>
      </c>
      <c r="B937" s="21" t="s">
        <v>791</v>
      </c>
      <c r="C937" s="21"/>
      <c r="D937" s="22"/>
      <c r="E937" s="23" t="n">
        <v>45836</v>
      </c>
      <c r="F937" s="23" t="n">
        <v>45820</v>
      </c>
      <c r="G937" s="24" t="n">
        <v>20</v>
      </c>
      <c r="H937" s="25" t="e">
        <f aca="false">#DIV/0!</f>
        <v>#DIV/0!</v>
      </c>
      <c r="I937" s="25" t="e">
        <f aca="false">#DIV/0!</f>
        <v>#DIV/0!</v>
      </c>
      <c r="J937" s="26" t="s">
        <v>444</v>
      </c>
      <c r="K937" s="27" t="n">
        <v>20000</v>
      </c>
      <c r="L937" s="27" t="n">
        <v>30000</v>
      </c>
      <c r="M937" s="28"/>
      <c r="N937" s="29" t="n">
        <v>30000</v>
      </c>
      <c r="O937" s="29" t="n">
        <v>30000</v>
      </c>
      <c r="P937" s="27" t="n">
        <v>0</v>
      </c>
      <c r="Q937" s="263" t="n">
        <v>45845</v>
      </c>
    </row>
    <row r="938" customFormat="false" ht="15" hidden="false" customHeight="false" outlineLevel="0" collapsed="false">
      <c r="A938" s="20" t="n">
        <v>3232</v>
      </c>
      <c r="B938" s="21" t="s">
        <v>1184</v>
      </c>
      <c r="C938" s="21"/>
      <c r="D938" s="22"/>
      <c r="E938" s="23" t="n">
        <v>45818</v>
      </c>
      <c r="F938" s="23" t="n">
        <v>45846</v>
      </c>
      <c r="G938" s="24" t="n">
        <v>20</v>
      </c>
      <c r="H938" s="25" t="e">
        <f aca="false">#DIV/0!</f>
        <v>#DIV/0!</v>
      </c>
      <c r="I938" s="25" t="e">
        <f aca="false">#DIV/0!</f>
        <v>#DIV/0!</v>
      </c>
      <c r="J938" s="26" t="s">
        <v>444</v>
      </c>
      <c r="K938" s="27" t="n">
        <v>50000</v>
      </c>
      <c r="L938" s="27" t="n">
        <v>75000</v>
      </c>
      <c r="M938" s="28"/>
      <c r="N938" s="29" t="n">
        <v>75000</v>
      </c>
      <c r="O938" s="29" t="n">
        <v>75000</v>
      </c>
      <c r="P938" s="27" t="n">
        <v>0</v>
      </c>
      <c r="Q938" s="263" t="n">
        <v>45845</v>
      </c>
    </row>
    <row r="939" customFormat="false" ht="15" hidden="false" customHeight="false" outlineLevel="0" collapsed="false">
      <c r="A939" s="20" t="n">
        <v>3244</v>
      </c>
      <c r="B939" s="21" t="s">
        <v>1185</v>
      </c>
      <c r="C939" s="21"/>
      <c r="D939" s="22"/>
      <c r="E939" s="23" t="n">
        <v>45826</v>
      </c>
      <c r="F939" s="23" t="n">
        <v>45820</v>
      </c>
      <c r="G939" s="24" t="n">
        <v>20</v>
      </c>
      <c r="H939" s="25" t="e">
        <f aca="false">#DIV/0!</f>
        <v>#DIV/0!</v>
      </c>
      <c r="I939" s="25" t="e">
        <f aca="false">#DIV/0!</f>
        <v>#DIV/0!</v>
      </c>
      <c r="J939" s="26" t="s">
        <v>444</v>
      </c>
      <c r="K939" s="27" t="n">
        <v>60000</v>
      </c>
      <c r="L939" s="27" t="n">
        <v>90000</v>
      </c>
      <c r="M939" s="28"/>
      <c r="N939" s="29" t="n">
        <v>90000</v>
      </c>
      <c r="O939" s="29" t="n">
        <v>90000</v>
      </c>
      <c r="P939" s="27" t="n">
        <v>0</v>
      </c>
      <c r="Q939" s="263" t="n">
        <v>45845</v>
      </c>
    </row>
    <row r="940" customFormat="false" ht="15" hidden="false" customHeight="false" outlineLevel="0" collapsed="false">
      <c r="A940" s="20" t="n">
        <v>3071</v>
      </c>
      <c r="B940" s="21" t="s">
        <v>459</v>
      </c>
      <c r="C940" s="21" t="s">
        <v>460</v>
      </c>
      <c r="D940" s="22"/>
      <c r="E940" s="23" t="n">
        <v>45708</v>
      </c>
      <c r="F940" s="23" t="n">
        <v>45810</v>
      </c>
      <c r="G940" s="24" t="n">
        <v>72</v>
      </c>
      <c r="H940" s="25" t="n">
        <v>72</v>
      </c>
      <c r="I940" s="25" t="n">
        <v>0</v>
      </c>
      <c r="J940" s="34" t="s">
        <v>188</v>
      </c>
      <c r="K940" s="27" t="n">
        <v>100000</v>
      </c>
      <c r="L940" s="27" t="n">
        <v>216000</v>
      </c>
      <c r="M940" s="45" t="n">
        <v>15000</v>
      </c>
      <c r="N940" s="29" t="n">
        <v>7000</v>
      </c>
      <c r="O940" s="29" t="n">
        <v>216000</v>
      </c>
      <c r="P940" s="27" t="n">
        <v>0</v>
      </c>
      <c r="Q940" s="263" t="n">
        <v>45845</v>
      </c>
    </row>
    <row r="941" customFormat="false" ht="15" hidden="false" customHeight="false" outlineLevel="0" collapsed="false">
      <c r="A941" s="20" t="n">
        <v>3121</v>
      </c>
      <c r="B941" s="21" t="s">
        <v>206</v>
      </c>
      <c r="C941" s="21" t="s">
        <v>207</v>
      </c>
      <c r="D941" s="22"/>
      <c r="E941" s="23" t="n">
        <v>45738</v>
      </c>
      <c r="F941" s="23" t="n">
        <v>45839</v>
      </c>
      <c r="G941" s="24" t="n">
        <v>72</v>
      </c>
      <c r="H941" s="25" t="n">
        <v>72</v>
      </c>
      <c r="I941" s="25" t="n">
        <v>0</v>
      </c>
      <c r="J941" s="34" t="s">
        <v>1045</v>
      </c>
      <c r="K941" s="30" t="n">
        <v>80000</v>
      </c>
      <c r="L941" s="30" t="n">
        <v>172800</v>
      </c>
      <c r="M941" s="28" t="n">
        <v>12000</v>
      </c>
      <c r="N941" s="29" t="n">
        <v>1800</v>
      </c>
      <c r="O941" s="29" t="n">
        <v>172800</v>
      </c>
      <c r="P941" s="27" t="n">
        <v>0</v>
      </c>
      <c r="Q941" s="263" t="n">
        <v>45852</v>
      </c>
    </row>
    <row r="942" customFormat="false" ht="15" hidden="false" customHeight="false" outlineLevel="0" collapsed="false">
      <c r="A942" s="20" t="n">
        <v>3135</v>
      </c>
      <c r="B942" s="21" t="s">
        <v>232</v>
      </c>
      <c r="C942" s="21" t="s">
        <v>233</v>
      </c>
      <c r="D942" s="22"/>
      <c r="E942" s="23" t="n">
        <v>45747</v>
      </c>
      <c r="F942" s="23" t="n">
        <v>45847</v>
      </c>
      <c r="G942" s="24" t="n">
        <v>72</v>
      </c>
      <c r="H942" s="25" t="n">
        <v>72</v>
      </c>
      <c r="I942" s="25" t="n">
        <v>0</v>
      </c>
      <c r="J942" s="34" t="s">
        <v>190</v>
      </c>
      <c r="K942" s="50" t="n">
        <v>200000</v>
      </c>
      <c r="L942" s="27" t="n">
        <v>432000</v>
      </c>
      <c r="M942" s="28" t="n">
        <v>30000</v>
      </c>
      <c r="N942" s="29" t="n">
        <v>12000</v>
      </c>
      <c r="O942" s="29" t="n">
        <v>432000</v>
      </c>
      <c r="P942" s="30" t="n">
        <v>0</v>
      </c>
      <c r="Q942" s="263" t="n">
        <v>45852</v>
      </c>
    </row>
    <row r="943" customFormat="false" ht="21.6" hidden="false" customHeight="false" outlineLevel="0" collapsed="false">
      <c r="A943" s="20" t="n">
        <v>2993</v>
      </c>
      <c r="B943" s="21" t="s">
        <v>302</v>
      </c>
      <c r="C943" s="21" t="s">
        <v>303</v>
      </c>
      <c r="D943" s="22" t="n">
        <v>27212523</v>
      </c>
      <c r="E943" s="23" t="n">
        <v>45665</v>
      </c>
      <c r="F943" s="23" t="n">
        <v>45819</v>
      </c>
      <c r="G943" s="24" t="n">
        <v>110</v>
      </c>
      <c r="H943" s="25" t="n">
        <v>111.986111111111</v>
      </c>
      <c r="I943" s="25" t="n">
        <v>-1.98611111111111</v>
      </c>
      <c r="J943" s="46" t="s">
        <v>1186</v>
      </c>
      <c r="K943" s="27" t="n">
        <v>150000</v>
      </c>
      <c r="L943" s="27" t="n">
        <v>396000</v>
      </c>
      <c r="M943" s="28" t="n">
        <v>18000</v>
      </c>
      <c r="N943" s="29" t="n">
        <v>36000</v>
      </c>
      <c r="O943" s="29" t="n">
        <v>403150</v>
      </c>
      <c r="P943" s="30" t="n">
        <v>-7150</v>
      </c>
      <c r="Q943" s="263" t="n">
        <v>45852</v>
      </c>
    </row>
    <row r="944" customFormat="false" ht="15" hidden="false" customHeight="false" outlineLevel="0" collapsed="false">
      <c r="A944" s="20" t="n">
        <v>3052</v>
      </c>
      <c r="B944" s="21" t="s">
        <v>376</v>
      </c>
      <c r="C944" s="21" t="s">
        <v>377</v>
      </c>
      <c r="D944" s="22"/>
      <c r="E944" s="23" t="n">
        <v>45699</v>
      </c>
      <c r="F944" s="23" t="n">
        <v>45867</v>
      </c>
      <c r="G944" s="24" t="n">
        <v>120</v>
      </c>
      <c r="H944" s="25" t="n">
        <v>120</v>
      </c>
      <c r="I944" s="25" t="n">
        <v>0</v>
      </c>
      <c r="J944" s="26" t="s">
        <v>1187</v>
      </c>
      <c r="K944" s="30" t="n">
        <v>300000</v>
      </c>
      <c r="L944" s="30" t="n">
        <v>792000</v>
      </c>
      <c r="M944" s="45" t="n">
        <v>33000</v>
      </c>
      <c r="N944" s="29" t="n">
        <v>132000</v>
      </c>
      <c r="O944" s="29" t="n">
        <v>792000</v>
      </c>
      <c r="P944" s="30" t="n">
        <v>0</v>
      </c>
      <c r="Q944" s="263" t="n">
        <v>45852</v>
      </c>
    </row>
    <row r="945" customFormat="false" ht="28.35" hidden="false" customHeight="false" outlineLevel="0" collapsed="false">
      <c r="A945" s="20" t="n">
        <v>2994</v>
      </c>
      <c r="B945" s="21" t="s">
        <v>414</v>
      </c>
      <c r="C945" s="21" t="s">
        <v>415</v>
      </c>
      <c r="D945" s="22"/>
      <c r="E945" s="23" t="n">
        <v>45300</v>
      </c>
      <c r="F945" s="23" t="n">
        <v>45468</v>
      </c>
      <c r="G945" s="24" t="n">
        <v>120</v>
      </c>
      <c r="H945" s="25" t="n">
        <v>120</v>
      </c>
      <c r="I945" s="25" t="n">
        <v>0</v>
      </c>
      <c r="J945" s="26" t="s">
        <v>1188</v>
      </c>
      <c r="K945" s="27" t="n">
        <v>100000</v>
      </c>
      <c r="L945" s="27" t="n">
        <v>264000</v>
      </c>
      <c r="M945" s="45" t="n">
        <v>11000</v>
      </c>
      <c r="N945" s="29" t="n">
        <v>52000</v>
      </c>
      <c r="O945" s="29" t="n">
        <v>264000</v>
      </c>
      <c r="P945" s="30" t="n">
        <v>0</v>
      </c>
      <c r="Q945" s="263" t="n">
        <v>45852</v>
      </c>
    </row>
    <row r="946" customFormat="false" ht="28.35" hidden="false" customHeight="false" outlineLevel="0" collapsed="false">
      <c r="A946" s="20" t="n">
        <v>3059</v>
      </c>
      <c r="B946" s="21" t="s">
        <v>414</v>
      </c>
      <c r="C946" s="21" t="s">
        <v>415</v>
      </c>
      <c r="D946" s="22"/>
      <c r="E946" s="23" t="n">
        <v>45702</v>
      </c>
      <c r="F946" s="23" t="n">
        <v>45804</v>
      </c>
      <c r="G946" s="24" t="n">
        <v>72</v>
      </c>
      <c r="H946" s="25" t="n">
        <v>72</v>
      </c>
      <c r="I946" s="25" t="n">
        <v>0</v>
      </c>
      <c r="J946" s="34" t="s">
        <v>1130</v>
      </c>
      <c r="K946" s="27" t="n">
        <v>70000</v>
      </c>
      <c r="L946" s="27" t="n">
        <v>151200</v>
      </c>
      <c r="M946" s="28" t="n">
        <v>10500</v>
      </c>
      <c r="N946" s="29" t="n">
        <v>6700</v>
      </c>
      <c r="O946" s="29" t="n">
        <v>151200</v>
      </c>
      <c r="P946" s="27" t="n">
        <v>0</v>
      </c>
      <c r="Q946" s="263" t="n">
        <v>45852</v>
      </c>
    </row>
    <row r="947" customFormat="false" ht="28.35" hidden="false" customHeight="false" outlineLevel="0" collapsed="false">
      <c r="A947" s="20" t="n">
        <v>2985</v>
      </c>
      <c r="B947" s="21" t="s">
        <v>452</v>
      </c>
      <c r="C947" s="21"/>
      <c r="D947" s="22"/>
      <c r="E947" s="23" t="n">
        <v>45657</v>
      </c>
      <c r="F947" s="23" t="n">
        <v>45825</v>
      </c>
      <c r="G947" s="24" t="n">
        <v>120</v>
      </c>
      <c r="H947" s="25" t="n">
        <v>120</v>
      </c>
      <c r="I947" s="25" t="n">
        <v>0</v>
      </c>
      <c r="J947" s="26" t="s">
        <v>1080</v>
      </c>
      <c r="K947" s="27" t="n">
        <v>50000</v>
      </c>
      <c r="L947" s="27" t="n">
        <v>132000</v>
      </c>
      <c r="M947" s="28" t="n">
        <v>5500</v>
      </c>
      <c r="N947" s="29" t="n">
        <v>22000</v>
      </c>
      <c r="O947" s="29" t="n">
        <v>132000</v>
      </c>
      <c r="P947" s="27" t="n">
        <v>0</v>
      </c>
      <c r="Q947" s="263" t="n">
        <v>45852</v>
      </c>
    </row>
    <row r="948" customFormat="false" ht="15" hidden="false" customHeight="false" outlineLevel="0" collapsed="false">
      <c r="A948" s="20" t="n">
        <v>3243</v>
      </c>
      <c r="B948" s="22" t="s">
        <v>481</v>
      </c>
      <c r="C948" s="22"/>
      <c r="D948" s="22"/>
      <c r="E948" s="23" t="n">
        <v>45825</v>
      </c>
      <c r="F948" s="23" t="n">
        <v>45359</v>
      </c>
      <c r="G948" s="24" t="n">
        <v>20</v>
      </c>
      <c r="H948" s="25" t="e">
        <f aca="false">#DIV/0!</f>
        <v>#DIV/0!</v>
      </c>
      <c r="I948" s="25" t="e">
        <f aca="false">#DIV/0!</f>
        <v>#DIV/0!</v>
      </c>
      <c r="J948" s="35" t="s">
        <v>681</v>
      </c>
      <c r="K948" s="27" t="n">
        <v>30000</v>
      </c>
      <c r="L948" s="27" t="n">
        <v>45000</v>
      </c>
      <c r="M948" s="28"/>
      <c r="N948" s="29" t="n">
        <v>45000</v>
      </c>
      <c r="O948" s="29" t="n">
        <v>45000</v>
      </c>
      <c r="P948" s="27" t="n">
        <v>0</v>
      </c>
      <c r="Q948" s="263" t="n">
        <v>45852</v>
      </c>
    </row>
    <row r="949" customFormat="false" ht="15" hidden="false" customHeight="false" outlineLevel="0" collapsed="false">
      <c r="A949" s="24" t="n">
        <v>3252</v>
      </c>
      <c r="B949" s="22" t="s">
        <v>481</v>
      </c>
      <c r="C949" s="22"/>
      <c r="D949" s="22"/>
      <c r="E949" s="23" t="n">
        <v>45827</v>
      </c>
      <c r="F949" s="23" t="n">
        <v>45359</v>
      </c>
      <c r="G949" s="24" t="n">
        <v>20</v>
      </c>
      <c r="H949" s="25" t="e">
        <f aca="false">#DIV/0!</f>
        <v>#DIV/0!</v>
      </c>
      <c r="I949" s="25" t="e">
        <f aca="false">#DIV/0!</f>
        <v>#DIV/0!</v>
      </c>
      <c r="J949" s="35" t="s">
        <v>681</v>
      </c>
      <c r="K949" s="30" t="n">
        <v>40000</v>
      </c>
      <c r="L949" s="30" t="n">
        <v>60000</v>
      </c>
      <c r="M949" s="28"/>
      <c r="N949" s="29" t="n">
        <v>60000</v>
      </c>
      <c r="O949" s="29" t="n">
        <v>60000</v>
      </c>
      <c r="P949" s="27" t="n">
        <v>0</v>
      </c>
      <c r="Q949" s="263" t="n">
        <v>45852</v>
      </c>
    </row>
    <row r="950" customFormat="false" ht="15" hidden="false" customHeight="false" outlineLevel="0" collapsed="false">
      <c r="A950" s="24" t="n">
        <v>3255</v>
      </c>
      <c r="B950" s="22" t="s">
        <v>481</v>
      </c>
      <c r="C950" s="22"/>
      <c r="D950" s="22"/>
      <c r="E950" s="23" t="n">
        <v>45829</v>
      </c>
      <c r="F950" s="23" t="n">
        <v>45359</v>
      </c>
      <c r="G950" s="24" t="n">
        <v>20</v>
      </c>
      <c r="H950" s="25" t="e">
        <f aca="false">#DIV/0!</f>
        <v>#DIV/0!</v>
      </c>
      <c r="I950" s="25" t="e">
        <f aca="false">#DIV/0!</f>
        <v>#DIV/0!</v>
      </c>
      <c r="J950" s="35" t="s">
        <v>681</v>
      </c>
      <c r="K950" s="27" t="n">
        <v>40000</v>
      </c>
      <c r="L950" s="27" t="n">
        <v>60000</v>
      </c>
      <c r="M950" s="28"/>
      <c r="N950" s="29" t="n">
        <v>60000</v>
      </c>
      <c r="O950" s="29" t="n">
        <v>60000</v>
      </c>
      <c r="P950" s="27" t="n">
        <v>0</v>
      </c>
      <c r="Q950" s="263" t="n">
        <v>45852</v>
      </c>
    </row>
    <row r="951" customFormat="false" ht="15" hidden="false" customHeight="false" outlineLevel="0" collapsed="false">
      <c r="A951" s="24" t="n">
        <v>3262</v>
      </c>
      <c r="B951" s="22" t="s">
        <v>481</v>
      </c>
      <c r="C951" s="22"/>
      <c r="D951" s="22"/>
      <c r="E951" s="23" t="n">
        <v>45833</v>
      </c>
      <c r="F951" s="23" t="n">
        <v>45359</v>
      </c>
      <c r="G951" s="24" t="n">
        <v>20</v>
      </c>
      <c r="H951" s="25" t="e">
        <f aca="false">#DIV/0!</f>
        <v>#DIV/0!</v>
      </c>
      <c r="I951" s="25" t="e">
        <f aca="false">#DIV/0!</f>
        <v>#DIV/0!</v>
      </c>
      <c r="J951" s="35" t="s">
        <v>681</v>
      </c>
      <c r="K951" s="30" t="n">
        <v>20000</v>
      </c>
      <c r="L951" s="30" t="n">
        <v>30000</v>
      </c>
      <c r="M951" s="28"/>
      <c r="N951" s="29" t="n">
        <v>30000</v>
      </c>
      <c r="O951" s="29" t="n">
        <v>30000</v>
      </c>
      <c r="P951" s="27" t="n">
        <v>0</v>
      </c>
      <c r="Q951" s="263" t="n">
        <v>45852</v>
      </c>
    </row>
    <row r="952" customFormat="false" ht="15" hidden="false" customHeight="false" outlineLevel="0" collapsed="false">
      <c r="A952" s="24" t="n">
        <v>3267</v>
      </c>
      <c r="B952" s="22" t="s">
        <v>481</v>
      </c>
      <c r="C952" s="22"/>
      <c r="D952" s="22"/>
      <c r="E952" s="23" t="n">
        <v>45836</v>
      </c>
      <c r="F952" s="23" t="n">
        <v>45359</v>
      </c>
      <c r="G952" s="24" t="n">
        <v>20</v>
      </c>
      <c r="H952" s="25" t="e">
        <f aca="false">#DIV/0!</f>
        <v>#DIV/0!</v>
      </c>
      <c r="I952" s="25" t="e">
        <f aca="false">#DIV/0!</f>
        <v>#DIV/0!</v>
      </c>
      <c r="J952" s="35" t="s">
        <v>681</v>
      </c>
      <c r="K952" s="27" t="n">
        <v>20000</v>
      </c>
      <c r="L952" s="27" t="n">
        <v>30000</v>
      </c>
      <c r="M952" s="28"/>
      <c r="N952" s="29" t="n">
        <v>30000</v>
      </c>
      <c r="O952" s="29" t="n">
        <v>30000</v>
      </c>
      <c r="P952" s="27" t="n">
        <v>0</v>
      </c>
      <c r="Q952" s="263" t="n">
        <v>45852</v>
      </c>
    </row>
    <row r="953" customFormat="false" ht="15" hidden="false" customHeight="false" outlineLevel="0" collapsed="false">
      <c r="A953" s="24" t="n">
        <v>3278</v>
      </c>
      <c r="B953" s="22" t="s">
        <v>481</v>
      </c>
      <c r="C953" s="22"/>
      <c r="D953" s="22"/>
      <c r="E953" s="23" t="n">
        <v>45842</v>
      </c>
      <c r="F953" s="23" t="n">
        <v>45359</v>
      </c>
      <c r="G953" s="24" t="n">
        <v>20</v>
      </c>
      <c r="H953" s="25" t="e">
        <f aca="false">#DIV/0!</f>
        <v>#DIV/0!</v>
      </c>
      <c r="I953" s="25" t="e">
        <f aca="false">#DIV/0!</f>
        <v>#DIV/0!</v>
      </c>
      <c r="J953" s="35" t="s">
        <v>681</v>
      </c>
      <c r="K953" s="27" t="n">
        <v>20000</v>
      </c>
      <c r="L953" s="27" t="n">
        <v>30000</v>
      </c>
      <c r="M953" s="28"/>
      <c r="N953" s="29" t="n">
        <v>30000</v>
      </c>
      <c r="O953" s="29" t="n">
        <v>30000</v>
      </c>
      <c r="P953" s="27" t="n">
        <v>0</v>
      </c>
      <c r="Q953" s="263" t="n">
        <v>45852</v>
      </c>
    </row>
    <row r="954" customFormat="false" ht="15" hidden="false" customHeight="false" outlineLevel="0" collapsed="false">
      <c r="A954" s="24" t="n">
        <v>3119</v>
      </c>
      <c r="B954" s="21" t="s">
        <v>505</v>
      </c>
      <c r="C954" s="21" t="s">
        <v>506</v>
      </c>
      <c r="D954" s="22"/>
      <c r="E954" s="23" t="n">
        <v>45736</v>
      </c>
      <c r="F954" s="23" t="n">
        <v>45834</v>
      </c>
      <c r="G954" s="24" t="n">
        <v>70</v>
      </c>
      <c r="H954" s="25" t="n">
        <v>70</v>
      </c>
      <c r="I954" s="25" t="n">
        <v>0</v>
      </c>
      <c r="J954" s="34" t="s">
        <v>513</v>
      </c>
      <c r="K954" s="27" t="n">
        <v>150000</v>
      </c>
      <c r="L954" s="27" t="n">
        <v>325500</v>
      </c>
      <c r="M954" s="28" t="n">
        <v>23250</v>
      </c>
      <c r="N954" s="29" t="n">
        <v>23250</v>
      </c>
      <c r="O954" s="29" t="n">
        <v>325500</v>
      </c>
      <c r="P954" s="27" t="n">
        <v>0</v>
      </c>
      <c r="Q954" s="263" t="n">
        <v>45852</v>
      </c>
    </row>
    <row r="955" customFormat="false" ht="15" hidden="false" customHeight="false" outlineLevel="0" collapsed="false">
      <c r="A955" s="24" t="n">
        <v>2990</v>
      </c>
      <c r="B955" s="21" t="s">
        <v>555</v>
      </c>
      <c r="C955" s="355"/>
      <c r="D955" s="22"/>
      <c r="E955" s="23" t="n">
        <v>45663</v>
      </c>
      <c r="F955" s="23" t="n">
        <v>45831</v>
      </c>
      <c r="G955" s="24" t="n">
        <v>120</v>
      </c>
      <c r="H955" s="25" t="n">
        <v>120</v>
      </c>
      <c r="I955" s="25" t="n">
        <v>0</v>
      </c>
      <c r="J955" s="26" t="s">
        <v>1187</v>
      </c>
      <c r="K955" s="356" t="n">
        <v>300000</v>
      </c>
      <c r="L955" s="27" t="n">
        <v>792000</v>
      </c>
      <c r="M955" s="28" t="n">
        <v>33000</v>
      </c>
      <c r="N955" s="29" t="n">
        <v>132000</v>
      </c>
      <c r="O955" s="29" t="n">
        <v>792000</v>
      </c>
      <c r="P955" s="27" t="n">
        <v>0</v>
      </c>
      <c r="Q955" s="263" t="n">
        <v>45852</v>
      </c>
    </row>
    <row r="956" customFormat="false" ht="19.4" hidden="false" customHeight="false" outlineLevel="0" collapsed="false">
      <c r="A956" s="24" t="n">
        <v>2896</v>
      </c>
      <c r="B956" s="21" t="s">
        <v>568</v>
      </c>
      <c r="C956" s="21" t="s">
        <v>1052</v>
      </c>
      <c r="D956" s="22"/>
      <c r="E956" s="23" t="n">
        <v>45602</v>
      </c>
      <c r="F956" s="23" t="n">
        <v>45770</v>
      </c>
      <c r="G956" s="24" t="n">
        <v>120</v>
      </c>
      <c r="H956" s="25" t="n">
        <v>120</v>
      </c>
      <c r="I956" s="25" t="n">
        <v>0</v>
      </c>
      <c r="J956" s="26" t="s">
        <v>1189</v>
      </c>
      <c r="K956" s="27" t="n">
        <v>1000000</v>
      </c>
      <c r="L956" s="27" t="n">
        <v>2640000</v>
      </c>
      <c r="M956" s="28" t="n">
        <v>110000</v>
      </c>
      <c r="N956" s="29" t="n">
        <v>100000</v>
      </c>
      <c r="O956" s="29" t="n">
        <v>2640000</v>
      </c>
      <c r="P956" s="27" t="n">
        <v>0</v>
      </c>
      <c r="Q956" s="263" t="n">
        <v>45852</v>
      </c>
    </row>
    <row r="957" customFormat="false" ht="28.35" hidden="false" customHeight="false" outlineLevel="0" collapsed="false">
      <c r="A957" s="24" t="n">
        <v>3127</v>
      </c>
      <c r="B957" s="21" t="s">
        <v>1161</v>
      </c>
      <c r="C957" s="53" t="s">
        <v>269</v>
      </c>
      <c r="D957" s="22" t="n">
        <v>22375673</v>
      </c>
      <c r="E957" s="23" t="n">
        <v>45742</v>
      </c>
      <c r="F957" s="23" t="n">
        <v>45842</v>
      </c>
      <c r="G957" s="24" t="n">
        <v>72</v>
      </c>
      <c r="H957" s="25" t="n">
        <v>72</v>
      </c>
      <c r="I957" s="25" t="n">
        <v>0</v>
      </c>
      <c r="J957" s="34" t="s">
        <v>188</v>
      </c>
      <c r="K957" s="30" t="n">
        <v>100000</v>
      </c>
      <c r="L957" s="30" t="n">
        <v>216000</v>
      </c>
      <c r="M957" s="45" t="n">
        <v>15000</v>
      </c>
      <c r="N957" s="29" t="n">
        <v>3000</v>
      </c>
      <c r="O957" s="29" t="n">
        <v>216000</v>
      </c>
      <c r="P957" s="27" t="n">
        <v>0</v>
      </c>
      <c r="Q957" s="263" t="n">
        <v>45859</v>
      </c>
    </row>
    <row r="958" customFormat="false" ht="15" hidden="false" customHeight="false" outlineLevel="0" collapsed="false">
      <c r="A958" s="20" t="n">
        <v>3030</v>
      </c>
      <c r="B958" s="21" t="s">
        <v>291</v>
      </c>
      <c r="C958" s="21" t="s">
        <v>292</v>
      </c>
      <c r="D958" s="22"/>
      <c r="E958" s="23" t="n">
        <v>45684</v>
      </c>
      <c r="F958" s="23" t="n">
        <v>45852</v>
      </c>
      <c r="G958" s="24" t="n">
        <v>120</v>
      </c>
      <c r="H958" s="25" t="n">
        <v>120</v>
      </c>
      <c r="I958" s="25" t="n">
        <v>0</v>
      </c>
      <c r="J958" s="26" t="s">
        <v>1148</v>
      </c>
      <c r="K958" s="27" t="n">
        <v>100000</v>
      </c>
      <c r="L958" s="27" t="n">
        <v>264000</v>
      </c>
      <c r="M958" s="28" t="n">
        <v>11000</v>
      </c>
      <c r="N958" s="29" t="n">
        <v>44000</v>
      </c>
      <c r="O958" s="29" t="n">
        <v>264000</v>
      </c>
      <c r="P958" s="30" t="n">
        <v>0</v>
      </c>
      <c r="Q958" s="263" t="n">
        <v>45859</v>
      </c>
    </row>
    <row r="959" customFormat="false" ht="15" hidden="false" customHeight="false" outlineLevel="0" collapsed="false">
      <c r="A959" s="20" t="n">
        <v>3150</v>
      </c>
      <c r="B959" s="21" t="s">
        <v>291</v>
      </c>
      <c r="C959" s="21" t="s">
        <v>292</v>
      </c>
      <c r="D959" s="22"/>
      <c r="E959" s="23" t="n">
        <v>45758</v>
      </c>
      <c r="F959" s="23" t="n">
        <v>45870</v>
      </c>
      <c r="G959" s="24" t="n">
        <v>80</v>
      </c>
      <c r="H959" s="25" t="n">
        <v>80</v>
      </c>
      <c r="I959" s="25" t="n">
        <v>0</v>
      </c>
      <c r="J959" s="26" t="s">
        <v>296</v>
      </c>
      <c r="K959" s="30" t="n">
        <v>20000</v>
      </c>
      <c r="L959" s="30" t="n">
        <v>43200</v>
      </c>
      <c r="M959" s="28" t="n">
        <v>2700</v>
      </c>
      <c r="N959" s="29" t="n">
        <v>10800</v>
      </c>
      <c r="O959" s="29" t="n">
        <v>43200</v>
      </c>
      <c r="P959" s="30" t="n">
        <v>0</v>
      </c>
      <c r="Q959" s="263" t="n">
        <v>45859</v>
      </c>
    </row>
    <row r="960" customFormat="false" ht="19.4" hidden="false" customHeight="false" outlineLevel="0" collapsed="false">
      <c r="A960" s="20" t="n">
        <v>2964</v>
      </c>
      <c r="B960" s="21" t="s">
        <v>1103</v>
      </c>
      <c r="C960" s="21"/>
      <c r="D960" s="22"/>
      <c r="E960" s="23" t="n">
        <v>45647</v>
      </c>
      <c r="F960" s="23" t="n">
        <v>45800</v>
      </c>
      <c r="G960" s="24" t="n">
        <v>110</v>
      </c>
      <c r="H960" s="25" t="n">
        <v>110</v>
      </c>
      <c r="I960" s="25" t="n">
        <v>0</v>
      </c>
      <c r="J960" s="46" t="s">
        <v>1190</v>
      </c>
      <c r="K960" s="27" t="n">
        <v>100000</v>
      </c>
      <c r="L960" s="27" t="n">
        <v>264000</v>
      </c>
      <c r="M960" s="28" t="n">
        <v>12000</v>
      </c>
      <c r="N960" s="29" t="n">
        <v>24000</v>
      </c>
      <c r="O960" s="29" t="n">
        <v>264000</v>
      </c>
      <c r="P960" s="30" t="n">
        <v>0</v>
      </c>
      <c r="Q960" s="263" t="n">
        <v>45859</v>
      </c>
    </row>
    <row r="961" customFormat="false" ht="15" hidden="false" customHeight="false" outlineLevel="0" collapsed="false">
      <c r="A961" s="20" t="n">
        <v>3124</v>
      </c>
      <c r="B961" s="21" t="s">
        <v>332</v>
      </c>
      <c r="C961" s="21" t="s">
        <v>252</v>
      </c>
      <c r="D961" s="22"/>
      <c r="E961" s="23" t="n">
        <v>45741</v>
      </c>
      <c r="F961" s="23" t="n">
        <v>45841</v>
      </c>
      <c r="G961" s="24" t="n">
        <v>72</v>
      </c>
      <c r="H961" s="25" t="n">
        <v>72</v>
      </c>
      <c r="I961" s="25" t="n">
        <v>0</v>
      </c>
      <c r="J961" s="34" t="s">
        <v>333</v>
      </c>
      <c r="K961" s="27" t="n">
        <v>50000</v>
      </c>
      <c r="L961" s="27" t="n">
        <v>108000</v>
      </c>
      <c r="M961" s="28" t="n">
        <v>7500</v>
      </c>
      <c r="N961" s="29"/>
      <c r="O961" s="29" t="n">
        <v>108000</v>
      </c>
      <c r="P961" s="30" t="n">
        <v>0</v>
      </c>
      <c r="Q961" s="263" t="n">
        <v>45859</v>
      </c>
    </row>
    <row r="962" customFormat="false" ht="17.9" hidden="false" customHeight="false" outlineLevel="0" collapsed="false">
      <c r="A962" s="20" t="n">
        <v>3281</v>
      </c>
      <c r="B962" s="22" t="s">
        <v>363</v>
      </c>
      <c r="C962" s="22"/>
      <c r="D962" s="22"/>
      <c r="E962" s="23" t="n">
        <v>45849</v>
      </c>
      <c r="F962" s="23" t="n">
        <v>45777</v>
      </c>
      <c r="G962" s="24" t="n">
        <v>5</v>
      </c>
      <c r="H962" s="25" t="e">
        <f aca="false">#DIV/0!</f>
        <v>#DIV/0!</v>
      </c>
      <c r="I962" s="25" t="e">
        <f aca="false">#DIV/0!</f>
        <v>#DIV/0!</v>
      </c>
      <c r="J962" s="22" t="s">
        <v>199</v>
      </c>
      <c r="K962" s="27" t="n">
        <v>100000</v>
      </c>
      <c r="L962" s="27" t="n">
        <v>130000</v>
      </c>
      <c r="M962" s="28"/>
      <c r="N962" s="29" t="n">
        <v>130000</v>
      </c>
      <c r="O962" s="29" t="n">
        <v>130000</v>
      </c>
      <c r="P962" s="30" t="n">
        <v>0</v>
      </c>
      <c r="Q962" s="263" t="n">
        <v>45859</v>
      </c>
    </row>
    <row r="963" customFormat="false" ht="21.6" hidden="false" customHeight="false" outlineLevel="0" collapsed="false">
      <c r="A963" s="20" t="n">
        <v>3138</v>
      </c>
      <c r="B963" s="21" t="s">
        <v>384</v>
      </c>
      <c r="C963" s="21" t="s">
        <v>383</v>
      </c>
      <c r="D963" s="22"/>
      <c r="E963" s="23" t="n">
        <v>45750</v>
      </c>
      <c r="F963" s="23" t="n">
        <v>45852</v>
      </c>
      <c r="G963" s="24" t="n">
        <v>72</v>
      </c>
      <c r="H963" s="25" t="n">
        <v>72</v>
      </c>
      <c r="I963" s="25" t="n">
        <v>0</v>
      </c>
      <c r="J963" s="34" t="s">
        <v>675</v>
      </c>
      <c r="K963" s="27" t="n">
        <v>30000</v>
      </c>
      <c r="L963" s="27" t="n">
        <v>64800</v>
      </c>
      <c r="M963" s="45" t="n">
        <v>4500</v>
      </c>
      <c r="N963" s="29" t="n">
        <v>1800</v>
      </c>
      <c r="O963" s="29" t="n">
        <v>64800</v>
      </c>
      <c r="P963" s="30" t="n">
        <v>0</v>
      </c>
      <c r="Q963" s="263" t="n">
        <v>45859</v>
      </c>
    </row>
    <row r="964" customFormat="false" ht="21.6" hidden="false" customHeight="false" outlineLevel="0" collapsed="false">
      <c r="A964" s="20" t="n">
        <v>2983</v>
      </c>
      <c r="B964" s="21" t="s">
        <v>995</v>
      </c>
      <c r="C964" s="21" t="s">
        <v>383</v>
      </c>
      <c r="D964" s="22"/>
      <c r="E964" s="23" t="n">
        <v>45657</v>
      </c>
      <c r="F964" s="23" t="n">
        <v>45757</v>
      </c>
      <c r="G964" s="24" t="n">
        <v>72</v>
      </c>
      <c r="H964" s="25" t="n">
        <v>73.6666666666667</v>
      </c>
      <c r="I964" s="25" t="n">
        <v>-1.66666666666667</v>
      </c>
      <c r="J964" s="34" t="s">
        <v>679</v>
      </c>
      <c r="K964" s="27" t="n">
        <v>20000</v>
      </c>
      <c r="L964" s="27" t="n">
        <v>43200</v>
      </c>
      <c r="M964" s="28" t="n">
        <v>3000</v>
      </c>
      <c r="N964" s="29" t="n">
        <v>8000</v>
      </c>
      <c r="O964" s="29" t="n">
        <v>44200</v>
      </c>
      <c r="P964" s="27" t="n">
        <v>-1000</v>
      </c>
      <c r="Q964" s="263" t="n">
        <v>45859</v>
      </c>
    </row>
    <row r="965" customFormat="false" ht="15" hidden="false" customHeight="false" outlineLevel="0" collapsed="false">
      <c r="A965" s="20" t="n">
        <v>3065</v>
      </c>
      <c r="B965" s="21" t="s">
        <v>428</v>
      </c>
      <c r="C965" s="21" t="s">
        <v>429</v>
      </c>
      <c r="D965" s="22" t="n">
        <v>27329256826</v>
      </c>
      <c r="E965" s="23" t="n">
        <v>45705</v>
      </c>
      <c r="F965" s="23" t="n">
        <v>45873</v>
      </c>
      <c r="G965" s="24" t="n">
        <v>120</v>
      </c>
      <c r="H965" s="25" t="n">
        <v>120</v>
      </c>
      <c r="I965" s="25" t="n">
        <v>0</v>
      </c>
      <c r="J965" s="26" t="s">
        <v>1096</v>
      </c>
      <c r="K965" s="27" t="n">
        <v>50000</v>
      </c>
      <c r="L965" s="27" t="n">
        <v>132000</v>
      </c>
      <c r="M965" s="28" t="n">
        <v>5500</v>
      </c>
      <c r="N965" s="29" t="n">
        <v>48000</v>
      </c>
      <c r="O965" s="29" t="n">
        <v>132000</v>
      </c>
      <c r="P965" s="27" t="n">
        <v>0</v>
      </c>
      <c r="Q965" s="263" t="n">
        <v>45859</v>
      </c>
    </row>
    <row r="966" customFormat="false" ht="28.35" hidden="false" customHeight="false" outlineLevel="0" collapsed="false">
      <c r="A966" s="20" t="n">
        <v>3012</v>
      </c>
      <c r="B966" s="21" t="s">
        <v>489</v>
      </c>
      <c r="C966" s="21" t="s">
        <v>490</v>
      </c>
      <c r="D966" s="22" t="n">
        <v>20317686979</v>
      </c>
      <c r="E966" s="23" t="n">
        <v>45677</v>
      </c>
      <c r="F966" s="23" t="n">
        <v>45845</v>
      </c>
      <c r="G966" s="24" t="n">
        <v>120</v>
      </c>
      <c r="H966" s="25" t="n">
        <v>120</v>
      </c>
      <c r="I966" s="25" t="n">
        <v>0</v>
      </c>
      <c r="J966" s="26" t="s">
        <v>1191</v>
      </c>
      <c r="K966" s="30" t="n">
        <v>500000</v>
      </c>
      <c r="L966" s="30" t="n">
        <v>1320000</v>
      </c>
      <c r="M966" s="28" t="n">
        <v>55000</v>
      </c>
      <c r="N966" s="29" t="n">
        <v>220000</v>
      </c>
      <c r="O966" s="29" t="n">
        <v>1320000</v>
      </c>
      <c r="P966" s="27" t="n">
        <v>0</v>
      </c>
      <c r="Q966" s="263" t="n">
        <v>45859</v>
      </c>
    </row>
    <row r="967" customFormat="false" ht="15" hidden="false" customHeight="false" outlineLevel="0" collapsed="false">
      <c r="A967" s="24" t="n">
        <v>3084</v>
      </c>
      <c r="B967" s="21" t="s">
        <v>505</v>
      </c>
      <c r="C967" s="21" t="s">
        <v>506</v>
      </c>
      <c r="D967" s="22"/>
      <c r="E967" s="23" t="n">
        <v>45714</v>
      </c>
      <c r="F967" s="23" t="n">
        <v>45882</v>
      </c>
      <c r="G967" s="24" t="n">
        <v>120</v>
      </c>
      <c r="H967" s="25" t="n">
        <v>120</v>
      </c>
      <c r="I967" s="25" t="n">
        <v>0</v>
      </c>
      <c r="J967" s="26" t="s">
        <v>430</v>
      </c>
      <c r="K967" s="30" t="n">
        <v>150000</v>
      </c>
      <c r="L967" s="30" t="n">
        <v>396000</v>
      </c>
      <c r="M967" s="28" t="n">
        <v>16500</v>
      </c>
      <c r="N967" s="29" t="n">
        <v>66000</v>
      </c>
      <c r="O967" s="29" t="n">
        <v>396000</v>
      </c>
      <c r="P967" s="27" t="n">
        <v>0</v>
      </c>
      <c r="Q967" s="263" t="n">
        <v>45859</v>
      </c>
    </row>
    <row r="968" customFormat="false" ht="15" hidden="false" customHeight="false" outlineLevel="0" collapsed="false">
      <c r="A968" s="24" t="n">
        <v>3251</v>
      </c>
      <c r="B968" s="21" t="s">
        <v>516</v>
      </c>
      <c r="C968" s="21" t="s">
        <v>517</v>
      </c>
      <c r="D968" s="22"/>
      <c r="E968" s="23" t="n">
        <v>45827</v>
      </c>
      <c r="F968" s="23" t="n">
        <v>45853</v>
      </c>
      <c r="G968" s="24" t="n">
        <v>18</v>
      </c>
      <c r="H968" s="25" t="e">
        <f aca="false">#DIV/0!</f>
        <v>#DIV/0!</v>
      </c>
      <c r="I968" s="25" t="e">
        <f aca="false">#DIV/0!</f>
        <v>#DIV/0!</v>
      </c>
      <c r="J968" s="26" t="s">
        <v>199</v>
      </c>
      <c r="K968" s="27" t="n">
        <v>250000</v>
      </c>
      <c r="L968" s="27" t="n">
        <v>350000</v>
      </c>
      <c r="M968" s="28"/>
      <c r="N968" s="29" t="n">
        <v>350000</v>
      </c>
      <c r="O968" s="29" t="n">
        <v>350000</v>
      </c>
      <c r="P968" s="27" t="n">
        <v>0</v>
      </c>
      <c r="Q968" s="263" t="n">
        <v>45859</v>
      </c>
    </row>
    <row r="969" customFormat="false" ht="35.05" hidden="false" customHeight="false" outlineLevel="0" collapsed="false">
      <c r="A969" s="24" t="n">
        <v>2970</v>
      </c>
      <c r="B969" s="21" t="s">
        <v>522</v>
      </c>
      <c r="C969" s="21" t="s">
        <v>523</v>
      </c>
      <c r="D969" s="22"/>
      <c r="E969" s="23" t="n">
        <v>45650</v>
      </c>
      <c r="F969" s="23" t="n">
        <v>45804</v>
      </c>
      <c r="G969" s="24" t="n">
        <v>110</v>
      </c>
      <c r="H969" s="25" t="n">
        <v>110</v>
      </c>
      <c r="I969" s="25" t="n">
        <v>0</v>
      </c>
      <c r="J969" s="34" t="s">
        <v>1192</v>
      </c>
      <c r="K969" s="27" t="n">
        <v>400000</v>
      </c>
      <c r="L969" s="27" t="n">
        <v>1056000</v>
      </c>
      <c r="M969" s="28" t="n">
        <v>48000</v>
      </c>
      <c r="N969" s="29"/>
      <c r="O969" s="29" t="n">
        <v>1056000</v>
      </c>
      <c r="P969" s="27" t="n">
        <v>0</v>
      </c>
      <c r="Q969" s="263" t="n">
        <v>45859</v>
      </c>
    </row>
    <row r="970" customFormat="false" ht="35.05" hidden="false" customHeight="false" outlineLevel="0" collapsed="false">
      <c r="A970" s="24" t="n">
        <v>3043</v>
      </c>
      <c r="B970" s="21" t="s">
        <v>522</v>
      </c>
      <c r="C970" s="21" t="s">
        <v>523</v>
      </c>
      <c r="D970" s="22"/>
      <c r="E970" s="23" t="n">
        <v>45695</v>
      </c>
      <c r="F970" s="23" t="n">
        <v>45849</v>
      </c>
      <c r="G970" s="24" t="n">
        <v>110</v>
      </c>
      <c r="H970" s="25" t="n">
        <v>110</v>
      </c>
      <c r="I970" s="25" t="n">
        <v>0</v>
      </c>
      <c r="J970" s="34" t="s">
        <v>1193</v>
      </c>
      <c r="K970" s="30" t="n">
        <v>300000</v>
      </c>
      <c r="L970" s="30" t="n">
        <v>792000</v>
      </c>
      <c r="M970" s="28" t="n">
        <v>36000</v>
      </c>
      <c r="N970" s="29"/>
      <c r="O970" s="29" t="n">
        <v>792000</v>
      </c>
      <c r="P970" s="27" t="n">
        <v>0</v>
      </c>
      <c r="Q970" s="263" t="n">
        <v>45859</v>
      </c>
    </row>
    <row r="971" customFormat="false" ht="15" hidden="false" customHeight="false" outlineLevel="0" collapsed="false">
      <c r="A971" s="24" t="n">
        <v>3151</v>
      </c>
      <c r="B971" s="21" t="s">
        <v>537</v>
      </c>
      <c r="C971" s="21"/>
      <c r="D971" s="22"/>
      <c r="E971" s="23" t="n">
        <v>45759</v>
      </c>
      <c r="F971" s="23" t="n">
        <v>45856</v>
      </c>
      <c r="G971" s="24" t="n">
        <v>70</v>
      </c>
      <c r="H971" s="25" t="n">
        <v>70</v>
      </c>
      <c r="I971" s="25" t="n">
        <v>0</v>
      </c>
      <c r="J971" s="46" t="s">
        <v>1194</v>
      </c>
      <c r="K971" s="27" t="n">
        <v>80000</v>
      </c>
      <c r="L971" s="27" t="n">
        <v>172900</v>
      </c>
      <c r="M971" s="28" t="n">
        <v>12350</v>
      </c>
      <c r="N971" s="29" t="n">
        <v>22900</v>
      </c>
      <c r="O971" s="29" t="n">
        <v>172900</v>
      </c>
      <c r="P971" s="27" t="n">
        <v>0</v>
      </c>
      <c r="Q971" s="263" t="n">
        <v>45859</v>
      </c>
    </row>
    <row r="972" customFormat="false" ht="21.6" hidden="false" customHeight="false" outlineLevel="0" collapsed="false">
      <c r="A972" s="24" t="n">
        <v>3073</v>
      </c>
      <c r="B972" s="21" t="s">
        <v>552</v>
      </c>
      <c r="C972" s="21" t="s">
        <v>553</v>
      </c>
      <c r="D972" s="22"/>
      <c r="E972" s="23" t="n">
        <v>45708</v>
      </c>
      <c r="F972" s="23" t="n">
        <v>45810</v>
      </c>
      <c r="G972" s="24" t="n">
        <v>72</v>
      </c>
      <c r="H972" s="25" t="n">
        <v>73.3333333333333</v>
      </c>
      <c r="I972" s="25" t="n">
        <v>-1.33333333333333</v>
      </c>
      <c r="J972" s="34" t="s">
        <v>188</v>
      </c>
      <c r="K972" s="27" t="n">
        <v>100000</v>
      </c>
      <c r="L972" s="27" t="n">
        <v>216000</v>
      </c>
      <c r="M972" s="28" t="n">
        <v>15000</v>
      </c>
      <c r="N972" s="29" t="n">
        <v>35000</v>
      </c>
      <c r="O972" s="29" t="n">
        <v>220000</v>
      </c>
      <c r="P972" s="27" t="n">
        <v>-4000</v>
      </c>
      <c r="Q972" s="263" t="n">
        <v>45859</v>
      </c>
    </row>
    <row r="973" customFormat="false" ht="28.35" hidden="false" customHeight="false" outlineLevel="0" collapsed="false">
      <c r="A973" s="24" t="n">
        <v>2982</v>
      </c>
      <c r="B973" s="21" t="s">
        <v>280</v>
      </c>
      <c r="C973" s="21" t="s">
        <v>281</v>
      </c>
      <c r="D973" s="22" t="s">
        <v>282</v>
      </c>
      <c r="E973" s="23" t="n">
        <v>45657</v>
      </c>
      <c r="F973" s="23" t="n">
        <v>45853</v>
      </c>
      <c r="G973" s="24" t="n">
        <v>140</v>
      </c>
      <c r="H973" s="25" t="n">
        <v>140</v>
      </c>
      <c r="I973" s="25" t="n">
        <v>0</v>
      </c>
      <c r="J973" s="26" t="s">
        <v>1195</v>
      </c>
      <c r="K973" s="50" t="n">
        <v>150000</v>
      </c>
      <c r="L973" s="27" t="n">
        <v>406000</v>
      </c>
      <c r="M973" s="28" t="n">
        <v>14500</v>
      </c>
      <c r="N973" s="29" t="n">
        <v>14858</v>
      </c>
      <c r="O973" s="29" t="n">
        <v>406000</v>
      </c>
      <c r="P973" s="27" t="n">
        <v>0</v>
      </c>
      <c r="Q973" s="263" t="n">
        <v>45866</v>
      </c>
    </row>
    <row r="974" customFormat="false" ht="21.6" hidden="false" customHeight="false" outlineLevel="0" collapsed="false">
      <c r="A974" s="20" t="n">
        <v>3095</v>
      </c>
      <c r="B974" s="21" t="s">
        <v>334</v>
      </c>
      <c r="C974" s="21" t="s">
        <v>335</v>
      </c>
      <c r="D974" s="22"/>
      <c r="E974" s="23" t="n">
        <v>45723</v>
      </c>
      <c r="F974" s="23" t="n">
        <v>45835</v>
      </c>
      <c r="G974" s="24" t="n">
        <v>80</v>
      </c>
      <c r="H974" s="25" t="n">
        <v>80</v>
      </c>
      <c r="I974" s="25" t="n">
        <v>0</v>
      </c>
      <c r="J974" s="26" t="s">
        <v>338</v>
      </c>
      <c r="K974" s="27" t="n">
        <v>50000</v>
      </c>
      <c r="L974" s="27" t="n">
        <v>108000</v>
      </c>
      <c r="M974" s="28" t="n">
        <v>6750</v>
      </c>
      <c r="N974" s="29" t="n">
        <v>27000</v>
      </c>
      <c r="O974" s="29" t="n">
        <v>108000</v>
      </c>
      <c r="P974" s="30" t="n">
        <v>0</v>
      </c>
      <c r="Q974" s="263" t="n">
        <v>45866</v>
      </c>
    </row>
    <row r="975" customFormat="false" ht="17.9" hidden="false" customHeight="false" outlineLevel="0" collapsed="false">
      <c r="A975" s="20" t="n">
        <v>3309</v>
      </c>
      <c r="B975" s="22" t="s">
        <v>363</v>
      </c>
      <c r="C975" s="22"/>
      <c r="D975" s="22"/>
      <c r="E975" s="23" t="n">
        <v>45861</v>
      </c>
      <c r="F975" s="23" t="n">
        <v>45777</v>
      </c>
      <c r="G975" s="24" t="n">
        <v>5</v>
      </c>
      <c r="H975" s="25" t="e">
        <f aca="false">#DIV/0!</f>
        <v>#DIV/0!</v>
      </c>
      <c r="I975" s="25" t="e">
        <f aca="false">#DIV/0!</f>
        <v>#DIV/0!</v>
      </c>
      <c r="J975" s="22" t="s">
        <v>199</v>
      </c>
      <c r="K975" s="27" t="n">
        <v>100000</v>
      </c>
      <c r="L975" s="27" t="n">
        <v>130000</v>
      </c>
      <c r="M975" s="28"/>
      <c r="N975" s="29" t="n">
        <v>130000</v>
      </c>
      <c r="O975" s="29" t="n">
        <v>130000</v>
      </c>
      <c r="P975" s="30" t="n">
        <v>0</v>
      </c>
      <c r="Q975" s="263" t="n">
        <v>45866</v>
      </c>
    </row>
    <row r="976" customFormat="false" ht="17.9" hidden="false" customHeight="false" outlineLevel="0" collapsed="false">
      <c r="A976" s="20" t="n">
        <v>3310</v>
      </c>
      <c r="B976" s="22" t="s">
        <v>363</v>
      </c>
      <c r="C976" s="22"/>
      <c r="D976" s="22"/>
      <c r="E976" s="23" t="n">
        <v>45861</v>
      </c>
      <c r="F976" s="23" t="n">
        <v>45777</v>
      </c>
      <c r="G976" s="24" t="n">
        <v>5</v>
      </c>
      <c r="H976" s="25" t="e">
        <f aca="false">#DIV/0!</f>
        <v>#DIV/0!</v>
      </c>
      <c r="I976" s="25" t="e">
        <f aca="false">#DIV/0!</f>
        <v>#DIV/0!</v>
      </c>
      <c r="J976" s="22" t="s">
        <v>199</v>
      </c>
      <c r="K976" s="27" t="n">
        <v>130000</v>
      </c>
      <c r="L976" s="27" t="n">
        <v>169000</v>
      </c>
      <c r="M976" s="28"/>
      <c r="N976" s="29" t="n">
        <v>169000</v>
      </c>
      <c r="O976" s="29" t="n">
        <v>169000</v>
      </c>
      <c r="P976" s="30" t="n">
        <v>0</v>
      </c>
      <c r="Q976" s="263" t="n">
        <v>45866</v>
      </c>
    </row>
    <row r="977" customFormat="false" ht="15" hidden="false" customHeight="false" outlineLevel="0" collapsed="false">
      <c r="A977" s="20" t="n">
        <v>3154</v>
      </c>
      <c r="B977" s="21" t="s">
        <v>519</v>
      </c>
      <c r="C977" s="21" t="s">
        <v>520</v>
      </c>
      <c r="D977" s="48"/>
      <c r="E977" s="23" t="n">
        <v>45763</v>
      </c>
      <c r="F977" s="23" t="n">
        <v>45863</v>
      </c>
      <c r="G977" s="24" t="n">
        <v>72</v>
      </c>
      <c r="H977" s="25" t="n">
        <v>72</v>
      </c>
      <c r="I977" s="25" t="n">
        <v>0</v>
      </c>
      <c r="J977" s="34" t="s">
        <v>333</v>
      </c>
      <c r="K977" s="27" t="n">
        <v>50000</v>
      </c>
      <c r="L977" s="27" t="n">
        <v>108000</v>
      </c>
      <c r="M977" s="45" t="n">
        <v>7500</v>
      </c>
      <c r="N977" s="29" t="n">
        <v>10500</v>
      </c>
      <c r="O977" s="29" t="n">
        <v>108000</v>
      </c>
      <c r="P977" s="30" t="n">
        <v>0</v>
      </c>
      <c r="Q977" s="263" t="n">
        <v>45866</v>
      </c>
    </row>
    <row r="978" customFormat="false" ht="28.35" hidden="false" customHeight="false" outlineLevel="0" collapsed="false">
      <c r="A978" s="24" t="n">
        <v>3168</v>
      </c>
      <c r="B978" s="21" t="s">
        <v>189</v>
      </c>
      <c r="C978" s="21" t="s">
        <v>186</v>
      </c>
      <c r="D978" s="22"/>
      <c r="E978" s="23" t="n">
        <v>45772</v>
      </c>
      <c r="F978" s="23" t="n">
        <v>45874</v>
      </c>
      <c r="G978" s="24" t="n">
        <v>72</v>
      </c>
      <c r="H978" s="25" t="n">
        <v>72</v>
      </c>
      <c r="I978" s="25" t="n">
        <v>0</v>
      </c>
      <c r="J978" s="34" t="s">
        <v>1045</v>
      </c>
      <c r="K978" s="27" t="n">
        <v>80000</v>
      </c>
      <c r="L978" s="27" t="n">
        <v>172800</v>
      </c>
      <c r="M978" s="28" t="n">
        <v>12000</v>
      </c>
      <c r="N978" s="29" t="n">
        <v>16800</v>
      </c>
      <c r="O978" s="29" t="n">
        <v>172800</v>
      </c>
      <c r="P978" s="27" t="n">
        <v>0</v>
      </c>
      <c r="Q978" s="263" t="n">
        <v>45873</v>
      </c>
    </row>
    <row r="979" customFormat="false" ht="28.35" hidden="false" customHeight="false" outlineLevel="0" collapsed="false">
      <c r="A979" s="20" t="n">
        <v>3123</v>
      </c>
      <c r="B979" s="21" t="s">
        <v>229</v>
      </c>
      <c r="C979" s="21" t="s">
        <v>230</v>
      </c>
      <c r="D979" s="22"/>
      <c r="E979" s="23" t="n">
        <v>45740</v>
      </c>
      <c r="F979" s="23" t="n">
        <v>45852</v>
      </c>
      <c r="G979" s="283" t="n">
        <v>80</v>
      </c>
      <c r="H979" s="25" t="n">
        <v>80</v>
      </c>
      <c r="I979" s="25" t="n">
        <v>0</v>
      </c>
      <c r="J979" s="26" t="s">
        <v>1196</v>
      </c>
      <c r="K979" s="290" t="n">
        <v>1600000</v>
      </c>
      <c r="L979" s="27" t="n">
        <v>3456000</v>
      </c>
      <c r="M979" s="28" t="n">
        <v>216000</v>
      </c>
      <c r="N979" s="29" t="n">
        <v>264000</v>
      </c>
      <c r="O979" s="29" t="n">
        <v>3456000</v>
      </c>
      <c r="P979" s="30" t="n">
        <v>0</v>
      </c>
      <c r="Q979" s="263" t="n">
        <v>45873</v>
      </c>
    </row>
    <row r="980" customFormat="false" ht="19.4" hidden="false" customHeight="false" outlineLevel="0" collapsed="false">
      <c r="A980" s="20" t="n">
        <v>2824</v>
      </c>
      <c r="B980" s="21" t="s">
        <v>234</v>
      </c>
      <c r="C980" s="21"/>
      <c r="D980" s="22" t="n">
        <v>24016318</v>
      </c>
      <c r="E980" s="23" t="n">
        <v>45559</v>
      </c>
      <c r="F980" s="23" t="n">
        <v>45671</v>
      </c>
      <c r="G980" s="24" t="n">
        <v>80</v>
      </c>
      <c r="H980" s="25" t="n">
        <v>80</v>
      </c>
      <c r="I980" s="25" t="n">
        <v>0</v>
      </c>
      <c r="J980" s="26" t="s">
        <v>1197</v>
      </c>
      <c r="K980" s="30" t="n">
        <v>1000000</v>
      </c>
      <c r="L980" s="30" t="n">
        <v>2160000</v>
      </c>
      <c r="M980" s="28" t="n">
        <v>135000</v>
      </c>
      <c r="N980" s="29" t="n">
        <v>375000</v>
      </c>
      <c r="O980" s="29" t="n">
        <v>2160000</v>
      </c>
      <c r="P980" s="30" t="n">
        <v>0</v>
      </c>
      <c r="Q980" s="263" t="n">
        <v>45873</v>
      </c>
    </row>
    <row r="981" customFormat="false" ht="15" hidden="false" customHeight="false" outlineLevel="0" collapsed="false">
      <c r="A981" s="20" t="n">
        <v>2974</v>
      </c>
      <c r="B981" s="21" t="s">
        <v>330</v>
      </c>
      <c r="C981" s="21"/>
      <c r="D981" s="22"/>
      <c r="E981" s="23" t="n">
        <v>45652</v>
      </c>
      <c r="F981" s="23" t="n">
        <v>45764</v>
      </c>
      <c r="G981" s="24" t="n">
        <v>80</v>
      </c>
      <c r="H981" s="25" t="n">
        <v>80</v>
      </c>
      <c r="I981" s="25" t="n">
        <v>0</v>
      </c>
      <c r="J981" s="26" t="s">
        <v>331</v>
      </c>
      <c r="K981" s="27" t="n">
        <v>100000</v>
      </c>
      <c r="L981" s="27" t="n">
        <v>216000</v>
      </c>
      <c r="M981" s="28" t="n">
        <v>13500</v>
      </c>
      <c r="N981" s="29" t="n">
        <v>54000</v>
      </c>
      <c r="O981" s="29" t="n">
        <v>216000</v>
      </c>
      <c r="P981" s="30" t="n">
        <v>0</v>
      </c>
      <c r="Q981" s="263" t="n">
        <v>45873</v>
      </c>
    </row>
    <row r="982" customFormat="false" ht="28.35" hidden="false" customHeight="false" outlineLevel="0" collapsed="false">
      <c r="A982" s="20" t="n">
        <v>3303</v>
      </c>
      <c r="B982" s="21" t="s">
        <v>581</v>
      </c>
      <c r="C982" s="21" t="s">
        <v>1198</v>
      </c>
      <c r="D982" s="22" t="n">
        <v>27355741082</v>
      </c>
      <c r="E982" s="23" t="n">
        <v>45860</v>
      </c>
      <c r="F982" s="23" t="n">
        <v>45881</v>
      </c>
      <c r="G982" s="24" t="n">
        <v>15</v>
      </c>
      <c r="H982" s="49" t="e">
        <f aca="false">#VALUE!</f>
        <v>#VALUE!</v>
      </c>
      <c r="I982" s="49" t="e">
        <f aca="false">#VALUE!</f>
        <v>#VALUE!</v>
      </c>
      <c r="J982" s="34" t="s">
        <v>444</v>
      </c>
      <c r="K982" s="30" t="n">
        <v>200000</v>
      </c>
      <c r="L982" s="30" t="n">
        <v>280000</v>
      </c>
      <c r="M982" s="28" t="s">
        <v>184</v>
      </c>
      <c r="N982" s="29" t="n">
        <v>280000</v>
      </c>
      <c r="O982" s="29" t="n">
        <v>280000</v>
      </c>
      <c r="P982" s="30" t="n">
        <v>0</v>
      </c>
      <c r="Q982" s="263" t="n">
        <v>45873</v>
      </c>
    </row>
    <row r="983" customFormat="false" ht="17.9" hidden="false" customHeight="false" outlineLevel="0" collapsed="false">
      <c r="A983" s="20" t="n">
        <v>3328</v>
      </c>
      <c r="B983" s="22" t="s">
        <v>363</v>
      </c>
      <c r="C983" s="22"/>
      <c r="D983" s="22"/>
      <c r="E983" s="23" t="n">
        <v>45869</v>
      </c>
      <c r="F983" s="23" t="n">
        <v>45777</v>
      </c>
      <c r="G983" s="24" t="n">
        <v>5</v>
      </c>
      <c r="H983" s="25" t="e">
        <f aca="false">#DIV/0!</f>
        <v>#DIV/0!</v>
      </c>
      <c r="I983" s="25" t="e">
        <f aca="false">#DIV/0!</f>
        <v>#DIV/0!</v>
      </c>
      <c r="J983" s="22" t="s">
        <v>199</v>
      </c>
      <c r="K983" s="27" t="n">
        <v>100000</v>
      </c>
      <c r="L983" s="27" t="n">
        <v>130000</v>
      </c>
      <c r="M983" s="45"/>
      <c r="N983" s="29" t="n">
        <v>130000</v>
      </c>
      <c r="O983" s="29" t="n">
        <v>130000</v>
      </c>
      <c r="P983" s="30" t="n">
        <v>0</v>
      </c>
      <c r="Q983" s="263" t="n">
        <v>45873</v>
      </c>
    </row>
    <row r="984" customFormat="false" ht="17.9" hidden="false" customHeight="false" outlineLevel="0" collapsed="false">
      <c r="A984" s="20" t="n">
        <v>3329</v>
      </c>
      <c r="B984" s="22" t="s">
        <v>363</v>
      </c>
      <c r="C984" s="22"/>
      <c r="D984" s="22"/>
      <c r="E984" s="23" t="n">
        <v>45869</v>
      </c>
      <c r="F984" s="23" t="n">
        <v>45777</v>
      </c>
      <c r="G984" s="24" t="n">
        <v>5</v>
      </c>
      <c r="H984" s="25" t="e">
        <f aca="false">#DIV/0!</f>
        <v>#DIV/0!</v>
      </c>
      <c r="I984" s="25" t="e">
        <f aca="false">#DIV/0!</f>
        <v>#DIV/0!</v>
      </c>
      <c r="J984" s="22" t="s">
        <v>199</v>
      </c>
      <c r="K984" s="30" t="n">
        <v>130000</v>
      </c>
      <c r="L984" s="30" t="n">
        <v>169000</v>
      </c>
      <c r="M984" s="45"/>
      <c r="N984" s="29" t="n">
        <v>169000</v>
      </c>
      <c r="O984" s="29" t="n">
        <v>169000</v>
      </c>
      <c r="P984" s="30" t="n">
        <v>0</v>
      </c>
      <c r="Q984" s="263" t="n">
        <v>45873</v>
      </c>
    </row>
    <row r="985" customFormat="false" ht="28.35" hidden="false" customHeight="false" outlineLevel="0" collapsed="false">
      <c r="A985" s="20" t="n">
        <v>3038</v>
      </c>
      <c r="B985" s="21" t="s">
        <v>364</v>
      </c>
      <c r="C985" s="21" t="s">
        <v>365</v>
      </c>
      <c r="D985" s="22"/>
      <c r="E985" s="23" t="n">
        <v>45692</v>
      </c>
      <c r="F985" s="23" t="n">
        <v>45860</v>
      </c>
      <c r="G985" s="24" t="n">
        <v>120</v>
      </c>
      <c r="H985" s="25" t="n">
        <v>120</v>
      </c>
      <c r="I985" s="25" t="n">
        <v>0</v>
      </c>
      <c r="J985" s="62" t="s">
        <v>367</v>
      </c>
      <c r="K985" s="33" t="n">
        <v>100000</v>
      </c>
      <c r="L985" s="27" t="n">
        <v>264000</v>
      </c>
      <c r="M985" s="28" t="n">
        <v>11000</v>
      </c>
      <c r="N985" s="29" t="n">
        <v>44000</v>
      </c>
      <c r="O985" s="29" t="n">
        <v>264000</v>
      </c>
      <c r="P985" s="30" t="n">
        <v>0</v>
      </c>
      <c r="Q985" s="263" t="n">
        <v>45873</v>
      </c>
    </row>
    <row r="986" customFormat="false" ht="28.35" hidden="false" customHeight="false" outlineLevel="0" collapsed="false">
      <c r="A986" s="20" t="n">
        <v>2950</v>
      </c>
      <c r="B986" s="21" t="s">
        <v>452</v>
      </c>
      <c r="C986" s="21"/>
      <c r="D986" s="22"/>
      <c r="E986" s="23" t="n">
        <v>45635</v>
      </c>
      <c r="F986" s="23" t="n">
        <v>45859</v>
      </c>
      <c r="G986" s="24" t="n">
        <v>160</v>
      </c>
      <c r="H986" s="25" t="n">
        <v>160</v>
      </c>
      <c r="I986" s="25" t="n">
        <v>0</v>
      </c>
      <c r="J986" s="26" t="s">
        <v>327</v>
      </c>
      <c r="K986" s="58" t="n">
        <v>200000</v>
      </c>
      <c r="L986" s="30" t="n">
        <v>600000</v>
      </c>
      <c r="M986" s="45" t="n">
        <v>18750</v>
      </c>
      <c r="N986" s="29" t="n">
        <v>75000</v>
      </c>
      <c r="O986" s="29" t="n">
        <v>600000</v>
      </c>
      <c r="P986" s="30" t="n">
        <v>0</v>
      </c>
      <c r="Q986" s="263" t="n">
        <v>45873</v>
      </c>
    </row>
    <row r="987" customFormat="false" ht="28.35" hidden="false" customHeight="false" outlineLevel="0" collapsed="false">
      <c r="A987" s="24" t="n">
        <v>3036</v>
      </c>
      <c r="B987" s="21" t="s">
        <v>452</v>
      </c>
      <c r="C987" s="21"/>
      <c r="D987" s="22"/>
      <c r="E987" s="23" t="n">
        <v>45688</v>
      </c>
      <c r="F987" s="23" t="n">
        <v>45856</v>
      </c>
      <c r="G987" s="24" t="n">
        <v>120</v>
      </c>
      <c r="H987" s="25" t="n">
        <v>120</v>
      </c>
      <c r="I987" s="25" t="n">
        <v>0</v>
      </c>
      <c r="J987" s="26" t="s">
        <v>454</v>
      </c>
      <c r="K987" s="27" t="n">
        <v>200000</v>
      </c>
      <c r="L987" s="27" t="n">
        <v>528000</v>
      </c>
      <c r="M987" s="28" t="n">
        <v>22000</v>
      </c>
      <c r="N987" s="29" t="n">
        <v>88000</v>
      </c>
      <c r="O987" s="29" t="n">
        <v>528000</v>
      </c>
      <c r="P987" s="27" t="n">
        <v>0</v>
      </c>
      <c r="Q987" s="263" t="n">
        <v>45873</v>
      </c>
    </row>
    <row r="988" customFormat="false" ht="28.35" hidden="false" customHeight="false" outlineLevel="0" collapsed="false">
      <c r="A988" s="24" t="n">
        <v>3079</v>
      </c>
      <c r="B988" s="21" t="s">
        <v>452</v>
      </c>
      <c r="C988" s="21"/>
      <c r="D988" s="22"/>
      <c r="E988" s="23" t="n">
        <v>45713</v>
      </c>
      <c r="F988" s="23" t="n">
        <v>45881</v>
      </c>
      <c r="G988" s="24" t="n">
        <v>120</v>
      </c>
      <c r="H988" s="25" t="n">
        <v>120</v>
      </c>
      <c r="I988" s="25" t="n">
        <v>0</v>
      </c>
      <c r="J988" s="26" t="s">
        <v>456</v>
      </c>
      <c r="K988" s="30" t="n">
        <v>100000</v>
      </c>
      <c r="L988" s="30" t="n">
        <v>264000</v>
      </c>
      <c r="M988" s="28" t="n">
        <v>11000</v>
      </c>
      <c r="N988" s="29" t="n">
        <v>44000</v>
      </c>
      <c r="O988" s="29" t="n">
        <v>264000</v>
      </c>
      <c r="P988" s="27" t="n">
        <v>0</v>
      </c>
      <c r="Q988" s="263" t="n">
        <v>45873</v>
      </c>
    </row>
    <row r="989" customFormat="false" ht="15" hidden="false" customHeight="false" outlineLevel="0" collapsed="false">
      <c r="A989" s="24" t="n">
        <v>3114</v>
      </c>
      <c r="B989" s="21" t="s">
        <v>459</v>
      </c>
      <c r="C989" s="21" t="s">
        <v>460</v>
      </c>
      <c r="D989" s="22"/>
      <c r="E989" s="23" t="n">
        <v>45734</v>
      </c>
      <c r="F989" s="23" t="n">
        <v>45834</v>
      </c>
      <c r="G989" s="24" t="n">
        <v>72</v>
      </c>
      <c r="H989" s="25" t="n">
        <v>75.3333333333333</v>
      </c>
      <c r="I989" s="25" t="n">
        <v>-3.33333333333333</v>
      </c>
      <c r="J989" s="34" t="s">
        <v>333</v>
      </c>
      <c r="K989" s="30" t="n">
        <v>50000</v>
      </c>
      <c r="L989" s="30" t="n">
        <v>108000</v>
      </c>
      <c r="M989" s="28" t="n">
        <v>7500</v>
      </c>
      <c r="N989" s="29" t="n">
        <v>7500</v>
      </c>
      <c r="O989" s="29" t="n">
        <v>113000</v>
      </c>
      <c r="P989" s="27" t="n">
        <v>-5000</v>
      </c>
      <c r="Q989" s="263" t="n">
        <v>45873</v>
      </c>
    </row>
    <row r="990" customFormat="false" ht="15" hidden="false" customHeight="false" outlineLevel="0" collapsed="false">
      <c r="A990" s="24" t="n">
        <v>3136</v>
      </c>
      <c r="B990" s="21" t="s">
        <v>459</v>
      </c>
      <c r="C990" s="21" t="s">
        <v>460</v>
      </c>
      <c r="D990" s="22"/>
      <c r="E990" s="23" t="n">
        <v>45748</v>
      </c>
      <c r="F990" s="23" t="n">
        <v>45848</v>
      </c>
      <c r="G990" s="24" t="n">
        <v>72</v>
      </c>
      <c r="H990" s="25" t="n">
        <v>72</v>
      </c>
      <c r="I990" s="25" t="n">
        <v>0</v>
      </c>
      <c r="J990" s="34" t="s">
        <v>188</v>
      </c>
      <c r="K990" s="27" t="n">
        <v>100000</v>
      </c>
      <c r="L990" s="27" t="n">
        <v>216000</v>
      </c>
      <c r="M990" s="28" t="n">
        <v>15000</v>
      </c>
      <c r="N990" s="29" t="n">
        <v>46000</v>
      </c>
      <c r="O990" s="29" t="n">
        <v>216000</v>
      </c>
      <c r="P990" s="27" t="n">
        <v>0</v>
      </c>
      <c r="Q990" s="263" t="n">
        <v>45873</v>
      </c>
    </row>
    <row r="991" customFormat="false" ht="15" hidden="false" customHeight="false" outlineLevel="0" collapsed="false">
      <c r="A991" s="24" t="n">
        <v>3145</v>
      </c>
      <c r="B991" s="21" t="s">
        <v>459</v>
      </c>
      <c r="C991" s="21" t="s">
        <v>460</v>
      </c>
      <c r="D991" s="22"/>
      <c r="E991" s="23" t="n">
        <v>45755</v>
      </c>
      <c r="F991" s="23" t="n">
        <v>45855</v>
      </c>
      <c r="G991" s="24" t="n">
        <v>72</v>
      </c>
      <c r="H991" s="25" t="n">
        <v>72</v>
      </c>
      <c r="I991" s="25" t="n">
        <v>0</v>
      </c>
      <c r="J991" s="34" t="s">
        <v>675</v>
      </c>
      <c r="K991" s="30" t="n">
        <v>30000</v>
      </c>
      <c r="L991" s="30" t="n">
        <v>64800</v>
      </c>
      <c r="M991" s="28" t="n">
        <v>4500</v>
      </c>
      <c r="N991" s="29" t="n">
        <v>16800</v>
      </c>
      <c r="O991" s="29" t="n">
        <v>64800</v>
      </c>
      <c r="P991" s="27" t="n">
        <v>0</v>
      </c>
      <c r="Q991" s="263" t="n">
        <v>45873</v>
      </c>
    </row>
    <row r="992" customFormat="false" ht="21.6" hidden="false" customHeight="false" outlineLevel="0" collapsed="false">
      <c r="A992" s="24" t="n">
        <v>3157</v>
      </c>
      <c r="B992" s="21" t="s">
        <v>1199</v>
      </c>
      <c r="C992" s="21"/>
      <c r="D992" s="22"/>
      <c r="E992" s="23" t="n">
        <v>45768</v>
      </c>
      <c r="F992" s="23" t="n">
        <v>45866</v>
      </c>
      <c r="G992" s="24" t="n">
        <v>70</v>
      </c>
      <c r="H992" s="25" t="n">
        <v>70</v>
      </c>
      <c r="I992" s="25" t="n">
        <v>0</v>
      </c>
      <c r="J992" s="26" t="s">
        <v>1143</v>
      </c>
      <c r="K992" s="33" t="n">
        <v>50000</v>
      </c>
      <c r="L992" s="27" t="n">
        <v>108000</v>
      </c>
      <c r="M992" s="47" t="n">
        <v>7714.28571428572</v>
      </c>
      <c r="N992" s="29" t="n">
        <v>27000</v>
      </c>
      <c r="O992" s="29" t="n">
        <v>108000</v>
      </c>
      <c r="P992" s="27" t="n">
        <v>0</v>
      </c>
      <c r="Q992" s="263" t="n">
        <v>45873</v>
      </c>
    </row>
    <row r="993" customFormat="false" ht="15" hidden="false" customHeight="false" outlineLevel="0" collapsed="false">
      <c r="A993" s="24" t="n">
        <v>3132</v>
      </c>
      <c r="B993" s="21" t="s">
        <v>542</v>
      </c>
      <c r="C993" s="21"/>
      <c r="D993" s="22"/>
      <c r="E993" s="23" t="n">
        <v>45746</v>
      </c>
      <c r="F993" s="23" t="n">
        <v>45846</v>
      </c>
      <c r="G993" s="24" t="n">
        <v>72</v>
      </c>
      <c r="H993" s="25" t="n">
        <v>72</v>
      </c>
      <c r="I993" s="25" t="n">
        <v>0</v>
      </c>
      <c r="J993" s="34" t="s">
        <v>188</v>
      </c>
      <c r="K993" s="27" t="n">
        <v>100000</v>
      </c>
      <c r="L993" s="27" t="n">
        <v>216000</v>
      </c>
      <c r="M993" s="45" t="n">
        <v>15000</v>
      </c>
      <c r="N993" s="29" t="n">
        <v>36000</v>
      </c>
      <c r="O993" s="29" t="n">
        <v>216000</v>
      </c>
      <c r="P993" s="27" t="n">
        <v>0</v>
      </c>
      <c r="Q993" s="263" t="n">
        <v>45873</v>
      </c>
    </row>
    <row r="994" customFormat="false" ht="19.4" hidden="false" customHeight="false" outlineLevel="0" collapsed="false">
      <c r="A994" s="24" t="n">
        <v>3134</v>
      </c>
      <c r="B994" s="21" t="s">
        <v>1200</v>
      </c>
      <c r="C994" s="21" t="s">
        <v>361</v>
      </c>
      <c r="D994" s="22"/>
      <c r="E994" s="23" t="n">
        <v>45747</v>
      </c>
      <c r="F994" s="23" t="n">
        <v>45859</v>
      </c>
      <c r="G994" s="24" t="n">
        <v>80</v>
      </c>
      <c r="H994" s="25" t="n">
        <v>80</v>
      </c>
      <c r="I994" s="25" t="n">
        <v>0</v>
      </c>
      <c r="J994" s="26" t="s">
        <v>587</v>
      </c>
      <c r="K994" s="27" t="n">
        <v>100000</v>
      </c>
      <c r="L994" s="27" t="n">
        <v>216000</v>
      </c>
      <c r="M994" s="28" t="n">
        <v>13500</v>
      </c>
      <c r="N994" s="29" t="n">
        <v>54000</v>
      </c>
      <c r="O994" s="29" t="n">
        <v>216000</v>
      </c>
      <c r="P994" s="27" t="n">
        <v>0</v>
      </c>
      <c r="Q994" s="263" t="n">
        <v>45880</v>
      </c>
    </row>
    <row r="995" customFormat="false" ht="15" hidden="false" customHeight="false" outlineLevel="0" collapsed="false">
      <c r="A995" s="20" t="n">
        <v>3285</v>
      </c>
      <c r="B995" s="21" t="s">
        <v>791</v>
      </c>
      <c r="C995" s="21"/>
      <c r="D995" s="22"/>
      <c r="E995" s="23" t="n">
        <v>45850</v>
      </c>
      <c r="F995" s="23" t="n">
        <v>45820</v>
      </c>
      <c r="G995" s="24" t="n">
        <v>20</v>
      </c>
      <c r="H995" s="25" t="e">
        <f aca="false">#VALUE!</f>
        <v>#VALUE!</v>
      </c>
      <c r="I995" s="25" t="e">
        <f aca="false">#VALUE!</f>
        <v>#VALUE!</v>
      </c>
      <c r="J995" s="26" t="s">
        <v>444</v>
      </c>
      <c r="K995" s="27" t="n">
        <v>75000</v>
      </c>
      <c r="L995" s="27" t="n">
        <v>112500</v>
      </c>
      <c r="M995" s="28" t="s">
        <v>184</v>
      </c>
      <c r="N995" s="29" t="n">
        <v>112500</v>
      </c>
      <c r="O995" s="29" t="n">
        <v>112500</v>
      </c>
      <c r="P995" s="27" t="n">
        <v>0</v>
      </c>
      <c r="Q995" s="263" t="n">
        <v>45880</v>
      </c>
    </row>
    <row r="996" customFormat="false" ht="15" hidden="false" customHeight="false" outlineLevel="0" collapsed="false">
      <c r="A996" s="24" t="n">
        <v>3286</v>
      </c>
      <c r="B996" s="21" t="s">
        <v>791</v>
      </c>
      <c r="C996" s="21"/>
      <c r="D996" s="22"/>
      <c r="E996" s="23" t="n">
        <v>45850</v>
      </c>
      <c r="F996" s="23" t="n">
        <v>45820</v>
      </c>
      <c r="G996" s="24" t="n">
        <v>20</v>
      </c>
      <c r="H996" s="25" t="e">
        <f aca="false">#DIV/0!</f>
        <v>#DIV/0!</v>
      </c>
      <c r="I996" s="25" t="e">
        <f aca="false">#DIV/0!</f>
        <v>#DIV/0!</v>
      </c>
      <c r="J996" s="26" t="s">
        <v>444</v>
      </c>
      <c r="K996" s="30" t="n">
        <v>30000</v>
      </c>
      <c r="L996" s="30" t="n">
        <v>45000</v>
      </c>
      <c r="M996" s="28"/>
      <c r="N996" s="29" t="n">
        <v>45000</v>
      </c>
      <c r="O996" s="29" t="n">
        <v>45000</v>
      </c>
      <c r="P996" s="27" t="n">
        <v>0</v>
      </c>
      <c r="Q996" s="263" t="n">
        <v>45880</v>
      </c>
    </row>
    <row r="997" customFormat="false" ht="15" hidden="false" customHeight="false" outlineLevel="0" collapsed="false">
      <c r="A997" s="24" t="n">
        <v>3293</v>
      </c>
      <c r="B997" s="21" t="s">
        <v>445</v>
      </c>
      <c r="C997" s="21"/>
      <c r="D997" s="22"/>
      <c r="E997" s="23" t="n">
        <v>45854</v>
      </c>
      <c r="F997" s="23" t="n">
        <v>45820</v>
      </c>
      <c r="G997" s="24" t="n">
        <v>20</v>
      </c>
      <c r="H997" s="25" t="e">
        <f aca="false">#DIV/0!</f>
        <v>#DIV/0!</v>
      </c>
      <c r="I997" s="25" t="e">
        <f aca="false">#DIV/0!</f>
        <v>#DIV/0!</v>
      </c>
      <c r="J997" s="26" t="s">
        <v>444</v>
      </c>
      <c r="K997" s="27" t="n">
        <v>100000</v>
      </c>
      <c r="L997" s="27" t="n">
        <v>150000</v>
      </c>
      <c r="M997" s="28"/>
      <c r="N997" s="29" t="n">
        <v>150000</v>
      </c>
      <c r="O997" s="29" t="n">
        <v>150000</v>
      </c>
      <c r="P997" s="27" t="n">
        <v>0</v>
      </c>
      <c r="Q997" s="263" t="n">
        <v>45880</v>
      </c>
    </row>
    <row r="998" customFormat="false" ht="35.05" hidden="false" customHeight="false" outlineLevel="0" collapsed="false">
      <c r="A998" s="24" t="n">
        <v>3186</v>
      </c>
      <c r="B998" s="21" t="s">
        <v>446</v>
      </c>
      <c r="C998" s="21" t="s">
        <v>447</v>
      </c>
      <c r="D998" s="22"/>
      <c r="E998" s="23" t="n">
        <v>45785</v>
      </c>
      <c r="F998" s="23" t="n">
        <v>45869</v>
      </c>
      <c r="G998" s="67" t="n">
        <v>60</v>
      </c>
      <c r="H998" s="25" t="n">
        <v>60</v>
      </c>
      <c r="I998" s="25" t="n">
        <v>0</v>
      </c>
      <c r="J998" s="26" t="s">
        <v>1201</v>
      </c>
      <c r="K998" s="30" t="n">
        <v>400000</v>
      </c>
      <c r="L998" s="30" t="n">
        <v>740000</v>
      </c>
      <c r="M998" s="357" t="n">
        <v>61666.6666666667</v>
      </c>
      <c r="N998" s="29" t="n">
        <v>247000</v>
      </c>
      <c r="O998" s="29" t="n">
        <v>740000</v>
      </c>
      <c r="P998" s="27" t="n">
        <v>0</v>
      </c>
      <c r="Q998" s="263" t="n">
        <v>45880</v>
      </c>
    </row>
    <row r="999" customFormat="false" ht="15" hidden="false" customHeight="false" outlineLevel="0" collapsed="false">
      <c r="A999" s="24" t="n">
        <v>3289</v>
      </c>
      <c r="B999" s="22" t="s">
        <v>481</v>
      </c>
      <c r="C999" s="22"/>
      <c r="D999" s="22"/>
      <c r="E999" s="23" t="n">
        <v>45853</v>
      </c>
      <c r="F999" s="23" t="n">
        <v>45359</v>
      </c>
      <c r="G999" s="24" t="n">
        <v>20</v>
      </c>
      <c r="H999" s="25" t="e">
        <f aca="false">#DIV/0!</f>
        <v>#DIV/0!</v>
      </c>
      <c r="I999" s="25" t="e">
        <f aca="false">#DIV/0!</f>
        <v>#DIV/0!</v>
      </c>
      <c r="J999" s="35" t="s">
        <v>681</v>
      </c>
      <c r="K999" s="30" t="n">
        <v>40000</v>
      </c>
      <c r="L999" s="30" t="n">
        <v>60000</v>
      </c>
      <c r="M999" s="28"/>
      <c r="N999" s="29" t="n">
        <v>60000</v>
      </c>
      <c r="O999" s="29" t="n">
        <v>60000</v>
      </c>
      <c r="P999" s="27" t="n">
        <v>0</v>
      </c>
      <c r="Q999" s="263" t="n">
        <v>45880</v>
      </c>
    </row>
    <row r="1000" customFormat="false" ht="15" hidden="false" customHeight="false" outlineLevel="0" collapsed="false">
      <c r="A1000" s="24" t="n">
        <v>3300</v>
      </c>
      <c r="B1000" s="22" t="s">
        <v>481</v>
      </c>
      <c r="C1000" s="22"/>
      <c r="D1000" s="22"/>
      <c r="E1000" s="23" t="n">
        <v>45857</v>
      </c>
      <c r="F1000" s="23" t="n">
        <v>45359</v>
      </c>
      <c r="G1000" s="24" t="n">
        <v>20</v>
      </c>
      <c r="H1000" s="25" t="e">
        <f aca="false">#DIV/0!</f>
        <v>#DIV/0!</v>
      </c>
      <c r="I1000" s="25" t="e">
        <f aca="false">#DIV/0!</f>
        <v>#DIV/0!</v>
      </c>
      <c r="J1000" s="35" t="s">
        <v>681</v>
      </c>
      <c r="K1000" s="27" t="n">
        <v>40000</v>
      </c>
      <c r="L1000" s="27" t="n">
        <v>60000</v>
      </c>
      <c r="M1000" s="28"/>
      <c r="N1000" s="29" t="n">
        <v>60000</v>
      </c>
      <c r="O1000" s="29" t="n">
        <v>60000</v>
      </c>
      <c r="P1000" s="27" t="n">
        <v>0</v>
      </c>
      <c r="Q1000" s="263" t="n">
        <v>45880</v>
      </c>
    </row>
    <row r="1001" customFormat="false" ht="15" hidden="false" customHeight="false" outlineLevel="0" collapsed="false">
      <c r="A1001" s="24" t="n">
        <v>3306</v>
      </c>
      <c r="B1001" s="22" t="s">
        <v>481</v>
      </c>
      <c r="C1001" s="22"/>
      <c r="D1001" s="22"/>
      <c r="E1001" s="23" t="n">
        <v>45860</v>
      </c>
      <c r="F1001" s="23" t="n">
        <v>45359</v>
      </c>
      <c r="G1001" s="24" t="n">
        <v>20</v>
      </c>
      <c r="H1001" s="25" t="e">
        <f aca="false">#DIV/0!</f>
        <v>#DIV/0!</v>
      </c>
      <c r="I1001" s="25" t="e">
        <f aca="false">#DIV/0!</f>
        <v>#DIV/0!</v>
      </c>
      <c r="J1001" s="35" t="s">
        <v>681</v>
      </c>
      <c r="K1001" s="27" t="n">
        <v>10000</v>
      </c>
      <c r="L1001" s="27" t="n">
        <v>15000</v>
      </c>
      <c r="M1001" s="28"/>
      <c r="N1001" s="29" t="n">
        <v>15000</v>
      </c>
      <c r="O1001" s="29" t="n">
        <v>15000</v>
      </c>
      <c r="P1001" s="27" t="n">
        <v>0</v>
      </c>
      <c r="Q1001" s="263" t="n">
        <v>45880</v>
      </c>
    </row>
    <row r="1002" customFormat="false" ht="15" hidden="false" customHeight="false" outlineLevel="0" collapsed="false">
      <c r="A1002" s="24" t="n">
        <v>3311</v>
      </c>
      <c r="B1002" s="22" t="s">
        <v>481</v>
      </c>
      <c r="C1002" s="22"/>
      <c r="D1002" s="22"/>
      <c r="E1002" s="23" t="n">
        <v>45861</v>
      </c>
      <c r="F1002" s="23" t="n">
        <v>45359</v>
      </c>
      <c r="G1002" s="24" t="n">
        <v>20</v>
      </c>
      <c r="H1002" s="25" t="e">
        <f aca="false">#DIV/0!</f>
        <v>#DIV/0!</v>
      </c>
      <c r="I1002" s="25" t="e">
        <f aca="false">#DIV/0!</f>
        <v>#DIV/0!</v>
      </c>
      <c r="J1002" s="35" t="s">
        <v>681</v>
      </c>
      <c r="K1002" s="27" t="n">
        <v>10000</v>
      </c>
      <c r="L1002" s="27" t="n">
        <v>15000</v>
      </c>
      <c r="M1002" s="28"/>
      <c r="N1002" s="29" t="n">
        <v>15000</v>
      </c>
      <c r="O1002" s="29" t="n">
        <v>15000</v>
      </c>
      <c r="P1002" s="27" t="n">
        <v>0</v>
      </c>
      <c r="Q1002" s="263" t="n">
        <v>45880</v>
      </c>
    </row>
    <row r="1003" customFormat="false" ht="15" hidden="false" customHeight="false" outlineLevel="0" collapsed="false">
      <c r="A1003" s="24" t="n">
        <v>3326</v>
      </c>
      <c r="B1003" s="22" t="s">
        <v>481</v>
      </c>
      <c r="C1003" s="22"/>
      <c r="D1003" s="22"/>
      <c r="E1003" s="23" t="n">
        <v>45868</v>
      </c>
      <c r="F1003" s="23" t="n">
        <v>45359</v>
      </c>
      <c r="G1003" s="24" t="n">
        <v>20</v>
      </c>
      <c r="H1003" s="25" t="e">
        <f aca="false">#DIV/0!</f>
        <v>#DIV/0!</v>
      </c>
      <c r="I1003" s="25" t="e">
        <f aca="false">#DIV/0!</f>
        <v>#DIV/0!</v>
      </c>
      <c r="J1003" s="35" t="s">
        <v>681</v>
      </c>
      <c r="K1003" s="27" t="n">
        <v>10000</v>
      </c>
      <c r="L1003" s="27" t="n">
        <v>15000</v>
      </c>
      <c r="M1003" s="28"/>
      <c r="N1003" s="29" t="n">
        <v>15000</v>
      </c>
      <c r="O1003" s="29" t="n">
        <v>15000</v>
      </c>
      <c r="P1003" s="27" t="n">
        <v>0</v>
      </c>
      <c r="Q1003" s="263" t="n">
        <v>45880</v>
      </c>
    </row>
    <row r="1004" customFormat="false" ht="15" hidden="false" customHeight="false" outlineLevel="0" collapsed="false">
      <c r="A1004" s="61" t="n">
        <v>3336</v>
      </c>
      <c r="B1004" s="22" t="s">
        <v>481</v>
      </c>
      <c r="C1004" s="22"/>
      <c r="D1004" s="22"/>
      <c r="E1004" s="23" t="n">
        <v>45877</v>
      </c>
      <c r="F1004" s="23" t="n">
        <v>45884</v>
      </c>
      <c r="G1004" s="24" t="n">
        <v>5</v>
      </c>
      <c r="H1004" s="25" t="e">
        <f aca="false">#DIV/0!</f>
        <v>#DIV/0!</v>
      </c>
      <c r="I1004" s="25" t="e">
        <f aca="false">#DIV/0!</f>
        <v>#DIV/0!</v>
      </c>
      <c r="J1004" s="35" t="s">
        <v>681</v>
      </c>
      <c r="K1004" s="27" t="n">
        <v>10000</v>
      </c>
      <c r="L1004" s="27" t="n">
        <v>15000</v>
      </c>
      <c r="M1004" s="28"/>
      <c r="N1004" s="29" t="n">
        <v>15000</v>
      </c>
      <c r="O1004" s="29" t="n">
        <v>15000</v>
      </c>
      <c r="P1004" s="27" t="n">
        <v>0</v>
      </c>
      <c r="Q1004" s="263" t="n">
        <v>45880</v>
      </c>
    </row>
    <row r="1005" customFormat="false" ht="15" hidden="false" customHeight="false" outlineLevel="0" collapsed="false">
      <c r="A1005" s="61" t="n">
        <v>3350</v>
      </c>
      <c r="B1005" s="22" t="s">
        <v>481</v>
      </c>
      <c r="C1005" s="21"/>
      <c r="D1005" s="22"/>
      <c r="E1005" s="23" t="n">
        <v>45884</v>
      </c>
      <c r="F1005" s="23" t="n">
        <v>45891</v>
      </c>
      <c r="G1005" s="24" t="n">
        <v>5</v>
      </c>
      <c r="H1005" s="25" t="e">
        <f aca="false">#VALUE!</f>
        <v>#VALUE!</v>
      </c>
      <c r="I1005" s="25" t="e">
        <f aca="false">#VALUE!</f>
        <v>#VALUE!</v>
      </c>
      <c r="J1005" s="26" t="s">
        <v>444</v>
      </c>
      <c r="K1005" s="30" t="n">
        <v>10000</v>
      </c>
      <c r="L1005" s="30" t="n">
        <v>15500</v>
      </c>
      <c r="M1005" s="28" t="s">
        <v>184</v>
      </c>
      <c r="N1005" s="29" t="n">
        <v>15500</v>
      </c>
      <c r="O1005" s="29" t="n">
        <v>15500</v>
      </c>
      <c r="P1005" s="27" t="n">
        <v>0</v>
      </c>
      <c r="Q1005" s="263" t="n">
        <v>45880</v>
      </c>
    </row>
    <row r="1006" customFormat="false" ht="21.6" hidden="false" customHeight="false" outlineLevel="0" collapsed="false">
      <c r="A1006" s="24" t="n">
        <v>3182</v>
      </c>
      <c r="B1006" s="21" t="s">
        <v>222</v>
      </c>
      <c r="C1006" s="21" t="s">
        <v>223</v>
      </c>
      <c r="D1006" s="22"/>
      <c r="E1006" s="23" t="n">
        <v>45785</v>
      </c>
      <c r="F1006" s="23" t="n">
        <v>45897</v>
      </c>
      <c r="G1006" s="24" t="n">
        <v>80</v>
      </c>
      <c r="H1006" s="25" t="n">
        <v>80</v>
      </c>
      <c r="I1006" s="25" t="n">
        <v>0</v>
      </c>
      <c r="J1006" s="26" t="s">
        <v>1129</v>
      </c>
      <c r="K1006" s="30" t="n">
        <v>200000</v>
      </c>
      <c r="L1006" s="30" t="n">
        <v>432000</v>
      </c>
      <c r="M1006" s="28" t="n">
        <v>27000</v>
      </c>
      <c r="N1006" s="29" t="n">
        <v>100000</v>
      </c>
      <c r="O1006" s="29" t="n">
        <v>432000</v>
      </c>
      <c r="P1006" s="27" t="n">
        <v>0</v>
      </c>
      <c r="Q1006" s="263" t="n">
        <v>45887</v>
      </c>
    </row>
    <row r="1007" customFormat="false" ht="15" hidden="false" customHeight="false" outlineLevel="0" collapsed="false">
      <c r="A1007" s="20" t="n">
        <v>3181</v>
      </c>
      <c r="B1007" s="21" t="s">
        <v>291</v>
      </c>
      <c r="C1007" s="21" t="s">
        <v>292</v>
      </c>
      <c r="D1007" s="22"/>
      <c r="E1007" s="23" t="n">
        <v>45783</v>
      </c>
      <c r="F1007" s="23" t="n">
        <v>45895</v>
      </c>
      <c r="G1007" s="24" t="n">
        <v>80</v>
      </c>
      <c r="H1007" s="25" t="n">
        <v>80</v>
      </c>
      <c r="I1007" s="25" t="n">
        <v>0</v>
      </c>
      <c r="J1007" s="26" t="s">
        <v>296</v>
      </c>
      <c r="K1007" s="27" t="n">
        <v>20000</v>
      </c>
      <c r="L1007" s="27" t="n">
        <v>43200</v>
      </c>
      <c r="M1007" s="28" t="n">
        <v>2700</v>
      </c>
      <c r="N1007" s="29" t="n">
        <v>10800</v>
      </c>
      <c r="O1007" s="29" t="n">
        <v>43200</v>
      </c>
      <c r="P1007" s="30" t="n">
        <v>0</v>
      </c>
      <c r="Q1007" s="263" t="n">
        <v>45887</v>
      </c>
    </row>
    <row r="1008" customFormat="false" ht="15" hidden="false" customHeight="false" outlineLevel="0" collapsed="false">
      <c r="A1008" s="20" t="n">
        <v>3195</v>
      </c>
      <c r="B1008" s="21" t="s">
        <v>291</v>
      </c>
      <c r="C1008" s="21" t="s">
        <v>292</v>
      </c>
      <c r="D1008" s="22"/>
      <c r="E1008" s="23" t="n">
        <v>45792</v>
      </c>
      <c r="F1008" s="23" t="n">
        <v>45904</v>
      </c>
      <c r="G1008" s="24" t="n">
        <v>80</v>
      </c>
      <c r="H1008" s="25" t="n">
        <v>80</v>
      </c>
      <c r="I1008" s="25" t="n">
        <v>0</v>
      </c>
      <c r="J1008" s="26" t="s">
        <v>296</v>
      </c>
      <c r="K1008" s="27" t="n">
        <v>20000</v>
      </c>
      <c r="L1008" s="27" t="n">
        <v>43200</v>
      </c>
      <c r="M1008" s="28" t="n">
        <v>2700</v>
      </c>
      <c r="N1008" s="29" t="n">
        <v>10800</v>
      </c>
      <c r="O1008" s="29" t="n">
        <v>43200</v>
      </c>
      <c r="P1008" s="30" t="n">
        <v>0</v>
      </c>
      <c r="Q1008" s="263" t="n">
        <v>45887</v>
      </c>
    </row>
    <row r="1009" customFormat="false" ht="15" hidden="false" customHeight="false" outlineLevel="0" collapsed="false">
      <c r="A1009" s="20" t="n">
        <v>3156</v>
      </c>
      <c r="B1009" s="21" t="s">
        <v>1103</v>
      </c>
      <c r="C1009" s="21"/>
      <c r="D1009" s="22"/>
      <c r="E1009" s="23" t="n">
        <v>45766</v>
      </c>
      <c r="F1009" s="23" t="n">
        <v>45863</v>
      </c>
      <c r="G1009" s="24" t="n">
        <v>70</v>
      </c>
      <c r="H1009" s="25" t="n">
        <v>70.0583279325988</v>
      </c>
      <c r="I1009" s="25" t="n">
        <v>-0.0583279325988286</v>
      </c>
      <c r="J1009" s="46" t="s">
        <v>1202</v>
      </c>
      <c r="K1009" s="27" t="n">
        <v>50000</v>
      </c>
      <c r="L1009" s="27" t="n">
        <v>108010</v>
      </c>
      <c r="M1009" s="45" t="n">
        <v>7715</v>
      </c>
      <c r="N1009" s="29" t="n">
        <v>16500</v>
      </c>
      <c r="O1009" s="29" t="n">
        <v>108100</v>
      </c>
      <c r="P1009" s="30" t="n">
        <v>-90</v>
      </c>
      <c r="Q1009" s="263" t="n">
        <v>45887</v>
      </c>
    </row>
    <row r="1010" customFormat="false" ht="15" hidden="false" customHeight="false" outlineLevel="0" collapsed="false">
      <c r="A1010" s="20" t="n">
        <v>3143</v>
      </c>
      <c r="B1010" s="21" t="s">
        <v>357</v>
      </c>
      <c r="C1010" s="21" t="s">
        <v>358</v>
      </c>
      <c r="D1010" s="22" t="n">
        <v>13589728</v>
      </c>
      <c r="E1010" s="23" t="n">
        <v>45754</v>
      </c>
      <c r="F1010" s="23" t="n">
        <v>45866</v>
      </c>
      <c r="G1010" s="24" t="n">
        <v>80</v>
      </c>
      <c r="H1010" s="25" t="n">
        <v>80</v>
      </c>
      <c r="I1010" s="25" t="n">
        <v>0</v>
      </c>
      <c r="J1010" s="26" t="s">
        <v>1143</v>
      </c>
      <c r="K1010" s="33" t="n">
        <v>50000</v>
      </c>
      <c r="L1010" s="27" t="n">
        <v>108000</v>
      </c>
      <c r="M1010" s="28" t="n">
        <v>6750</v>
      </c>
      <c r="N1010" s="29" t="n">
        <v>27000</v>
      </c>
      <c r="O1010" s="29" t="n">
        <v>108000</v>
      </c>
      <c r="P1010" s="30" t="n">
        <v>0</v>
      </c>
      <c r="Q1010" s="263" t="n">
        <v>45887</v>
      </c>
    </row>
    <row r="1011" customFormat="false" ht="17.9" hidden="false" customHeight="false" outlineLevel="0" collapsed="false">
      <c r="A1011" s="52" t="n">
        <v>3338</v>
      </c>
      <c r="B1011" s="22" t="s">
        <v>363</v>
      </c>
      <c r="C1011" s="22"/>
      <c r="D1011" s="22"/>
      <c r="E1011" s="23" t="n">
        <v>45877</v>
      </c>
      <c r="F1011" s="23" t="n">
        <v>45777</v>
      </c>
      <c r="G1011" s="24" t="n">
        <v>5</v>
      </c>
      <c r="H1011" s="25" t="e">
        <f aca="false">#DIV/0!</f>
        <v>#DIV/0!</v>
      </c>
      <c r="I1011" s="25" t="e">
        <f aca="false">#DIV/0!</f>
        <v>#DIV/0!</v>
      </c>
      <c r="J1011" s="22" t="s">
        <v>199</v>
      </c>
      <c r="K1011" s="30" t="n">
        <v>100000</v>
      </c>
      <c r="L1011" s="30" t="n">
        <v>130000</v>
      </c>
      <c r="M1011" s="28"/>
      <c r="N1011" s="29" t="n">
        <v>130000</v>
      </c>
      <c r="O1011" s="29" t="n">
        <v>130000</v>
      </c>
      <c r="P1011" s="27" t="n">
        <v>0</v>
      </c>
      <c r="Q1011" s="263" t="n">
        <v>45887</v>
      </c>
    </row>
    <row r="1012" customFormat="false" ht="17.9" hidden="false" customHeight="false" outlineLevel="0" collapsed="false">
      <c r="A1012" s="52" t="n">
        <v>3339</v>
      </c>
      <c r="B1012" s="22" t="s">
        <v>363</v>
      </c>
      <c r="C1012" s="22"/>
      <c r="D1012" s="22"/>
      <c r="E1012" s="23" t="n">
        <v>45877</v>
      </c>
      <c r="F1012" s="23" t="n">
        <v>45777</v>
      </c>
      <c r="G1012" s="24" t="n">
        <v>5</v>
      </c>
      <c r="H1012" s="25" t="e">
        <f aca="false">#DIV/0!</f>
        <v>#DIV/0!</v>
      </c>
      <c r="I1012" s="25" t="e">
        <f aca="false">#DIV/0!</f>
        <v>#DIV/0!</v>
      </c>
      <c r="J1012" s="22" t="s">
        <v>199</v>
      </c>
      <c r="K1012" s="27" t="n">
        <v>130000</v>
      </c>
      <c r="L1012" s="27" t="n">
        <v>169000</v>
      </c>
      <c r="M1012" s="28"/>
      <c r="N1012" s="29" t="n">
        <v>169000</v>
      </c>
      <c r="O1012" s="29" t="n">
        <v>169000</v>
      </c>
      <c r="P1012" s="27" t="n">
        <v>0</v>
      </c>
      <c r="Q1012" s="263" t="n">
        <v>45887</v>
      </c>
    </row>
    <row r="1013" customFormat="false" ht="21.6" hidden="false" customHeight="false" outlineLevel="0" collapsed="false">
      <c r="A1013" s="272" t="n">
        <v>2979</v>
      </c>
      <c r="B1013" s="21" t="s">
        <v>382</v>
      </c>
      <c r="C1013" s="21" t="s">
        <v>383</v>
      </c>
      <c r="D1013" s="22"/>
      <c r="E1013" s="23" t="n">
        <v>45656</v>
      </c>
      <c r="F1013" s="23" t="n">
        <v>45756</v>
      </c>
      <c r="G1013" s="24" t="n">
        <v>72</v>
      </c>
      <c r="H1013" s="25" t="n">
        <v>72.0833333333333</v>
      </c>
      <c r="I1013" s="25" t="n">
        <v>-0.0833333333333286</v>
      </c>
      <c r="J1013" s="34" t="s">
        <v>679</v>
      </c>
      <c r="K1013" s="58" t="n">
        <v>20000</v>
      </c>
      <c r="L1013" s="30" t="n">
        <v>43200</v>
      </c>
      <c r="M1013" s="28" t="n">
        <v>3000</v>
      </c>
      <c r="N1013" s="29" t="n">
        <v>8000</v>
      </c>
      <c r="O1013" s="29" t="n">
        <v>43250</v>
      </c>
      <c r="P1013" s="27" t="n">
        <v>-50</v>
      </c>
      <c r="Q1013" s="263" t="n">
        <v>45887</v>
      </c>
    </row>
    <row r="1014" customFormat="false" ht="21.6" hidden="false" customHeight="false" outlineLevel="0" collapsed="false">
      <c r="A1014" s="20" t="n">
        <v>3137</v>
      </c>
      <c r="B1014" s="21" t="s">
        <v>502</v>
      </c>
      <c r="C1014" s="21" t="s">
        <v>503</v>
      </c>
      <c r="D1014" s="48"/>
      <c r="E1014" s="23" t="n">
        <v>45749</v>
      </c>
      <c r="F1014" s="23" t="n">
        <v>45847</v>
      </c>
      <c r="G1014" s="24" t="n">
        <v>70</v>
      </c>
      <c r="H1014" s="25" t="n">
        <v>70.001512345679</v>
      </c>
      <c r="I1014" s="25" t="n">
        <v>-0.00151234567901781</v>
      </c>
      <c r="J1014" s="46" t="s">
        <v>1203</v>
      </c>
      <c r="K1014" s="27" t="n">
        <v>300000</v>
      </c>
      <c r="L1014" s="27" t="n">
        <v>648000</v>
      </c>
      <c r="M1014" s="28" t="n">
        <v>46285.7142857143</v>
      </c>
      <c r="N1014" s="29" t="n">
        <v>92500</v>
      </c>
      <c r="O1014" s="29" t="n">
        <v>648014</v>
      </c>
      <c r="P1014" s="27" t="n">
        <v>-14</v>
      </c>
      <c r="Q1014" s="263" t="n">
        <v>45887</v>
      </c>
    </row>
    <row r="1015" customFormat="false" ht="15" hidden="false" customHeight="false" outlineLevel="0" collapsed="false">
      <c r="A1015" s="24" t="n">
        <v>3171</v>
      </c>
      <c r="B1015" s="21" t="s">
        <v>516</v>
      </c>
      <c r="C1015" s="21" t="s">
        <v>517</v>
      </c>
      <c r="D1015" s="22"/>
      <c r="E1015" s="23" t="n">
        <v>45775</v>
      </c>
      <c r="F1015" s="23" t="n">
        <v>45875</v>
      </c>
      <c r="G1015" s="24" t="n">
        <v>72</v>
      </c>
      <c r="H1015" s="25" t="n">
        <v>77.5</v>
      </c>
      <c r="I1015" s="25" t="n">
        <v>-5.5</v>
      </c>
      <c r="J1015" s="34" t="s">
        <v>190</v>
      </c>
      <c r="K1015" s="33" t="n">
        <v>200000</v>
      </c>
      <c r="L1015" s="27" t="n">
        <v>432000</v>
      </c>
      <c r="M1015" s="28" t="n">
        <v>30000</v>
      </c>
      <c r="N1015" s="29" t="n">
        <v>15000</v>
      </c>
      <c r="O1015" s="29" t="n">
        <v>465000</v>
      </c>
      <c r="P1015" s="27" t="n">
        <v>-33000</v>
      </c>
      <c r="Q1015" s="263" t="n">
        <v>45887</v>
      </c>
    </row>
    <row r="1016" customFormat="false" ht="15" hidden="false" customHeight="false" outlineLevel="0" collapsed="false">
      <c r="A1016" s="24" t="n">
        <v>3209</v>
      </c>
      <c r="B1016" s="21" t="s">
        <v>516</v>
      </c>
      <c r="C1016" s="21" t="s">
        <v>517</v>
      </c>
      <c r="D1016" s="22"/>
      <c r="E1016" s="23" t="n">
        <v>45799</v>
      </c>
      <c r="F1016" s="23" t="n">
        <v>45901</v>
      </c>
      <c r="G1016" s="24" t="n">
        <v>72</v>
      </c>
      <c r="H1016" s="25" t="n">
        <v>72</v>
      </c>
      <c r="I1016" s="25" t="n">
        <v>0</v>
      </c>
      <c r="J1016" s="34" t="s">
        <v>188</v>
      </c>
      <c r="K1016" s="27" t="n">
        <v>100000</v>
      </c>
      <c r="L1016" s="27" t="n">
        <v>216000</v>
      </c>
      <c r="M1016" s="45" t="n">
        <v>15000</v>
      </c>
      <c r="N1016" s="29" t="n">
        <v>51000</v>
      </c>
      <c r="O1016" s="29" t="n">
        <v>216000</v>
      </c>
      <c r="P1016" s="27" t="n">
        <v>0</v>
      </c>
      <c r="Q1016" s="263" t="n">
        <v>45887</v>
      </c>
    </row>
    <row r="1017" customFormat="false" ht="15" hidden="false" customHeight="false" outlineLevel="0" collapsed="false">
      <c r="A1017" s="24" t="n">
        <v>3319</v>
      </c>
      <c r="B1017" s="21" t="s">
        <v>516</v>
      </c>
      <c r="C1017" s="21" t="s">
        <v>517</v>
      </c>
      <c r="D1017" s="22"/>
      <c r="E1017" s="23" t="n">
        <v>45864</v>
      </c>
      <c r="F1017" s="23" t="n">
        <v>45889</v>
      </c>
      <c r="G1017" s="24" t="n">
        <v>18</v>
      </c>
      <c r="H1017" s="25" t="e">
        <f aca="false">#DIV/0!</f>
        <v>#DIV/0!</v>
      </c>
      <c r="I1017" s="25" t="e">
        <f aca="false">#DIV/0!</f>
        <v>#DIV/0!</v>
      </c>
      <c r="J1017" s="26" t="s">
        <v>199</v>
      </c>
      <c r="K1017" s="27" t="n">
        <v>250000</v>
      </c>
      <c r="L1017" s="27" t="n">
        <v>350000</v>
      </c>
      <c r="M1017" s="28"/>
      <c r="N1017" s="29" t="n">
        <v>350000</v>
      </c>
      <c r="O1017" s="29" t="n">
        <v>350000</v>
      </c>
      <c r="P1017" s="27" t="n">
        <v>0</v>
      </c>
      <c r="Q1017" s="263" t="n">
        <v>45887</v>
      </c>
    </row>
    <row r="1018" customFormat="false" ht="15" hidden="false" customHeight="false" outlineLevel="0" collapsed="false">
      <c r="A1018" s="24" t="n">
        <v>3215</v>
      </c>
      <c r="B1018" s="21" t="s">
        <v>540</v>
      </c>
      <c r="C1018" s="21"/>
      <c r="D1018" s="48"/>
      <c r="E1018" s="23" t="n">
        <v>45803</v>
      </c>
      <c r="F1018" s="23" t="n">
        <v>45901</v>
      </c>
      <c r="G1018" s="24" t="n">
        <v>70</v>
      </c>
      <c r="H1018" s="25" t="n">
        <v>70</v>
      </c>
      <c r="I1018" s="25" t="n">
        <v>0</v>
      </c>
      <c r="J1018" s="74" t="s">
        <v>541</v>
      </c>
      <c r="K1018" s="27" t="n">
        <v>100000</v>
      </c>
      <c r="L1018" s="27" t="n">
        <v>217000</v>
      </c>
      <c r="M1018" s="28" t="n">
        <v>15500</v>
      </c>
      <c r="N1018" s="29" t="n">
        <v>93000</v>
      </c>
      <c r="O1018" s="29" t="n">
        <v>217000</v>
      </c>
      <c r="P1018" s="27" t="n">
        <v>0</v>
      </c>
      <c r="Q1018" s="263" t="n">
        <v>45887</v>
      </c>
    </row>
    <row r="1019" customFormat="false" ht="15" hidden="false" customHeight="false" outlineLevel="0" collapsed="false">
      <c r="A1019" s="24" t="n">
        <v>3218</v>
      </c>
      <c r="B1019" s="21" t="s">
        <v>200</v>
      </c>
      <c r="C1019" s="21" t="s">
        <v>201</v>
      </c>
      <c r="D1019" s="22"/>
      <c r="E1019" s="23" t="n">
        <v>45805</v>
      </c>
      <c r="F1019" s="23" t="n">
        <v>45905</v>
      </c>
      <c r="G1019" s="24" t="n">
        <v>72</v>
      </c>
      <c r="H1019" s="25" t="n">
        <v>72</v>
      </c>
      <c r="I1019" s="25" t="n">
        <v>0</v>
      </c>
      <c r="J1019" s="34" t="s">
        <v>190</v>
      </c>
      <c r="K1019" s="27" t="n">
        <v>200000</v>
      </c>
      <c r="L1019" s="27" t="n">
        <v>432000</v>
      </c>
      <c r="M1019" s="28" t="n">
        <v>30000</v>
      </c>
      <c r="N1019" s="29" t="n">
        <v>154000</v>
      </c>
      <c r="O1019" s="29" t="n">
        <v>432000</v>
      </c>
      <c r="P1019" s="27" t="n">
        <v>0</v>
      </c>
      <c r="Q1019" s="263" t="n">
        <v>45894</v>
      </c>
    </row>
    <row r="1020" customFormat="false" ht="15" hidden="false" customHeight="false" outlineLevel="0" collapsed="false">
      <c r="A1020" s="20" t="n">
        <v>3225</v>
      </c>
      <c r="B1020" s="21" t="s">
        <v>1204</v>
      </c>
      <c r="C1020" s="21" t="s">
        <v>207</v>
      </c>
      <c r="D1020" s="22"/>
      <c r="E1020" s="23" t="n">
        <v>45808</v>
      </c>
      <c r="F1020" s="23" t="n">
        <v>45909</v>
      </c>
      <c r="G1020" s="24" t="n">
        <v>72</v>
      </c>
      <c r="H1020" s="25" t="n">
        <v>72</v>
      </c>
      <c r="I1020" s="25" t="n">
        <v>0</v>
      </c>
      <c r="J1020" s="34" t="s">
        <v>720</v>
      </c>
      <c r="K1020" s="27" t="n">
        <v>60000</v>
      </c>
      <c r="L1020" s="27" t="n">
        <v>129600</v>
      </c>
      <c r="M1020" s="28" t="n">
        <v>9000</v>
      </c>
      <c r="N1020" s="29" t="n">
        <v>6600</v>
      </c>
      <c r="O1020" s="29" t="n">
        <v>129600</v>
      </c>
      <c r="P1020" s="30" t="n">
        <v>0</v>
      </c>
      <c r="Q1020" s="263" t="n">
        <v>45894</v>
      </c>
    </row>
    <row r="1021" customFormat="false" ht="15" hidden="false" customHeight="false" outlineLevel="0" collapsed="false">
      <c r="A1021" s="20" t="n">
        <v>3190</v>
      </c>
      <c r="B1021" s="21" t="s">
        <v>232</v>
      </c>
      <c r="C1021" s="21" t="s">
        <v>233</v>
      </c>
      <c r="D1021" s="22"/>
      <c r="E1021" s="23" t="n">
        <v>45790</v>
      </c>
      <c r="F1021" s="23" t="n">
        <v>45890</v>
      </c>
      <c r="G1021" s="24" t="n">
        <v>72</v>
      </c>
      <c r="H1021" s="25" t="n">
        <v>72</v>
      </c>
      <c r="I1021" s="25" t="n">
        <v>0</v>
      </c>
      <c r="J1021" s="34" t="s">
        <v>190</v>
      </c>
      <c r="K1021" s="50" t="n">
        <v>200000</v>
      </c>
      <c r="L1021" s="27" t="n">
        <v>432000</v>
      </c>
      <c r="M1021" s="28" t="n">
        <v>30000</v>
      </c>
      <c r="N1021" s="29" t="n">
        <v>22000</v>
      </c>
      <c r="O1021" s="29" t="n">
        <v>432000</v>
      </c>
      <c r="P1021" s="30" t="n">
        <v>0</v>
      </c>
      <c r="Q1021" s="263" t="n">
        <v>45894</v>
      </c>
    </row>
    <row r="1022" customFormat="false" ht="28.35" hidden="false" customHeight="false" outlineLevel="0" collapsed="false">
      <c r="A1022" s="20" t="n">
        <v>2717</v>
      </c>
      <c r="B1022" s="21" t="s">
        <v>388</v>
      </c>
      <c r="C1022" s="21" t="s">
        <v>389</v>
      </c>
      <c r="D1022" s="22"/>
      <c r="E1022" s="23" t="n">
        <v>45490</v>
      </c>
      <c r="F1022" s="23" t="n">
        <v>45658</v>
      </c>
      <c r="G1022" s="24" t="n">
        <v>120</v>
      </c>
      <c r="H1022" s="25" t="n">
        <v>133.036363636364</v>
      </c>
      <c r="I1022" s="25" t="n">
        <v>-13.0363636363636</v>
      </c>
      <c r="J1022" s="26" t="s">
        <v>1205</v>
      </c>
      <c r="K1022" s="27" t="n">
        <v>150000</v>
      </c>
      <c r="L1022" s="27" t="n">
        <v>396000</v>
      </c>
      <c r="M1022" s="28" t="n">
        <v>16500</v>
      </c>
      <c r="N1022" s="29" t="n">
        <v>40000</v>
      </c>
      <c r="O1022" s="29" t="n">
        <v>439020</v>
      </c>
      <c r="P1022" s="30" t="n">
        <v>-43020</v>
      </c>
      <c r="Q1022" s="263" t="n">
        <v>45894</v>
      </c>
    </row>
    <row r="1023" customFormat="false" ht="17.9" hidden="false" customHeight="false" outlineLevel="0" collapsed="false">
      <c r="A1023" s="52" t="n">
        <v>3366</v>
      </c>
      <c r="B1023" s="22" t="s">
        <v>363</v>
      </c>
      <c r="C1023" s="22"/>
      <c r="D1023" s="22"/>
      <c r="E1023" s="23" t="n">
        <v>45894</v>
      </c>
      <c r="F1023" s="23" t="n">
        <v>45777</v>
      </c>
      <c r="G1023" s="24" t="n">
        <v>5</v>
      </c>
      <c r="H1023" s="25" t="e">
        <f aca="false">#DIV/0!</f>
        <v>#DIV/0!</v>
      </c>
      <c r="I1023" s="25" t="e">
        <f aca="false">#DIV/0!</f>
        <v>#DIV/0!</v>
      </c>
      <c r="J1023" s="22" t="s">
        <v>199</v>
      </c>
      <c r="K1023" s="58" t="n">
        <v>300000</v>
      </c>
      <c r="L1023" s="30" t="n">
        <v>390000</v>
      </c>
      <c r="M1023" s="28"/>
      <c r="N1023" s="29" t="n">
        <v>390000</v>
      </c>
      <c r="O1023" s="29" t="n">
        <v>390000</v>
      </c>
      <c r="P1023" s="27" t="n">
        <v>0</v>
      </c>
      <c r="Q1023" s="263" t="n">
        <v>45894</v>
      </c>
    </row>
    <row r="1024" customFormat="false" ht="21.6" hidden="false" customHeight="false" outlineLevel="0" collapsed="false">
      <c r="A1024" s="24" t="n">
        <v>3254</v>
      </c>
      <c r="B1024" s="21" t="s">
        <v>212</v>
      </c>
      <c r="C1024" s="21" t="s">
        <v>213</v>
      </c>
      <c r="D1024" s="22" t="n">
        <v>27252034574</v>
      </c>
      <c r="E1024" s="23" t="n">
        <v>45828</v>
      </c>
      <c r="F1024" s="23" t="n">
        <v>45884</v>
      </c>
      <c r="G1024" s="24" t="n">
        <v>40</v>
      </c>
      <c r="H1024" s="25" t="n">
        <v>40</v>
      </c>
      <c r="I1024" s="25" t="n">
        <v>0</v>
      </c>
      <c r="J1024" s="34" t="s">
        <v>1206</v>
      </c>
      <c r="K1024" s="27" t="n">
        <v>100000</v>
      </c>
      <c r="L1024" s="27" t="n">
        <v>180000</v>
      </c>
      <c r="M1024" s="28" t="n">
        <v>22500</v>
      </c>
      <c r="N1024" s="29" t="n">
        <v>22500</v>
      </c>
      <c r="O1024" s="29" t="n">
        <v>180000</v>
      </c>
      <c r="P1024" s="27" t="n">
        <v>0</v>
      </c>
      <c r="Q1024" s="263" t="n">
        <v>45901</v>
      </c>
    </row>
    <row r="1025" customFormat="false" ht="28.35" hidden="false" customHeight="false" outlineLevel="0" collapsed="false">
      <c r="A1025" s="20" t="n">
        <v>3365</v>
      </c>
      <c r="B1025" s="21" t="s">
        <v>216</v>
      </c>
      <c r="C1025" s="21" t="s">
        <v>217</v>
      </c>
      <c r="D1025" s="22" t="s">
        <v>218</v>
      </c>
      <c r="E1025" s="23" t="n">
        <v>45892</v>
      </c>
      <c r="F1025" s="23" t="n">
        <v>45902</v>
      </c>
      <c r="G1025" s="24" t="n">
        <v>7</v>
      </c>
      <c r="H1025" s="25" t="e">
        <f aca="false">#DIV/0!</f>
        <v>#DIV/0!</v>
      </c>
      <c r="I1025" s="25" t="e">
        <f aca="false">#DIV/0!</f>
        <v>#DIV/0!</v>
      </c>
      <c r="J1025" s="26" t="s">
        <v>1207</v>
      </c>
      <c r="K1025" s="27" t="n">
        <v>50000</v>
      </c>
      <c r="L1025" s="27" t="n">
        <v>70000</v>
      </c>
      <c r="M1025" s="28"/>
      <c r="N1025" s="29" t="n">
        <v>70000</v>
      </c>
      <c r="O1025" s="29" t="n">
        <v>70000</v>
      </c>
      <c r="P1025" s="30" t="n">
        <v>0</v>
      </c>
      <c r="Q1025" s="263" t="n">
        <v>45901</v>
      </c>
    </row>
    <row r="1026" customFormat="false" ht="15" hidden="false" customHeight="false" outlineLevel="0" collapsed="false">
      <c r="A1026" s="20" t="n">
        <v>3169</v>
      </c>
      <c r="B1026" s="21" t="s">
        <v>459</v>
      </c>
      <c r="C1026" s="21" t="s">
        <v>460</v>
      </c>
      <c r="D1026" s="22"/>
      <c r="E1026" s="23" t="n">
        <v>45772</v>
      </c>
      <c r="F1026" s="23" t="n">
        <v>45874</v>
      </c>
      <c r="G1026" s="24" t="n">
        <v>72</v>
      </c>
      <c r="H1026" s="25" t="n">
        <v>72</v>
      </c>
      <c r="I1026" s="25" t="n">
        <v>0</v>
      </c>
      <c r="J1026" s="34" t="s">
        <v>333</v>
      </c>
      <c r="K1026" s="30" t="n">
        <v>50000</v>
      </c>
      <c r="L1026" s="30" t="n">
        <v>108000</v>
      </c>
      <c r="M1026" s="28" t="n">
        <v>7500</v>
      </c>
      <c r="N1026" s="29" t="n">
        <v>29500</v>
      </c>
      <c r="O1026" s="29" t="n">
        <v>108000</v>
      </c>
      <c r="P1026" s="30" t="n">
        <v>0</v>
      </c>
      <c r="Q1026" s="263" t="n">
        <v>45901</v>
      </c>
    </row>
    <row r="1027" customFormat="false" ht="35.05" hidden="false" customHeight="false" outlineLevel="0" collapsed="false">
      <c r="A1027" s="24" t="n">
        <v>3179</v>
      </c>
      <c r="B1027" s="21" t="s">
        <v>243</v>
      </c>
      <c r="C1027" s="21" t="s">
        <v>244</v>
      </c>
      <c r="D1027" s="22" t="n">
        <v>20386454729</v>
      </c>
      <c r="E1027" s="23" t="n">
        <v>45780</v>
      </c>
      <c r="F1027" s="23" t="n">
        <f aca="false">WORKDAY(E1027,G1027)</f>
        <v>45891</v>
      </c>
      <c r="G1027" s="24" t="n">
        <v>80</v>
      </c>
      <c r="H1027" s="25" t="n">
        <f aca="false">(FG1027* 5)/M1027</f>
        <v>0</v>
      </c>
      <c r="I1027" s="25" t="n">
        <f aca="false">G1027-H1027</f>
        <v>80</v>
      </c>
      <c r="J1027" s="26" t="s">
        <v>250</v>
      </c>
      <c r="K1027" s="30" t="n">
        <v>100000</v>
      </c>
      <c r="L1027" s="30" t="n">
        <v>216000</v>
      </c>
      <c r="M1027" s="28" t="n">
        <f aca="false">(L1027/G1027)*5</f>
        <v>13500</v>
      </c>
      <c r="N1027" s="29" t="n">
        <v>54000</v>
      </c>
      <c r="O1027" s="29" t="n">
        <v>216000</v>
      </c>
      <c r="P1027" s="27" t="n">
        <v>0</v>
      </c>
      <c r="Q1027" s="263" t="n">
        <v>45901</v>
      </c>
    </row>
    <row r="1028" customFormat="false" ht="15" hidden="false" customHeight="false" outlineLevel="0" collapsed="false">
      <c r="A1028" s="20" t="n">
        <v>3370</v>
      </c>
      <c r="B1028" s="21" t="s">
        <v>330</v>
      </c>
      <c r="C1028" s="21" t="s">
        <v>292</v>
      </c>
      <c r="D1028" s="22"/>
      <c r="E1028" s="23" t="n">
        <v>45897</v>
      </c>
      <c r="F1028" s="23" t="n">
        <f aca="false">WORKDAY(E1028,G1028)</f>
        <v>45911</v>
      </c>
      <c r="G1028" s="24" t="n">
        <v>10</v>
      </c>
      <c r="H1028" s="25" t="e">
        <f aca="false">(FH1028* 5)/M1028</f>
        <v>#VALUE!</v>
      </c>
      <c r="I1028" s="25" t="e">
        <f aca="false">G1028-H1028</f>
        <v>#VALUE!</v>
      </c>
      <c r="J1028" s="26" t="s">
        <v>444</v>
      </c>
      <c r="K1028" s="27" t="n">
        <v>80000</v>
      </c>
      <c r="L1028" s="27" t="n">
        <v>120000</v>
      </c>
      <c r="M1028" s="28" t="s">
        <v>184</v>
      </c>
      <c r="N1028" s="29" t="n">
        <v>120000</v>
      </c>
      <c r="O1028" s="29"/>
      <c r="P1028" s="40" t="n">
        <f aca="false">SUM(N1028:O1028)</f>
        <v>120000</v>
      </c>
      <c r="Q1028" s="263" t="n">
        <v>45901</v>
      </c>
    </row>
    <row r="1029" customFormat="false" ht="28.35" hidden="false" customHeight="false" outlineLevel="0" collapsed="false">
      <c r="A1029" s="20" t="n">
        <v>3191</v>
      </c>
      <c r="B1029" s="21" t="s">
        <v>185</v>
      </c>
      <c r="C1029" s="21" t="s">
        <v>186</v>
      </c>
      <c r="D1029" s="22"/>
      <c r="E1029" s="23" t="n">
        <v>45790</v>
      </c>
      <c r="F1029" s="23" t="n">
        <v>45902</v>
      </c>
      <c r="G1029" s="24" t="n">
        <v>80</v>
      </c>
      <c r="H1029" s="25" t="n">
        <v>80</v>
      </c>
      <c r="I1029" s="25" t="n">
        <v>0</v>
      </c>
      <c r="J1029" s="26" t="s">
        <v>587</v>
      </c>
      <c r="K1029" s="30" t="n">
        <v>100000</v>
      </c>
      <c r="L1029" s="30" t="n">
        <v>216000</v>
      </c>
      <c r="M1029" s="28" t="n">
        <v>13500</v>
      </c>
      <c r="N1029" s="29" t="n">
        <v>54000</v>
      </c>
      <c r="O1029" s="29" t="n">
        <v>216000</v>
      </c>
      <c r="P1029" s="27" t="n">
        <v>0</v>
      </c>
      <c r="Q1029" s="263" t="n">
        <v>45908</v>
      </c>
    </row>
    <row r="1030" customFormat="false" ht="28.35" hidden="false" customHeight="false" outlineLevel="0" collapsed="false">
      <c r="A1030" s="20" t="n">
        <v>3096</v>
      </c>
      <c r="B1030" s="21" t="s">
        <v>193</v>
      </c>
      <c r="C1030" s="21" t="s">
        <v>194</v>
      </c>
      <c r="D1030" s="22"/>
      <c r="E1030" s="23" t="n">
        <v>45724</v>
      </c>
      <c r="F1030" s="23" t="n">
        <v>45891</v>
      </c>
      <c r="G1030" s="24" t="n">
        <v>120</v>
      </c>
      <c r="H1030" s="25" t="n">
        <v>120</v>
      </c>
      <c r="I1030" s="25" t="n">
        <v>0</v>
      </c>
      <c r="J1030" s="26" t="s">
        <v>1208</v>
      </c>
      <c r="K1030" s="27" t="n">
        <v>60000</v>
      </c>
      <c r="L1030" s="27" t="n">
        <v>158400</v>
      </c>
      <c r="M1030" s="354" t="n">
        <v>6600</v>
      </c>
      <c r="N1030" s="29" t="n">
        <v>36400</v>
      </c>
      <c r="O1030" s="29" t="n">
        <v>158400</v>
      </c>
      <c r="P1030" s="30" t="n">
        <v>0</v>
      </c>
      <c r="Q1030" s="263" t="n">
        <v>45908</v>
      </c>
    </row>
    <row r="1031" customFormat="false" ht="21.6" hidden="false" customHeight="false" outlineLevel="0" collapsed="false">
      <c r="A1031" s="20" t="n">
        <v>3100</v>
      </c>
      <c r="B1031" s="21" t="s">
        <v>196</v>
      </c>
      <c r="C1031" s="21" t="s">
        <v>197</v>
      </c>
      <c r="D1031" s="22"/>
      <c r="E1031" s="23" t="n">
        <v>45726</v>
      </c>
      <c r="F1031" s="23" t="n">
        <v>45894</v>
      </c>
      <c r="G1031" s="24" t="n">
        <v>120</v>
      </c>
      <c r="H1031" s="25" t="n">
        <v>120</v>
      </c>
      <c r="I1031" s="25" t="n">
        <v>0</v>
      </c>
      <c r="J1031" s="26" t="s">
        <v>1209</v>
      </c>
      <c r="K1031" s="39" t="n">
        <v>60000</v>
      </c>
      <c r="L1031" s="27" t="n">
        <v>158400</v>
      </c>
      <c r="M1031" s="28" t="n">
        <v>6600</v>
      </c>
      <c r="N1031" s="29" t="n">
        <v>26400</v>
      </c>
      <c r="O1031" s="29" t="n">
        <v>158400</v>
      </c>
      <c r="P1031" s="30" t="n">
        <v>0</v>
      </c>
      <c r="Q1031" s="263" t="n">
        <v>45908</v>
      </c>
    </row>
    <row r="1032" customFormat="false" ht="21.6" hidden="false" customHeight="false" outlineLevel="0" collapsed="false">
      <c r="A1032" s="20" t="n">
        <v>3187</v>
      </c>
      <c r="B1032" s="21" t="s">
        <v>196</v>
      </c>
      <c r="C1032" s="21" t="s">
        <v>197</v>
      </c>
      <c r="D1032" s="22"/>
      <c r="E1032" s="23" t="n">
        <v>45786</v>
      </c>
      <c r="F1032" s="23" t="n">
        <v>45898</v>
      </c>
      <c r="G1032" s="24" t="n">
        <v>80</v>
      </c>
      <c r="H1032" s="25" t="n">
        <v>80</v>
      </c>
      <c r="I1032" s="25" t="n">
        <v>0</v>
      </c>
      <c r="J1032" s="26" t="s">
        <v>1210</v>
      </c>
      <c r="K1032" s="39" t="n">
        <v>30000</v>
      </c>
      <c r="L1032" s="27" t="n">
        <v>64800</v>
      </c>
      <c r="M1032" s="28" t="n">
        <v>4050</v>
      </c>
      <c r="N1032" s="29" t="n">
        <v>16200</v>
      </c>
      <c r="O1032" s="29" t="n">
        <v>64800</v>
      </c>
      <c r="P1032" s="30" t="n">
        <v>0</v>
      </c>
      <c r="Q1032" s="263" t="n">
        <v>45908</v>
      </c>
    </row>
    <row r="1033" customFormat="false" ht="15" hidden="false" customHeight="false" outlineLevel="0" collapsed="false">
      <c r="A1033" s="20" t="n">
        <v>3229</v>
      </c>
      <c r="B1033" s="21" t="s">
        <v>206</v>
      </c>
      <c r="C1033" s="21" t="s">
        <v>207</v>
      </c>
      <c r="D1033" s="22"/>
      <c r="E1033" s="23" t="n">
        <v>45815</v>
      </c>
      <c r="F1033" s="23" t="n">
        <v>45916</v>
      </c>
      <c r="G1033" s="24" t="n">
        <v>72</v>
      </c>
      <c r="H1033" s="25" t="n">
        <v>72</v>
      </c>
      <c r="I1033" s="25" t="n">
        <v>0</v>
      </c>
      <c r="J1033" s="34" t="s">
        <v>720</v>
      </c>
      <c r="K1033" s="27" t="n">
        <v>60000</v>
      </c>
      <c r="L1033" s="27" t="n">
        <v>129600</v>
      </c>
      <c r="M1033" s="28" t="n">
        <v>9000</v>
      </c>
      <c r="N1033" s="29" t="n">
        <v>12600</v>
      </c>
      <c r="O1033" s="29" t="n">
        <v>129600</v>
      </c>
      <c r="P1033" s="30" t="n">
        <v>0</v>
      </c>
      <c r="Q1033" s="263" t="n">
        <v>45908</v>
      </c>
    </row>
    <row r="1034" customFormat="false" ht="15" hidden="false" customHeight="false" outlineLevel="0" collapsed="false">
      <c r="A1034" s="20" t="n">
        <v>2975</v>
      </c>
      <c r="B1034" s="21" t="s">
        <v>1211</v>
      </c>
      <c r="C1034" s="21" t="s">
        <v>207</v>
      </c>
      <c r="D1034" s="22"/>
      <c r="E1034" s="23" t="n">
        <v>45652</v>
      </c>
      <c r="F1034" s="23" t="n">
        <v>45754</v>
      </c>
      <c r="G1034" s="24" t="n">
        <v>72</v>
      </c>
      <c r="H1034" s="25" t="n">
        <v>73.4514156285391</v>
      </c>
      <c r="I1034" s="25" t="n">
        <v>-1.45141562853907</v>
      </c>
      <c r="J1034" s="34" t="s">
        <v>190</v>
      </c>
      <c r="K1034" s="27" t="n">
        <v>200000</v>
      </c>
      <c r="L1034" s="27" t="n">
        <v>441500</v>
      </c>
      <c r="M1034" s="28" t="n">
        <v>30659.7222222222</v>
      </c>
      <c r="N1034" s="29" t="n">
        <v>30000</v>
      </c>
      <c r="O1034" s="29" t="n">
        <v>450400</v>
      </c>
      <c r="P1034" s="30" t="n">
        <v>-8900</v>
      </c>
      <c r="Q1034" s="263" t="n">
        <v>45908</v>
      </c>
    </row>
    <row r="1035" customFormat="false" ht="21.6" hidden="false" customHeight="false" outlineLevel="0" collapsed="false">
      <c r="A1035" s="20" t="n">
        <v>3257</v>
      </c>
      <c r="B1035" s="21" t="s">
        <v>222</v>
      </c>
      <c r="C1035" s="21" t="s">
        <v>223</v>
      </c>
      <c r="D1035" s="22"/>
      <c r="E1035" s="23" t="n">
        <v>45832</v>
      </c>
      <c r="F1035" s="23" t="n">
        <v>45932</v>
      </c>
      <c r="G1035" s="24" t="n">
        <v>72</v>
      </c>
      <c r="H1035" s="25" t="n">
        <v>72</v>
      </c>
      <c r="I1035" s="25" t="n">
        <v>0</v>
      </c>
      <c r="J1035" s="34" t="s">
        <v>1054</v>
      </c>
      <c r="K1035" s="27" t="n">
        <v>150000</v>
      </c>
      <c r="L1035" s="27" t="n">
        <v>324000</v>
      </c>
      <c r="M1035" s="28" t="n">
        <v>22500</v>
      </c>
      <c r="N1035" s="29" t="n">
        <v>89000</v>
      </c>
      <c r="O1035" s="29" t="n">
        <v>324000</v>
      </c>
      <c r="P1035" s="30" t="n">
        <v>0</v>
      </c>
      <c r="Q1035" s="263" t="n">
        <v>45908</v>
      </c>
    </row>
    <row r="1036" customFormat="false" ht="35.05" hidden="false" customHeight="false" outlineLevel="0" collapsed="false">
      <c r="A1036" s="20" t="n">
        <v>3112</v>
      </c>
      <c r="B1036" s="21" t="s">
        <v>237</v>
      </c>
      <c r="C1036" s="21" t="s">
        <v>238</v>
      </c>
      <c r="D1036" s="22"/>
      <c r="E1036" s="23" t="n">
        <v>45734</v>
      </c>
      <c r="F1036" s="23" t="n">
        <v>45902</v>
      </c>
      <c r="G1036" s="24" t="n">
        <v>120</v>
      </c>
      <c r="H1036" s="25" t="n">
        <v>120</v>
      </c>
      <c r="I1036" s="25" t="n">
        <v>0</v>
      </c>
      <c r="J1036" s="51" t="s">
        <v>1212</v>
      </c>
      <c r="K1036" s="45" t="n">
        <v>70000</v>
      </c>
      <c r="L1036" s="27" t="n">
        <v>184800</v>
      </c>
      <c r="M1036" s="28" t="n">
        <v>7700</v>
      </c>
      <c r="N1036" s="29" t="n">
        <v>30800</v>
      </c>
      <c r="O1036" s="29" t="n">
        <v>184800</v>
      </c>
      <c r="P1036" s="30" t="n">
        <v>0</v>
      </c>
      <c r="Q1036" s="263" t="n">
        <v>45908</v>
      </c>
    </row>
    <row r="1037" customFormat="false" ht="15" hidden="false" customHeight="false" outlineLevel="0" collapsed="false">
      <c r="A1037" s="20" t="n">
        <v>3014</v>
      </c>
      <c r="B1037" s="21" t="s">
        <v>251</v>
      </c>
      <c r="C1037" s="21" t="s">
        <v>252</v>
      </c>
      <c r="D1037" s="22"/>
      <c r="E1037" s="23" t="n">
        <v>45678</v>
      </c>
      <c r="F1037" s="23" t="n">
        <v>45888</v>
      </c>
      <c r="G1037" s="24" t="n">
        <v>150</v>
      </c>
      <c r="H1037" s="25" t="n">
        <v>150</v>
      </c>
      <c r="I1037" s="25" t="n">
        <v>0</v>
      </c>
      <c r="J1037" s="26" t="s">
        <v>1213</v>
      </c>
      <c r="K1037" s="27" t="n">
        <v>150000</v>
      </c>
      <c r="L1037" s="27" t="n">
        <v>450000</v>
      </c>
      <c r="M1037" s="45" t="n">
        <v>15000</v>
      </c>
      <c r="N1037" s="29" t="n">
        <v>30000</v>
      </c>
      <c r="O1037" s="29" t="n">
        <v>450000</v>
      </c>
      <c r="P1037" s="30" t="n">
        <v>0</v>
      </c>
      <c r="Q1037" s="263" t="n">
        <v>45908</v>
      </c>
    </row>
    <row r="1038" customFormat="false" ht="17.9" hidden="false" customHeight="false" outlineLevel="0" collapsed="false">
      <c r="A1038" s="20" t="n">
        <v>3374</v>
      </c>
      <c r="B1038" s="22" t="s">
        <v>363</v>
      </c>
      <c r="C1038" s="22"/>
      <c r="D1038" s="22"/>
      <c r="E1038" s="23" t="n">
        <v>45898</v>
      </c>
      <c r="F1038" s="23" t="n">
        <v>45777</v>
      </c>
      <c r="G1038" s="24" t="n">
        <v>5</v>
      </c>
      <c r="H1038" s="25" t="e">
        <f aca="false">#DIV/0!</f>
        <v>#DIV/0!</v>
      </c>
      <c r="I1038" s="25" t="e">
        <f aca="false">#DIV/0!</f>
        <v>#DIV/0!</v>
      </c>
      <c r="J1038" s="22" t="s">
        <v>199</v>
      </c>
      <c r="K1038" s="27" t="n">
        <v>300000</v>
      </c>
      <c r="L1038" s="27" t="n">
        <v>390000</v>
      </c>
      <c r="M1038" s="28"/>
      <c r="N1038" s="29" t="n">
        <v>390000</v>
      </c>
      <c r="O1038" s="29" t="n">
        <v>390000</v>
      </c>
      <c r="P1038" s="30" t="n">
        <v>0</v>
      </c>
      <c r="Q1038" s="263" t="n">
        <v>45908</v>
      </c>
    </row>
    <row r="1039" customFormat="false" ht="28.35" hidden="false" customHeight="false" outlineLevel="0" collapsed="false">
      <c r="A1039" s="20" t="n">
        <v>3217</v>
      </c>
      <c r="B1039" s="21" t="s">
        <v>364</v>
      </c>
      <c r="C1039" s="21" t="s">
        <v>365</v>
      </c>
      <c r="D1039" s="22"/>
      <c r="E1039" s="23" t="n">
        <v>45804</v>
      </c>
      <c r="F1039" s="23" t="n">
        <v>45916</v>
      </c>
      <c r="G1039" s="24" t="n">
        <v>80</v>
      </c>
      <c r="H1039" s="25" t="n">
        <v>80</v>
      </c>
      <c r="I1039" s="25" t="n">
        <v>0</v>
      </c>
      <c r="J1039" s="62" t="s">
        <v>1214</v>
      </c>
      <c r="K1039" s="50" t="n">
        <v>50000</v>
      </c>
      <c r="L1039" s="27" t="n">
        <v>108000</v>
      </c>
      <c r="M1039" s="28" t="n">
        <v>6750</v>
      </c>
      <c r="N1039" s="29" t="n">
        <v>27000</v>
      </c>
      <c r="O1039" s="29" t="n">
        <v>108000</v>
      </c>
      <c r="P1039" s="27" t="n">
        <v>0</v>
      </c>
      <c r="Q1039" s="263" t="n">
        <v>45908</v>
      </c>
    </row>
    <row r="1040" customFormat="false" ht="48.5" hidden="false" customHeight="false" outlineLevel="0" collapsed="false">
      <c r="A1040" s="20" t="n">
        <v>3199</v>
      </c>
      <c r="B1040" s="21" t="s">
        <v>399</v>
      </c>
      <c r="C1040" s="21" t="s">
        <v>400</v>
      </c>
      <c r="D1040" s="22" t="n">
        <v>27249921551</v>
      </c>
      <c r="E1040" s="23" t="n">
        <v>45793</v>
      </c>
      <c r="F1040" s="23" t="n">
        <v>45895</v>
      </c>
      <c r="G1040" s="24" t="n">
        <v>72</v>
      </c>
      <c r="H1040" s="25" t="n">
        <v>72</v>
      </c>
      <c r="I1040" s="25" t="n">
        <v>0</v>
      </c>
      <c r="J1040" s="34" t="s">
        <v>188</v>
      </c>
      <c r="K1040" s="30" t="n">
        <v>100000</v>
      </c>
      <c r="L1040" s="30" t="n">
        <v>216000</v>
      </c>
      <c r="M1040" s="28" t="n">
        <v>15000</v>
      </c>
      <c r="N1040" s="29" t="n">
        <v>36000</v>
      </c>
      <c r="O1040" s="29" t="n">
        <v>216000</v>
      </c>
      <c r="P1040" s="27" t="n">
        <v>0</v>
      </c>
      <c r="Q1040" s="263" t="n">
        <v>45908</v>
      </c>
    </row>
    <row r="1041" customFormat="false" ht="48.5" hidden="false" customHeight="false" outlineLevel="0" collapsed="false">
      <c r="A1041" s="24" t="n">
        <v>3208</v>
      </c>
      <c r="B1041" s="21" t="s">
        <v>399</v>
      </c>
      <c r="C1041" s="21" t="s">
        <v>400</v>
      </c>
      <c r="D1041" s="22" t="n">
        <v>27249921551</v>
      </c>
      <c r="E1041" s="23" t="n">
        <v>45799</v>
      </c>
      <c r="F1041" s="23" t="n">
        <v>45901</v>
      </c>
      <c r="G1041" s="24" t="n">
        <v>72</v>
      </c>
      <c r="H1041" s="25" t="n">
        <v>72</v>
      </c>
      <c r="I1041" s="25" t="n">
        <v>0</v>
      </c>
      <c r="J1041" s="34" t="s">
        <v>333</v>
      </c>
      <c r="K1041" s="27" t="n">
        <v>70000</v>
      </c>
      <c r="L1041" s="27" t="n">
        <v>151200</v>
      </c>
      <c r="M1041" s="28" t="n">
        <v>10500</v>
      </c>
      <c r="N1041" s="29" t="n">
        <v>35700</v>
      </c>
      <c r="O1041" s="29" t="n">
        <v>151200</v>
      </c>
      <c r="P1041" s="27" t="n">
        <v>0</v>
      </c>
      <c r="Q1041" s="263" t="n">
        <v>45908</v>
      </c>
    </row>
    <row r="1042" customFormat="false" ht="21.6" hidden="false" customHeight="false" outlineLevel="0" collapsed="false">
      <c r="A1042" s="24" t="n">
        <v>3045</v>
      </c>
      <c r="B1042" s="21" t="s">
        <v>441</v>
      </c>
      <c r="C1042" s="21" t="s">
        <v>1123</v>
      </c>
      <c r="D1042" s="22"/>
      <c r="E1042" s="23" t="n">
        <v>45695</v>
      </c>
      <c r="F1042" s="23" t="n">
        <v>45807</v>
      </c>
      <c r="G1042" s="24" t="n">
        <v>80</v>
      </c>
      <c r="H1042" s="25" t="n">
        <v>86.2962962962963</v>
      </c>
      <c r="I1042" s="25" t="n">
        <v>-6.29629629629629</v>
      </c>
      <c r="J1042" s="26" t="s">
        <v>1215</v>
      </c>
      <c r="K1042" s="27" t="n">
        <v>120000</v>
      </c>
      <c r="L1042" s="27" t="n">
        <v>259200</v>
      </c>
      <c r="M1042" s="28" t="n">
        <v>16200</v>
      </c>
      <c r="N1042" s="29" t="n">
        <v>50000</v>
      </c>
      <c r="O1042" s="29" t="n">
        <v>279600</v>
      </c>
      <c r="P1042" s="27" t="n">
        <v>-20400</v>
      </c>
      <c r="Q1042" s="263" t="n">
        <v>45908</v>
      </c>
    </row>
    <row r="1043" customFormat="false" ht="15" hidden="false" customHeight="false" outlineLevel="0" collapsed="false">
      <c r="A1043" s="24" t="n">
        <v>3345</v>
      </c>
      <c r="B1043" s="21" t="s">
        <v>445</v>
      </c>
      <c r="C1043" s="21"/>
      <c r="D1043" s="22"/>
      <c r="E1043" s="23" t="n">
        <v>45881</v>
      </c>
      <c r="F1043" s="23" t="n">
        <v>45820</v>
      </c>
      <c r="G1043" s="24" t="n">
        <v>20</v>
      </c>
      <c r="H1043" s="25" t="e">
        <f aca="false">#VALUE!</f>
        <v>#VALUE!</v>
      </c>
      <c r="I1043" s="25" t="e">
        <f aca="false">#VALUE!</f>
        <v>#VALUE!</v>
      </c>
      <c r="J1043" s="26" t="s">
        <v>444</v>
      </c>
      <c r="K1043" s="27" t="n">
        <v>100000</v>
      </c>
      <c r="L1043" s="27" t="n">
        <v>150000</v>
      </c>
      <c r="M1043" s="28" t="s">
        <v>184</v>
      </c>
      <c r="N1043" s="29" t="n">
        <v>150000</v>
      </c>
      <c r="O1043" s="29" t="n">
        <v>150000</v>
      </c>
      <c r="P1043" s="27" t="n">
        <v>0</v>
      </c>
      <c r="Q1043" s="263" t="n">
        <v>45908</v>
      </c>
    </row>
    <row r="1044" customFormat="false" ht="15" hidden="false" customHeight="false" outlineLevel="0" collapsed="false">
      <c r="A1044" s="61" t="n">
        <v>3376</v>
      </c>
      <c r="B1044" s="21" t="s">
        <v>443</v>
      </c>
      <c r="C1044" s="21"/>
      <c r="D1044" s="22"/>
      <c r="E1044" s="23" t="n">
        <v>45903</v>
      </c>
      <c r="F1044" s="23" t="n">
        <v>45820</v>
      </c>
      <c r="G1044" s="24" t="n">
        <v>20</v>
      </c>
      <c r="H1044" s="25" t="e">
        <f aca="false">#DIV/0!</f>
        <v>#DIV/0!</v>
      </c>
      <c r="I1044" s="25" t="e">
        <f aca="false">#DIV/0!</f>
        <v>#DIV/0!</v>
      </c>
      <c r="J1044" s="26" t="s">
        <v>444</v>
      </c>
      <c r="K1044" s="33" t="n">
        <v>20000</v>
      </c>
      <c r="L1044" s="27" t="n">
        <v>30000</v>
      </c>
      <c r="M1044" s="28"/>
      <c r="N1044" s="29" t="n">
        <v>30000</v>
      </c>
      <c r="O1044" s="29" t="n">
        <v>30000</v>
      </c>
      <c r="P1044" s="27" t="n">
        <v>0</v>
      </c>
      <c r="Q1044" s="263" t="n">
        <v>45908</v>
      </c>
    </row>
    <row r="1045" customFormat="false" ht="15" hidden="false" customHeight="false" outlineLevel="0" collapsed="false">
      <c r="A1045" s="24" t="n">
        <v>3174</v>
      </c>
      <c r="B1045" s="21" t="s">
        <v>457</v>
      </c>
      <c r="C1045" s="21"/>
      <c r="D1045" s="22"/>
      <c r="E1045" s="23" t="n">
        <v>45776</v>
      </c>
      <c r="F1045" s="23" t="n">
        <v>45888</v>
      </c>
      <c r="G1045" s="24" t="n">
        <v>80</v>
      </c>
      <c r="H1045" s="25" t="n">
        <v>80</v>
      </c>
      <c r="I1045" s="25" t="n">
        <v>0</v>
      </c>
      <c r="J1045" s="26" t="s">
        <v>1216</v>
      </c>
      <c r="K1045" s="27" t="n">
        <v>80000</v>
      </c>
      <c r="L1045" s="27" t="n">
        <v>172800</v>
      </c>
      <c r="M1045" s="28" t="n">
        <v>10800</v>
      </c>
      <c r="N1045" s="29" t="n">
        <v>43200</v>
      </c>
      <c r="O1045" s="29" t="n">
        <v>172800</v>
      </c>
      <c r="P1045" s="30" t="n">
        <v>0</v>
      </c>
      <c r="Q1045" s="263" t="n">
        <v>45908</v>
      </c>
    </row>
    <row r="1046" customFormat="false" ht="15" hidden="false" customHeight="false" outlineLevel="0" collapsed="false">
      <c r="A1046" s="24" t="n">
        <v>3352</v>
      </c>
      <c r="B1046" s="22" t="s">
        <v>481</v>
      </c>
      <c r="C1046" s="21"/>
      <c r="D1046" s="22"/>
      <c r="E1046" s="23" t="n">
        <v>45884</v>
      </c>
      <c r="F1046" s="23" t="n">
        <v>45891</v>
      </c>
      <c r="G1046" s="24" t="n">
        <v>5</v>
      </c>
      <c r="H1046" s="25" t="e">
        <f aca="false">#DIV/0!</f>
        <v>#DIV/0!</v>
      </c>
      <c r="I1046" s="25" t="e">
        <f aca="false">#DIV/0!</f>
        <v>#DIV/0!</v>
      </c>
      <c r="J1046" s="26" t="s">
        <v>444</v>
      </c>
      <c r="K1046" s="30" t="n">
        <v>20000</v>
      </c>
      <c r="L1046" s="30" t="n">
        <v>30000</v>
      </c>
      <c r="M1046" s="28"/>
      <c r="N1046" s="29" t="n">
        <v>30000</v>
      </c>
      <c r="O1046" s="29" t="n">
        <v>30000</v>
      </c>
      <c r="P1046" s="27" t="n">
        <v>0</v>
      </c>
      <c r="Q1046" s="263" t="n">
        <v>45908</v>
      </c>
    </row>
    <row r="1047" customFormat="false" ht="15" hidden="false" customHeight="false" outlineLevel="0" collapsed="false">
      <c r="A1047" s="24" t="n">
        <v>3356</v>
      </c>
      <c r="B1047" s="22" t="s">
        <v>481</v>
      </c>
      <c r="C1047" s="21"/>
      <c r="D1047" s="22"/>
      <c r="E1047" s="23" t="n">
        <v>45888</v>
      </c>
      <c r="F1047" s="23" t="n">
        <v>45895</v>
      </c>
      <c r="G1047" s="24" t="n">
        <v>5</v>
      </c>
      <c r="H1047" s="25" t="e">
        <f aca="false">#DIV/0!</f>
        <v>#DIV/0!</v>
      </c>
      <c r="I1047" s="25" t="e">
        <f aca="false">#DIV/0!</f>
        <v>#DIV/0!</v>
      </c>
      <c r="J1047" s="26" t="s">
        <v>444</v>
      </c>
      <c r="K1047" s="27" t="n">
        <v>50000</v>
      </c>
      <c r="L1047" s="27" t="n">
        <v>75000</v>
      </c>
      <c r="M1047" s="45"/>
      <c r="N1047" s="29" t="n">
        <v>75000</v>
      </c>
      <c r="O1047" s="29" t="n">
        <v>75000</v>
      </c>
      <c r="P1047" s="27" t="n">
        <v>0</v>
      </c>
      <c r="Q1047" s="263" t="n">
        <v>45908</v>
      </c>
    </row>
    <row r="1048" customFormat="false" ht="15" hidden="false" customHeight="false" outlineLevel="0" collapsed="false">
      <c r="A1048" s="24" t="n">
        <v>3359</v>
      </c>
      <c r="B1048" s="22" t="s">
        <v>481</v>
      </c>
      <c r="C1048" s="21"/>
      <c r="D1048" s="22"/>
      <c r="E1048" s="23" t="n">
        <v>45891</v>
      </c>
      <c r="F1048" s="23" t="n">
        <v>45912</v>
      </c>
      <c r="G1048" s="24" t="n">
        <v>15</v>
      </c>
      <c r="H1048" s="25" t="e">
        <f aca="false">#DIV/0!</f>
        <v>#DIV/0!</v>
      </c>
      <c r="I1048" s="25" t="e">
        <f aca="false">#DIV/0!</f>
        <v>#DIV/0!</v>
      </c>
      <c r="J1048" s="26" t="s">
        <v>444</v>
      </c>
      <c r="K1048" s="27" t="n">
        <v>30000</v>
      </c>
      <c r="L1048" s="27" t="n">
        <v>45000</v>
      </c>
      <c r="M1048" s="45"/>
      <c r="N1048" s="29" t="n">
        <v>45000</v>
      </c>
      <c r="O1048" s="29" t="n">
        <v>45000</v>
      </c>
      <c r="P1048" s="27" t="n">
        <v>0</v>
      </c>
      <c r="Q1048" s="263" t="n">
        <v>45908</v>
      </c>
    </row>
    <row r="1049" customFormat="false" ht="15" hidden="false" customHeight="false" outlineLevel="0" collapsed="false">
      <c r="A1049" s="24" t="n">
        <v>3369</v>
      </c>
      <c r="B1049" s="22" t="s">
        <v>481</v>
      </c>
      <c r="C1049" s="21"/>
      <c r="D1049" s="22"/>
      <c r="E1049" s="23" t="n">
        <v>45891</v>
      </c>
      <c r="F1049" s="23" t="n">
        <v>45912</v>
      </c>
      <c r="G1049" s="24" t="n">
        <v>15</v>
      </c>
      <c r="H1049" s="25" t="e">
        <f aca="false">#DIV/0!</f>
        <v>#DIV/0!</v>
      </c>
      <c r="I1049" s="25" t="e">
        <f aca="false">#DIV/0!</f>
        <v>#DIV/0!</v>
      </c>
      <c r="J1049" s="26" t="s">
        <v>444</v>
      </c>
      <c r="K1049" s="27" t="n">
        <v>40000</v>
      </c>
      <c r="L1049" s="27" t="n">
        <v>60000</v>
      </c>
      <c r="M1049" s="45"/>
      <c r="N1049" s="29" t="n">
        <v>60000</v>
      </c>
      <c r="O1049" s="29" t="n">
        <v>60000</v>
      </c>
      <c r="P1049" s="27" t="n">
        <v>0</v>
      </c>
      <c r="Q1049" s="263" t="n">
        <v>45908</v>
      </c>
    </row>
    <row r="1050" customFormat="false" ht="15" hidden="false" customHeight="false" outlineLevel="0" collapsed="false">
      <c r="A1050" s="24" t="n">
        <v>3372</v>
      </c>
      <c r="B1050" s="22" t="s">
        <v>481</v>
      </c>
      <c r="C1050" s="21"/>
      <c r="D1050" s="22"/>
      <c r="E1050" s="23" t="n">
        <v>45897</v>
      </c>
      <c r="F1050" s="23" t="n">
        <v>45918</v>
      </c>
      <c r="G1050" s="24" t="n">
        <v>15</v>
      </c>
      <c r="H1050" s="25" t="e">
        <f aca="false">#DIV/0!</f>
        <v>#DIV/0!</v>
      </c>
      <c r="I1050" s="25" t="e">
        <f aca="false">#DIV/0!</f>
        <v>#DIV/0!</v>
      </c>
      <c r="J1050" s="26" t="s">
        <v>444</v>
      </c>
      <c r="K1050" s="27" t="n">
        <v>30000</v>
      </c>
      <c r="L1050" s="27" t="n">
        <v>45000</v>
      </c>
      <c r="M1050" s="28"/>
      <c r="N1050" s="29" t="n">
        <v>45000</v>
      </c>
      <c r="O1050" s="29" t="n">
        <v>45000</v>
      </c>
      <c r="P1050" s="27" t="n">
        <v>0</v>
      </c>
      <c r="Q1050" s="263" t="n">
        <v>45908</v>
      </c>
    </row>
    <row r="1051" customFormat="false" ht="15" hidden="false" customHeight="false" outlineLevel="0" collapsed="false">
      <c r="A1051" s="24" t="n">
        <v>3094</v>
      </c>
      <c r="B1051" s="21" t="s">
        <v>565</v>
      </c>
      <c r="C1051" s="21" t="s">
        <v>566</v>
      </c>
      <c r="D1051" s="22"/>
      <c r="E1051" s="23" t="n">
        <v>45723</v>
      </c>
      <c r="F1051" s="23" t="n">
        <v>45891</v>
      </c>
      <c r="G1051" s="24" t="n">
        <v>120</v>
      </c>
      <c r="H1051" s="25" t="n">
        <v>120</v>
      </c>
      <c r="I1051" s="25" t="n">
        <v>0</v>
      </c>
      <c r="J1051" s="26" t="s">
        <v>1217</v>
      </c>
      <c r="K1051" s="30" t="n">
        <v>500000</v>
      </c>
      <c r="L1051" s="30" t="n">
        <v>1320000</v>
      </c>
      <c r="M1051" s="47" t="n">
        <v>55000</v>
      </c>
      <c r="N1051" s="29" t="n">
        <v>220000</v>
      </c>
      <c r="O1051" s="29" t="n">
        <v>1320000</v>
      </c>
      <c r="P1051" s="27" t="n">
        <v>0</v>
      </c>
      <c r="Q1051" s="263" t="n">
        <v>45908</v>
      </c>
    </row>
    <row r="1052" customFormat="false" ht="19.4" hidden="false" customHeight="false" outlineLevel="0" collapsed="false">
      <c r="A1052" s="24" t="n">
        <v>2959</v>
      </c>
      <c r="B1052" s="21" t="s">
        <v>573</v>
      </c>
      <c r="C1052" s="21" t="s">
        <v>463</v>
      </c>
      <c r="D1052" s="22" t="n">
        <v>2034839888</v>
      </c>
      <c r="E1052" s="23" t="n">
        <v>45644</v>
      </c>
      <c r="F1052" s="23" t="n">
        <v>45868</v>
      </c>
      <c r="G1052" s="24" t="n">
        <v>160</v>
      </c>
      <c r="H1052" s="25" t="n">
        <v>160</v>
      </c>
      <c r="I1052" s="25" t="n">
        <v>0</v>
      </c>
      <c r="J1052" s="26" t="s">
        <v>1218</v>
      </c>
      <c r="K1052" s="27" t="n">
        <v>350000</v>
      </c>
      <c r="L1052" s="27" t="n">
        <v>1050000</v>
      </c>
      <c r="M1052" s="28" t="n">
        <v>32812.5</v>
      </c>
      <c r="N1052" s="29" t="n">
        <v>256500</v>
      </c>
      <c r="O1052" s="29" t="n">
        <v>1050000</v>
      </c>
      <c r="P1052" s="27" t="n">
        <v>0</v>
      </c>
      <c r="Q1052" s="263" t="n">
        <v>45908</v>
      </c>
    </row>
    <row r="1053" customFormat="false" ht="15" hidden="false" customHeight="false" outlineLevel="0" collapsed="false">
      <c r="A1053" s="24" t="n">
        <v>3001</v>
      </c>
      <c r="B1053" s="21" t="s">
        <v>573</v>
      </c>
      <c r="C1053" s="21" t="s">
        <v>463</v>
      </c>
      <c r="D1053" s="22" t="n">
        <v>2034839888</v>
      </c>
      <c r="E1053" s="23" t="n">
        <v>45668</v>
      </c>
      <c r="F1053" s="23" t="n">
        <v>45835</v>
      </c>
      <c r="G1053" s="24" t="n">
        <v>120</v>
      </c>
      <c r="H1053" s="25" t="n">
        <v>120</v>
      </c>
      <c r="I1053" s="25" t="n">
        <v>0</v>
      </c>
      <c r="J1053" s="26" t="s">
        <v>576</v>
      </c>
      <c r="K1053" s="27" t="n">
        <v>50000</v>
      </c>
      <c r="L1053" s="27" t="n">
        <v>132000</v>
      </c>
      <c r="M1053" s="45" t="n">
        <v>5500</v>
      </c>
      <c r="N1053" s="29" t="n">
        <v>22000</v>
      </c>
      <c r="O1053" s="29" t="n">
        <v>132000</v>
      </c>
      <c r="P1053" s="27" t="n">
        <v>0</v>
      </c>
      <c r="Q1053" s="263" t="n">
        <v>45908</v>
      </c>
    </row>
    <row r="1054" customFormat="false" ht="26.1" hidden="false" customHeight="false" outlineLevel="0" collapsed="false">
      <c r="A1054" s="24" t="n">
        <v>2901</v>
      </c>
      <c r="B1054" s="21" t="s">
        <v>216</v>
      </c>
      <c r="C1054" s="21" t="s">
        <v>217</v>
      </c>
      <c r="D1054" s="22" t="s">
        <v>218</v>
      </c>
      <c r="E1054" s="23" t="n">
        <v>45605</v>
      </c>
      <c r="F1054" s="23" t="n">
        <v>45884</v>
      </c>
      <c r="G1054" s="24" t="n">
        <v>200</v>
      </c>
      <c r="H1054" s="25" t="n">
        <v>200.904522613065</v>
      </c>
      <c r="I1054" s="25" t="n">
        <v>-0.904522613065325</v>
      </c>
      <c r="J1054" s="26" t="s">
        <v>1219</v>
      </c>
      <c r="K1054" s="27" t="n">
        <v>300000</v>
      </c>
      <c r="L1054" s="27" t="n">
        <v>995000</v>
      </c>
      <c r="M1054" s="45" t="n">
        <v>24875</v>
      </c>
      <c r="N1054" s="29" t="n">
        <v>99950</v>
      </c>
      <c r="O1054" s="29" t="n">
        <v>999500</v>
      </c>
      <c r="P1054" s="27" t="n">
        <v>-4500</v>
      </c>
      <c r="Q1054" s="263" t="n">
        <v>45915</v>
      </c>
    </row>
    <row r="1055" customFormat="false" ht="21.6" hidden="false" customHeight="false" outlineLevel="0" collapsed="false">
      <c r="A1055" s="20" t="n">
        <v>3211</v>
      </c>
      <c r="B1055" s="21" t="s">
        <v>248</v>
      </c>
      <c r="C1055" s="21" t="s">
        <v>249</v>
      </c>
      <c r="D1055" s="22"/>
      <c r="E1055" s="23" t="n">
        <v>45801</v>
      </c>
      <c r="F1055" s="23" t="n">
        <v>45912</v>
      </c>
      <c r="G1055" s="24" t="n">
        <v>80</v>
      </c>
      <c r="H1055" s="25" t="n">
        <v>80</v>
      </c>
      <c r="I1055" s="25" t="n">
        <v>0</v>
      </c>
      <c r="J1055" s="26" t="s">
        <v>250</v>
      </c>
      <c r="K1055" s="27" t="n">
        <v>100000</v>
      </c>
      <c r="L1055" s="27" t="n">
        <v>216000</v>
      </c>
      <c r="M1055" s="47" t="n">
        <v>13500</v>
      </c>
      <c r="N1055" s="29" t="n">
        <v>54000</v>
      </c>
      <c r="O1055" s="29" t="n">
        <v>216000</v>
      </c>
      <c r="P1055" s="30" t="n">
        <v>0</v>
      </c>
      <c r="Q1055" s="263" t="n">
        <v>45915</v>
      </c>
    </row>
    <row r="1056" customFormat="false" ht="28.35" hidden="false" customHeight="false" outlineLevel="0" collapsed="false">
      <c r="A1056" s="20" t="n">
        <v>3351</v>
      </c>
      <c r="B1056" s="21" t="s">
        <v>581</v>
      </c>
      <c r="C1056" s="21" t="s">
        <v>1198</v>
      </c>
      <c r="D1056" s="22" t="n">
        <v>27355741082</v>
      </c>
      <c r="E1056" s="23" t="n">
        <v>45884</v>
      </c>
      <c r="F1056" s="23" t="n">
        <v>45912</v>
      </c>
      <c r="G1056" s="24" t="n">
        <v>20</v>
      </c>
      <c r="H1056" s="49" t="e">
        <f aca="false">#VALUE!</f>
        <v>#VALUE!</v>
      </c>
      <c r="I1056" s="49" t="e">
        <f aca="false">#VALUE!</f>
        <v>#VALUE!</v>
      </c>
      <c r="J1056" s="34" t="s">
        <v>444</v>
      </c>
      <c r="K1056" s="30" t="n">
        <v>150000</v>
      </c>
      <c r="L1056" s="30" t="n">
        <v>225000</v>
      </c>
      <c r="M1056" s="45"/>
      <c r="N1056" s="29" t="n">
        <v>225000</v>
      </c>
      <c r="O1056" s="29" t="n">
        <v>225000</v>
      </c>
      <c r="P1056" s="30" t="n">
        <v>0</v>
      </c>
      <c r="Q1056" s="263" t="n">
        <v>45915</v>
      </c>
    </row>
    <row r="1057" customFormat="false" ht="17.9" hidden="false" customHeight="false" outlineLevel="0" collapsed="false">
      <c r="A1057" s="20" t="n">
        <v>3380</v>
      </c>
      <c r="B1057" s="22" t="s">
        <v>363</v>
      </c>
      <c r="C1057" s="22"/>
      <c r="D1057" s="22"/>
      <c r="E1057" s="23" t="n">
        <v>45908</v>
      </c>
      <c r="F1057" s="23" t="n">
        <v>45915</v>
      </c>
      <c r="G1057" s="24" t="n">
        <v>5</v>
      </c>
      <c r="H1057" s="25" t="e">
        <f aca="false">#DIV/0!</f>
        <v>#DIV/0!</v>
      </c>
      <c r="I1057" s="25" t="e">
        <f aca="false">#DIV/0!</f>
        <v>#DIV/0!</v>
      </c>
      <c r="J1057" s="22" t="s">
        <v>199</v>
      </c>
      <c r="K1057" s="33" t="n">
        <v>300000</v>
      </c>
      <c r="L1057" s="27" t="n">
        <v>390000</v>
      </c>
      <c r="M1057" s="28"/>
      <c r="N1057" s="29" t="n">
        <v>390000</v>
      </c>
      <c r="O1057" s="29" t="n">
        <v>390000</v>
      </c>
      <c r="P1057" s="27" t="n">
        <v>0</v>
      </c>
      <c r="Q1057" s="263" t="n">
        <v>45915</v>
      </c>
    </row>
    <row r="1058" customFormat="false" ht="28.35" hidden="false" customHeight="false" outlineLevel="0" collapsed="false">
      <c r="A1058" s="20" t="n">
        <v>3082</v>
      </c>
      <c r="B1058" s="21" t="s">
        <v>364</v>
      </c>
      <c r="C1058" s="21" t="s">
        <v>365</v>
      </c>
      <c r="D1058" s="22"/>
      <c r="E1058" s="23" t="n">
        <v>45714</v>
      </c>
      <c r="F1058" s="23" t="n">
        <v>45882</v>
      </c>
      <c r="G1058" s="24" t="n">
        <v>120</v>
      </c>
      <c r="H1058" s="25" t="n">
        <v>120.454545454545</v>
      </c>
      <c r="I1058" s="25" t="n">
        <v>-0.454545454545453</v>
      </c>
      <c r="J1058" s="62" t="s">
        <v>367</v>
      </c>
      <c r="K1058" s="50" t="n">
        <v>100000</v>
      </c>
      <c r="L1058" s="27" t="n">
        <v>264000</v>
      </c>
      <c r="M1058" s="45" t="n">
        <v>11000</v>
      </c>
      <c r="N1058" s="29" t="n">
        <v>44000</v>
      </c>
      <c r="O1058" s="29" t="n">
        <v>265000</v>
      </c>
      <c r="P1058" s="27" t="n">
        <v>-1000</v>
      </c>
      <c r="Q1058" s="263" t="n">
        <v>45915</v>
      </c>
    </row>
    <row r="1059" customFormat="false" ht="28.35" hidden="false" customHeight="false" outlineLevel="0" collapsed="false">
      <c r="A1059" s="20" t="n">
        <v>3131</v>
      </c>
      <c r="B1059" s="21" t="s">
        <v>452</v>
      </c>
      <c r="C1059" s="21" t="s">
        <v>1220</v>
      </c>
      <c r="D1059" s="22"/>
      <c r="E1059" s="23" t="n">
        <v>45746</v>
      </c>
      <c r="F1059" s="23" t="n">
        <v>45912</v>
      </c>
      <c r="G1059" s="24" t="n">
        <v>120</v>
      </c>
      <c r="H1059" s="25" t="n">
        <v>120</v>
      </c>
      <c r="I1059" s="25" t="n">
        <v>0</v>
      </c>
      <c r="J1059" s="26" t="s">
        <v>456</v>
      </c>
      <c r="K1059" s="33" t="n">
        <v>100000</v>
      </c>
      <c r="L1059" s="27" t="n">
        <v>264000</v>
      </c>
      <c r="M1059" s="28" t="n">
        <v>11000</v>
      </c>
      <c r="N1059" s="29" t="n">
        <v>88000</v>
      </c>
      <c r="O1059" s="29" t="n">
        <v>264000</v>
      </c>
      <c r="P1059" s="27" t="n">
        <v>0</v>
      </c>
      <c r="Q1059" s="263" t="n">
        <v>45915</v>
      </c>
    </row>
    <row r="1060" customFormat="false" ht="28.35" hidden="false" customHeight="false" outlineLevel="0" collapsed="false">
      <c r="A1060" s="24" t="n">
        <v>3226</v>
      </c>
      <c r="B1060" s="21" t="s">
        <v>452</v>
      </c>
      <c r="C1060" s="21" t="s">
        <v>1220</v>
      </c>
      <c r="D1060" s="22"/>
      <c r="E1060" s="23" t="n">
        <v>45809</v>
      </c>
      <c r="F1060" s="23" t="n">
        <v>45975</v>
      </c>
      <c r="G1060" s="24" t="n">
        <v>120</v>
      </c>
      <c r="H1060" s="25" t="n">
        <v>120</v>
      </c>
      <c r="I1060" s="25" t="n">
        <v>0</v>
      </c>
      <c r="J1060" s="26" t="s">
        <v>456</v>
      </c>
      <c r="K1060" s="33" t="n">
        <v>100000</v>
      </c>
      <c r="L1060" s="27" t="n">
        <v>264000</v>
      </c>
      <c r="M1060" s="28" t="n">
        <v>11000</v>
      </c>
      <c r="N1060" s="29" t="n">
        <v>176000</v>
      </c>
      <c r="O1060" s="29" t="n">
        <v>264000</v>
      </c>
      <c r="P1060" s="27" t="n">
        <v>0</v>
      </c>
      <c r="Q1060" s="263" t="n">
        <v>45915</v>
      </c>
    </row>
    <row r="1061" customFormat="false" ht="15" hidden="false" customHeight="false" outlineLevel="0" collapsed="false">
      <c r="A1061" s="24" t="n">
        <v>3363</v>
      </c>
      <c r="B1061" s="21" t="s">
        <v>516</v>
      </c>
      <c r="C1061" s="21" t="s">
        <v>517</v>
      </c>
      <c r="D1061" s="22"/>
      <c r="E1061" s="23" t="n">
        <v>45892</v>
      </c>
      <c r="F1061" s="23" t="n">
        <v>45917</v>
      </c>
      <c r="G1061" s="24" t="n">
        <v>18</v>
      </c>
      <c r="H1061" s="25" t="e">
        <f aca="false">#DIV/0!</f>
        <v>#DIV/0!</v>
      </c>
      <c r="I1061" s="25" t="e">
        <f aca="false">#DIV/0!</f>
        <v>#DIV/0!</v>
      </c>
      <c r="J1061" s="26" t="s">
        <v>199</v>
      </c>
      <c r="K1061" s="30" t="n">
        <v>250000</v>
      </c>
      <c r="L1061" s="30" t="n">
        <v>350000</v>
      </c>
      <c r="M1061" s="28"/>
      <c r="N1061" s="29" t="n">
        <v>350000</v>
      </c>
      <c r="O1061" s="29" t="n">
        <v>350000</v>
      </c>
      <c r="P1061" s="27" t="n">
        <v>0</v>
      </c>
      <c r="Q1061" s="263" t="n">
        <v>45915</v>
      </c>
    </row>
    <row r="1062" customFormat="false" ht="21.6" hidden="false" customHeight="false" outlineLevel="0" collapsed="false">
      <c r="A1062" s="24" t="n">
        <v>2978</v>
      </c>
      <c r="B1062" s="21" t="s">
        <v>545</v>
      </c>
      <c r="C1062" s="21" t="s">
        <v>546</v>
      </c>
      <c r="D1062" s="22" t="n">
        <v>35869349</v>
      </c>
      <c r="E1062" s="23" t="n">
        <v>45654</v>
      </c>
      <c r="F1062" s="23" t="n">
        <v>45807</v>
      </c>
      <c r="G1062" s="24" t="n">
        <v>110</v>
      </c>
      <c r="H1062" s="25" t="n">
        <v>110.909090909091</v>
      </c>
      <c r="I1062" s="25" t="n">
        <v>-0.909090909090907</v>
      </c>
      <c r="J1062" s="46" t="s">
        <v>1221</v>
      </c>
      <c r="K1062" s="27" t="n">
        <v>200000</v>
      </c>
      <c r="L1062" s="27" t="n">
        <v>484000</v>
      </c>
      <c r="M1062" s="28" t="n">
        <v>22000</v>
      </c>
      <c r="N1062" s="29" t="n">
        <v>48000</v>
      </c>
      <c r="O1062" s="29" t="n">
        <v>488000</v>
      </c>
      <c r="P1062" s="27" t="n">
        <v>-4000</v>
      </c>
      <c r="Q1062" s="263" t="n">
        <v>45915</v>
      </c>
    </row>
    <row r="1063" customFormat="false" ht="15" hidden="false" customHeight="false" outlineLevel="0" collapsed="false">
      <c r="A1063" s="24" t="n">
        <v>3234</v>
      </c>
      <c r="B1063" s="21" t="s">
        <v>232</v>
      </c>
      <c r="C1063" s="21" t="s">
        <v>233</v>
      </c>
      <c r="D1063" s="22"/>
      <c r="E1063" s="23" t="n">
        <v>45818</v>
      </c>
      <c r="F1063" s="23" t="n">
        <v>45918</v>
      </c>
      <c r="G1063" s="24" t="n">
        <v>72</v>
      </c>
      <c r="H1063" s="25" t="n">
        <v>72</v>
      </c>
      <c r="I1063" s="25" t="n">
        <v>0</v>
      </c>
      <c r="J1063" s="34" t="s">
        <v>188</v>
      </c>
      <c r="K1063" s="50" t="n">
        <v>100000</v>
      </c>
      <c r="L1063" s="27" t="n">
        <v>216000</v>
      </c>
      <c r="M1063" s="28" t="n">
        <v>15000</v>
      </c>
      <c r="N1063" s="29" t="n">
        <v>6000</v>
      </c>
      <c r="O1063" s="29" t="n">
        <v>216000</v>
      </c>
      <c r="P1063" s="27" t="n">
        <v>0</v>
      </c>
      <c r="Q1063" s="263" t="n">
        <v>45915</v>
      </c>
    </row>
    <row r="1064" customFormat="false" ht="15" hidden="false" customHeight="false" outlineLevel="0" collapsed="false">
      <c r="A1064" s="20" t="n">
        <v>2956</v>
      </c>
      <c r="B1064" s="21" t="s">
        <v>1222</v>
      </c>
      <c r="C1064" s="21" t="s">
        <v>252</v>
      </c>
      <c r="D1064" s="22"/>
      <c r="E1064" s="23" t="n">
        <v>45642</v>
      </c>
      <c r="F1064" s="23" t="n">
        <v>45894</v>
      </c>
      <c r="G1064" s="24" t="n">
        <v>180</v>
      </c>
      <c r="H1064" s="25" t="n">
        <v>180</v>
      </c>
      <c r="I1064" s="25" t="n">
        <v>0</v>
      </c>
      <c r="J1064" s="26" t="s">
        <v>1223</v>
      </c>
      <c r="K1064" s="30" t="n">
        <v>150000</v>
      </c>
      <c r="L1064" s="30" t="n">
        <v>405000</v>
      </c>
      <c r="M1064" s="28" t="n">
        <v>11250</v>
      </c>
      <c r="N1064" s="29" t="n">
        <v>45000</v>
      </c>
      <c r="O1064" s="29" t="n">
        <v>405000</v>
      </c>
      <c r="P1064" s="30" t="n">
        <v>0</v>
      </c>
      <c r="Q1064" s="263" t="n">
        <v>45915</v>
      </c>
    </row>
    <row r="1065" customFormat="false" ht="15" hidden="false" customHeight="false" outlineLevel="0" collapsed="false">
      <c r="A1065" s="20" t="n">
        <v>3028</v>
      </c>
      <c r="B1065" s="21" t="s">
        <v>330</v>
      </c>
      <c r="C1065" s="21"/>
      <c r="D1065" s="22"/>
      <c r="E1065" s="23" t="n">
        <v>45684</v>
      </c>
      <c r="F1065" s="23" t="n">
        <v>45796</v>
      </c>
      <c r="G1065" s="24" t="n">
        <v>80</v>
      </c>
      <c r="H1065" s="25" t="n">
        <v>127.111111111111</v>
      </c>
      <c r="I1065" s="25" t="n">
        <v>16.4444444444444</v>
      </c>
      <c r="J1065" s="26" t="s">
        <v>1137</v>
      </c>
      <c r="K1065" s="30" t="n">
        <v>50000</v>
      </c>
      <c r="L1065" s="30" t="n">
        <v>108000</v>
      </c>
      <c r="M1065" s="28" t="n">
        <v>6750</v>
      </c>
      <c r="N1065" s="279"/>
      <c r="O1065" s="29" t="n">
        <v>171600</v>
      </c>
      <c r="P1065" s="31" t="n">
        <v>12.7111111111111</v>
      </c>
      <c r="Q1065" s="263" t="n">
        <v>45915</v>
      </c>
    </row>
    <row r="1066" customFormat="false" ht="15" hidden="false" customHeight="false" outlineLevel="0" collapsed="false">
      <c r="A1066" s="20" t="n">
        <v>3236</v>
      </c>
      <c r="B1066" s="21" t="s">
        <v>332</v>
      </c>
      <c r="C1066" s="21" t="s">
        <v>252</v>
      </c>
      <c r="D1066" s="22"/>
      <c r="E1066" s="23" t="n">
        <v>45819</v>
      </c>
      <c r="F1066" s="23" t="n">
        <v>45919</v>
      </c>
      <c r="G1066" s="24" t="n">
        <v>72</v>
      </c>
      <c r="H1066" s="25" t="n">
        <v>71.3333333333333</v>
      </c>
      <c r="I1066" s="25" t="n">
        <v>0.666666666666671</v>
      </c>
      <c r="J1066" s="34" t="s">
        <v>188</v>
      </c>
      <c r="K1066" s="27" t="n">
        <v>100000</v>
      </c>
      <c r="L1066" s="27" t="n">
        <v>216000</v>
      </c>
      <c r="M1066" s="28" t="n">
        <v>15000</v>
      </c>
      <c r="N1066" s="29" t="n">
        <v>2000</v>
      </c>
      <c r="O1066" s="29" t="n">
        <v>214000</v>
      </c>
      <c r="P1066" s="27" t="n">
        <v>0</v>
      </c>
      <c r="Q1066" s="263" t="n">
        <v>45915</v>
      </c>
    </row>
    <row r="1067" customFormat="false" ht="17.9" hidden="false" customHeight="false" outlineLevel="0" collapsed="false">
      <c r="A1067" s="20" t="n">
        <v>3401</v>
      </c>
      <c r="B1067" s="22" t="s">
        <v>363</v>
      </c>
      <c r="C1067" s="22"/>
      <c r="D1067" s="22"/>
      <c r="E1067" s="23" t="n">
        <v>45916</v>
      </c>
      <c r="F1067" s="23" t="n">
        <v>45923</v>
      </c>
      <c r="G1067" s="24" t="n">
        <v>5</v>
      </c>
      <c r="H1067" s="25" t="e">
        <f aca="false">#DIV/0!</f>
        <v>#DIV/0!</v>
      </c>
      <c r="I1067" s="25" t="e">
        <f aca="false">#DIV/0!</f>
        <v>#DIV/0!</v>
      </c>
      <c r="J1067" s="22" t="s">
        <v>199</v>
      </c>
      <c r="K1067" s="55" t="n">
        <v>300000</v>
      </c>
      <c r="L1067" s="30" t="n">
        <v>390000</v>
      </c>
      <c r="M1067" s="28"/>
      <c r="N1067" s="29" t="n">
        <v>390000</v>
      </c>
      <c r="O1067" s="29" t="n">
        <v>390000</v>
      </c>
      <c r="P1067" s="27" t="n">
        <v>0</v>
      </c>
      <c r="Q1067" s="263" t="n">
        <v>45915</v>
      </c>
    </row>
    <row r="1068" customFormat="false" ht="15" hidden="false" customHeight="false" outlineLevel="0" collapsed="false">
      <c r="A1068" s="20" t="n">
        <v>3272</v>
      </c>
      <c r="B1068" s="21" t="s">
        <v>206</v>
      </c>
      <c r="C1068" s="21" t="s">
        <v>207</v>
      </c>
      <c r="D1068" s="22"/>
      <c r="E1068" s="23" t="n">
        <v>45838</v>
      </c>
      <c r="F1068" s="23" t="n">
        <v>45938</v>
      </c>
      <c r="G1068" s="24" t="n">
        <v>72</v>
      </c>
      <c r="H1068" s="25" t="n">
        <v>72</v>
      </c>
      <c r="I1068" s="25" t="n">
        <v>0</v>
      </c>
      <c r="J1068" s="34" t="s">
        <v>188</v>
      </c>
      <c r="K1068" s="30" t="n">
        <v>100000</v>
      </c>
      <c r="L1068" s="30" t="n">
        <v>216000</v>
      </c>
      <c r="M1068" s="28" t="n">
        <v>15000</v>
      </c>
      <c r="N1068" s="29" t="n">
        <v>10800</v>
      </c>
      <c r="O1068" s="29" t="n">
        <v>216000</v>
      </c>
      <c r="P1068" s="27" t="n">
        <v>0</v>
      </c>
      <c r="Q1068" s="263" t="n">
        <v>45922</v>
      </c>
    </row>
    <row r="1069" customFormat="false" ht="19.4" hidden="false" customHeight="false" outlineLevel="0" collapsed="false">
      <c r="A1069" s="20" t="n">
        <v>2617</v>
      </c>
      <c r="B1069" s="21" t="s">
        <v>240</v>
      </c>
      <c r="C1069" s="21" t="s">
        <v>241</v>
      </c>
      <c r="D1069" s="22"/>
      <c r="E1069" s="23" t="n">
        <v>45422</v>
      </c>
      <c r="F1069" s="23" t="n">
        <v>45618</v>
      </c>
      <c r="G1069" s="24" t="n">
        <v>140</v>
      </c>
      <c r="H1069" s="25" t="n">
        <v>140</v>
      </c>
      <c r="I1069" s="358" t="n">
        <v>0</v>
      </c>
      <c r="J1069" s="359" t="s">
        <v>1224</v>
      </c>
      <c r="K1069" s="30" t="n">
        <v>250000</v>
      </c>
      <c r="L1069" s="27" t="n">
        <v>660100</v>
      </c>
      <c r="M1069" s="28" t="n">
        <v>23575</v>
      </c>
      <c r="N1069" s="29" t="n">
        <v>37750</v>
      </c>
      <c r="O1069" s="29" t="n">
        <v>660100</v>
      </c>
      <c r="P1069" s="30" t="n">
        <v>0</v>
      </c>
      <c r="Q1069" s="263" t="n">
        <v>45922</v>
      </c>
    </row>
    <row r="1070" customFormat="false" ht="28.35" hidden="false" customHeight="false" outlineLevel="0" collapsed="false">
      <c r="A1070" s="24" t="n">
        <v>3258</v>
      </c>
      <c r="B1070" s="21" t="s">
        <v>1161</v>
      </c>
      <c r="C1070" s="53" t="s">
        <v>269</v>
      </c>
      <c r="D1070" s="22" t="n">
        <v>22375673</v>
      </c>
      <c r="E1070" s="23" t="n">
        <v>45832</v>
      </c>
      <c r="F1070" s="23" t="n">
        <v>45932</v>
      </c>
      <c r="G1070" s="24" t="n">
        <v>72</v>
      </c>
      <c r="H1070" s="25" t="n">
        <v>72</v>
      </c>
      <c r="I1070" s="358" t="n">
        <v>0</v>
      </c>
      <c r="J1070" s="360" t="s">
        <v>1054</v>
      </c>
      <c r="K1070" s="30" t="n">
        <v>150000</v>
      </c>
      <c r="L1070" s="27" t="n">
        <v>324000</v>
      </c>
      <c r="M1070" s="28" t="n">
        <v>22500</v>
      </c>
      <c r="N1070" s="29" t="n">
        <v>129500</v>
      </c>
      <c r="O1070" s="29" t="n">
        <v>324000</v>
      </c>
      <c r="P1070" s="27" t="n">
        <v>0</v>
      </c>
      <c r="Q1070" s="263" t="n">
        <v>45922</v>
      </c>
    </row>
    <row r="1071" customFormat="false" ht="15" hidden="false" customHeight="false" outlineLevel="0" collapsed="false">
      <c r="A1071" s="24" t="n">
        <v>3259</v>
      </c>
      <c r="B1071" s="21" t="s">
        <v>287</v>
      </c>
      <c r="C1071" s="21" t="s">
        <v>288</v>
      </c>
      <c r="D1071" s="22"/>
      <c r="E1071" s="23" t="n">
        <v>45832</v>
      </c>
      <c r="F1071" s="23" t="n">
        <v>45930</v>
      </c>
      <c r="G1071" s="24" t="n">
        <v>70</v>
      </c>
      <c r="H1071" s="25" t="n">
        <v>70</v>
      </c>
      <c r="I1071" s="358" t="n">
        <v>0</v>
      </c>
      <c r="J1071" s="361" t="s">
        <v>1225</v>
      </c>
      <c r="K1071" s="30" t="n">
        <v>700000</v>
      </c>
      <c r="L1071" s="27" t="n">
        <v>1512000</v>
      </c>
      <c r="M1071" s="28" t="n">
        <v>108000</v>
      </c>
      <c r="N1071" s="29" t="n">
        <v>216000</v>
      </c>
      <c r="O1071" s="29" t="n">
        <v>1512000</v>
      </c>
      <c r="P1071" s="27" t="n">
        <v>0</v>
      </c>
      <c r="Q1071" s="263" t="n">
        <v>45922</v>
      </c>
    </row>
    <row r="1072" customFormat="false" ht="15" hidden="false" customHeight="false" outlineLevel="0" collapsed="false">
      <c r="A1072" s="24" t="n">
        <v>3388</v>
      </c>
      <c r="B1072" s="21" t="s">
        <v>299</v>
      </c>
      <c r="C1072" s="21" t="s">
        <v>300</v>
      </c>
      <c r="D1072" s="22" t="n">
        <v>27350892988</v>
      </c>
      <c r="E1072" s="23" t="n">
        <v>45910</v>
      </c>
      <c r="F1072" s="23" t="n">
        <v>45938</v>
      </c>
      <c r="G1072" s="24" t="n">
        <v>20</v>
      </c>
      <c r="H1072" s="25" t="n">
        <v>20</v>
      </c>
      <c r="I1072" s="362" t="n">
        <v>0</v>
      </c>
      <c r="J1072" s="360" t="s">
        <v>1226</v>
      </c>
      <c r="K1072" s="27" t="n">
        <v>200000</v>
      </c>
      <c r="L1072" s="27" t="n">
        <v>280000</v>
      </c>
      <c r="M1072" s="45" t="n">
        <v>70000</v>
      </c>
      <c r="N1072" s="29" t="n">
        <v>70000</v>
      </c>
      <c r="O1072" s="29" t="n">
        <v>280000</v>
      </c>
      <c r="P1072" s="27" t="n">
        <v>0</v>
      </c>
      <c r="Q1072" s="263" t="n">
        <v>45922</v>
      </c>
    </row>
    <row r="1073" customFormat="false" ht="21.6" hidden="false" customHeight="false" outlineLevel="0" collapsed="false">
      <c r="A1073" s="24" t="n">
        <v>2996</v>
      </c>
      <c r="B1073" s="21" t="s">
        <v>302</v>
      </c>
      <c r="C1073" s="21" t="s">
        <v>303</v>
      </c>
      <c r="D1073" s="22" t="n">
        <v>27212523</v>
      </c>
      <c r="E1073" s="23" t="n">
        <v>45667</v>
      </c>
      <c r="F1073" s="23" t="n">
        <v>45821</v>
      </c>
      <c r="G1073" s="24" t="n">
        <v>110</v>
      </c>
      <c r="H1073" s="25" t="n">
        <v>126.510416666667</v>
      </c>
      <c r="I1073" s="358" t="n">
        <v>-16.5104166666667</v>
      </c>
      <c r="J1073" s="359" t="s">
        <v>1164</v>
      </c>
      <c r="K1073" s="27" t="n">
        <v>80000</v>
      </c>
      <c r="L1073" s="27" t="n">
        <v>211200</v>
      </c>
      <c r="M1073" s="45" t="n">
        <v>9600</v>
      </c>
      <c r="N1073" s="29" t="n">
        <v>60000</v>
      </c>
      <c r="O1073" s="29" t="n">
        <v>242900</v>
      </c>
      <c r="P1073" s="27" t="n">
        <v>-31700</v>
      </c>
      <c r="Q1073" s="263" t="n">
        <v>45922</v>
      </c>
    </row>
    <row r="1074" customFormat="false" ht="21.6" hidden="false" customHeight="false" outlineLevel="0" collapsed="false">
      <c r="A1074" s="20" t="n">
        <v>3140</v>
      </c>
      <c r="B1074" s="21" t="s">
        <v>329</v>
      </c>
      <c r="C1074" s="21" t="s">
        <v>325</v>
      </c>
      <c r="D1074" s="22"/>
      <c r="E1074" s="23" t="n">
        <v>45750</v>
      </c>
      <c r="F1074" s="23" t="n">
        <v>45852</v>
      </c>
      <c r="G1074" s="24" t="n">
        <v>72</v>
      </c>
      <c r="H1074" s="25" t="n">
        <v>72</v>
      </c>
      <c r="I1074" s="25" t="n">
        <v>0</v>
      </c>
      <c r="J1074" s="34" t="s">
        <v>188</v>
      </c>
      <c r="K1074" s="27" t="n">
        <v>100000</v>
      </c>
      <c r="L1074" s="27" t="n">
        <v>216000</v>
      </c>
      <c r="M1074" s="28" t="n">
        <v>15000</v>
      </c>
      <c r="N1074" s="29" t="n">
        <v>6000</v>
      </c>
      <c r="O1074" s="29" t="n">
        <v>216000</v>
      </c>
      <c r="P1074" s="30" t="n">
        <v>0</v>
      </c>
      <c r="Q1074" s="263" t="n">
        <v>45922</v>
      </c>
    </row>
    <row r="1075" customFormat="false" ht="41.75" hidden="false" customHeight="false" outlineLevel="0" collapsed="false">
      <c r="A1075" s="20" t="n">
        <v>3335</v>
      </c>
      <c r="B1075" s="21" t="s">
        <v>385</v>
      </c>
      <c r="C1075" s="21" t="s">
        <v>386</v>
      </c>
      <c r="D1075" s="22"/>
      <c r="E1075" s="23" t="n">
        <v>45878</v>
      </c>
      <c r="F1075" s="23" t="n">
        <v>45961</v>
      </c>
      <c r="G1075" s="24" t="n">
        <v>60</v>
      </c>
      <c r="H1075" s="25" t="n">
        <v>60</v>
      </c>
      <c r="I1075" s="49" t="n">
        <v>0</v>
      </c>
      <c r="J1075" s="26" t="s">
        <v>387</v>
      </c>
      <c r="K1075" s="27" t="n">
        <v>400000</v>
      </c>
      <c r="L1075" s="27" t="n">
        <v>768000</v>
      </c>
      <c r="M1075" s="28" t="n">
        <v>64000</v>
      </c>
      <c r="N1075" s="29" t="n">
        <v>256000</v>
      </c>
      <c r="O1075" s="29" t="n">
        <v>768000</v>
      </c>
      <c r="P1075" s="30" t="n">
        <v>0</v>
      </c>
      <c r="Q1075" s="263" t="n">
        <v>45922</v>
      </c>
    </row>
    <row r="1076" customFormat="false" ht="26.1" hidden="false" customHeight="false" outlineLevel="0" collapsed="false">
      <c r="A1076" s="20" t="n">
        <v>3400</v>
      </c>
      <c r="B1076" s="21" t="s">
        <v>216</v>
      </c>
      <c r="C1076" s="21" t="s">
        <v>217</v>
      </c>
      <c r="D1076" s="22" t="s">
        <v>218</v>
      </c>
      <c r="E1076" s="23" t="n">
        <v>45916</v>
      </c>
      <c r="F1076" s="23" t="n">
        <v>45923</v>
      </c>
      <c r="G1076" s="24" t="n">
        <v>5</v>
      </c>
      <c r="H1076" s="26" t="s">
        <v>444</v>
      </c>
      <c r="I1076" s="30" t="n">
        <v>100000</v>
      </c>
      <c r="J1076" s="30" t="n">
        <v>145000</v>
      </c>
      <c r="K1076" s="45"/>
      <c r="L1076" s="27" t="n">
        <v>145000</v>
      </c>
      <c r="M1076" s="28"/>
      <c r="N1076" s="29" t="n">
        <v>45000</v>
      </c>
      <c r="O1076" s="29" t="n">
        <v>145000</v>
      </c>
      <c r="P1076" s="30" t="n">
        <v>0</v>
      </c>
      <c r="Q1076" s="263" t="n">
        <v>45929</v>
      </c>
    </row>
    <row r="1077" customFormat="false" ht="28.35" hidden="false" customHeight="false" outlineLevel="0" collapsed="false">
      <c r="A1077" s="20" t="n">
        <v>3240</v>
      </c>
      <c r="B1077" s="21" t="s">
        <v>350</v>
      </c>
      <c r="C1077" s="21" t="s">
        <v>351</v>
      </c>
      <c r="D1077" s="22"/>
      <c r="E1077" s="23" t="n">
        <v>45822</v>
      </c>
      <c r="F1077" s="23" t="n">
        <v>45923</v>
      </c>
      <c r="G1077" s="24" t="n">
        <v>72</v>
      </c>
      <c r="H1077" s="34" t="s">
        <v>190</v>
      </c>
      <c r="I1077" s="30" t="n">
        <v>200000</v>
      </c>
      <c r="J1077" s="30" t="n">
        <v>432000</v>
      </c>
      <c r="K1077" s="45" t="n">
        <v>30000</v>
      </c>
      <c r="L1077" s="27" t="n">
        <v>432000</v>
      </c>
      <c r="M1077" s="28" t="n">
        <v>30000</v>
      </c>
      <c r="N1077" s="29" t="n">
        <v>42000</v>
      </c>
      <c r="O1077" s="29" t="n">
        <v>432000</v>
      </c>
      <c r="P1077" s="30" t="n">
        <v>0</v>
      </c>
      <c r="Q1077" s="263" t="n">
        <v>45929</v>
      </c>
    </row>
    <row r="1078" customFormat="false" ht="21.6" hidden="false" customHeight="false" outlineLevel="0" collapsed="false">
      <c r="A1078" s="20" t="n">
        <v>3175</v>
      </c>
      <c r="B1078" s="21" t="s">
        <v>486</v>
      </c>
      <c r="C1078" s="21" t="s">
        <v>476</v>
      </c>
      <c r="D1078" s="22"/>
      <c r="E1078" s="23" t="n">
        <v>45777</v>
      </c>
      <c r="F1078" s="23" t="n">
        <v>45945</v>
      </c>
      <c r="G1078" s="24" t="n">
        <v>120</v>
      </c>
      <c r="H1078" s="26" t="s">
        <v>456</v>
      </c>
      <c r="I1078" s="30" t="n">
        <v>100000</v>
      </c>
      <c r="J1078" s="30" t="n">
        <v>264000</v>
      </c>
      <c r="K1078" s="45" t="n">
        <v>11000</v>
      </c>
      <c r="L1078" s="27" t="n">
        <v>264000</v>
      </c>
      <c r="M1078" s="28" t="n">
        <v>11000</v>
      </c>
      <c r="N1078" s="29" t="n">
        <v>98000</v>
      </c>
      <c r="O1078" s="29" t="n">
        <v>264000</v>
      </c>
      <c r="P1078" s="30" t="n">
        <v>0</v>
      </c>
      <c r="Q1078" s="263" t="n">
        <v>45929</v>
      </c>
    </row>
    <row r="1079" customFormat="false" ht="26.1" hidden="false" customHeight="false" outlineLevel="0" collapsed="false">
      <c r="A1079" s="20" t="n">
        <v>3241</v>
      </c>
      <c r="B1079" s="22" t="s">
        <v>499</v>
      </c>
      <c r="C1079" s="22" t="s">
        <v>500</v>
      </c>
      <c r="D1079" s="22" t="n">
        <v>24324078</v>
      </c>
      <c r="E1079" s="23" t="n">
        <v>45822</v>
      </c>
      <c r="F1079" s="23" t="n">
        <v>45933</v>
      </c>
      <c r="G1079" s="37" t="n">
        <v>80</v>
      </c>
      <c r="H1079" s="22" t="s">
        <v>1152</v>
      </c>
      <c r="I1079" s="30" t="n">
        <v>100000</v>
      </c>
      <c r="J1079" s="30" t="n">
        <v>216000</v>
      </c>
      <c r="K1079" s="45" t="n">
        <v>13500</v>
      </c>
      <c r="L1079" s="27" t="n">
        <v>216000</v>
      </c>
      <c r="M1079" s="28" t="n">
        <v>13500</v>
      </c>
      <c r="N1079" s="29" t="n">
        <v>54000</v>
      </c>
      <c r="O1079" s="29" t="n">
        <v>216000</v>
      </c>
      <c r="P1079" s="30" t="n">
        <v>0</v>
      </c>
      <c r="Q1079" s="263" t="n">
        <v>45929</v>
      </c>
    </row>
    <row r="1080" customFormat="false" ht="15" hidden="false" customHeight="false" outlineLevel="0" collapsed="false">
      <c r="A1080" s="52" t="n">
        <v>3422</v>
      </c>
      <c r="B1080" s="21" t="s">
        <v>1227</v>
      </c>
      <c r="C1080" s="21"/>
      <c r="D1080" s="22"/>
      <c r="E1080" s="23" t="n">
        <v>45930</v>
      </c>
      <c r="F1080" s="23" t="n">
        <v>45937</v>
      </c>
      <c r="G1080" s="24" t="n">
        <v>5</v>
      </c>
      <c r="H1080" s="34" t="s">
        <v>444</v>
      </c>
      <c r="I1080" s="30" t="n">
        <v>20000</v>
      </c>
      <c r="J1080" s="30" t="n">
        <v>26000</v>
      </c>
      <c r="K1080" s="45" t="s">
        <v>184</v>
      </c>
      <c r="L1080" s="27" t="n">
        <v>26000</v>
      </c>
      <c r="M1080" s="28" t="s">
        <v>184</v>
      </c>
      <c r="N1080" s="40" t="n">
        <v>26000</v>
      </c>
      <c r="O1080" s="29" t="n">
        <v>26000</v>
      </c>
      <c r="P1080" s="27" t="n">
        <v>0</v>
      </c>
      <c r="Q1080" s="263" t="n">
        <v>45929</v>
      </c>
    </row>
    <row r="1081" customFormat="false" ht="48.5" hidden="false" customHeight="false" outlineLevel="0" collapsed="false">
      <c r="A1081" s="24" t="n">
        <v>3221</v>
      </c>
      <c r="B1081" s="21" t="s">
        <v>399</v>
      </c>
      <c r="C1081" s="21" t="s">
        <v>400</v>
      </c>
      <c r="D1081" s="22" t="n">
        <v>27249921551</v>
      </c>
      <c r="E1081" s="23" t="n">
        <v>45806</v>
      </c>
      <c r="F1081" s="23" t="n">
        <v>45908</v>
      </c>
      <c r="G1081" s="24" t="n">
        <v>72</v>
      </c>
      <c r="H1081" s="25" t="n">
        <v>72</v>
      </c>
      <c r="I1081" s="25" t="n">
        <v>0</v>
      </c>
      <c r="J1081" s="34" t="s">
        <v>495</v>
      </c>
      <c r="K1081" s="55" t="n">
        <v>70000</v>
      </c>
      <c r="L1081" s="30" t="n">
        <v>151200</v>
      </c>
      <c r="M1081" s="28" t="n">
        <v>10500</v>
      </c>
      <c r="N1081" s="29" t="n">
        <v>14700</v>
      </c>
      <c r="O1081" s="29" t="n">
        <v>151200</v>
      </c>
      <c r="P1081" s="27" t="n">
        <v>0</v>
      </c>
      <c r="Q1081" s="263" t="n">
        <v>45936</v>
      </c>
    </row>
    <row r="1082" customFormat="false" ht="19.4" hidden="false" customHeight="false" outlineLevel="0" collapsed="false">
      <c r="A1082" s="24" t="n">
        <v>3263</v>
      </c>
      <c r="B1082" s="21" t="s">
        <v>425</v>
      </c>
      <c r="C1082" s="21" t="s">
        <v>426</v>
      </c>
      <c r="D1082" s="22"/>
      <c r="E1082" s="23" t="n">
        <v>45834</v>
      </c>
      <c r="F1082" s="23" t="n">
        <v>45862</v>
      </c>
      <c r="G1082" s="24" t="n">
        <v>20</v>
      </c>
      <c r="H1082" s="25" t="e">
        <f aca="false">#VALUE!</f>
        <v>#VALUE!</v>
      </c>
      <c r="I1082" s="25" t="e">
        <f aca="false">#VALUE!</f>
        <v>#VALUE!</v>
      </c>
      <c r="J1082" s="26" t="s">
        <v>1131</v>
      </c>
      <c r="K1082" s="27" t="n">
        <v>50000</v>
      </c>
      <c r="L1082" s="27" t="n">
        <v>130000</v>
      </c>
      <c r="M1082" s="28" t="s">
        <v>1228</v>
      </c>
      <c r="N1082" s="29" t="n">
        <v>90000</v>
      </c>
      <c r="O1082" s="29" t="n">
        <v>130000</v>
      </c>
      <c r="P1082" s="27" t="n">
        <v>0</v>
      </c>
      <c r="Q1082" s="263" t="n">
        <v>45936</v>
      </c>
    </row>
    <row r="1083" customFormat="false" ht="28.35" hidden="false" customHeight="false" outlineLevel="0" collapsed="false">
      <c r="A1083" s="24" t="n">
        <v>3308</v>
      </c>
      <c r="B1083" s="21" t="s">
        <v>437</v>
      </c>
      <c r="C1083" s="21" t="s">
        <v>438</v>
      </c>
      <c r="D1083" s="22"/>
      <c r="E1083" s="23" t="n">
        <v>45861</v>
      </c>
      <c r="F1083" s="23" t="n">
        <v>45938</v>
      </c>
      <c r="G1083" s="24" t="n">
        <v>55</v>
      </c>
      <c r="H1083" s="25" t="n">
        <v>55</v>
      </c>
      <c r="I1083" s="25" t="n">
        <v>0</v>
      </c>
      <c r="J1083" s="34" t="s">
        <v>439</v>
      </c>
      <c r="K1083" s="30" t="n">
        <v>300000</v>
      </c>
      <c r="L1083" s="30" t="n">
        <v>565730</v>
      </c>
      <c r="M1083" s="28" t="n">
        <v>51430</v>
      </c>
      <c r="N1083" s="29" t="n">
        <v>51430</v>
      </c>
      <c r="O1083" s="29" t="n">
        <v>565730</v>
      </c>
      <c r="P1083" s="27" t="n">
        <v>0</v>
      </c>
      <c r="Q1083" s="263" t="n">
        <v>45936</v>
      </c>
    </row>
    <row r="1084" customFormat="false" ht="15" hidden="false" customHeight="false" outlineLevel="0" collapsed="false">
      <c r="A1084" s="24" t="n">
        <v>3389</v>
      </c>
      <c r="B1084" s="21" t="s">
        <v>443</v>
      </c>
      <c r="C1084" s="21"/>
      <c r="D1084" s="22"/>
      <c r="E1084" s="23" t="n">
        <v>45910</v>
      </c>
      <c r="F1084" s="23" t="n">
        <v>45820</v>
      </c>
      <c r="G1084" s="24" t="n">
        <v>20</v>
      </c>
      <c r="H1084" s="25" t="e">
        <f aca="false">#DIV/0!</f>
        <v>#DIV/0!</v>
      </c>
      <c r="I1084" s="25" t="e">
        <f aca="false">#DIV/0!</f>
        <v>#DIV/0!</v>
      </c>
      <c r="J1084" s="26" t="s">
        <v>444</v>
      </c>
      <c r="K1084" s="27" t="n">
        <v>50000</v>
      </c>
      <c r="L1084" s="27" t="n">
        <v>75000</v>
      </c>
      <c r="M1084" s="28"/>
      <c r="N1084" s="29" t="n">
        <v>75000</v>
      </c>
      <c r="O1084" s="29" t="n">
        <v>75000</v>
      </c>
      <c r="P1084" s="27" t="n">
        <v>0</v>
      </c>
      <c r="Q1084" s="263" t="n">
        <v>45936</v>
      </c>
    </row>
    <row r="1085" customFormat="false" ht="15" hidden="false" customHeight="false" outlineLevel="0" collapsed="false">
      <c r="A1085" s="61" t="n">
        <v>3424</v>
      </c>
      <c r="B1085" s="21" t="s">
        <v>443</v>
      </c>
      <c r="C1085" s="21"/>
      <c r="D1085" s="22"/>
      <c r="E1085" s="23" t="n">
        <v>45931</v>
      </c>
      <c r="F1085" s="23" t="n">
        <v>45945</v>
      </c>
      <c r="G1085" s="24" t="n">
        <v>10</v>
      </c>
      <c r="H1085" s="25" t="e">
        <f aca="false">#DIV/0!</f>
        <v>#DIV/0!</v>
      </c>
      <c r="I1085" s="25" t="e">
        <f aca="false">#DIV/0!</f>
        <v>#DIV/0!</v>
      </c>
      <c r="J1085" s="26" t="s">
        <v>444</v>
      </c>
      <c r="K1085" s="27" t="n">
        <v>15000</v>
      </c>
      <c r="L1085" s="27" t="n">
        <v>22500</v>
      </c>
      <c r="M1085" s="28"/>
      <c r="N1085" s="29" t="n">
        <v>22500</v>
      </c>
      <c r="O1085" s="29" t="n">
        <v>22500</v>
      </c>
      <c r="P1085" s="27" t="n">
        <v>0</v>
      </c>
      <c r="Q1085" s="263" t="n">
        <v>45936</v>
      </c>
    </row>
    <row r="1086" customFormat="false" ht="15" hidden="false" customHeight="false" outlineLevel="0" collapsed="false">
      <c r="A1086" s="24" t="n">
        <v>3384</v>
      </c>
      <c r="B1086" s="21" t="s">
        <v>445</v>
      </c>
      <c r="C1086" s="21"/>
      <c r="D1086" s="22"/>
      <c r="E1086" s="23" t="n">
        <v>45909</v>
      </c>
      <c r="F1086" s="23" t="n">
        <v>45820</v>
      </c>
      <c r="G1086" s="24" t="n">
        <v>20</v>
      </c>
      <c r="H1086" s="25" t="e">
        <f aca="false">#VALUE!</f>
        <v>#VALUE!</v>
      </c>
      <c r="I1086" s="25" t="e">
        <f aca="false">#VALUE!</f>
        <v>#VALUE!</v>
      </c>
      <c r="J1086" s="26" t="s">
        <v>444</v>
      </c>
      <c r="K1086" s="30" t="n">
        <v>100000</v>
      </c>
      <c r="L1086" s="30" t="n">
        <v>150000</v>
      </c>
      <c r="M1086" s="28" t="s">
        <v>184</v>
      </c>
      <c r="N1086" s="29" t="n">
        <v>150000</v>
      </c>
      <c r="O1086" s="29" t="n">
        <v>150000</v>
      </c>
      <c r="P1086" s="27" t="n">
        <v>0</v>
      </c>
      <c r="Q1086" s="263" t="n">
        <v>45936</v>
      </c>
    </row>
    <row r="1087" customFormat="false" ht="28.35" hidden="false" customHeight="false" outlineLevel="0" collapsed="false">
      <c r="A1087" s="24" t="n">
        <v>3249</v>
      </c>
      <c r="B1087" s="21" t="s">
        <v>448</v>
      </c>
      <c r="C1087" s="21" t="s">
        <v>449</v>
      </c>
      <c r="D1087" s="22"/>
      <c r="E1087" s="23" t="n">
        <v>45826</v>
      </c>
      <c r="F1087" s="23" t="n">
        <v>45938</v>
      </c>
      <c r="G1087" s="24" t="n">
        <v>80</v>
      </c>
      <c r="H1087" s="25" t="n">
        <v>80</v>
      </c>
      <c r="I1087" s="25" t="n">
        <v>0</v>
      </c>
      <c r="J1087" s="26" t="s">
        <v>273</v>
      </c>
      <c r="K1087" s="30" t="n">
        <v>300000</v>
      </c>
      <c r="L1087" s="30" t="n">
        <v>648000</v>
      </c>
      <c r="M1087" s="28" t="n">
        <v>40500</v>
      </c>
      <c r="N1087" s="29" t="n">
        <v>162000</v>
      </c>
      <c r="O1087" s="29" t="n">
        <v>648000</v>
      </c>
      <c r="P1087" s="27" t="n">
        <v>0</v>
      </c>
      <c r="Q1087" s="263" t="n">
        <v>45936</v>
      </c>
    </row>
    <row r="1088" customFormat="false" ht="37.3" hidden="false" customHeight="false" outlineLevel="0" collapsed="false">
      <c r="A1088" s="24" t="n">
        <v>3261</v>
      </c>
      <c r="B1088" s="34" t="s">
        <v>475</v>
      </c>
      <c r="C1088" s="34" t="s">
        <v>476</v>
      </c>
      <c r="D1088" s="34"/>
      <c r="E1088" s="23" t="n">
        <v>45832</v>
      </c>
      <c r="F1088" s="42" t="n">
        <v>45138</v>
      </c>
      <c r="G1088" s="24" t="n">
        <v>72</v>
      </c>
      <c r="H1088" s="25" t="n">
        <v>72</v>
      </c>
      <c r="I1088" s="25" t="n">
        <v>0</v>
      </c>
      <c r="J1088" s="22" t="s">
        <v>675</v>
      </c>
      <c r="K1088" s="59" t="n">
        <v>30000</v>
      </c>
      <c r="L1088" s="59" t="n">
        <v>64800</v>
      </c>
      <c r="M1088" s="28" t="n">
        <v>4500</v>
      </c>
      <c r="N1088" s="29" t="n">
        <v>24300</v>
      </c>
      <c r="O1088" s="29" t="n">
        <v>64800</v>
      </c>
      <c r="P1088" s="27" t="n">
        <v>0</v>
      </c>
      <c r="Q1088" s="263" t="n">
        <v>45936</v>
      </c>
    </row>
    <row r="1089" customFormat="false" ht="15" hidden="false" customHeight="false" outlineLevel="0" collapsed="false">
      <c r="A1089" s="24" t="n">
        <v>3393</v>
      </c>
      <c r="B1089" s="22" t="s">
        <v>481</v>
      </c>
      <c r="C1089" s="21"/>
      <c r="D1089" s="22"/>
      <c r="E1089" s="23" t="n">
        <v>45912</v>
      </c>
      <c r="F1089" s="23" t="n">
        <v>45940</v>
      </c>
      <c r="G1089" s="24" t="n">
        <v>20</v>
      </c>
      <c r="H1089" s="25" t="e">
        <f aca="false">#DIV/0!</f>
        <v>#DIV/0!</v>
      </c>
      <c r="I1089" s="25" t="e">
        <f aca="false">#DIV/0!</f>
        <v>#DIV/0!</v>
      </c>
      <c r="J1089" s="26" t="s">
        <v>444</v>
      </c>
      <c r="K1089" s="27" t="n">
        <v>50000</v>
      </c>
      <c r="L1089" s="27" t="n">
        <v>80000</v>
      </c>
      <c r="M1089" s="28"/>
      <c r="N1089" s="29" t="n">
        <v>80000</v>
      </c>
      <c r="O1089" s="29" t="n">
        <v>80000</v>
      </c>
      <c r="P1089" s="27" t="n">
        <v>0</v>
      </c>
      <c r="Q1089" s="263" t="n">
        <v>45936</v>
      </c>
    </row>
    <row r="1090" customFormat="false" ht="15" hidden="false" customHeight="false" outlineLevel="0" collapsed="false">
      <c r="A1090" s="24" t="n">
        <v>3396</v>
      </c>
      <c r="B1090" s="22" t="s">
        <v>481</v>
      </c>
      <c r="C1090" s="21"/>
      <c r="D1090" s="22"/>
      <c r="E1090" s="23" t="n">
        <v>45913</v>
      </c>
      <c r="F1090" s="23" t="n">
        <v>45933</v>
      </c>
      <c r="G1090" s="24" t="n">
        <v>15</v>
      </c>
      <c r="H1090" s="25" t="e">
        <f aca="false">#DIV/0!</f>
        <v>#DIV/0!</v>
      </c>
      <c r="I1090" s="25" t="e">
        <f aca="false">#DIV/0!</f>
        <v>#DIV/0!</v>
      </c>
      <c r="J1090" s="26" t="s">
        <v>444</v>
      </c>
      <c r="K1090" s="27" t="n">
        <v>40000</v>
      </c>
      <c r="L1090" s="27" t="n">
        <v>64000</v>
      </c>
      <c r="M1090" s="28"/>
      <c r="N1090" s="29" t="n">
        <v>64000</v>
      </c>
      <c r="O1090" s="29" t="n">
        <v>64000</v>
      </c>
      <c r="P1090" s="27" t="n">
        <v>0</v>
      </c>
      <c r="Q1090" s="263" t="n">
        <v>45936</v>
      </c>
    </row>
    <row r="1091" customFormat="false" ht="15" hidden="false" customHeight="false" outlineLevel="0" collapsed="false">
      <c r="A1091" s="24" t="n">
        <v>3402</v>
      </c>
      <c r="B1091" s="22" t="s">
        <v>481</v>
      </c>
      <c r="C1091" s="21"/>
      <c r="D1091" s="22"/>
      <c r="E1091" s="23" t="n">
        <v>45917</v>
      </c>
      <c r="F1091" s="23" t="n">
        <v>45938</v>
      </c>
      <c r="G1091" s="24" t="n">
        <v>15</v>
      </c>
      <c r="H1091" s="25" t="e">
        <f aca="false">#DIV/0!</f>
        <v>#DIV/0!</v>
      </c>
      <c r="I1091" s="25" t="e">
        <f aca="false">#DIV/0!</f>
        <v>#DIV/0!</v>
      </c>
      <c r="J1091" s="26" t="s">
        <v>444</v>
      </c>
      <c r="K1091" s="27" t="n">
        <v>30000</v>
      </c>
      <c r="L1091" s="27" t="n">
        <v>48000</v>
      </c>
      <c r="M1091" s="28"/>
      <c r="N1091" s="29" t="n">
        <v>48000</v>
      </c>
      <c r="O1091" s="29" t="n">
        <v>48000</v>
      </c>
      <c r="P1091" s="27" t="n">
        <v>0</v>
      </c>
      <c r="Q1091" s="263" t="n">
        <v>45936</v>
      </c>
    </row>
    <row r="1092" customFormat="false" ht="15" hidden="false" customHeight="false" outlineLevel="0" collapsed="false">
      <c r="A1092" s="24" t="n">
        <v>3408</v>
      </c>
      <c r="B1092" s="22" t="s">
        <v>481</v>
      </c>
      <c r="C1092" s="21"/>
      <c r="D1092" s="22"/>
      <c r="E1092" s="23" t="n">
        <v>45920</v>
      </c>
      <c r="F1092" s="23" t="n">
        <v>45940</v>
      </c>
      <c r="G1092" s="24" t="n">
        <v>15</v>
      </c>
      <c r="H1092" s="25" t="e">
        <f aca="false">#DIV/0!</f>
        <v>#DIV/0!</v>
      </c>
      <c r="I1092" s="25" t="e">
        <f aca="false">#DIV/0!</f>
        <v>#DIV/0!</v>
      </c>
      <c r="J1092" s="26" t="s">
        <v>444</v>
      </c>
      <c r="K1092" s="27" t="n">
        <v>40000</v>
      </c>
      <c r="L1092" s="27" t="n">
        <v>64000</v>
      </c>
      <c r="M1092" s="28"/>
      <c r="N1092" s="29" t="n">
        <v>64000</v>
      </c>
      <c r="O1092" s="29" t="n">
        <v>64000</v>
      </c>
      <c r="P1092" s="27" t="n">
        <v>0</v>
      </c>
      <c r="Q1092" s="263" t="n">
        <v>45936</v>
      </c>
    </row>
    <row r="1093" customFormat="false" ht="15" hidden="false" customHeight="false" outlineLevel="0" collapsed="false">
      <c r="A1093" s="24" t="n">
        <v>3411</v>
      </c>
      <c r="B1093" s="22" t="s">
        <v>481</v>
      </c>
      <c r="C1093" s="21"/>
      <c r="D1093" s="22"/>
      <c r="E1093" s="23" t="n">
        <v>45922</v>
      </c>
      <c r="F1093" s="23" t="n">
        <v>45943</v>
      </c>
      <c r="G1093" s="24" t="n">
        <v>15</v>
      </c>
      <c r="H1093" s="25" t="e">
        <f aca="false">#DIV/0!</f>
        <v>#DIV/0!</v>
      </c>
      <c r="I1093" s="25" t="e">
        <f aca="false">#DIV/0!</f>
        <v>#DIV/0!</v>
      </c>
      <c r="J1093" s="26" t="s">
        <v>444</v>
      </c>
      <c r="K1093" s="30" t="n">
        <v>30000</v>
      </c>
      <c r="L1093" s="30" t="n">
        <v>48000</v>
      </c>
      <c r="M1093" s="45"/>
      <c r="N1093" s="29" t="n">
        <v>48000</v>
      </c>
      <c r="O1093" s="29" t="n">
        <v>48000</v>
      </c>
      <c r="P1093" s="27" t="n">
        <v>0</v>
      </c>
      <c r="Q1093" s="263" t="n">
        <v>45936</v>
      </c>
    </row>
    <row r="1094" customFormat="false" ht="21.6" hidden="false" customHeight="false" outlineLevel="0" collapsed="false">
      <c r="A1094" s="24" t="n">
        <v>3397</v>
      </c>
      <c r="B1094" s="21" t="s">
        <v>196</v>
      </c>
      <c r="C1094" s="21" t="s">
        <v>197</v>
      </c>
      <c r="D1094" s="22"/>
      <c r="E1094" s="23" t="n">
        <v>45915</v>
      </c>
      <c r="F1094" s="23" t="n">
        <v>45940</v>
      </c>
      <c r="G1094" s="24" t="n">
        <v>19</v>
      </c>
      <c r="H1094" s="25" t="e">
        <f aca="false">#DIV/0!</f>
        <v>#DIV/0!</v>
      </c>
      <c r="I1094" s="25" t="e">
        <f aca="false">#DIV/0!</f>
        <v>#DIV/0!</v>
      </c>
      <c r="J1094" s="26" t="s">
        <v>1087</v>
      </c>
      <c r="K1094" s="33" t="n">
        <v>100000</v>
      </c>
      <c r="L1094" s="27" t="n">
        <v>150000</v>
      </c>
      <c r="M1094" s="28"/>
      <c r="N1094" s="29" t="n">
        <v>150000</v>
      </c>
      <c r="O1094" s="29" t="n">
        <v>150000</v>
      </c>
      <c r="P1094" s="27" t="n">
        <v>0</v>
      </c>
      <c r="Q1094" s="263" t="n">
        <v>45943</v>
      </c>
    </row>
    <row r="1095" customFormat="false" ht="21.6" hidden="false" customHeight="false" outlineLevel="0" collapsed="false">
      <c r="A1095" s="20" t="n">
        <v>3334</v>
      </c>
      <c r="B1095" s="21" t="s">
        <v>226</v>
      </c>
      <c r="C1095" s="21" t="s">
        <v>227</v>
      </c>
      <c r="D1095" s="22"/>
      <c r="E1095" s="23" t="n">
        <v>45877</v>
      </c>
      <c r="F1095" s="23" t="n">
        <v>45940</v>
      </c>
      <c r="G1095" s="24" t="n">
        <v>45</v>
      </c>
      <c r="H1095" s="25" t="n">
        <v>45</v>
      </c>
      <c r="I1095" s="25" t="n">
        <v>0</v>
      </c>
      <c r="J1095" s="34" t="s">
        <v>1229</v>
      </c>
      <c r="K1095" s="27" t="n">
        <v>67100</v>
      </c>
      <c r="L1095" s="27" t="n">
        <v>94500</v>
      </c>
      <c r="M1095" s="28" t="n">
        <v>10500</v>
      </c>
      <c r="N1095" s="29" t="n">
        <v>11000</v>
      </c>
      <c r="O1095" s="29" t="n">
        <v>94500</v>
      </c>
      <c r="P1095" s="30" t="n">
        <v>0</v>
      </c>
      <c r="Q1095" s="263" t="n">
        <v>45943</v>
      </c>
    </row>
    <row r="1096" customFormat="false" ht="15" hidden="false" customHeight="false" outlineLevel="0" collapsed="false">
      <c r="A1096" s="20" t="n">
        <v>3111</v>
      </c>
      <c r="B1096" s="21" t="s">
        <v>330</v>
      </c>
      <c r="C1096" s="21"/>
      <c r="D1096" s="22"/>
      <c r="E1096" s="23" t="n">
        <v>45733</v>
      </c>
      <c r="F1096" s="23" t="n">
        <v>45845</v>
      </c>
      <c r="G1096" s="24" t="n">
        <v>80</v>
      </c>
      <c r="H1096" s="25" t="n">
        <v>94.0740740740741</v>
      </c>
      <c r="I1096" s="25" t="n">
        <v>-14.0740740740741</v>
      </c>
      <c r="J1096" s="26" t="s">
        <v>1137</v>
      </c>
      <c r="K1096" s="30" t="n">
        <v>50000</v>
      </c>
      <c r="L1096" s="30" t="n">
        <v>108000</v>
      </c>
      <c r="M1096" s="28" t="n">
        <v>6750</v>
      </c>
      <c r="N1096" s="29" t="n">
        <v>54000</v>
      </c>
      <c r="O1096" s="29" t="n">
        <v>127000</v>
      </c>
      <c r="P1096" s="30" t="n">
        <v>-19000</v>
      </c>
      <c r="Q1096" s="263" t="n">
        <v>45943</v>
      </c>
    </row>
    <row r="1097" customFormat="false" ht="15" hidden="false" customHeight="false" outlineLevel="0" collapsed="false">
      <c r="A1097" s="20" t="n">
        <v>3206</v>
      </c>
      <c r="B1097" s="21" t="s">
        <v>332</v>
      </c>
      <c r="C1097" s="21" t="s">
        <v>252</v>
      </c>
      <c r="D1097" s="22"/>
      <c r="E1097" s="23" t="n">
        <v>45798</v>
      </c>
      <c r="F1097" s="23" t="n">
        <v>45952</v>
      </c>
      <c r="G1097" s="24" t="n">
        <v>110</v>
      </c>
      <c r="H1097" s="25" t="n">
        <v>110</v>
      </c>
      <c r="I1097" s="25" t="n">
        <v>0</v>
      </c>
      <c r="J1097" s="46" t="s">
        <v>254</v>
      </c>
      <c r="K1097" s="27" t="n">
        <v>100000</v>
      </c>
      <c r="L1097" s="27" t="n">
        <v>264000</v>
      </c>
      <c r="M1097" s="28" t="n">
        <v>12000</v>
      </c>
      <c r="N1097" s="29" t="n">
        <v>24000</v>
      </c>
      <c r="O1097" s="29" t="n">
        <v>264000</v>
      </c>
      <c r="P1097" s="27" t="n">
        <v>0</v>
      </c>
      <c r="Q1097" s="263" t="n">
        <v>45943</v>
      </c>
    </row>
    <row r="1098" customFormat="false" ht="15" hidden="false" customHeight="false" outlineLevel="0" collapsed="false">
      <c r="A1098" s="20" t="n">
        <v>3149</v>
      </c>
      <c r="B1098" s="21" t="s">
        <v>342</v>
      </c>
      <c r="C1098" s="21" t="s">
        <v>343</v>
      </c>
      <c r="D1098" s="22"/>
      <c r="E1098" s="23" t="n">
        <v>45758</v>
      </c>
      <c r="F1098" s="23" t="n">
        <v>45982</v>
      </c>
      <c r="G1098" s="24" t="n">
        <v>160</v>
      </c>
      <c r="H1098" s="25" t="n">
        <v>160</v>
      </c>
      <c r="I1098" s="25" t="n">
        <v>0</v>
      </c>
      <c r="J1098" s="26" t="s">
        <v>1230</v>
      </c>
      <c r="K1098" s="27" t="n">
        <v>250000</v>
      </c>
      <c r="L1098" s="27" t="n">
        <v>750400</v>
      </c>
      <c r="M1098" s="28" t="n">
        <v>23450</v>
      </c>
      <c r="N1098" s="29" t="n">
        <v>187000</v>
      </c>
      <c r="O1098" s="29" t="n">
        <v>750400</v>
      </c>
      <c r="P1098" s="27" t="n">
        <v>0</v>
      </c>
      <c r="Q1098" s="263" t="n">
        <v>45943</v>
      </c>
    </row>
    <row r="1099" customFormat="false" ht="28.35" hidden="false" customHeight="false" outlineLevel="0" collapsed="false">
      <c r="A1099" s="24" t="n">
        <v>3399</v>
      </c>
      <c r="B1099" s="21" t="s">
        <v>581</v>
      </c>
      <c r="C1099" s="21" t="s">
        <v>1198</v>
      </c>
      <c r="D1099" s="22" t="n">
        <v>27355741082</v>
      </c>
      <c r="E1099" s="23" t="n">
        <v>45915</v>
      </c>
      <c r="F1099" s="23" t="n">
        <v>45943</v>
      </c>
      <c r="G1099" s="24" t="n">
        <v>20</v>
      </c>
      <c r="H1099" s="25" t="e">
        <f aca="false">#DIV/0!</f>
        <v>#DIV/0!</v>
      </c>
      <c r="I1099" s="49" t="e">
        <f aca="false">#VALUE!</f>
        <v>#VALUE!</v>
      </c>
      <c r="J1099" s="26" t="s">
        <v>444</v>
      </c>
      <c r="K1099" s="27" t="n">
        <v>150000</v>
      </c>
      <c r="L1099" s="27" t="n">
        <v>225000</v>
      </c>
      <c r="M1099" s="28"/>
      <c r="N1099" s="29" t="n">
        <v>225000</v>
      </c>
      <c r="O1099" s="29" t="n">
        <v>225000</v>
      </c>
      <c r="P1099" s="27" t="n">
        <v>0</v>
      </c>
      <c r="Q1099" s="263" t="n">
        <v>45943</v>
      </c>
    </row>
    <row r="1100" customFormat="false" ht="17.9" hidden="false" customHeight="false" outlineLevel="0" collapsed="false">
      <c r="A1100" s="24" t="n">
        <v>3428</v>
      </c>
      <c r="B1100" s="22" t="s">
        <v>363</v>
      </c>
      <c r="C1100" s="22"/>
      <c r="D1100" s="22"/>
      <c r="E1100" s="23" t="n">
        <v>45937</v>
      </c>
      <c r="F1100" s="23" t="n">
        <v>45923</v>
      </c>
      <c r="G1100" s="24" t="n">
        <v>5</v>
      </c>
      <c r="H1100" s="25" t="e">
        <f aca="false">#DIV/0!</f>
        <v>#DIV/0!</v>
      </c>
      <c r="I1100" s="25" t="e">
        <f aca="false">#DIV/0!</f>
        <v>#DIV/0!</v>
      </c>
      <c r="J1100" s="22" t="s">
        <v>199</v>
      </c>
      <c r="K1100" s="50" t="n">
        <v>150000</v>
      </c>
      <c r="L1100" s="27" t="n">
        <v>195000</v>
      </c>
      <c r="M1100" s="28"/>
      <c r="N1100" s="29" t="n">
        <v>195000</v>
      </c>
      <c r="O1100" s="29" t="n">
        <v>195000</v>
      </c>
      <c r="P1100" s="27" t="n">
        <v>0</v>
      </c>
      <c r="Q1100" s="263" t="n">
        <v>45943</v>
      </c>
    </row>
    <row r="1101" customFormat="false" ht="21.6" hidden="false" customHeight="false" outlineLevel="0" collapsed="false">
      <c r="A1101" s="24" t="n">
        <v>3085</v>
      </c>
      <c r="B1101" s="21" t="s">
        <v>382</v>
      </c>
      <c r="C1101" s="21" t="s">
        <v>383</v>
      </c>
      <c r="D1101" s="22"/>
      <c r="E1101" s="23" t="n">
        <v>45715</v>
      </c>
      <c r="F1101" s="23" t="n">
        <v>45817</v>
      </c>
      <c r="G1101" s="24" t="n">
        <v>72</v>
      </c>
      <c r="H1101" s="25" t="n">
        <v>72</v>
      </c>
      <c r="I1101" s="25" t="n">
        <v>0</v>
      </c>
      <c r="J1101" s="34" t="s">
        <v>716</v>
      </c>
      <c r="K1101" s="27" t="n">
        <v>15000</v>
      </c>
      <c r="L1101" s="27" t="n">
        <v>32400</v>
      </c>
      <c r="M1101" s="28" t="n">
        <v>2250</v>
      </c>
      <c r="N1101" s="29" t="n">
        <v>2650</v>
      </c>
      <c r="O1101" s="29" t="n">
        <v>32400</v>
      </c>
      <c r="P1101" s="27" t="n">
        <v>0</v>
      </c>
      <c r="Q1101" s="263" t="n">
        <v>45943</v>
      </c>
    </row>
    <row r="1102" customFormat="false" ht="15" hidden="false" customHeight="false" outlineLevel="0" collapsed="false">
      <c r="A1102" s="24" t="n">
        <v>3173</v>
      </c>
      <c r="B1102" s="21" t="s">
        <v>459</v>
      </c>
      <c r="C1102" s="309" t="s">
        <v>460</v>
      </c>
      <c r="D1102" s="22"/>
      <c r="E1102" s="23" t="n">
        <v>45776</v>
      </c>
      <c r="F1102" s="23" t="n">
        <v>45876</v>
      </c>
      <c r="G1102" s="24" t="n">
        <v>72</v>
      </c>
      <c r="H1102" s="25" t="n">
        <v>72</v>
      </c>
      <c r="I1102" s="25" t="n">
        <v>0</v>
      </c>
      <c r="J1102" s="34" t="s">
        <v>188</v>
      </c>
      <c r="K1102" s="27" t="n">
        <v>100000</v>
      </c>
      <c r="L1102" s="27" t="n">
        <v>216000</v>
      </c>
      <c r="M1102" s="28" t="n">
        <v>15000</v>
      </c>
      <c r="N1102" s="29" t="n">
        <v>7500</v>
      </c>
      <c r="O1102" s="29" t="n">
        <v>216000</v>
      </c>
      <c r="P1102" s="27" t="n">
        <v>0</v>
      </c>
      <c r="Q1102" s="263" t="n">
        <v>45943</v>
      </c>
    </row>
    <row r="1103" customFormat="false" ht="15" hidden="false" customHeight="false" outlineLevel="0" collapsed="false">
      <c r="A1103" s="24" t="n">
        <v>3192</v>
      </c>
      <c r="B1103" s="21" t="s">
        <v>459</v>
      </c>
      <c r="C1103" s="21" t="s">
        <v>460</v>
      </c>
      <c r="D1103" s="22"/>
      <c r="E1103" s="23" t="n">
        <v>45791</v>
      </c>
      <c r="F1103" s="23" t="n">
        <v>45891</v>
      </c>
      <c r="G1103" s="24" t="n">
        <v>72</v>
      </c>
      <c r="H1103" s="25" t="n">
        <v>74.6666666666667</v>
      </c>
      <c r="I1103" s="25" t="n">
        <v>-2.66666666666667</v>
      </c>
      <c r="J1103" s="34" t="s">
        <v>188</v>
      </c>
      <c r="K1103" s="30" t="n">
        <v>100000</v>
      </c>
      <c r="L1103" s="30" t="n">
        <v>216000</v>
      </c>
      <c r="M1103" s="28" t="n">
        <v>15000</v>
      </c>
      <c r="N1103" s="29" t="n">
        <v>15000</v>
      </c>
      <c r="O1103" s="29" t="n">
        <v>224000</v>
      </c>
      <c r="P1103" s="27" t="n">
        <v>-8000</v>
      </c>
      <c r="Q1103" s="263" t="n">
        <v>45943</v>
      </c>
    </row>
    <row r="1104" customFormat="false" ht="21.6" hidden="false" customHeight="false" outlineLevel="0" collapsed="false">
      <c r="A1104" s="24" t="n">
        <v>3242</v>
      </c>
      <c r="B1104" s="21" t="s">
        <v>486</v>
      </c>
      <c r="C1104" s="21" t="s">
        <v>476</v>
      </c>
      <c r="D1104" s="22"/>
      <c r="E1104" s="23" t="n">
        <v>45825</v>
      </c>
      <c r="F1104" s="23" t="n">
        <v>45937</v>
      </c>
      <c r="G1104" s="24" t="n">
        <v>80</v>
      </c>
      <c r="H1104" s="25" t="n">
        <v>80</v>
      </c>
      <c r="I1104" s="25" t="n">
        <v>0</v>
      </c>
      <c r="J1104" s="26" t="s">
        <v>1143</v>
      </c>
      <c r="K1104" s="63" t="n">
        <v>50000</v>
      </c>
      <c r="L1104" s="30" t="n">
        <v>108000</v>
      </c>
      <c r="M1104" s="28" t="n">
        <v>6750</v>
      </c>
      <c r="N1104" s="29" t="n">
        <v>30000</v>
      </c>
      <c r="O1104" s="29" t="n">
        <v>108000</v>
      </c>
      <c r="P1104" s="27" t="n">
        <v>0</v>
      </c>
      <c r="Q1104" s="263" t="n">
        <v>45943</v>
      </c>
    </row>
    <row r="1105" customFormat="false" ht="35.05" hidden="false" customHeight="false" outlineLevel="0" collapsed="false">
      <c r="A1105" s="24" t="n">
        <v>2208</v>
      </c>
      <c r="B1105" s="21" t="s">
        <v>522</v>
      </c>
      <c r="C1105" s="21" t="s">
        <v>523</v>
      </c>
      <c r="D1105" s="22"/>
      <c r="E1105" s="23" t="n">
        <v>45153</v>
      </c>
      <c r="F1105" s="23" t="n">
        <v>45884</v>
      </c>
      <c r="G1105" s="24" t="n">
        <v>523</v>
      </c>
      <c r="H1105" s="25" t="n">
        <v>523.450862068966</v>
      </c>
      <c r="I1105" s="25" t="n">
        <v>-0.450862068965535</v>
      </c>
      <c r="J1105" s="26" t="s">
        <v>1231</v>
      </c>
      <c r="K1105" s="27" t="n">
        <v>1000000</v>
      </c>
      <c r="L1105" s="27" t="n">
        <v>3480000</v>
      </c>
      <c r="M1105" s="65" t="n">
        <v>33269.5984703633</v>
      </c>
      <c r="N1105" s="29" t="n">
        <v>268000</v>
      </c>
      <c r="O1105" s="29" t="n">
        <v>3483000</v>
      </c>
      <c r="P1105" s="27" t="n">
        <v>-3000</v>
      </c>
      <c r="Q1105" s="263" t="n">
        <v>45943</v>
      </c>
    </row>
    <row r="1106" customFormat="false" ht="35.05" hidden="false" customHeight="false" outlineLevel="0" collapsed="false">
      <c r="A1106" s="24" t="n">
        <v>2632</v>
      </c>
      <c r="B1106" s="21" t="s">
        <v>522</v>
      </c>
      <c r="C1106" s="21" t="s">
        <v>523</v>
      </c>
      <c r="D1106" s="22"/>
      <c r="E1106" s="23" t="n">
        <v>45433</v>
      </c>
      <c r="F1106" s="23" t="n">
        <v>45769</v>
      </c>
      <c r="G1106" s="24" t="n">
        <v>240</v>
      </c>
      <c r="H1106" s="25" t="n">
        <v>240</v>
      </c>
      <c r="I1106" s="25" t="n">
        <v>0</v>
      </c>
      <c r="J1106" s="26" t="s">
        <v>1232</v>
      </c>
      <c r="K1106" s="58" t="n">
        <v>800000</v>
      </c>
      <c r="L1106" s="30" t="n">
        <v>2232000</v>
      </c>
      <c r="M1106" s="28" t="n">
        <v>46500</v>
      </c>
      <c r="N1106" s="29" t="n">
        <v>191000</v>
      </c>
      <c r="O1106" s="29" t="n">
        <v>2232000</v>
      </c>
      <c r="P1106" s="27" t="n">
        <v>0</v>
      </c>
      <c r="Q1106" s="263" t="n">
        <v>45943</v>
      </c>
    </row>
    <row r="1107" customFormat="false" ht="15" hidden="false" customHeight="false" outlineLevel="0" collapsed="false">
      <c r="A1107" s="24" t="n">
        <v>3288</v>
      </c>
      <c r="B1107" s="21" t="s">
        <v>232</v>
      </c>
      <c r="C1107" s="21" t="s">
        <v>233</v>
      </c>
      <c r="D1107" s="22"/>
      <c r="E1107" s="23" t="n">
        <v>45852</v>
      </c>
      <c r="F1107" s="23" t="n">
        <v>45952</v>
      </c>
      <c r="G1107" s="24" t="n">
        <v>72</v>
      </c>
      <c r="H1107" s="25" t="n">
        <v>72.5</v>
      </c>
      <c r="I1107" s="25" t="n">
        <v>-0.5</v>
      </c>
      <c r="J1107" s="34" t="s">
        <v>190</v>
      </c>
      <c r="K1107" s="50" t="n">
        <v>200000</v>
      </c>
      <c r="L1107" s="27" t="n">
        <v>432000</v>
      </c>
      <c r="M1107" s="28" t="n">
        <v>30000</v>
      </c>
      <c r="N1107" s="29" t="n">
        <v>15000</v>
      </c>
      <c r="O1107" s="29" t="n">
        <v>435000</v>
      </c>
      <c r="P1107" s="27" t="n">
        <v>-3000</v>
      </c>
      <c r="Q1107" s="263" t="n">
        <v>45950</v>
      </c>
    </row>
    <row r="1108" customFormat="false" ht="35.05" hidden="false" customHeight="false" outlineLevel="0" collapsed="false">
      <c r="A1108" s="20" t="n">
        <v>3246</v>
      </c>
      <c r="B1108" s="21" t="s">
        <v>237</v>
      </c>
      <c r="C1108" s="21" t="s">
        <v>238</v>
      </c>
      <c r="D1108" s="22"/>
      <c r="E1108" s="23" t="n">
        <v>45826</v>
      </c>
      <c r="F1108" s="23" t="n">
        <v>45938</v>
      </c>
      <c r="G1108" s="24" t="n">
        <v>80</v>
      </c>
      <c r="H1108" s="25" t="n">
        <v>80.1058201058201</v>
      </c>
      <c r="I1108" s="25" t="n">
        <v>-0.105820105820101</v>
      </c>
      <c r="J1108" s="51" t="s">
        <v>1233</v>
      </c>
      <c r="K1108" s="45" t="n">
        <v>70000</v>
      </c>
      <c r="L1108" s="27" t="n">
        <v>151200</v>
      </c>
      <c r="M1108" s="28" t="n">
        <v>9450</v>
      </c>
      <c r="N1108" s="29" t="n">
        <v>38000</v>
      </c>
      <c r="O1108" s="29" t="n">
        <v>151400</v>
      </c>
      <c r="P1108" s="30" t="n">
        <v>-200</v>
      </c>
      <c r="Q1108" s="263" t="n">
        <v>45950</v>
      </c>
    </row>
    <row r="1109" customFormat="false" ht="17.9" hidden="false" customHeight="false" outlineLevel="0" collapsed="false">
      <c r="A1109" s="20" t="n">
        <v>3449</v>
      </c>
      <c r="B1109" s="22" t="s">
        <v>363</v>
      </c>
      <c r="C1109" s="22"/>
      <c r="D1109" s="22"/>
      <c r="E1109" s="23" t="n">
        <v>45948</v>
      </c>
      <c r="F1109" s="23" t="n">
        <v>45923</v>
      </c>
      <c r="G1109" s="24" t="n">
        <v>5</v>
      </c>
      <c r="H1109" s="25" t="e">
        <f aca="false">#DIV/0!</f>
        <v>#DIV/0!</v>
      </c>
      <c r="I1109" s="25" t="e">
        <f aca="false">#DIV/0!</f>
        <v>#DIV/0!</v>
      </c>
      <c r="J1109" s="22" t="s">
        <v>199</v>
      </c>
      <c r="K1109" s="55" t="n">
        <v>100000</v>
      </c>
      <c r="L1109" s="30" t="n">
        <v>130000</v>
      </c>
      <c r="M1109" s="28"/>
      <c r="N1109" s="29" t="n">
        <v>130000</v>
      </c>
      <c r="O1109" s="29" t="n">
        <v>130000</v>
      </c>
      <c r="P1109" s="30" t="n">
        <v>0</v>
      </c>
      <c r="Q1109" s="263" t="n">
        <v>45950</v>
      </c>
    </row>
    <row r="1110" customFormat="false" ht="35.05" hidden="false" customHeight="false" outlineLevel="0" collapsed="false">
      <c r="A1110" s="24" t="n">
        <v>3017</v>
      </c>
      <c r="B1110" s="21" t="s">
        <v>395</v>
      </c>
      <c r="C1110" s="21" t="s">
        <v>396</v>
      </c>
      <c r="D1110" s="22"/>
      <c r="E1110" s="23" t="n">
        <v>45679</v>
      </c>
      <c r="F1110" s="23" t="n">
        <v>45847</v>
      </c>
      <c r="G1110" s="24" t="n">
        <v>120</v>
      </c>
      <c r="H1110" s="25" t="n">
        <v>120</v>
      </c>
      <c r="I1110" s="25" t="n">
        <v>0</v>
      </c>
      <c r="J1110" s="46" t="s">
        <v>1078</v>
      </c>
      <c r="K1110" s="55" t="n">
        <v>150000</v>
      </c>
      <c r="L1110" s="30" t="n">
        <v>396000</v>
      </c>
      <c r="M1110" s="28" t="n">
        <v>16500</v>
      </c>
      <c r="N1110" s="29" t="n">
        <v>28000</v>
      </c>
      <c r="O1110" s="29" t="n">
        <v>396000</v>
      </c>
      <c r="P1110" s="27" t="n">
        <v>0</v>
      </c>
      <c r="Q1110" s="263" t="n">
        <v>45950</v>
      </c>
    </row>
    <row r="1111" customFormat="false" ht="15" hidden="false" customHeight="false" outlineLevel="0" collapsed="false">
      <c r="A1111" s="24" t="n">
        <v>3142</v>
      </c>
      <c r="B1111" s="21" t="s">
        <v>1155</v>
      </c>
      <c r="C1111" s="21" t="s">
        <v>506</v>
      </c>
      <c r="D1111" s="22"/>
      <c r="E1111" s="23" t="n">
        <v>45751</v>
      </c>
      <c r="F1111" s="23" t="n">
        <v>45853</v>
      </c>
      <c r="G1111" s="24" t="n">
        <v>72</v>
      </c>
      <c r="H1111" s="25" t="n">
        <v>74.2222222222222</v>
      </c>
      <c r="I1111" s="25" t="n">
        <v>-2.22222222222223</v>
      </c>
      <c r="J1111" s="34" t="s">
        <v>1054</v>
      </c>
      <c r="K1111" s="27" t="n">
        <v>150000</v>
      </c>
      <c r="L1111" s="27" t="n">
        <v>324000</v>
      </c>
      <c r="M1111" s="28" t="n">
        <v>22500</v>
      </c>
      <c r="N1111" s="29" t="n">
        <v>20500</v>
      </c>
      <c r="O1111" s="29" t="n">
        <v>334000</v>
      </c>
      <c r="P1111" s="27" t="n">
        <v>-10000</v>
      </c>
      <c r="Q1111" s="263" t="n">
        <v>45950</v>
      </c>
    </row>
    <row r="1112" customFormat="false" ht="15" hidden="false" customHeight="false" outlineLevel="0" collapsed="false">
      <c r="A1112" s="24" t="n">
        <v>3406</v>
      </c>
      <c r="B1112" s="21" t="s">
        <v>516</v>
      </c>
      <c r="C1112" s="21" t="s">
        <v>517</v>
      </c>
      <c r="D1112" s="22"/>
      <c r="E1112" s="23" t="n">
        <v>45920</v>
      </c>
      <c r="F1112" s="23" t="n">
        <v>45945</v>
      </c>
      <c r="G1112" s="24" t="n">
        <v>18</v>
      </c>
      <c r="H1112" s="25" t="e">
        <f aca="false">#DIV/0!</f>
        <v>#DIV/0!</v>
      </c>
      <c r="I1112" s="25" t="e">
        <f aca="false">#DIV/0!</f>
        <v>#DIV/0!</v>
      </c>
      <c r="J1112" s="26" t="s">
        <v>199</v>
      </c>
      <c r="K1112" s="30" t="n">
        <v>250000</v>
      </c>
      <c r="L1112" s="30" t="n">
        <v>350000</v>
      </c>
      <c r="M1112" s="45"/>
      <c r="N1112" s="29" t="n">
        <v>300000</v>
      </c>
      <c r="O1112" s="29" t="n">
        <v>350000</v>
      </c>
      <c r="P1112" s="27" t="n">
        <v>0</v>
      </c>
      <c r="Q1112" s="263" t="n">
        <v>45950</v>
      </c>
    </row>
    <row r="1113" customFormat="false" ht="28.35" hidden="false" customHeight="false" outlineLevel="0" collapsed="false">
      <c r="A1113" s="24" t="n">
        <v>3317</v>
      </c>
      <c r="B1113" s="21" t="s">
        <v>189</v>
      </c>
      <c r="C1113" s="21" t="s">
        <v>186</v>
      </c>
      <c r="D1113" s="22"/>
      <c r="E1113" s="23" t="n">
        <v>45863</v>
      </c>
      <c r="F1113" s="23" t="n">
        <v>45975</v>
      </c>
      <c r="G1113" s="24" t="n">
        <v>80</v>
      </c>
      <c r="H1113" s="25" t="n">
        <v>80</v>
      </c>
      <c r="I1113" s="25" t="n">
        <v>0</v>
      </c>
      <c r="J1113" s="26" t="s">
        <v>1234</v>
      </c>
      <c r="K1113" s="27" t="n">
        <v>100000</v>
      </c>
      <c r="L1113" s="27" t="n">
        <v>216000</v>
      </c>
      <c r="M1113" s="28" t="n">
        <v>13500</v>
      </c>
      <c r="N1113" s="29" t="n">
        <v>108000</v>
      </c>
      <c r="O1113" s="29" t="n">
        <v>216000</v>
      </c>
      <c r="P1113" s="27" t="n">
        <v>0</v>
      </c>
      <c r="Q1113" s="263" t="n">
        <v>45957</v>
      </c>
    </row>
    <row r="1114" customFormat="false" ht="17.9" hidden="false" customHeight="false" outlineLevel="0" collapsed="false">
      <c r="A1114" s="20" t="n">
        <v>3459</v>
      </c>
      <c r="B1114" s="22" t="s">
        <v>363</v>
      </c>
      <c r="C1114" s="22"/>
      <c r="D1114" s="22"/>
      <c r="E1114" s="23" t="n">
        <v>45954</v>
      </c>
      <c r="F1114" s="23" t="n">
        <v>45961</v>
      </c>
      <c r="G1114" s="24" t="n">
        <v>5</v>
      </c>
      <c r="H1114" s="25" t="e">
        <f aca="false">#DIV/0!</f>
        <v>#DIV/0!</v>
      </c>
      <c r="I1114" s="25" t="e">
        <f aca="false">#DIV/0!</f>
        <v>#DIV/0!</v>
      </c>
      <c r="J1114" s="22" t="s">
        <v>199</v>
      </c>
      <c r="K1114" s="55" t="n">
        <v>200000</v>
      </c>
      <c r="L1114" s="30" t="n">
        <v>260000</v>
      </c>
      <c r="M1114" s="28"/>
      <c r="N1114" s="29" t="n">
        <v>260000</v>
      </c>
      <c r="O1114" s="29" t="n">
        <v>260000</v>
      </c>
      <c r="P1114" s="30" t="n">
        <v>0</v>
      </c>
      <c r="Q1114" s="263" t="n">
        <v>45957</v>
      </c>
    </row>
    <row r="1115" customFormat="false" ht="28.35" hidden="false" customHeight="false" outlineLevel="0" collapsed="false">
      <c r="A1115" s="24" t="n">
        <v>3315</v>
      </c>
      <c r="B1115" s="21" t="s">
        <v>514</v>
      </c>
      <c r="C1115" s="21" t="s">
        <v>515</v>
      </c>
      <c r="D1115" s="22"/>
      <c r="E1115" s="23" t="n">
        <v>45863</v>
      </c>
      <c r="F1115" s="23" t="n">
        <f aca="false">WORKDAY(E1115,G1115)</f>
        <v>45965</v>
      </c>
      <c r="G1115" s="24" t="n">
        <v>72</v>
      </c>
      <c r="H1115" s="25" t="n">
        <f aca="false">('prest.canc.'!O1116* 5)/M1115</f>
        <v>1760</v>
      </c>
      <c r="I1115" s="25" t="n">
        <f aca="false">G1115-H1115</f>
        <v>-1688</v>
      </c>
      <c r="J1115" s="34" t="s">
        <v>333</v>
      </c>
      <c r="K1115" s="30" t="n">
        <v>50000</v>
      </c>
      <c r="L1115" s="30" t="n">
        <v>108000</v>
      </c>
      <c r="M1115" s="28" t="n">
        <f aca="false">(L1115/G1115)*5</f>
        <v>7500</v>
      </c>
      <c r="N1115" s="29" t="n">
        <v>15000</v>
      </c>
      <c r="O1115" s="29" t="n">
        <v>108000</v>
      </c>
      <c r="P1115" s="27" t="n">
        <f aca="false">SUM('prest.canc.'!L1116-O1115)</f>
        <v>2532000</v>
      </c>
      <c r="Q1115" s="263" t="n">
        <v>45957</v>
      </c>
    </row>
    <row r="1116" customFormat="false" ht="15" hidden="false" customHeight="false" outlineLevel="0" collapsed="false">
      <c r="A1116" s="24" t="n">
        <v>3189</v>
      </c>
      <c r="B1116" s="21" t="s">
        <v>191</v>
      </c>
      <c r="C1116" s="21"/>
      <c r="D1116" s="22" t="n">
        <v>22375673</v>
      </c>
      <c r="E1116" s="23" t="n">
        <v>45790</v>
      </c>
      <c r="F1116" s="23" t="n">
        <v>45958</v>
      </c>
      <c r="G1116" s="24" t="n">
        <v>120</v>
      </c>
      <c r="H1116" s="25" t="n">
        <v>120</v>
      </c>
      <c r="I1116" s="25" t="n">
        <v>0</v>
      </c>
      <c r="J1116" s="35" t="s">
        <v>1235</v>
      </c>
      <c r="K1116" s="30" t="n">
        <v>1000000</v>
      </c>
      <c r="L1116" s="30" t="n">
        <v>2640000</v>
      </c>
      <c r="M1116" s="45" t="n">
        <v>110000</v>
      </c>
      <c r="N1116" s="276" t="n">
        <v>440000</v>
      </c>
      <c r="O1116" s="29" t="n">
        <v>2640000</v>
      </c>
      <c r="P1116" s="27" t="n">
        <v>0</v>
      </c>
      <c r="Q1116" s="263" t="n">
        <v>45964</v>
      </c>
    </row>
    <row r="1117" customFormat="false" ht="19.4" hidden="false" customHeight="false" outlineLevel="0" collapsed="false">
      <c r="A1117" s="20" t="n">
        <v>2739</v>
      </c>
      <c r="B1117" s="21" t="s">
        <v>240</v>
      </c>
      <c r="C1117" s="21" t="s">
        <v>241</v>
      </c>
      <c r="D1117" s="22"/>
      <c r="E1117" s="23" t="n">
        <v>45506</v>
      </c>
      <c r="F1117" s="23" t="n">
        <v>45702</v>
      </c>
      <c r="G1117" s="24" t="n">
        <v>140</v>
      </c>
      <c r="H1117" s="25" t="n">
        <v>140</v>
      </c>
      <c r="I1117" s="25" t="n">
        <v>0</v>
      </c>
      <c r="J1117" s="46" t="s">
        <v>1224</v>
      </c>
      <c r="K1117" s="30" t="n">
        <v>250000</v>
      </c>
      <c r="L1117" s="30" t="n">
        <v>660100</v>
      </c>
      <c r="M1117" s="28" t="n">
        <v>23575</v>
      </c>
      <c r="N1117" s="29" t="n">
        <v>28200</v>
      </c>
      <c r="O1117" s="29" t="n">
        <v>660100</v>
      </c>
      <c r="P1117" s="30" t="n">
        <v>0</v>
      </c>
      <c r="Q1117" s="263" t="n">
        <v>45964</v>
      </c>
    </row>
    <row r="1118" customFormat="false" ht="35.05" hidden="false" customHeight="false" outlineLevel="0" collapsed="false">
      <c r="A1118" s="20" t="n">
        <v>3109</v>
      </c>
      <c r="B1118" s="21" t="s">
        <v>243</v>
      </c>
      <c r="C1118" s="21" t="s">
        <v>244</v>
      </c>
      <c r="D1118" s="22" t="n">
        <v>20386454729</v>
      </c>
      <c r="E1118" s="23" t="n">
        <v>45733</v>
      </c>
      <c r="F1118" s="23" t="n">
        <v>45901</v>
      </c>
      <c r="G1118" s="24" t="n">
        <v>120</v>
      </c>
      <c r="H1118" s="25" t="n">
        <v>123.636363636364</v>
      </c>
      <c r="I1118" s="25" t="n">
        <v>-3.63636363636364</v>
      </c>
      <c r="J1118" s="26" t="s">
        <v>1236</v>
      </c>
      <c r="K1118" s="33" t="n">
        <v>300000</v>
      </c>
      <c r="L1118" s="27" t="n">
        <v>792000</v>
      </c>
      <c r="M1118" s="28" t="n">
        <v>33000</v>
      </c>
      <c r="N1118" s="29" t="n">
        <v>102000</v>
      </c>
      <c r="O1118" s="29" t="n">
        <v>816000</v>
      </c>
      <c r="P1118" s="30" t="n">
        <v>-24000</v>
      </c>
      <c r="Q1118" s="263" t="n">
        <v>45964</v>
      </c>
    </row>
    <row r="1119" customFormat="false" ht="17.9" hidden="false" customHeight="false" outlineLevel="0" collapsed="false">
      <c r="A1119" s="20" t="n">
        <v>3472</v>
      </c>
      <c r="B1119" s="22" t="s">
        <v>363</v>
      </c>
      <c r="C1119" s="22"/>
      <c r="D1119" s="22"/>
      <c r="E1119" s="23" t="n">
        <v>45961</v>
      </c>
      <c r="F1119" s="23" t="n">
        <v>45968</v>
      </c>
      <c r="G1119" s="24" t="n">
        <v>5</v>
      </c>
      <c r="H1119" s="25" t="e">
        <f aca="false">#DIV/0!</f>
        <v>#DIV/0!</v>
      </c>
      <c r="I1119" s="25" t="e">
        <f aca="false">#DIV/0!</f>
        <v>#DIV/0!</v>
      </c>
      <c r="J1119" s="22" t="s">
        <v>199</v>
      </c>
      <c r="K1119" s="50" t="n">
        <v>100000</v>
      </c>
      <c r="L1119" s="27" t="n">
        <v>130000</v>
      </c>
      <c r="M1119" s="28"/>
      <c r="N1119" s="29" t="n">
        <v>130000</v>
      </c>
      <c r="O1119" s="29" t="n">
        <v>130000</v>
      </c>
      <c r="P1119" s="30" t="n">
        <v>0</v>
      </c>
      <c r="Q1119" s="263" t="n">
        <v>45964</v>
      </c>
    </row>
    <row r="1120" customFormat="false" ht="28.35" hidden="false" customHeight="false" outlineLevel="0" collapsed="false">
      <c r="A1120" s="24" t="n">
        <v>3269</v>
      </c>
      <c r="B1120" s="21" t="s">
        <v>448</v>
      </c>
      <c r="C1120" s="21" t="s">
        <v>449</v>
      </c>
      <c r="D1120" s="22"/>
      <c r="E1120" s="23" t="n">
        <v>45836</v>
      </c>
      <c r="F1120" s="23" t="n">
        <v>45947</v>
      </c>
      <c r="G1120" s="24" t="n">
        <v>80</v>
      </c>
      <c r="H1120" s="25" t="n">
        <v>80</v>
      </c>
      <c r="I1120" s="25" t="n">
        <v>0</v>
      </c>
      <c r="J1120" s="26" t="s">
        <v>1237</v>
      </c>
      <c r="K1120" s="30" t="n">
        <v>150000</v>
      </c>
      <c r="L1120" s="30" t="n">
        <v>324000</v>
      </c>
      <c r="M1120" s="28" t="n">
        <v>20250</v>
      </c>
      <c r="N1120" s="29" t="n">
        <v>81000</v>
      </c>
      <c r="O1120" s="29" t="n">
        <v>324000</v>
      </c>
      <c r="P1120" s="27" t="n">
        <v>0</v>
      </c>
      <c r="Q1120" s="263" t="n">
        <v>45964</v>
      </c>
    </row>
    <row r="1121" customFormat="false" ht="28.35" hidden="false" customHeight="false" outlineLevel="0" collapsed="false">
      <c r="A1121" s="24" t="n">
        <v>3299</v>
      </c>
      <c r="B1121" s="21" t="s">
        <v>448</v>
      </c>
      <c r="C1121" s="21" t="s">
        <v>449</v>
      </c>
      <c r="D1121" s="22"/>
      <c r="E1121" s="23" t="n">
        <v>45857</v>
      </c>
      <c r="F1121" s="23" t="n">
        <v>45968</v>
      </c>
      <c r="G1121" s="24" t="n">
        <v>80</v>
      </c>
      <c r="H1121" s="25" t="n">
        <v>80</v>
      </c>
      <c r="I1121" s="25" t="n">
        <v>0</v>
      </c>
      <c r="J1121" s="26" t="s">
        <v>239</v>
      </c>
      <c r="K1121" s="33" t="n">
        <v>200000</v>
      </c>
      <c r="L1121" s="27" t="n">
        <v>432000</v>
      </c>
      <c r="M1121" s="45" t="n">
        <v>27000</v>
      </c>
      <c r="N1121" s="29" t="n">
        <v>108000</v>
      </c>
      <c r="O1121" s="29" t="n">
        <v>432000</v>
      </c>
      <c r="P1121" s="27" t="n">
        <v>0</v>
      </c>
      <c r="Q1121" s="263" t="n">
        <v>45964</v>
      </c>
    </row>
    <row r="1122" customFormat="false" ht="15" hidden="false" customHeight="false" outlineLevel="0" collapsed="false">
      <c r="A1122" s="24" t="n">
        <v>3216</v>
      </c>
      <c r="B1122" s="21" t="s">
        <v>459</v>
      </c>
      <c r="C1122" s="21" t="s">
        <v>460</v>
      </c>
      <c r="D1122" s="22"/>
      <c r="E1122" s="23" t="n">
        <v>45804</v>
      </c>
      <c r="F1122" s="23" t="n">
        <v>45904</v>
      </c>
      <c r="G1122" s="24" t="n">
        <v>72</v>
      </c>
      <c r="H1122" s="25" t="n">
        <v>75.9</v>
      </c>
      <c r="I1122" s="25" t="n">
        <v>-3.90000000000001</v>
      </c>
      <c r="J1122" s="34" t="s">
        <v>188</v>
      </c>
      <c r="K1122" s="27" t="n">
        <v>100000</v>
      </c>
      <c r="L1122" s="27" t="n">
        <v>216000</v>
      </c>
      <c r="M1122" s="45" t="n">
        <v>15000</v>
      </c>
      <c r="N1122" s="29" t="n">
        <v>15000</v>
      </c>
      <c r="O1122" s="29" t="n">
        <v>227700</v>
      </c>
      <c r="P1122" s="27" t="n">
        <v>-11700</v>
      </c>
      <c r="Q1122" s="263" t="n">
        <v>45964</v>
      </c>
    </row>
    <row r="1123" customFormat="false" ht="21.6" hidden="false" customHeight="false" outlineLevel="0" collapsed="false">
      <c r="A1123" s="24" t="n">
        <v>3298</v>
      </c>
      <c r="B1123" s="21" t="s">
        <v>1238</v>
      </c>
      <c r="C1123" s="21" t="s">
        <v>556</v>
      </c>
      <c r="D1123" s="22"/>
      <c r="E1123" s="23" t="n">
        <v>45857</v>
      </c>
      <c r="F1123" s="23" t="n">
        <v>45958</v>
      </c>
      <c r="G1123" s="24" t="n">
        <v>72</v>
      </c>
      <c r="H1123" s="25" t="n">
        <v>72</v>
      </c>
      <c r="I1123" s="25" t="n">
        <v>0</v>
      </c>
      <c r="J1123" s="34" t="s">
        <v>675</v>
      </c>
      <c r="K1123" s="27" t="n">
        <v>30000</v>
      </c>
      <c r="L1123" s="27" t="n">
        <v>64800</v>
      </c>
      <c r="M1123" s="45" t="n">
        <v>4500</v>
      </c>
      <c r="N1123" s="29" t="n">
        <v>16800</v>
      </c>
      <c r="O1123" s="29" t="n">
        <v>64800</v>
      </c>
      <c r="P1123" s="27" t="n">
        <v>0</v>
      </c>
      <c r="Q1123" s="263" t="n">
        <v>45964</v>
      </c>
    </row>
    <row r="1124" customFormat="false" ht="17.9" hidden="false" customHeight="false" outlineLevel="0" collapsed="false">
      <c r="A1124" s="24" t="n">
        <v>3068</v>
      </c>
      <c r="B1124" s="22" t="s">
        <v>206</v>
      </c>
      <c r="C1124" s="22" t="s">
        <v>207</v>
      </c>
      <c r="D1124" s="22"/>
      <c r="E1124" s="23" t="n">
        <v>45706</v>
      </c>
      <c r="F1124" s="23" t="n">
        <v>45806</v>
      </c>
      <c r="G1124" s="24" t="n">
        <v>72</v>
      </c>
      <c r="H1124" s="283" t="n">
        <v>72</v>
      </c>
      <c r="I1124" s="283" t="n">
        <v>0</v>
      </c>
      <c r="J1124" s="34" t="s">
        <v>188</v>
      </c>
      <c r="K1124" s="30" t="n">
        <v>100000</v>
      </c>
      <c r="L1124" s="30" t="n">
        <v>216000</v>
      </c>
      <c r="M1124" s="28" t="n">
        <v>15000</v>
      </c>
      <c r="N1124" s="29" t="n">
        <v>3600</v>
      </c>
      <c r="O1124" s="29" t="n">
        <v>216000</v>
      </c>
      <c r="P1124" s="27" t="n">
        <v>0</v>
      </c>
      <c r="Q1124" s="263" t="n">
        <v>45971</v>
      </c>
    </row>
    <row r="1125" customFormat="false" ht="21.6" hidden="false" customHeight="false" outlineLevel="0" collapsed="false">
      <c r="A1125" s="20" t="n">
        <v>3210</v>
      </c>
      <c r="B1125" s="21" t="s">
        <v>196</v>
      </c>
      <c r="C1125" s="21" t="s">
        <v>197</v>
      </c>
      <c r="D1125" s="22"/>
      <c r="E1125" s="23" t="n">
        <v>45800</v>
      </c>
      <c r="F1125" s="23" t="n">
        <v>45968</v>
      </c>
      <c r="G1125" s="24" t="n">
        <v>120</v>
      </c>
      <c r="H1125" s="25" t="n">
        <v>120</v>
      </c>
      <c r="I1125" s="25" t="n">
        <v>0</v>
      </c>
      <c r="J1125" s="26" t="s">
        <v>879</v>
      </c>
      <c r="K1125" s="363" t="n">
        <v>50000</v>
      </c>
      <c r="L1125" s="30" t="n">
        <v>132000</v>
      </c>
      <c r="M1125" s="28" t="n">
        <v>5500</v>
      </c>
      <c r="N1125" s="29" t="n">
        <v>22600</v>
      </c>
      <c r="O1125" s="29" t="n">
        <v>132000</v>
      </c>
      <c r="P1125" s="30" t="n">
        <v>0</v>
      </c>
      <c r="Q1125" s="263" t="n">
        <v>45971</v>
      </c>
    </row>
    <row r="1126" customFormat="false" ht="21.6" hidden="false" customHeight="false" outlineLevel="0" collapsed="false">
      <c r="A1126" s="20" t="n">
        <v>3323</v>
      </c>
      <c r="B1126" s="21" t="s">
        <v>196</v>
      </c>
      <c r="C1126" s="21" t="s">
        <v>197</v>
      </c>
      <c r="D1126" s="22"/>
      <c r="E1126" s="23" t="n">
        <v>45867</v>
      </c>
      <c r="F1126" s="23" t="n">
        <v>45979</v>
      </c>
      <c r="G1126" s="24" t="n">
        <v>80</v>
      </c>
      <c r="H1126" s="25" t="n">
        <v>80</v>
      </c>
      <c r="I1126" s="25" t="n">
        <v>0</v>
      </c>
      <c r="J1126" s="26" t="s">
        <v>1239</v>
      </c>
      <c r="K1126" s="30" t="n">
        <v>35000</v>
      </c>
      <c r="L1126" s="30" t="n">
        <v>75600</v>
      </c>
      <c r="M1126" s="28" t="n">
        <v>4725</v>
      </c>
      <c r="N1126" s="29" t="n">
        <v>18900</v>
      </c>
      <c r="O1126" s="29" t="n">
        <v>75600</v>
      </c>
      <c r="P1126" s="30" t="n">
        <v>0</v>
      </c>
      <c r="Q1126" s="263" t="n">
        <v>45971</v>
      </c>
    </row>
    <row r="1127" customFormat="false" ht="28.35" hidden="false" customHeight="false" outlineLevel="0" collapsed="false">
      <c r="A1127" s="24" t="n">
        <v>3460</v>
      </c>
      <c r="B1127" s="21" t="s">
        <v>581</v>
      </c>
      <c r="C1127" s="21" t="s">
        <v>1198</v>
      </c>
      <c r="D1127" s="22" t="n">
        <v>27355741082</v>
      </c>
      <c r="E1127" s="23" t="n">
        <v>45954</v>
      </c>
      <c r="F1127" s="23" t="n">
        <v>45961</v>
      </c>
      <c r="G1127" s="24" t="n">
        <v>5</v>
      </c>
      <c r="H1127" s="25" t="e">
        <f aca="false">#DIV/0!</f>
        <v>#DIV/0!</v>
      </c>
      <c r="I1127" s="25" t="e">
        <f aca="false">#DIV/0!</f>
        <v>#DIV/0!</v>
      </c>
      <c r="J1127" s="26" t="s">
        <v>444</v>
      </c>
      <c r="K1127" s="27" t="n">
        <v>100000</v>
      </c>
      <c r="L1127" s="27" t="n">
        <v>130000</v>
      </c>
      <c r="M1127" s="28"/>
      <c r="N1127" s="29" t="n">
        <v>130000</v>
      </c>
      <c r="O1127" s="29" t="n">
        <v>130000</v>
      </c>
      <c r="P1127" s="27" t="n">
        <v>0</v>
      </c>
      <c r="Q1127" s="263" t="n">
        <v>45971</v>
      </c>
    </row>
    <row r="1128" customFormat="false" ht="17.9" hidden="false" customHeight="false" outlineLevel="0" collapsed="false">
      <c r="A1128" s="24" t="n">
        <v>3479</v>
      </c>
      <c r="B1128" s="22" t="s">
        <v>363</v>
      </c>
      <c r="C1128" s="22"/>
      <c r="D1128" s="22"/>
      <c r="E1128" s="23" t="n">
        <v>45969</v>
      </c>
      <c r="F1128" s="23" t="n">
        <v>45975</v>
      </c>
      <c r="G1128" s="24" t="n">
        <v>5</v>
      </c>
      <c r="H1128" s="25" t="e">
        <f aca="false">#DIV/0!</f>
        <v>#DIV/0!</v>
      </c>
      <c r="I1128" s="25" t="e">
        <f aca="false">#DIV/0!</f>
        <v>#DIV/0!</v>
      </c>
      <c r="J1128" s="22" t="s">
        <v>199</v>
      </c>
      <c r="K1128" s="50" t="n">
        <v>100000</v>
      </c>
      <c r="L1128" s="27" t="n">
        <v>130000</v>
      </c>
      <c r="M1128" s="28"/>
      <c r="N1128" s="29" t="n">
        <v>130000</v>
      </c>
      <c r="O1128" s="29" t="n">
        <v>130000</v>
      </c>
      <c r="P1128" s="27" t="n">
        <v>0</v>
      </c>
      <c r="Q1128" s="263" t="n">
        <v>45971</v>
      </c>
    </row>
    <row r="1129" customFormat="false" ht="28.35" hidden="false" customHeight="false" outlineLevel="0" collapsed="false">
      <c r="A1129" s="24" t="n">
        <v>3375</v>
      </c>
      <c r="B1129" s="21" t="s">
        <v>364</v>
      </c>
      <c r="C1129" s="21" t="s">
        <v>365</v>
      </c>
      <c r="D1129" s="22"/>
      <c r="E1129" s="23" t="n">
        <v>45899</v>
      </c>
      <c r="F1129" s="23" t="n">
        <v>45982</v>
      </c>
      <c r="G1129" s="24" t="n">
        <v>60</v>
      </c>
      <c r="H1129" s="25" t="n">
        <v>60</v>
      </c>
      <c r="I1129" s="25" t="n">
        <v>0</v>
      </c>
      <c r="J1129" s="62" t="s">
        <v>1240</v>
      </c>
      <c r="K1129" s="50" t="n">
        <v>50000</v>
      </c>
      <c r="L1129" s="27" t="n">
        <v>96000</v>
      </c>
      <c r="M1129" s="28" t="n">
        <v>8000</v>
      </c>
      <c r="N1129" s="29" t="n">
        <v>32000</v>
      </c>
      <c r="O1129" s="29" t="n">
        <v>96000</v>
      </c>
      <c r="P1129" s="27" t="n">
        <v>0</v>
      </c>
      <c r="Q1129" s="263" t="n">
        <v>45971</v>
      </c>
    </row>
    <row r="1130" customFormat="false" ht="28.35" hidden="false" customHeight="false" outlineLevel="0" collapsed="false">
      <c r="A1130" s="24" t="n">
        <v>3081</v>
      </c>
      <c r="B1130" s="21" t="s">
        <v>388</v>
      </c>
      <c r="C1130" s="21" t="s">
        <v>389</v>
      </c>
      <c r="D1130" s="22"/>
      <c r="E1130" s="23" t="n">
        <v>45714</v>
      </c>
      <c r="F1130" s="23" t="n">
        <v>45826</v>
      </c>
      <c r="G1130" s="24" t="n">
        <v>80</v>
      </c>
      <c r="H1130" s="25" t="n">
        <v>80.7407407407408</v>
      </c>
      <c r="I1130" s="25" t="n">
        <v>-0.740740740740748</v>
      </c>
      <c r="J1130" s="26" t="s">
        <v>488</v>
      </c>
      <c r="K1130" s="27" t="n">
        <v>100000</v>
      </c>
      <c r="L1130" s="27" t="n">
        <v>216000</v>
      </c>
      <c r="M1130" s="45" t="n">
        <v>13500</v>
      </c>
      <c r="N1130" s="29" t="n">
        <v>60000</v>
      </c>
      <c r="O1130" s="29" t="n">
        <v>218000</v>
      </c>
      <c r="P1130" s="27" t="n">
        <v>-2000</v>
      </c>
      <c r="Q1130" s="263" t="n">
        <v>45971</v>
      </c>
    </row>
    <row r="1131" customFormat="false" ht="48.5" hidden="false" customHeight="false" outlineLevel="0" collapsed="false">
      <c r="A1131" s="24" t="n">
        <v>3284</v>
      </c>
      <c r="B1131" s="21" t="s">
        <v>399</v>
      </c>
      <c r="C1131" s="21" t="s">
        <v>400</v>
      </c>
      <c r="D1131" s="22" t="n">
        <v>27249921551</v>
      </c>
      <c r="E1131" s="23" t="n">
        <v>45850</v>
      </c>
      <c r="F1131" s="23" t="n">
        <v>45951</v>
      </c>
      <c r="G1131" s="24" t="n">
        <v>72</v>
      </c>
      <c r="H1131" s="25" t="n">
        <v>72</v>
      </c>
      <c r="I1131" s="25" t="n">
        <v>0</v>
      </c>
      <c r="J1131" s="34" t="s">
        <v>188</v>
      </c>
      <c r="K1131" s="30" t="n">
        <v>100000</v>
      </c>
      <c r="L1131" s="30" t="n">
        <v>216000</v>
      </c>
      <c r="M1131" s="45" t="n">
        <v>15000</v>
      </c>
      <c r="N1131" s="29" t="n">
        <v>62700</v>
      </c>
      <c r="O1131" s="29" t="n">
        <v>216000</v>
      </c>
      <c r="P1131" s="27" t="n">
        <v>0</v>
      </c>
      <c r="Q1131" s="263" t="n">
        <v>45971</v>
      </c>
    </row>
    <row r="1132" customFormat="false" ht="28.35" hidden="false" customHeight="false" outlineLevel="0" collapsed="false">
      <c r="A1132" s="24" t="n">
        <v>3101</v>
      </c>
      <c r="B1132" s="21" t="s">
        <v>417</v>
      </c>
      <c r="C1132" s="21" t="s">
        <v>415</v>
      </c>
      <c r="D1132" s="22"/>
      <c r="E1132" s="23" t="n">
        <v>45726</v>
      </c>
      <c r="F1132" s="23" t="n">
        <v>45880</v>
      </c>
      <c r="G1132" s="24" t="n">
        <v>110</v>
      </c>
      <c r="H1132" s="25" t="n">
        <v>113.472222222222</v>
      </c>
      <c r="I1132" s="25" t="n">
        <v>-3.47222222222223</v>
      </c>
      <c r="J1132" s="34" t="s">
        <v>421</v>
      </c>
      <c r="K1132" s="50" t="n">
        <v>150000</v>
      </c>
      <c r="L1132" s="27" t="n">
        <v>396000</v>
      </c>
      <c r="M1132" s="28" t="n">
        <v>18000</v>
      </c>
      <c r="N1132" s="29" t="n">
        <v>36000</v>
      </c>
      <c r="O1132" s="29" t="n">
        <v>408500</v>
      </c>
      <c r="P1132" s="27" t="n">
        <v>-12500</v>
      </c>
      <c r="Q1132" s="263" t="n">
        <v>45971</v>
      </c>
    </row>
    <row r="1133" customFormat="false" ht="15" hidden="false" customHeight="false" outlineLevel="0" collapsed="false">
      <c r="A1133" s="24" t="n">
        <v>3433</v>
      </c>
      <c r="B1133" s="21" t="s">
        <v>443</v>
      </c>
      <c r="C1133" s="21"/>
      <c r="D1133" s="22"/>
      <c r="E1133" s="23" t="n">
        <v>45939</v>
      </c>
      <c r="F1133" s="23" t="n">
        <v>45953</v>
      </c>
      <c r="G1133" s="24" t="n">
        <v>10</v>
      </c>
      <c r="H1133" s="25" t="e">
        <f aca="false">#DIV/0!</f>
        <v>#DIV/0!</v>
      </c>
      <c r="I1133" s="25" t="e">
        <f aca="false">#DIV/0!</f>
        <v>#DIV/0!</v>
      </c>
      <c r="J1133" s="26" t="s">
        <v>444</v>
      </c>
      <c r="K1133" s="27" t="n">
        <v>100000</v>
      </c>
      <c r="L1133" s="27" t="n">
        <v>150000</v>
      </c>
      <c r="M1133" s="45"/>
      <c r="N1133" s="29" t="n">
        <v>150000</v>
      </c>
      <c r="O1133" s="29" t="n">
        <v>150000</v>
      </c>
      <c r="P1133" s="27" t="n">
        <v>0</v>
      </c>
      <c r="Q1133" s="263" t="n">
        <v>45971</v>
      </c>
    </row>
    <row r="1134" customFormat="false" ht="15" hidden="false" customHeight="false" outlineLevel="0" collapsed="false">
      <c r="A1134" s="24" t="n">
        <v>3439</v>
      </c>
      <c r="B1134" s="21" t="s">
        <v>443</v>
      </c>
      <c r="C1134" s="21"/>
      <c r="D1134" s="22"/>
      <c r="E1134" s="23" t="n">
        <v>45943</v>
      </c>
      <c r="F1134" s="23" t="n">
        <v>45971</v>
      </c>
      <c r="G1134" s="24" t="n">
        <v>20</v>
      </c>
      <c r="H1134" s="25" t="e">
        <f aca="false">#DIV/0!</f>
        <v>#DIV/0!</v>
      </c>
      <c r="I1134" s="25" t="e">
        <f aca="false">#DIV/0!</f>
        <v>#DIV/0!</v>
      </c>
      <c r="J1134" s="26" t="s">
        <v>444</v>
      </c>
      <c r="K1134" s="57" t="n">
        <v>50000</v>
      </c>
      <c r="L1134" s="27" t="n">
        <v>80000</v>
      </c>
      <c r="M1134" s="45"/>
      <c r="N1134" s="29" t="n">
        <v>80000</v>
      </c>
      <c r="O1134" s="29" t="n">
        <v>80000</v>
      </c>
      <c r="P1134" s="27" t="n">
        <v>0</v>
      </c>
      <c r="Q1134" s="263" t="n">
        <v>45971</v>
      </c>
    </row>
    <row r="1135" customFormat="false" ht="15" hidden="false" customHeight="false" outlineLevel="0" collapsed="false">
      <c r="A1135" s="24" t="n">
        <v>3434</v>
      </c>
      <c r="B1135" s="21" t="s">
        <v>445</v>
      </c>
      <c r="C1135" s="21"/>
      <c r="D1135" s="22"/>
      <c r="E1135" s="23" t="n">
        <v>45939</v>
      </c>
      <c r="F1135" s="23" t="n">
        <v>45820</v>
      </c>
      <c r="G1135" s="24" t="n">
        <v>20</v>
      </c>
      <c r="H1135" s="25" t="e">
        <f aca="false">#DIV/0!</f>
        <v>#DIV/0!</v>
      </c>
      <c r="I1135" s="25" t="e">
        <f aca="false">#DIV/0!</f>
        <v>#DIV/0!</v>
      </c>
      <c r="J1135" s="26" t="s">
        <v>444</v>
      </c>
      <c r="K1135" s="27" t="n">
        <v>100000</v>
      </c>
      <c r="L1135" s="27" t="n">
        <v>150000</v>
      </c>
      <c r="M1135" s="45"/>
      <c r="N1135" s="29" t="n">
        <v>150000</v>
      </c>
      <c r="O1135" s="29" t="n">
        <v>150000</v>
      </c>
      <c r="P1135" s="27" t="n">
        <v>0</v>
      </c>
      <c r="Q1135" s="263" t="n">
        <v>45971</v>
      </c>
    </row>
    <row r="1136" customFormat="false" ht="15" hidden="false" customHeight="false" outlineLevel="0" collapsed="false">
      <c r="A1136" s="24" t="n">
        <v>3435</v>
      </c>
      <c r="B1136" s="22" t="s">
        <v>481</v>
      </c>
      <c r="C1136" s="21"/>
      <c r="D1136" s="22"/>
      <c r="E1136" s="23" t="n">
        <v>45939</v>
      </c>
      <c r="F1136" s="23" t="n">
        <v>45967</v>
      </c>
      <c r="G1136" s="24" t="n">
        <v>20</v>
      </c>
      <c r="H1136" s="25" t="e">
        <f aca="false">#DIV/0!</f>
        <v>#DIV/0!</v>
      </c>
      <c r="I1136" s="25" t="e">
        <f aca="false">#DIV/0!</f>
        <v>#DIV/0!</v>
      </c>
      <c r="J1136" s="26" t="s">
        <v>444</v>
      </c>
      <c r="K1136" s="27" t="n">
        <v>220000</v>
      </c>
      <c r="L1136" s="27" t="n">
        <v>352000</v>
      </c>
      <c r="M1136" s="28"/>
      <c r="N1136" s="29" t="n">
        <v>352000</v>
      </c>
      <c r="O1136" s="29" t="n">
        <v>352000</v>
      </c>
      <c r="P1136" s="27" t="n">
        <v>0</v>
      </c>
      <c r="Q1136" s="263" t="n">
        <v>45971</v>
      </c>
    </row>
    <row r="1137" customFormat="false" ht="15" hidden="false" customHeight="false" outlineLevel="0" collapsed="false">
      <c r="A1137" s="24" t="n">
        <v>3468</v>
      </c>
      <c r="B1137" s="22" t="s">
        <v>481</v>
      </c>
      <c r="C1137" s="21"/>
      <c r="D1137" s="22"/>
      <c r="E1137" s="23" t="n">
        <v>45959</v>
      </c>
      <c r="F1137" s="23" t="n">
        <v>45987</v>
      </c>
      <c r="G1137" s="24" t="n">
        <v>20</v>
      </c>
      <c r="H1137" s="25" t="e">
        <f aca="false">#DIV/0!</f>
        <v>#DIV/0!</v>
      </c>
      <c r="I1137" s="25" t="e">
        <f aca="false">#DIV/0!</f>
        <v>#DIV/0!</v>
      </c>
      <c r="J1137" s="26" t="s">
        <v>444</v>
      </c>
      <c r="K1137" s="27" t="n">
        <v>20000</v>
      </c>
      <c r="L1137" s="27" t="n">
        <v>32000</v>
      </c>
      <c r="M1137" s="28"/>
      <c r="N1137" s="29" t="n">
        <v>32000</v>
      </c>
      <c r="O1137" s="29" t="n">
        <v>32000</v>
      </c>
      <c r="P1137" s="27" t="n">
        <v>0</v>
      </c>
      <c r="Q1137" s="263" t="n">
        <v>45971</v>
      </c>
    </row>
    <row r="1138" customFormat="false" ht="15" hidden="false" customHeight="false" outlineLevel="0" collapsed="false">
      <c r="A1138" s="24" t="n">
        <v>3470</v>
      </c>
      <c r="B1138" s="22" t="s">
        <v>481</v>
      </c>
      <c r="C1138" s="21"/>
      <c r="D1138" s="22"/>
      <c r="E1138" s="23" t="n">
        <v>45960</v>
      </c>
      <c r="F1138" s="23" t="n">
        <v>45988</v>
      </c>
      <c r="G1138" s="24" t="n">
        <v>20</v>
      </c>
      <c r="H1138" s="25" t="e">
        <f aca="false">#DIV/0!</f>
        <v>#DIV/0!</v>
      </c>
      <c r="I1138" s="25" t="e">
        <f aca="false">#DIV/0!</f>
        <v>#DIV/0!</v>
      </c>
      <c r="J1138" s="26" t="s">
        <v>444</v>
      </c>
      <c r="K1138" s="27" t="n">
        <v>15000</v>
      </c>
      <c r="L1138" s="27" t="n">
        <v>24000</v>
      </c>
      <c r="M1138" s="28"/>
      <c r="N1138" s="29" t="n">
        <v>24000</v>
      </c>
      <c r="O1138" s="29" t="n">
        <v>24000</v>
      </c>
      <c r="P1138" s="27" t="n">
        <v>0</v>
      </c>
      <c r="Q1138" s="263" t="n">
        <v>45971</v>
      </c>
    </row>
    <row r="1139" customFormat="false" ht="15" hidden="false" customHeight="false" outlineLevel="0" collapsed="false">
      <c r="A1139" s="24" t="n">
        <v>3324</v>
      </c>
      <c r="B1139" s="21" t="s">
        <v>519</v>
      </c>
      <c r="C1139" s="21" t="s">
        <v>520</v>
      </c>
      <c r="D1139" s="48"/>
      <c r="E1139" s="23" t="n">
        <v>45868</v>
      </c>
      <c r="F1139" s="23" t="n">
        <v>45968</v>
      </c>
      <c r="G1139" s="24" t="n">
        <v>72</v>
      </c>
      <c r="H1139" s="25" t="n">
        <v>72</v>
      </c>
      <c r="I1139" s="25" t="n">
        <v>0</v>
      </c>
      <c r="J1139" s="34" t="s">
        <v>190</v>
      </c>
      <c r="K1139" s="27" t="n">
        <v>200000</v>
      </c>
      <c r="L1139" s="27" t="n">
        <v>432000</v>
      </c>
      <c r="M1139" s="28" t="n">
        <v>30000</v>
      </c>
      <c r="N1139" s="29" t="n">
        <v>42000</v>
      </c>
      <c r="O1139" s="29" t="n">
        <v>432000</v>
      </c>
      <c r="P1139" s="27" t="n">
        <v>0</v>
      </c>
      <c r="Q1139" s="263" t="n">
        <v>45971</v>
      </c>
    </row>
    <row r="1140" customFormat="false" ht="15" hidden="false" customHeight="false" outlineLevel="0" collapsed="false">
      <c r="A1140" s="20" t="n">
        <v>3239</v>
      </c>
      <c r="B1140" s="21" t="s">
        <v>291</v>
      </c>
      <c r="C1140" s="21" t="s">
        <v>292</v>
      </c>
      <c r="D1140" s="22"/>
      <c r="E1140" s="23" t="n">
        <v>45821</v>
      </c>
      <c r="F1140" s="23" t="n">
        <v>45989</v>
      </c>
      <c r="G1140" s="24" t="n">
        <v>120</v>
      </c>
      <c r="H1140" s="25" t="n">
        <v>120</v>
      </c>
      <c r="I1140" s="25" t="n">
        <v>0</v>
      </c>
      <c r="J1140" s="26" t="s">
        <v>1109</v>
      </c>
      <c r="K1140" s="27" t="n">
        <v>50000</v>
      </c>
      <c r="L1140" s="27" t="n">
        <v>132000</v>
      </c>
      <c r="M1140" s="28" t="n">
        <v>5500</v>
      </c>
      <c r="N1140" s="29" t="n">
        <v>22000</v>
      </c>
      <c r="O1140" s="29" t="n">
        <v>132000</v>
      </c>
      <c r="P1140" s="27" t="n">
        <v>0</v>
      </c>
      <c r="Q1140" s="263" t="n">
        <v>45978</v>
      </c>
    </row>
    <row r="1141" customFormat="false" ht="15" hidden="false" customHeight="false" outlineLevel="0" collapsed="false">
      <c r="A1141" s="20" t="n">
        <v>3292</v>
      </c>
      <c r="B1141" s="21" t="s">
        <v>291</v>
      </c>
      <c r="C1141" s="21" t="s">
        <v>292</v>
      </c>
      <c r="D1141" s="22"/>
      <c r="E1141" s="23" t="n">
        <v>45854</v>
      </c>
      <c r="F1141" s="23" t="n">
        <v>45966</v>
      </c>
      <c r="G1141" s="24" t="n">
        <v>80</v>
      </c>
      <c r="H1141" s="25" t="n">
        <v>80</v>
      </c>
      <c r="I1141" s="25" t="n">
        <v>0</v>
      </c>
      <c r="J1141" s="26" t="s">
        <v>296</v>
      </c>
      <c r="K1141" s="27" t="n">
        <v>20000</v>
      </c>
      <c r="L1141" s="27" t="n">
        <v>43200</v>
      </c>
      <c r="M1141" s="28" t="n">
        <v>2700</v>
      </c>
      <c r="N1141" s="29" t="n">
        <v>10800</v>
      </c>
      <c r="O1141" s="29" t="n">
        <v>43200</v>
      </c>
      <c r="P1141" s="27" t="n">
        <v>0</v>
      </c>
      <c r="Q1141" s="263" t="n">
        <v>45978</v>
      </c>
    </row>
    <row r="1142" customFormat="false" ht="26.1" hidden="false" customHeight="false" outlineLevel="0" collapsed="false">
      <c r="A1142" s="20" t="n">
        <v>2575</v>
      </c>
      <c r="B1142" s="21" t="s">
        <v>589</v>
      </c>
      <c r="C1142" s="21" t="s">
        <v>590</v>
      </c>
      <c r="D1142" s="22" t="s">
        <v>311</v>
      </c>
      <c r="E1142" s="23" t="n">
        <v>45397</v>
      </c>
      <c r="F1142" s="23" t="n">
        <v>45565</v>
      </c>
      <c r="G1142" s="24" t="n">
        <v>120</v>
      </c>
      <c r="H1142" s="25" t="n">
        <v>148.068965517241</v>
      </c>
      <c r="I1142" s="25" t="n">
        <v>-28.0689655172414</v>
      </c>
      <c r="J1142" s="26" t="s">
        <v>1241</v>
      </c>
      <c r="K1142" s="27" t="n">
        <v>150000</v>
      </c>
      <c r="L1142" s="27" t="n">
        <v>435000</v>
      </c>
      <c r="M1142" s="45" t="n">
        <v>18125</v>
      </c>
      <c r="N1142" s="29" t="n">
        <v>300000</v>
      </c>
      <c r="O1142" s="29" t="n">
        <v>536750</v>
      </c>
      <c r="P1142" s="27" t="n">
        <v>-101750</v>
      </c>
      <c r="Q1142" s="263" t="n">
        <v>45978</v>
      </c>
    </row>
    <row r="1143" customFormat="false" ht="21.6" hidden="false" customHeight="false" outlineLevel="0" collapsed="false">
      <c r="A1143" s="24" t="n">
        <v>3280</v>
      </c>
      <c r="B1143" s="21" t="s">
        <v>1242</v>
      </c>
      <c r="C1143" s="21" t="s">
        <v>335</v>
      </c>
      <c r="D1143" s="22"/>
      <c r="E1143" s="23" t="n">
        <v>45847</v>
      </c>
      <c r="F1143" s="23" t="n">
        <v>45959</v>
      </c>
      <c r="G1143" s="24" t="n">
        <v>80</v>
      </c>
      <c r="H1143" s="25" t="n">
        <v>80.1234567901235</v>
      </c>
      <c r="I1143" s="25" t="n">
        <v>-0.123456790123456</v>
      </c>
      <c r="J1143" s="26" t="s">
        <v>1055</v>
      </c>
      <c r="K1143" s="27" t="n">
        <v>30000</v>
      </c>
      <c r="L1143" s="27" t="n">
        <v>64800</v>
      </c>
      <c r="M1143" s="28" t="n">
        <v>4050</v>
      </c>
      <c r="N1143" s="29" t="n">
        <v>16300</v>
      </c>
      <c r="O1143" s="29" t="n">
        <v>64900</v>
      </c>
      <c r="P1143" s="27" t="n">
        <v>-100</v>
      </c>
      <c r="Q1143" s="263" t="n">
        <v>45978</v>
      </c>
    </row>
    <row r="1144" customFormat="false" ht="17.9" hidden="false" customHeight="false" outlineLevel="0" collapsed="false">
      <c r="A1144" s="24" t="n">
        <v>3497</v>
      </c>
      <c r="B1144" s="22" t="s">
        <v>363</v>
      </c>
      <c r="C1144" s="22"/>
      <c r="D1144" s="22"/>
      <c r="E1144" s="23" t="n">
        <v>45976</v>
      </c>
      <c r="F1144" s="23" t="n">
        <v>45982</v>
      </c>
      <c r="G1144" s="24" t="n">
        <v>5</v>
      </c>
      <c r="H1144" s="25" t="e">
        <f aca="false">#DIV/0!</f>
        <v>#DIV/0!</v>
      </c>
      <c r="I1144" s="25" t="e">
        <f aca="false">#DIV/0!</f>
        <v>#DIV/0!</v>
      </c>
      <c r="J1144" s="22" t="s">
        <v>199</v>
      </c>
      <c r="K1144" s="50" t="n">
        <v>100000</v>
      </c>
      <c r="L1144" s="27" t="n">
        <v>130000</v>
      </c>
      <c r="M1144" s="28"/>
      <c r="N1144" s="29" t="n">
        <v>130000</v>
      </c>
      <c r="O1144" s="29" t="n">
        <v>130000</v>
      </c>
      <c r="P1144" s="27" t="n">
        <v>0</v>
      </c>
      <c r="Q1144" s="263" t="n">
        <v>45978</v>
      </c>
    </row>
    <row r="1145" customFormat="false" ht="15" hidden="false" customHeight="false" outlineLevel="0" collapsed="false">
      <c r="A1145" s="24" t="n">
        <v>3237</v>
      </c>
      <c r="B1145" s="21" t="s">
        <v>459</v>
      </c>
      <c r="C1145" s="21" t="s">
        <v>460</v>
      </c>
      <c r="D1145" s="22"/>
      <c r="E1145" s="23" t="n">
        <v>45819</v>
      </c>
      <c r="F1145" s="23" t="n">
        <v>45919</v>
      </c>
      <c r="G1145" s="24" t="n">
        <v>72</v>
      </c>
      <c r="H1145" s="25" t="n">
        <v>72.3333333333333</v>
      </c>
      <c r="I1145" s="25" t="n">
        <v>-0.333333333333329</v>
      </c>
      <c r="J1145" s="34" t="s">
        <v>333</v>
      </c>
      <c r="K1145" s="27" t="n">
        <v>50000</v>
      </c>
      <c r="L1145" s="27" t="n">
        <v>108000</v>
      </c>
      <c r="M1145" s="28" t="n">
        <v>7500</v>
      </c>
      <c r="N1145" s="29" t="n">
        <v>7500</v>
      </c>
      <c r="O1145" s="29" t="n">
        <v>108500</v>
      </c>
      <c r="P1145" s="27" t="n">
        <v>-500</v>
      </c>
      <c r="Q1145" s="263" t="n">
        <v>45978</v>
      </c>
    </row>
    <row r="1146" customFormat="false" ht="26.1" hidden="false" customHeight="false" outlineLevel="0" collapsed="false">
      <c r="A1146" s="24" t="n">
        <v>3332</v>
      </c>
      <c r="B1146" s="22" t="s">
        <v>571</v>
      </c>
      <c r="C1146" s="22" t="s">
        <v>572</v>
      </c>
      <c r="D1146" s="22"/>
      <c r="E1146" s="23" t="n">
        <v>45876</v>
      </c>
      <c r="F1146" s="23" t="n">
        <v>45978</v>
      </c>
      <c r="G1146" s="24" t="n">
        <v>72</v>
      </c>
      <c r="H1146" s="25" t="n">
        <v>72</v>
      </c>
      <c r="I1146" s="25" t="n">
        <v>0</v>
      </c>
      <c r="J1146" s="34" t="s">
        <v>720</v>
      </c>
      <c r="K1146" s="27" t="n">
        <v>60000</v>
      </c>
      <c r="L1146" s="27" t="n">
        <v>129600</v>
      </c>
      <c r="M1146" s="45" t="n">
        <v>9000</v>
      </c>
      <c r="N1146" s="29" t="n">
        <v>3600</v>
      </c>
      <c r="O1146" s="29" t="n">
        <v>129600</v>
      </c>
      <c r="P1146" s="27" t="n">
        <v>0</v>
      </c>
      <c r="Q1146" s="263" t="n">
        <v>45978</v>
      </c>
    </row>
    <row r="1147" customFormat="false" ht="21.6" hidden="false" customHeight="false" outlineLevel="0" collapsed="false">
      <c r="A1147" s="24" t="n">
        <v>3318</v>
      </c>
      <c r="B1147" s="21" t="s">
        <v>382</v>
      </c>
      <c r="C1147" s="21" t="s">
        <v>383</v>
      </c>
      <c r="D1147" s="22"/>
      <c r="E1147" s="23" t="n">
        <v>45864</v>
      </c>
      <c r="F1147" s="23" t="n">
        <f aca="false">WORKDAY(E1147,G1147)</f>
        <v>45965</v>
      </c>
      <c r="G1147" s="24" t="n">
        <v>72</v>
      </c>
      <c r="H1147" s="25" t="n">
        <f aca="false">(FS1147* 5)/M1147</f>
        <v>0</v>
      </c>
      <c r="I1147" s="25" t="n">
        <f aca="false">G1147-H1147</f>
        <v>72</v>
      </c>
      <c r="J1147" s="34" t="s">
        <v>333</v>
      </c>
      <c r="K1147" s="50" t="n">
        <v>10000</v>
      </c>
      <c r="L1147" s="27" t="n">
        <v>21600</v>
      </c>
      <c r="M1147" s="28" t="n">
        <f aca="false">(L1147/G1147)*5</f>
        <v>1500</v>
      </c>
      <c r="N1147" s="29" t="n">
        <v>7100</v>
      </c>
      <c r="O1147" s="29" t="n">
        <v>21600</v>
      </c>
      <c r="P1147" s="27" t="n">
        <v>0</v>
      </c>
      <c r="Q1147" s="263" t="n">
        <v>45985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74" activePane="bottomLeft" state="frozen"/>
      <selection pane="topLeft" activeCell="A1" activeCellId="0" sqref="A1"/>
      <selection pane="bottomLeft" activeCell="G288" activeCellId="1" sqref="A1:FY1 G288"/>
    </sheetView>
  </sheetViews>
  <sheetFormatPr defaultColWidth="10.6796875" defaultRowHeight="15" customHeight="true" zeroHeight="false" outlineLevelRow="0" outlineLevelCol="0"/>
  <cols>
    <col collapsed="false" customWidth="true" hidden="false" outlineLevel="0" max="2" min="2" style="0" width="15.29"/>
    <col collapsed="false" customWidth="true" hidden="false" outlineLevel="0" max="3" min="3" style="0" width="14.42"/>
    <col collapsed="false" customWidth="true" hidden="false" outlineLevel="0" max="4" min="4" style="0" width="9.14"/>
    <col collapsed="false" customWidth="true" hidden="false" outlineLevel="0" max="5" min="5" style="0" width="14.42"/>
    <col collapsed="false" customWidth="true" hidden="false" outlineLevel="0" max="6" min="6" style="0" width="15.29"/>
    <col collapsed="false" customWidth="true" hidden="false" outlineLevel="0" max="7" min="7" style="0" width="14.14"/>
    <col collapsed="false" customWidth="true" hidden="false" outlineLevel="0" max="9" min="9" style="0" width="15"/>
  </cols>
  <sheetData>
    <row r="1" customFormat="false" ht="15" hidden="false" customHeight="false" outlineLevel="0" collapsed="false">
      <c r="A1" s="364" t="s">
        <v>1243</v>
      </c>
      <c r="B1" s="364" t="s">
        <v>1244</v>
      </c>
      <c r="C1" s="364" t="s">
        <v>1245</v>
      </c>
      <c r="D1" s="365" t="s">
        <v>596</v>
      </c>
      <c r="E1" s="364" t="s">
        <v>1246</v>
      </c>
      <c r="F1" s="364" t="s">
        <v>1247</v>
      </c>
      <c r="G1" s="364" t="s">
        <v>1248</v>
      </c>
      <c r="H1" s="364" t="s">
        <v>1249</v>
      </c>
      <c r="I1" s="364" t="s">
        <v>1250</v>
      </c>
      <c r="J1" s="364"/>
      <c r="K1" s="364"/>
      <c r="L1" s="364"/>
    </row>
    <row r="2" customFormat="false" ht="15" hidden="false" customHeight="false" outlineLevel="0" collapsed="false">
      <c r="A2" s="366" t="s">
        <v>1251</v>
      </c>
      <c r="B2" s="0" t="n">
        <v>159</v>
      </c>
      <c r="C2" s="0" t="n">
        <v>38710</v>
      </c>
    </row>
    <row r="3" customFormat="false" ht="15" hidden="false" customHeight="false" outlineLevel="0" collapsed="false">
      <c r="A3" s="366" t="s">
        <v>1252</v>
      </c>
      <c r="B3" s="0" t="n">
        <v>162</v>
      </c>
      <c r="C3" s="0" t="n">
        <v>49385</v>
      </c>
    </row>
    <row r="4" customFormat="false" ht="15" hidden="false" customHeight="false" outlineLevel="0" collapsed="false">
      <c r="A4" s="366" t="s">
        <v>1253</v>
      </c>
      <c r="B4" s="0" t="n">
        <v>156</v>
      </c>
      <c r="C4" s="0" t="n">
        <v>38520</v>
      </c>
    </row>
    <row r="5" customFormat="false" ht="15" hidden="false" customHeight="false" outlineLevel="0" collapsed="false">
      <c r="A5" s="366" t="s">
        <v>1254</v>
      </c>
      <c r="B5" s="0" t="n">
        <v>156</v>
      </c>
      <c r="C5" s="0" t="n">
        <v>30100</v>
      </c>
    </row>
    <row r="6" customFormat="false" ht="15" hidden="false" customHeight="false" outlineLevel="0" collapsed="false">
      <c r="A6" s="366" t="s">
        <v>1255</v>
      </c>
      <c r="B6" s="0" t="n">
        <v>156</v>
      </c>
      <c r="C6" s="0" t="n">
        <v>51315</v>
      </c>
    </row>
    <row r="7" customFormat="false" ht="15" hidden="false" customHeight="false" outlineLevel="0" collapsed="false">
      <c r="A7" s="366" t="s">
        <v>1256</v>
      </c>
      <c r="B7" s="0" t="n">
        <v>145</v>
      </c>
      <c r="C7" s="0" t="n">
        <v>61520</v>
      </c>
    </row>
    <row r="8" customFormat="false" ht="15" hidden="false" customHeight="false" outlineLevel="0" collapsed="false">
      <c r="A8" s="366" t="s">
        <v>1257</v>
      </c>
      <c r="B8" s="0" t="n">
        <v>147</v>
      </c>
      <c r="C8" s="0" t="n">
        <v>58260</v>
      </c>
      <c r="D8" s="0" t="n">
        <v>47.53</v>
      </c>
    </row>
    <row r="9" customFormat="false" ht="15" hidden="false" customHeight="false" outlineLevel="0" collapsed="false">
      <c r="A9" s="366" t="s">
        <v>1258</v>
      </c>
      <c r="B9" s="0" t="n">
        <v>141</v>
      </c>
      <c r="C9" s="0" t="n">
        <v>47680</v>
      </c>
      <c r="D9" s="0" t="n">
        <v>38.5</v>
      </c>
    </row>
    <row r="10" customFormat="false" ht="15" hidden="false" customHeight="false" outlineLevel="0" collapsed="false">
      <c r="A10" s="366" t="s">
        <v>1259</v>
      </c>
      <c r="B10" s="0" t="n">
        <v>139</v>
      </c>
      <c r="C10" s="0" t="n">
        <v>52320</v>
      </c>
      <c r="D10" s="0" t="n">
        <v>42.07</v>
      </c>
    </row>
    <row r="11" customFormat="false" ht="15" hidden="false" customHeight="false" outlineLevel="0" collapsed="false">
      <c r="A11" s="366" t="s">
        <v>1260</v>
      </c>
      <c r="B11" s="0" t="n">
        <v>140</v>
      </c>
      <c r="C11" s="0" t="n">
        <v>62290</v>
      </c>
      <c r="D11" s="0" t="n">
        <v>51.47</v>
      </c>
    </row>
    <row r="12" customFormat="false" ht="15" hidden="false" customHeight="false" outlineLevel="0" collapsed="false">
      <c r="A12" s="366" t="s">
        <v>1261</v>
      </c>
      <c r="B12" s="0" t="n">
        <v>137</v>
      </c>
      <c r="C12" s="0" t="n">
        <v>58200</v>
      </c>
      <c r="D12" s="0" t="n">
        <v>48.63</v>
      </c>
    </row>
    <row r="13" customFormat="false" ht="15" hidden="false" customHeight="false" outlineLevel="0" collapsed="false">
      <c r="A13" s="366" t="s">
        <v>1262</v>
      </c>
      <c r="B13" s="0" t="n">
        <v>140</v>
      </c>
      <c r="C13" s="0" t="n">
        <v>63200</v>
      </c>
      <c r="D13" s="0" t="n">
        <v>52</v>
      </c>
    </row>
    <row r="14" customFormat="false" ht="15" hidden="false" customHeight="false" outlineLevel="0" collapsed="false">
      <c r="A14" s="366" t="s">
        <v>1263</v>
      </c>
      <c r="B14" s="0" t="n">
        <v>137</v>
      </c>
      <c r="C14" s="0" t="n">
        <v>80920</v>
      </c>
      <c r="D14" s="0" t="n">
        <v>67.68</v>
      </c>
    </row>
    <row r="15" customFormat="false" ht="15" hidden="false" customHeight="false" outlineLevel="0" collapsed="false">
      <c r="A15" s="366" t="s">
        <v>1264</v>
      </c>
      <c r="B15" s="0" t="n">
        <v>138</v>
      </c>
      <c r="C15" s="0" t="n">
        <v>63365</v>
      </c>
      <c r="D15" s="0" t="n">
        <v>52.33</v>
      </c>
    </row>
    <row r="16" customFormat="false" ht="15" hidden="false" customHeight="false" outlineLevel="0" collapsed="false">
      <c r="A16" s="366" t="s">
        <v>1265</v>
      </c>
      <c r="B16" s="0" t="n">
        <v>137</v>
      </c>
      <c r="C16" s="0" t="n">
        <v>87380</v>
      </c>
      <c r="D16" s="0" t="n">
        <v>71.8</v>
      </c>
    </row>
    <row r="17" customFormat="false" ht="15" hidden="false" customHeight="false" outlineLevel="0" collapsed="false">
      <c r="A17" s="366" t="s">
        <v>1266</v>
      </c>
      <c r="B17" s="0" t="n">
        <v>141</v>
      </c>
      <c r="C17" s="0" t="n">
        <v>86620</v>
      </c>
      <c r="D17" s="0" t="n">
        <v>69.93</v>
      </c>
    </row>
    <row r="18" customFormat="false" ht="15" hidden="false" customHeight="false" outlineLevel="0" collapsed="false">
      <c r="A18" s="366" t="s">
        <v>1267</v>
      </c>
      <c r="B18" s="0" t="n">
        <v>137</v>
      </c>
      <c r="C18" s="0" t="n">
        <v>44670</v>
      </c>
      <c r="D18" s="0" t="n">
        <v>37.14</v>
      </c>
    </row>
    <row r="19" customFormat="false" ht="15" hidden="false" customHeight="false" outlineLevel="0" collapsed="false">
      <c r="A19" s="366" t="s">
        <v>1268</v>
      </c>
      <c r="B19" s="0" t="n">
        <v>137</v>
      </c>
      <c r="C19" s="0" t="n">
        <v>74950</v>
      </c>
      <c r="D19" s="0" t="n">
        <v>58.89</v>
      </c>
    </row>
    <row r="20" customFormat="false" ht="15" hidden="false" customHeight="false" outlineLevel="0" collapsed="false">
      <c r="A20" s="366" t="s">
        <v>1269</v>
      </c>
      <c r="B20" s="0" t="n">
        <v>136</v>
      </c>
      <c r="C20" s="0" t="n">
        <v>92190</v>
      </c>
      <c r="D20" s="0" t="n">
        <v>74.19</v>
      </c>
    </row>
    <row r="21" customFormat="false" ht="15" hidden="false" customHeight="false" outlineLevel="0" collapsed="false">
      <c r="A21" s="366" t="s">
        <v>1270</v>
      </c>
      <c r="B21" s="0" t="n">
        <v>136</v>
      </c>
      <c r="C21" s="0" t="n">
        <v>90850</v>
      </c>
      <c r="D21" s="0" t="n">
        <v>72.22</v>
      </c>
    </row>
    <row r="22" customFormat="false" ht="15" hidden="false" customHeight="false" outlineLevel="0" collapsed="false">
      <c r="A22" s="366" t="s">
        <v>1271</v>
      </c>
      <c r="B22" s="0" t="n">
        <v>129</v>
      </c>
      <c r="C22" s="0" t="n">
        <v>64965</v>
      </c>
      <c r="D22" s="0" t="n">
        <v>53.3</v>
      </c>
    </row>
    <row r="23" customFormat="false" ht="15" hidden="false" customHeight="false" outlineLevel="0" collapsed="false">
      <c r="A23" s="366" t="s">
        <v>1272</v>
      </c>
      <c r="B23" s="0" t="n">
        <v>134</v>
      </c>
      <c r="C23" s="0" t="n">
        <v>52860</v>
      </c>
      <c r="D23" s="0" t="n">
        <v>42.26</v>
      </c>
    </row>
    <row r="24" customFormat="false" ht="15" hidden="false" customHeight="false" outlineLevel="0" collapsed="false">
      <c r="A24" s="366" t="s">
        <v>1273</v>
      </c>
      <c r="B24" s="0" t="n">
        <v>136</v>
      </c>
      <c r="C24" s="0" t="n">
        <v>106170</v>
      </c>
      <c r="D24" s="0" t="n">
        <v>83.25</v>
      </c>
    </row>
    <row r="25" customFormat="false" ht="15" hidden="false" customHeight="false" outlineLevel="0" collapsed="false">
      <c r="A25" s="366" t="s">
        <v>1274</v>
      </c>
      <c r="B25" s="0" t="n">
        <v>138</v>
      </c>
      <c r="C25" s="0" t="n">
        <v>87790</v>
      </c>
      <c r="D25" s="0" t="n">
        <v>67.84</v>
      </c>
    </row>
    <row r="26" customFormat="false" ht="15" hidden="false" customHeight="false" outlineLevel="0" collapsed="false">
      <c r="A26" s="366" t="s">
        <v>1275</v>
      </c>
      <c r="B26" s="0" t="n">
        <v>136</v>
      </c>
      <c r="C26" s="0" t="n">
        <v>53375</v>
      </c>
      <c r="D26" s="0" t="n">
        <v>41.52</v>
      </c>
    </row>
    <row r="27" customFormat="false" ht="15" hidden="false" customHeight="false" outlineLevel="0" collapsed="false">
      <c r="A27" s="366" t="s">
        <v>1276</v>
      </c>
      <c r="B27" s="0" t="n">
        <v>131</v>
      </c>
      <c r="C27" s="0" t="n">
        <v>62780</v>
      </c>
      <c r="D27" s="0" t="n">
        <v>50.48</v>
      </c>
    </row>
    <row r="28" customFormat="false" ht="15" hidden="false" customHeight="false" outlineLevel="0" collapsed="false">
      <c r="A28" s="366" t="s">
        <v>1277</v>
      </c>
      <c r="B28" s="0" t="n">
        <v>135</v>
      </c>
      <c r="C28" s="0" t="n">
        <v>79345</v>
      </c>
      <c r="D28" s="0" t="n">
        <v>60.38</v>
      </c>
    </row>
    <row r="29" customFormat="false" ht="15" hidden="false" customHeight="false" outlineLevel="0" collapsed="false">
      <c r="A29" s="366" t="s">
        <v>1278</v>
      </c>
      <c r="B29" s="0" t="n">
        <v>133</v>
      </c>
      <c r="C29" s="0" t="n">
        <v>86380</v>
      </c>
      <c r="D29" s="0" t="n">
        <v>66.54</v>
      </c>
      <c r="E29" s="0" t="n">
        <v>57.352</v>
      </c>
    </row>
    <row r="30" customFormat="false" ht="15" hidden="false" customHeight="false" outlineLevel="0" collapsed="false">
      <c r="A30" s="366" t="s">
        <v>1279</v>
      </c>
      <c r="B30" s="0" t="n">
        <v>133</v>
      </c>
      <c r="C30" s="0" t="n">
        <v>107180</v>
      </c>
      <c r="D30" s="0" t="n">
        <v>82.72</v>
      </c>
      <c r="E30" s="0" t="n">
        <v>60.328</v>
      </c>
    </row>
    <row r="31" customFormat="false" ht="15" hidden="false" customHeight="false" outlineLevel="0" collapsed="false">
      <c r="A31" s="366" t="s">
        <v>1280</v>
      </c>
      <c r="B31" s="0" t="n">
        <v>135</v>
      </c>
      <c r="C31" s="0" t="n">
        <v>72910</v>
      </c>
      <c r="D31" s="0" t="n">
        <v>55.2</v>
      </c>
      <c r="E31" s="0" t="n">
        <v>63.64</v>
      </c>
    </row>
    <row r="32" customFormat="false" ht="15" hidden="false" customHeight="false" outlineLevel="0" collapsed="false">
      <c r="A32" s="366" t="s">
        <v>1281</v>
      </c>
      <c r="B32" s="0" t="n">
        <v>137</v>
      </c>
      <c r="C32" s="0" t="n">
        <v>108660</v>
      </c>
      <c r="D32" s="0" t="n">
        <v>79.46</v>
      </c>
      <c r="E32" s="0" t="n">
        <v>68.86</v>
      </c>
    </row>
    <row r="33" customFormat="false" ht="15" hidden="false" customHeight="false" outlineLevel="0" collapsed="false">
      <c r="A33" s="366" t="s">
        <v>1282</v>
      </c>
      <c r="B33" s="0" t="n">
        <v>134</v>
      </c>
      <c r="C33" s="0" t="n">
        <v>88420</v>
      </c>
      <c r="D33" s="0" t="n">
        <v>63.44</v>
      </c>
      <c r="E33" s="0" t="n">
        <v>69.472</v>
      </c>
    </row>
    <row r="34" customFormat="false" ht="15" hidden="false" customHeight="false" outlineLevel="0" collapsed="false">
      <c r="A34" s="366" t="s">
        <v>1283</v>
      </c>
      <c r="B34" s="0" t="n">
        <v>135</v>
      </c>
      <c r="C34" s="0" t="n">
        <v>93690</v>
      </c>
      <c r="D34" s="0" t="n">
        <v>67.15</v>
      </c>
      <c r="E34" s="0" t="n">
        <v>69.594</v>
      </c>
    </row>
    <row r="35" customFormat="false" ht="15" hidden="false" customHeight="false" outlineLevel="0" collapsed="false">
      <c r="A35" s="366" t="s">
        <v>1284</v>
      </c>
      <c r="B35" s="0" t="n">
        <v>141</v>
      </c>
      <c r="C35" s="0" t="n">
        <v>115420</v>
      </c>
      <c r="D35" s="0" t="n">
        <v>79.82</v>
      </c>
      <c r="E35" s="0" t="n">
        <v>69.014</v>
      </c>
    </row>
    <row r="36" customFormat="false" ht="15" hidden="false" customHeight="false" outlineLevel="0" collapsed="false">
      <c r="A36" s="366" t="s">
        <v>1285</v>
      </c>
      <c r="B36" s="0" t="n">
        <v>137</v>
      </c>
      <c r="C36" s="0" t="n">
        <v>52490</v>
      </c>
      <c r="D36" s="0" t="n">
        <v>36.14</v>
      </c>
      <c r="E36" s="0" t="n">
        <v>65.02</v>
      </c>
    </row>
    <row r="37" customFormat="false" ht="15" hidden="false" customHeight="false" outlineLevel="0" collapsed="false">
      <c r="A37" s="367" t="s">
        <v>1286</v>
      </c>
      <c r="B37" s="0" t="n">
        <v>136</v>
      </c>
      <c r="C37" s="0" t="n">
        <v>104410</v>
      </c>
      <c r="D37" s="0" t="n">
        <v>71.98</v>
      </c>
      <c r="E37" s="0" t="n">
        <v>63.706</v>
      </c>
    </row>
    <row r="38" customFormat="false" ht="15" hidden="false" customHeight="false" outlineLevel="0" collapsed="false">
      <c r="A38" s="367" t="s">
        <v>1287</v>
      </c>
      <c r="B38" s="0" t="n">
        <v>141</v>
      </c>
      <c r="C38" s="0" t="n">
        <v>128490</v>
      </c>
      <c r="D38" s="0" t="n">
        <v>83.18</v>
      </c>
      <c r="E38" s="0" t="n">
        <v>67.654</v>
      </c>
    </row>
    <row r="39" customFormat="false" ht="15" hidden="false" customHeight="false" outlineLevel="0" collapsed="false">
      <c r="A39" s="367" t="s">
        <v>1288</v>
      </c>
      <c r="B39" s="0" t="n">
        <v>142</v>
      </c>
      <c r="C39" s="0" t="n">
        <v>97990</v>
      </c>
      <c r="D39" s="0" t="n">
        <v>62.67</v>
      </c>
      <c r="E39" s="0" t="n">
        <v>66.758</v>
      </c>
    </row>
    <row r="40" customFormat="false" ht="15" hidden="false" customHeight="false" outlineLevel="0" collapsed="false">
      <c r="A40" s="367" t="s">
        <v>1289</v>
      </c>
      <c r="B40" s="0" t="n">
        <v>141</v>
      </c>
      <c r="C40" s="0" t="n">
        <v>83850</v>
      </c>
      <c r="D40" s="0" t="n">
        <v>54.13</v>
      </c>
      <c r="E40" s="0" t="n">
        <v>61.62</v>
      </c>
    </row>
    <row r="41" customFormat="false" ht="15" hidden="false" customHeight="false" outlineLevel="0" collapsed="false">
      <c r="A41" s="367" t="s">
        <v>1290</v>
      </c>
      <c r="B41" s="0" t="n">
        <v>141</v>
      </c>
      <c r="C41" s="0" t="n">
        <v>83480</v>
      </c>
      <c r="D41" s="0" t="n">
        <v>53.23</v>
      </c>
      <c r="E41" s="0" t="n">
        <v>65.038</v>
      </c>
    </row>
    <row r="42" customFormat="false" ht="15" hidden="false" customHeight="false" outlineLevel="0" collapsed="false">
      <c r="A42" s="367" t="s">
        <v>1291</v>
      </c>
      <c r="B42" s="0" t="n">
        <v>144</v>
      </c>
      <c r="C42" s="0" t="n">
        <v>106670</v>
      </c>
      <c r="D42" s="0" t="n">
        <v>66.73</v>
      </c>
      <c r="E42" s="0" t="n">
        <v>63.988</v>
      </c>
    </row>
    <row r="43" customFormat="false" ht="15" hidden="false" customHeight="false" outlineLevel="0" collapsed="false">
      <c r="A43" s="367" t="s">
        <v>1292</v>
      </c>
      <c r="B43" s="0" t="n">
        <v>145</v>
      </c>
      <c r="C43" s="0" t="n">
        <v>97680</v>
      </c>
      <c r="D43" s="0" t="n">
        <v>60.65</v>
      </c>
      <c r="E43" s="0" t="n">
        <v>59.482</v>
      </c>
    </row>
    <row r="44" customFormat="false" ht="15" hidden="false" customHeight="false" outlineLevel="0" collapsed="false">
      <c r="A44" s="367" t="s">
        <v>1293</v>
      </c>
      <c r="B44" s="0" t="n">
        <v>145</v>
      </c>
      <c r="C44" s="0" t="n">
        <v>76680</v>
      </c>
      <c r="D44" s="0" t="n">
        <v>46.66</v>
      </c>
      <c r="E44" s="0" t="n">
        <v>56.28</v>
      </c>
    </row>
    <row r="45" customFormat="false" ht="15" hidden="false" customHeight="false" outlineLevel="0" collapsed="false">
      <c r="A45" s="367" t="s">
        <v>1294</v>
      </c>
      <c r="B45" s="0" t="n">
        <v>146</v>
      </c>
      <c r="C45" s="0" t="n">
        <v>109170</v>
      </c>
      <c r="D45" s="0" t="n">
        <v>64.87</v>
      </c>
      <c r="E45" s="0" t="n">
        <v>58.428</v>
      </c>
    </row>
    <row r="46" customFormat="false" ht="15" hidden="false" customHeight="false" outlineLevel="0" collapsed="false">
      <c r="A46" s="367" t="s">
        <v>1295</v>
      </c>
      <c r="B46" s="0" t="n">
        <v>147</v>
      </c>
      <c r="C46" s="0" t="n">
        <v>113260</v>
      </c>
      <c r="D46" s="0" t="n">
        <v>65.7</v>
      </c>
      <c r="E46" s="0" t="n">
        <v>60.922</v>
      </c>
    </row>
    <row r="47" customFormat="false" ht="15" hidden="false" customHeight="false" outlineLevel="0" collapsed="false">
      <c r="A47" s="367" t="s">
        <v>1296</v>
      </c>
      <c r="B47" s="0" t="n">
        <v>147</v>
      </c>
      <c r="C47" s="0" t="n">
        <v>117010</v>
      </c>
      <c r="D47" s="0" t="n">
        <v>67.7</v>
      </c>
      <c r="E47" s="0" t="n">
        <v>61.116</v>
      </c>
    </row>
    <row r="48" customFormat="false" ht="15" hidden="false" customHeight="false" outlineLevel="0" collapsed="false">
      <c r="A48" s="367" t="s">
        <v>1297</v>
      </c>
      <c r="B48" s="0" t="n">
        <v>147</v>
      </c>
      <c r="C48" s="0" t="n">
        <v>78830</v>
      </c>
      <c r="D48" s="0" t="n">
        <v>46.16</v>
      </c>
      <c r="E48" s="0" t="n">
        <v>59.2456</v>
      </c>
    </row>
    <row r="49" customFormat="false" ht="15" hidden="false" customHeight="false" outlineLevel="0" collapsed="false">
      <c r="A49" s="367" t="s">
        <v>1298</v>
      </c>
      <c r="B49" s="0" t="n">
        <v>148</v>
      </c>
      <c r="C49" s="0" t="n">
        <v>69850</v>
      </c>
      <c r="D49" s="0" t="n">
        <v>39.65</v>
      </c>
      <c r="E49" s="0" t="n">
        <v>56.816</v>
      </c>
    </row>
    <row r="50" customFormat="false" ht="15" hidden="false" customHeight="false" outlineLevel="0" collapsed="false">
      <c r="A50" s="367" t="s">
        <v>1299</v>
      </c>
      <c r="B50" s="0" t="n">
        <v>152</v>
      </c>
      <c r="C50" s="0" t="n">
        <v>129950</v>
      </c>
      <c r="D50" s="0" t="n">
        <v>72.66</v>
      </c>
      <c r="E50" s="368" t="n">
        <v>59.456</v>
      </c>
    </row>
    <row r="51" customFormat="false" ht="15" hidden="false" customHeight="false" outlineLevel="0" collapsed="false">
      <c r="A51" s="367" t="s">
        <v>1300</v>
      </c>
      <c r="B51" s="0" t="n">
        <v>154</v>
      </c>
      <c r="C51" s="0" t="n">
        <v>133590</v>
      </c>
      <c r="D51" s="0" t="n">
        <v>73.87</v>
      </c>
      <c r="E51" s="0" t="n">
        <v>60.008</v>
      </c>
    </row>
    <row r="52" customFormat="false" ht="15" hidden="false" customHeight="false" outlineLevel="0" collapsed="false">
      <c r="A52" s="367" t="s">
        <v>1301</v>
      </c>
      <c r="B52" s="0" t="n">
        <v>158</v>
      </c>
      <c r="C52" s="0" t="n">
        <v>137890</v>
      </c>
      <c r="D52" s="0" t="n">
        <v>74.25</v>
      </c>
      <c r="E52" s="0" t="n">
        <v>61.318</v>
      </c>
    </row>
    <row r="53" customFormat="false" ht="15" hidden="false" customHeight="false" outlineLevel="0" collapsed="false">
      <c r="A53" s="367" t="s">
        <v>1302</v>
      </c>
      <c r="B53" s="0" t="n">
        <v>159</v>
      </c>
      <c r="C53" s="0" t="n">
        <v>109140</v>
      </c>
      <c r="D53" s="0" t="n">
        <v>58.39</v>
      </c>
      <c r="E53" s="0" t="n">
        <v>63.764</v>
      </c>
    </row>
    <row r="54" customFormat="false" ht="15" hidden="false" customHeight="false" outlineLevel="0" collapsed="false">
      <c r="A54" s="367" t="s">
        <v>1303</v>
      </c>
      <c r="B54" s="0" t="n">
        <v>161</v>
      </c>
      <c r="C54" s="154" t="n">
        <v>142920</v>
      </c>
      <c r="D54" s="0" t="n">
        <v>76.84</v>
      </c>
      <c r="E54" s="0" t="n">
        <v>71.202</v>
      </c>
    </row>
    <row r="55" customFormat="false" ht="15" hidden="false" customHeight="false" outlineLevel="0" collapsed="false">
      <c r="A55" s="367" t="s">
        <v>1304</v>
      </c>
      <c r="B55" s="0" t="n">
        <v>162</v>
      </c>
      <c r="C55" s="0" t="n">
        <v>116140</v>
      </c>
      <c r="D55" s="0" t="n">
        <v>60.61</v>
      </c>
      <c r="E55" s="0" t="n">
        <v>68.792</v>
      </c>
    </row>
    <row r="56" customFormat="false" ht="15" hidden="false" customHeight="false" outlineLevel="0" collapsed="false">
      <c r="A56" s="367" t="s">
        <v>1305</v>
      </c>
      <c r="B56" s="0" t="n">
        <v>163</v>
      </c>
      <c r="C56" s="0" t="n">
        <v>131040</v>
      </c>
      <c r="D56" s="0" t="n">
        <v>68.04</v>
      </c>
      <c r="E56" s="0" t="n">
        <v>67.626</v>
      </c>
    </row>
    <row r="57" customFormat="false" ht="15" hidden="false" customHeight="false" outlineLevel="0" collapsed="false">
      <c r="A57" s="367" t="s">
        <v>1306</v>
      </c>
      <c r="B57" s="0" t="n">
        <v>159</v>
      </c>
      <c r="C57" s="0" t="n">
        <v>43769</v>
      </c>
      <c r="D57" s="0" t="n">
        <v>22.9</v>
      </c>
      <c r="E57" s="0" t="n">
        <v>57.356</v>
      </c>
      <c r="F57" s="0" t="s">
        <v>1307</v>
      </c>
    </row>
    <row r="58" customFormat="false" ht="15" hidden="false" customHeight="false" outlineLevel="0" collapsed="false">
      <c r="A58" s="367" t="s">
        <v>1308</v>
      </c>
      <c r="B58" s="0" t="n">
        <v>159</v>
      </c>
      <c r="C58" s="0" t="n">
        <v>108370</v>
      </c>
      <c r="D58" s="0" t="n">
        <v>56.82</v>
      </c>
      <c r="E58" s="0" t="n">
        <v>57.042</v>
      </c>
      <c r="F58" s="0" t="s">
        <v>1309</v>
      </c>
    </row>
    <row r="59" customFormat="false" ht="15" hidden="false" customHeight="false" outlineLevel="0" collapsed="false">
      <c r="A59" s="367" t="s">
        <v>1310</v>
      </c>
      <c r="B59" s="0" t="n">
        <v>158</v>
      </c>
      <c r="C59" s="0" t="n">
        <v>162630</v>
      </c>
      <c r="D59" s="0" t="n">
        <v>84.68</v>
      </c>
      <c r="E59" s="0" t="n">
        <v>58.61</v>
      </c>
    </row>
    <row r="60" customFormat="false" ht="15" hidden="false" customHeight="false" outlineLevel="0" collapsed="false">
      <c r="A60" s="367" t="s">
        <v>1311</v>
      </c>
      <c r="B60" s="0" t="n">
        <v>160</v>
      </c>
      <c r="C60" s="0" t="n">
        <v>107518</v>
      </c>
      <c r="D60" s="0" t="n">
        <v>55.52</v>
      </c>
      <c r="E60" s="0" t="n">
        <v>57.592</v>
      </c>
    </row>
    <row r="61" customFormat="false" ht="15" hidden="false" customHeight="false" outlineLevel="0" collapsed="false">
      <c r="A61" s="367" t="s">
        <v>1312</v>
      </c>
      <c r="B61" s="0" t="n">
        <v>156</v>
      </c>
      <c r="C61" s="0" t="n">
        <v>120700</v>
      </c>
      <c r="D61" s="0" t="n">
        <v>62.39</v>
      </c>
      <c r="E61" s="0" t="n">
        <v>56.462</v>
      </c>
    </row>
    <row r="62" customFormat="false" ht="15" hidden="false" customHeight="false" outlineLevel="0" collapsed="false">
      <c r="A62" s="367" t="s">
        <v>1313</v>
      </c>
      <c r="B62" s="0" t="n">
        <v>154</v>
      </c>
      <c r="C62" s="0" t="n">
        <v>93790</v>
      </c>
      <c r="D62" s="0" t="n">
        <v>47.93</v>
      </c>
      <c r="E62" s="0" t="n">
        <v>61.468</v>
      </c>
    </row>
    <row r="63" customFormat="false" ht="15" hidden="false" customHeight="false" outlineLevel="0" collapsed="false">
      <c r="A63" s="367" t="s">
        <v>1314</v>
      </c>
      <c r="B63" s="0" t="n">
        <v>157</v>
      </c>
      <c r="C63" s="0" t="n">
        <v>140610</v>
      </c>
      <c r="D63" s="0" t="n">
        <v>70.86</v>
      </c>
      <c r="E63" s="0" t="n">
        <f aca="false">AVERAGE(D59:D63)</f>
        <v>64.276</v>
      </c>
    </row>
    <row r="64" customFormat="false" ht="15" hidden="false" customHeight="false" outlineLevel="0" collapsed="false">
      <c r="A64" s="367" t="s">
        <v>1315</v>
      </c>
      <c r="B64" s="0" t="n">
        <v>158</v>
      </c>
      <c r="C64" s="0" t="n">
        <v>151090</v>
      </c>
      <c r="D64" s="0" t="n">
        <v>75.24</v>
      </c>
      <c r="E64" s="0" t="n">
        <v>62.388</v>
      </c>
    </row>
    <row r="65" customFormat="false" ht="15" hidden="false" customHeight="false" outlineLevel="0" collapsed="false">
      <c r="A65" s="367" t="s">
        <v>1316</v>
      </c>
      <c r="B65" s="0" t="n">
        <v>160</v>
      </c>
      <c r="C65" s="0" t="n">
        <v>154510</v>
      </c>
      <c r="D65" s="0" t="n">
        <v>73.09</v>
      </c>
      <c r="E65" s="0" t="n">
        <v>65.902</v>
      </c>
    </row>
    <row r="66" customFormat="false" ht="15" hidden="false" customHeight="false" outlineLevel="0" collapsed="false">
      <c r="A66" s="367" t="s">
        <v>1317</v>
      </c>
      <c r="B66" s="0" t="n">
        <v>152</v>
      </c>
      <c r="C66" s="0" t="n">
        <v>89314</v>
      </c>
      <c r="D66" s="0" t="n">
        <v>44.36</v>
      </c>
      <c r="E66" s="0" t="n">
        <v>62.296</v>
      </c>
    </row>
    <row r="67" customFormat="false" ht="15" hidden="false" customHeight="false" outlineLevel="0" collapsed="false">
      <c r="A67" s="367" t="s">
        <v>1318</v>
      </c>
      <c r="B67" s="0" t="n">
        <v>153</v>
      </c>
      <c r="C67" s="0" t="n">
        <v>149475</v>
      </c>
      <c r="D67" s="0" t="n">
        <v>73.49</v>
      </c>
      <c r="E67" s="0" t="n">
        <f aca="false">AVERAGE(D63:D67)</f>
        <v>67.408</v>
      </c>
    </row>
    <row r="68" customFormat="false" ht="15" hidden="false" customHeight="false" outlineLevel="0" collapsed="false">
      <c r="A68" s="367" t="s">
        <v>1319</v>
      </c>
      <c r="B68" s="0" t="n">
        <v>151</v>
      </c>
      <c r="C68" s="0" t="n">
        <v>159240</v>
      </c>
      <c r="D68" s="0" t="n">
        <v>76.64</v>
      </c>
      <c r="E68" s="0" t="n">
        <v>68.564</v>
      </c>
    </row>
    <row r="69" customFormat="false" ht="15" hidden="false" customHeight="false" outlineLevel="0" collapsed="false">
      <c r="A69" s="367" t="s">
        <v>1320</v>
      </c>
      <c r="B69" s="0" t="n">
        <v>149</v>
      </c>
      <c r="C69" s="0" t="n">
        <v>117250</v>
      </c>
      <c r="D69" s="0" t="n">
        <v>57.46</v>
      </c>
      <c r="E69" s="0" t="n">
        <v>65.008</v>
      </c>
    </row>
    <row r="70" customFormat="false" ht="15" hidden="false" customHeight="false" outlineLevel="0" collapsed="false">
      <c r="A70" s="367" t="s">
        <v>1321</v>
      </c>
      <c r="B70" s="0" t="n">
        <v>150</v>
      </c>
      <c r="C70" s="0" t="n">
        <v>112735</v>
      </c>
      <c r="D70" s="0" t="n">
        <v>53.78</v>
      </c>
      <c r="E70" s="0" t="n">
        <v>61.146</v>
      </c>
    </row>
    <row r="71" customFormat="false" ht="15" hidden="false" customHeight="false" outlineLevel="0" collapsed="false">
      <c r="A71" s="367" t="s">
        <v>1322</v>
      </c>
      <c r="B71" s="0" t="n">
        <v>146</v>
      </c>
      <c r="C71" s="0" t="n">
        <v>113910</v>
      </c>
      <c r="D71" s="0" t="n">
        <v>56.2</v>
      </c>
      <c r="E71" s="0" t="n">
        <v>63.514</v>
      </c>
    </row>
    <row r="72" customFormat="false" ht="15" hidden="false" customHeight="false" outlineLevel="0" collapsed="false">
      <c r="A72" s="367" t="s">
        <v>1323</v>
      </c>
      <c r="B72" s="0" t="n">
        <v>152</v>
      </c>
      <c r="C72" s="0" t="n">
        <v>175515</v>
      </c>
      <c r="D72" s="0" t="n">
        <v>80.84</v>
      </c>
      <c r="E72" s="0" t="n">
        <v>64.984</v>
      </c>
    </row>
    <row r="73" customFormat="false" ht="15" hidden="false" customHeight="false" outlineLevel="0" collapsed="false">
      <c r="A73" s="367" t="s">
        <v>1324</v>
      </c>
      <c r="B73" s="0" t="n">
        <v>151</v>
      </c>
      <c r="C73" s="0" t="n">
        <v>146455</v>
      </c>
      <c r="D73" s="0" t="n">
        <v>66.99</v>
      </c>
      <c r="E73" s="0" t="n">
        <v>63.054</v>
      </c>
    </row>
    <row r="74" customFormat="false" ht="15" hidden="false" customHeight="false" outlineLevel="0" collapsed="false">
      <c r="A74" s="367" t="s">
        <v>1325</v>
      </c>
      <c r="B74" s="0" t="n">
        <v>146</v>
      </c>
      <c r="C74" s="0" t="n">
        <v>97400</v>
      </c>
      <c r="D74" s="0" t="n">
        <v>45.59</v>
      </c>
      <c r="E74" s="0" t="n">
        <v>60.68</v>
      </c>
    </row>
    <row r="75" customFormat="false" ht="15" hidden="false" customHeight="false" outlineLevel="0" collapsed="false">
      <c r="A75" s="367" t="s">
        <v>1326</v>
      </c>
      <c r="B75" s="0" t="n">
        <v>151</v>
      </c>
      <c r="C75" s="0" t="n">
        <v>104995</v>
      </c>
      <c r="D75" s="0" t="n">
        <v>48.97</v>
      </c>
      <c r="E75" s="369" t="n">
        <v>59.688</v>
      </c>
    </row>
    <row r="76" customFormat="false" ht="15" hidden="false" customHeight="false" outlineLevel="0" collapsed="false">
      <c r="A76" s="367" t="s">
        <v>1327</v>
      </c>
      <c r="B76" s="0" t="n">
        <v>148</v>
      </c>
      <c r="C76" s="0" t="n">
        <v>185010</v>
      </c>
      <c r="D76" s="0" t="n">
        <v>85.32</v>
      </c>
      <c r="E76" s="0" t="n">
        <v>65.542</v>
      </c>
    </row>
    <row r="77" customFormat="false" ht="15" hidden="false" customHeight="false" outlineLevel="0" collapsed="false">
      <c r="A77" s="367" t="s">
        <v>1328</v>
      </c>
      <c r="B77" s="0" t="n">
        <v>150</v>
      </c>
      <c r="C77" s="0" t="n">
        <v>110010</v>
      </c>
      <c r="D77" s="0" t="n">
        <v>49.56</v>
      </c>
      <c r="E77" s="0" t="n">
        <v>59.286</v>
      </c>
    </row>
    <row r="78" customFormat="false" ht="15" hidden="false" customHeight="false" outlineLevel="0" collapsed="false">
      <c r="A78" s="367" t="s">
        <v>1329</v>
      </c>
      <c r="B78" s="0" t="n">
        <v>150</v>
      </c>
      <c r="C78" s="0" t="n">
        <v>135820</v>
      </c>
      <c r="D78" s="0" t="n">
        <v>61.62</v>
      </c>
      <c r="E78" s="0" t="n">
        <v>61.3675</v>
      </c>
    </row>
    <row r="79" customFormat="false" ht="15" hidden="false" customHeight="false" outlineLevel="0" collapsed="false">
      <c r="A79" s="367" t="s">
        <v>1330</v>
      </c>
      <c r="B79" s="0" t="n">
        <v>147</v>
      </c>
      <c r="C79" s="0" t="n">
        <v>131840</v>
      </c>
      <c r="D79" s="0" t="n">
        <v>61.89</v>
      </c>
      <c r="E79" s="0" t="n">
        <v>61.472</v>
      </c>
    </row>
    <row r="80" customFormat="false" ht="15" hidden="false" customHeight="false" outlineLevel="0" collapsed="false">
      <c r="A80" s="367" t="s">
        <v>1331</v>
      </c>
      <c r="B80" s="0" t="n">
        <v>152</v>
      </c>
      <c r="C80" s="0" t="n">
        <v>195350</v>
      </c>
      <c r="D80" s="0" t="n">
        <v>83.75</v>
      </c>
      <c r="E80" s="0" t="n">
        <v>68.428</v>
      </c>
    </row>
    <row r="81" customFormat="false" ht="15" hidden="false" customHeight="false" outlineLevel="0" collapsed="false">
      <c r="A81" s="367" t="s">
        <v>1332</v>
      </c>
      <c r="B81" s="0" t="n">
        <v>147</v>
      </c>
      <c r="C81" s="0" t="n">
        <v>187128</v>
      </c>
      <c r="D81" s="0" t="n">
        <v>84.42</v>
      </c>
      <c r="E81" s="0" t="n">
        <v>68.248</v>
      </c>
    </row>
    <row r="82" customFormat="false" ht="15" hidden="false" customHeight="false" outlineLevel="0" collapsed="false">
      <c r="A82" s="367" t="s">
        <v>1333</v>
      </c>
      <c r="B82" s="0" t="n">
        <v>148</v>
      </c>
      <c r="C82" s="0" t="n">
        <v>151970</v>
      </c>
      <c r="D82" s="0" t="n">
        <v>65.9</v>
      </c>
      <c r="E82" s="0" t="n">
        <v>71.516</v>
      </c>
    </row>
    <row r="83" customFormat="false" ht="15" hidden="false" customHeight="false" outlineLevel="0" collapsed="false">
      <c r="A83" s="367" t="s">
        <v>1334</v>
      </c>
      <c r="B83" s="0" t="n">
        <v>146</v>
      </c>
      <c r="C83" s="0" t="n">
        <v>172220</v>
      </c>
      <c r="D83" s="0" t="n">
        <v>72.27</v>
      </c>
      <c r="E83" s="0" t="n">
        <v>73.646</v>
      </c>
    </row>
    <row r="84" customFormat="false" ht="15" hidden="false" customHeight="false" outlineLevel="0" collapsed="false">
      <c r="A84" s="367" t="s">
        <v>1335</v>
      </c>
      <c r="B84" s="0" t="n">
        <v>148</v>
      </c>
      <c r="C84" s="0" t="n">
        <v>143755</v>
      </c>
      <c r="D84" s="0" t="n">
        <v>62.18</v>
      </c>
      <c r="E84" s="0" t="n">
        <v>73.74</v>
      </c>
    </row>
    <row r="85" customFormat="false" ht="15" hidden="false" customHeight="false" outlineLevel="0" collapsed="false">
      <c r="A85" s="370" t="s">
        <v>1336</v>
      </c>
      <c r="B85" s="0" t="n">
        <v>152</v>
      </c>
      <c r="C85" s="0" t="n">
        <v>257550</v>
      </c>
      <c r="D85" s="0" t="n">
        <v>109.35</v>
      </c>
      <c r="E85" s="0" t="n">
        <v>78.824</v>
      </c>
    </row>
    <row r="86" customFormat="false" ht="15" hidden="false" customHeight="false" outlineLevel="0" collapsed="false">
      <c r="A86" s="367" t="s">
        <v>1337</v>
      </c>
      <c r="B86" s="0" t="n">
        <v>153</v>
      </c>
      <c r="C86" s="0" t="n">
        <v>208020</v>
      </c>
      <c r="D86" s="0" t="n">
        <v>86.68</v>
      </c>
      <c r="E86" s="0" t="n">
        <v>79.276</v>
      </c>
    </row>
    <row r="87" customFormat="false" ht="15" hidden="false" customHeight="false" outlineLevel="0" collapsed="false">
      <c r="A87" s="367" t="s">
        <v>1338</v>
      </c>
      <c r="B87" s="0" t="n">
        <v>159</v>
      </c>
      <c r="C87" s="0" t="n">
        <v>113710</v>
      </c>
      <c r="D87" s="0" t="n">
        <v>44.35</v>
      </c>
      <c r="E87" s="0" t="n">
        <v>74.966</v>
      </c>
    </row>
    <row r="88" customFormat="false" ht="15" hidden="false" customHeight="false" outlineLevel="0" collapsed="false">
      <c r="A88" s="367" t="s">
        <v>1339</v>
      </c>
      <c r="B88" s="0" t="n">
        <v>154</v>
      </c>
      <c r="C88" s="0" t="n">
        <v>139780</v>
      </c>
      <c r="D88" s="0" t="n">
        <v>56.49</v>
      </c>
      <c r="E88" s="0" t="n">
        <v>71.81</v>
      </c>
    </row>
    <row r="89" customFormat="false" ht="15" hidden="false" customHeight="false" outlineLevel="0" collapsed="false">
      <c r="A89" s="371" t="s">
        <v>1340</v>
      </c>
      <c r="B89" s="0" t="n">
        <v>155</v>
      </c>
      <c r="C89" s="0" t="n">
        <v>246783</v>
      </c>
      <c r="D89" s="0" t="n">
        <v>93.31</v>
      </c>
      <c r="E89" s="0" t="n">
        <v>78.036</v>
      </c>
    </row>
    <row r="90" customFormat="false" ht="15" hidden="false" customHeight="false" outlineLevel="0" collapsed="false">
      <c r="A90" s="371" t="s">
        <v>1341</v>
      </c>
      <c r="B90" s="0" t="n">
        <v>160</v>
      </c>
      <c r="C90" s="0" t="n">
        <v>210800</v>
      </c>
      <c r="D90" s="0" t="n">
        <v>81.85</v>
      </c>
      <c r="E90" s="369" t="n">
        <v>70.207</v>
      </c>
    </row>
    <row r="91" customFormat="false" ht="15" hidden="false" customHeight="false" outlineLevel="0" collapsed="false">
      <c r="A91" s="371" t="s">
        <v>1342</v>
      </c>
      <c r="B91" s="0" t="n">
        <v>157</v>
      </c>
      <c r="C91" s="0" t="n">
        <v>148030</v>
      </c>
      <c r="D91" s="0" t="n">
        <v>58.41</v>
      </c>
      <c r="E91" s="0" t="n">
        <v>66.882</v>
      </c>
    </row>
    <row r="92" customFormat="false" ht="15" hidden="false" customHeight="false" outlineLevel="0" collapsed="false">
      <c r="A92" s="371" t="s">
        <v>1343</v>
      </c>
      <c r="B92" s="0" t="n">
        <v>158</v>
      </c>
      <c r="C92" s="0" t="n">
        <v>112280</v>
      </c>
      <c r="D92" s="0" t="n">
        <v>43.71</v>
      </c>
      <c r="E92" s="0" t="n">
        <v>66.754</v>
      </c>
    </row>
    <row r="93" customFormat="false" ht="15" hidden="false" customHeight="false" outlineLevel="0" collapsed="false">
      <c r="A93" s="371" t="s">
        <v>1344</v>
      </c>
      <c r="B93" s="0" t="n">
        <v>161</v>
      </c>
      <c r="C93" s="0" t="n">
        <v>194160</v>
      </c>
      <c r="D93" s="0" t="n">
        <v>75.59</v>
      </c>
      <c r="E93" s="0" t="n">
        <v>70.574</v>
      </c>
    </row>
    <row r="94" customFormat="false" ht="15" hidden="false" customHeight="false" outlineLevel="0" collapsed="false">
      <c r="A94" s="371" t="s">
        <v>1345</v>
      </c>
      <c r="B94" s="0" t="n">
        <v>165</v>
      </c>
      <c r="C94" s="0" t="n">
        <v>300880</v>
      </c>
      <c r="D94" s="0" t="n">
        <v>114.96</v>
      </c>
      <c r="E94" s="0" t="n">
        <v>74.904</v>
      </c>
    </row>
    <row r="95" customFormat="false" ht="15" hidden="false" customHeight="false" outlineLevel="0" collapsed="false">
      <c r="A95" s="371" t="s">
        <v>1346</v>
      </c>
      <c r="B95" s="0" t="n">
        <v>165</v>
      </c>
      <c r="C95" s="0" t="n">
        <v>176010</v>
      </c>
      <c r="D95" s="0" t="n">
        <v>66.37</v>
      </c>
      <c r="E95" s="0" t="n">
        <v>71.808</v>
      </c>
    </row>
    <row r="96" customFormat="false" ht="15" hidden="false" customHeight="false" outlineLevel="0" collapsed="false">
      <c r="A96" s="371" t="s">
        <v>1347</v>
      </c>
      <c r="B96" s="0" t="n">
        <v>157</v>
      </c>
      <c r="C96" s="0" t="n">
        <v>132940</v>
      </c>
      <c r="D96" s="0" t="n">
        <v>51.31</v>
      </c>
      <c r="E96" s="369" t="n">
        <v>70.388</v>
      </c>
    </row>
    <row r="97" customFormat="false" ht="15" hidden="false" customHeight="false" outlineLevel="0" collapsed="false">
      <c r="A97" s="372" t="s">
        <v>1348</v>
      </c>
      <c r="B97" s="0" t="n">
        <v>168</v>
      </c>
      <c r="C97" s="0" t="n">
        <v>130990</v>
      </c>
      <c r="D97" s="0" t="n">
        <v>46.5</v>
      </c>
      <c r="E97" s="0" t="n">
        <v>70.946</v>
      </c>
    </row>
    <row r="98" customFormat="false" ht="15" hidden="false" customHeight="false" outlineLevel="0" collapsed="false">
      <c r="A98" s="371" t="s">
        <v>1349</v>
      </c>
      <c r="B98" s="0" t="n">
        <v>162</v>
      </c>
      <c r="C98" s="0" t="n">
        <v>370648</v>
      </c>
      <c r="D98" s="0" t="n">
        <v>129.07</v>
      </c>
      <c r="E98" s="0" t="n">
        <v>81.642</v>
      </c>
    </row>
    <row r="99" customFormat="false" ht="15" hidden="false" customHeight="false" outlineLevel="0" collapsed="false">
      <c r="A99" s="371" t="s">
        <v>1350</v>
      </c>
      <c r="B99" s="0" t="n">
        <v>160</v>
      </c>
      <c r="C99" s="0" t="n">
        <v>244730</v>
      </c>
      <c r="D99" s="0" t="n">
        <v>87.73</v>
      </c>
      <c r="E99" s="0" t="n">
        <v>76.196</v>
      </c>
    </row>
    <row r="100" customFormat="false" ht="15" hidden="false" customHeight="false" outlineLevel="0" collapsed="false">
      <c r="A100" s="371" t="s">
        <v>1351</v>
      </c>
      <c r="B100" s="0" t="n">
        <v>158</v>
      </c>
      <c r="C100" s="0" t="n">
        <v>138390</v>
      </c>
      <c r="D100" s="0" t="n">
        <v>48.97</v>
      </c>
      <c r="E100" s="0" t="n">
        <v>72.716</v>
      </c>
      <c r="F100" s="0" t="n">
        <v>61</v>
      </c>
      <c r="G100" s="0" t="s">
        <v>184</v>
      </c>
    </row>
    <row r="101" customFormat="false" ht="15" hidden="false" customHeight="false" outlineLevel="0" collapsed="false">
      <c r="A101" s="371" t="s">
        <v>1352</v>
      </c>
      <c r="B101" s="0" t="n">
        <v>164</v>
      </c>
      <c r="C101" s="0" t="n">
        <v>205480</v>
      </c>
      <c r="D101" s="0" t="n">
        <v>72.11</v>
      </c>
      <c r="E101" s="0" t="n">
        <v>76.876</v>
      </c>
      <c r="F101" s="0" t="n">
        <v>62</v>
      </c>
    </row>
    <row r="102" customFormat="false" ht="15" hidden="false" customHeight="false" outlineLevel="0" collapsed="false">
      <c r="A102" s="371" t="s">
        <v>1353</v>
      </c>
      <c r="B102" s="0" t="n">
        <v>164</v>
      </c>
      <c r="C102" s="0" t="n">
        <v>316830</v>
      </c>
      <c r="D102" s="0" t="n">
        <v>110.44</v>
      </c>
      <c r="E102" s="0" t="n">
        <v>89.664</v>
      </c>
      <c r="F102" s="0" t="n">
        <v>86</v>
      </c>
    </row>
    <row r="103" customFormat="false" ht="15" hidden="false" customHeight="false" outlineLevel="0" collapsed="false">
      <c r="A103" s="371" t="s">
        <v>1354</v>
      </c>
      <c r="B103" s="0" t="n">
        <v>162</v>
      </c>
      <c r="C103" s="0" t="n">
        <v>182290</v>
      </c>
      <c r="D103" s="0" t="n">
        <v>62.29</v>
      </c>
      <c r="E103" s="0" t="n">
        <v>76.308</v>
      </c>
      <c r="F103" s="0" t="n">
        <v>67</v>
      </c>
    </row>
    <row r="104" customFormat="false" ht="15" hidden="false" customHeight="false" outlineLevel="0" collapsed="false">
      <c r="A104" s="371" t="s">
        <v>1355</v>
      </c>
      <c r="B104" s="0" t="n">
        <v>164</v>
      </c>
      <c r="C104" s="0" t="n">
        <v>233470</v>
      </c>
      <c r="D104" s="0" t="n">
        <v>79.21</v>
      </c>
      <c r="E104" s="0" t="n">
        <v>74.604</v>
      </c>
      <c r="F104" s="0" t="n">
        <v>73</v>
      </c>
    </row>
    <row r="105" customFormat="false" ht="15" hidden="false" customHeight="false" outlineLevel="0" collapsed="false">
      <c r="A105" s="371" t="s">
        <v>1356</v>
      </c>
      <c r="B105" s="0" t="n">
        <v>164</v>
      </c>
      <c r="C105" s="0" t="n">
        <v>169400</v>
      </c>
      <c r="D105" s="0" t="n">
        <v>55.39</v>
      </c>
      <c r="E105" s="0" t="n">
        <v>75.888</v>
      </c>
      <c r="F105" s="0" t="n">
        <v>60</v>
      </c>
    </row>
    <row r="106" customFormat="false" ht="15" hidden="false" customHeight="false" outlineLevel="0" collapsed="false">
      <c r="A106" s="371" t="s">
        <v>1357</v>
      </c>
      <c r="B106" s="0" t="n">
        <v>168</v>
      </c>
      <c r="C106" s="0" t="n">
        <v>319080</v>
      </c>
      <c r="D106" s="0" t="n">
        <v>104.5</v>
      </c>
      <c r="E106" s="0" t="n">
        <v>82.366</v>
      </c>
      <c r="F106" s="0" t="n">
        <v>88</v>
      </c>
    </row>
    <row r="107" customFormat="false" ht="15" hidden="false" customHeight="false" outlineLevel="0" collapsed="false">
      <c r="A107" s="371" t="s">
        <v>1358</v>
      </c>
      <c r="B107" s="0" t="n">
        <v>168</v>
      </c>
      <c r="C107" s="0" t="n">
        <v>385120</v>
      </c>
      <c r="D107" s="0" t="n">
        <v>123.01</v>
      </c>
      <c r="E107" s="0" t="n">
        <v>84.88</v>
      </c>
      <c r="F107" s="0" t="n">
        <v>93</v>
      </c>
    </row>
    <row r="108" customFormat="false" ht="15" hidden="false" customHeight="false" outlineLevel="0" collapsed="false">
      <c r="A108" s="371" t="s">
        <v>1359</v>
      </c>
      <c r="B108" s="0" t="n">
        <v>169</v>
      </c>
      <c r="C108" s="0" t="n">
        <v>210770</v>
      </c>
      <c r="D108" s="0" t="n">
        <v>65.7</v>
      </c>
      <c r="E108" s="0" t="n">
        <v>85.562</v>
      </c>
      <c r="F108" s="0" t="n">
        <v>73</v>
      </c>
    </row>
    <row r="109" customFormat="false" ht="15" hidden="false" customHeight="false" outlineLevel="0" collapsed="false">
      <c r="A109" s="371" t="s">
        <v>1360</v>
      </c>
      <c r="B109" s="0" t="n">
        <v>169</v>
      </c>
      <c r="C109" s="0" t="n">
        <v>163420</v>
      </c>
      <c r="D109" s="0" t="n">
        <v>50.98</v>
      </c>
      <c r="E109" s="0" t="n">
        <v>79.916</v>
      </c>
      <c r="F109" s="0" t="n">
        <v>69</v>
      </c>
    </row>
    <row r="110" customFormat="false" ht="15" hidden="false" customHeight="false" outlineLevel="0" collapsed="false">
      <c r="A110" s="371" t="s">
        <v>1361</v>
      </c>
      <c r="B110" s="0" t="n">
        <v>169</v>
      </c>
      <c r="C110" s="0" t="n">
        <v>270790</v>
      </c>
      <c r="D110" s="0" t="n">
        <v>84.18</v>
      </c>
      <c r="E110" s="0" t="n">
        <v>85.674</v>
      </c>
      <c r="F110" s="0" t="n">
        <v>84</v>
      </c>
    </row>
    <row r="111" customFormat="false" ht="15" hidden="false" customHeight="false" outlineLevel="0" collapsed="false">
      <c r="A111" s="371" t="s">
        <v>1362</v>
      </c>
      <c r="B111" s="0" t="n">
        <v>175</v>
      </c>
      <c r="C111" s="0" t="n">
        <v>392910</v>
      </c>
      <c r="D111" s="0" t="n">
        <v>115.8</v>
      </c>
      <c r="E111" s="0" t="n">
        <v>87.934</v>
      </c>
      <c r="F111" s="0" t="n">
        <v>89</v>
      </c>
    </row>
    <row r="112" customFormat="false" ht="15" hidden="false" customHeight="false" outlineLevel="0" collapsed="false">
      <c r="A112" s="371" t="s">
        <v>1363</v>
      </c>
      <c r="B112" s="0" t="n">
        <v>179</v>
      </c>
      <c r="C112" s="0" t="n">
        <v>199510</v>
      </c>
      <c r="D112" s="0" t="n">
        <v>57.69</v>
      </c>
      <c r="E112" s="0" t="n">
        <v>74.87</v>
      </c>
      <c r="F112" s="0" t="n">
        <v>77</v>
      </c>
    </row>
    <row r="113" customFormat="false" ht="15" hidden="false" customHeight="false" outlineLevel="0" collapsed="false">
      <c r="A113" s="371" t="s">
        <v>1364</v>
      </c>
      <c r="B113" s="0" t="n">
        <v>174</v>
      </c>
      <c r="C113" s="0" t="n">
        <v>311495</v>
      </c>
      <c r="D113" s="0" t="n">
        <v>88.34</v>
      </c>
      <c r="E113" s="0" t="n">
        <v>79.398</v>
      </c>
      <c r="F113" s="0" t="n">
        <v>90</v>
      </c>
    </row>
    <row r="114" customFormat="false" ht="15" hidden="false" customHeight="false" outlineLevel="0" collapsed="false">
      <c r="A114" s="371" t="s">
        <v>1365</v>
      </c>
      <c r="B114" s="0" t="n">
        <v>177</v>
      </c>
      <c r="C114" s="0" t="n">
        <v>260920</v>
      </c>
      <c r="D114" s="0" t="n">
        <v>72.61</v>
      </c>
      <c r="E114" s="0" t="n">
        <v>83.724</v>
      </c>
      <c r="F114" s="0" t="n">
        <v>83</v>
      </c>
    </row>
    <row r="115" customFormat="false" ht="15" hidden="false" customHeight="false" outlineLevel="0" collapsed="false">
      <c r="A115" s="371" t="s">
        <v>1366</v>
      </c>
      <c r="B115" s="0" t="n">
        <v>176</v>
      </c>
      <c r="C115" s="0" t="n">
        <v>422635</v>
      </c>
      <c r="D115" s="0" t="n">
        <v>114</v>
      </c>
      <c r="E115" s="0" t="n">
        <f aca="false">AVERAGE(D111:D115)</f>
        <v>89.688</v>
      </c>
      <c r="F115" s="0" t="n">
        <v>98</v>
      </c>
    </row>
    <row r="116" customFormat="false" ht="15" hidden="false" customHeight="false" outlineLevel="0" collapsed="false">
      <c r="A116" s="371" t="s">
        <v>1367</v>
      </c>
      <c r="B116" s="0" t="n">
        <v>176</v>
      </c>
      <c r="C116" s="0" t="n">
        <v>277870</v>
      </c>
      <c r="D116" s="0" t="n">
        <v>75.48</v>
      </c>
      <c r="E116" s="0" t="n">
        <v>81.624</v>
      </c>
      <c r="F116" s="0" t="n">
        <v>87</v>
      </c>
    </row>
    <row r="117" customFormat="false" ht="15" hidden="false" customHeight="false" outlineLevel="0" collapsed="false">
      <c r="A117" s="371" t="s">
        <v>1368</v>
      </c>
      <c r="B117" s="0" t="n">
        <v>175</v>
      </c>
      <c r="C117" s="0" t="n">
        <v>291150</v>
      </c>
      <c r="D117" s="0" t="n">
        <v>77.43</v>
      </c>
      <c r="E117" s="0" t="n">
        <v>85.572</v>
      </c>
      <c r="F117" s="0" t="n">
        <v>86</v>
      </c>
    </row>
    <row r="118" customFormat="false" ht="15" hidden="false" customHeight="false" outlineLevel="0" collapsed="false">
      <c r="A118" s="371" t="s">
        <v>1369</v>
      </c>
      <c r="B118" s="0" t="n">
        <v>176</v>
      </c>
      <c r="C118" s="0" t="n">
        <v>213460</v>
      </c>
      <c r="D118" s="0" t="n">
        <v>56.28</v>
      </c>
      <c r="E118" s="0" t="n">
        <v>79.16</v>
      </c>
      <c r="F118" s="0" t="n">
        <v>70</v>
      </c>
    </row>
    <row r="119" customFormat="false" ht="15" hidden="false" customHeight="false" outlineLevel="0" collapsed="false">
      <c r="A119" s="371" t="s">
        <v>1370</v>
      </c>
      <c r="B119" s="0" t="n">
        <v>179</v>
      </c>
      <c r="C119" s="0" t="n">
        <v>393660</v>
      </c>
      <c r="D119" s="0" t="n">
        <v>99.99</v>
      </c>
      <c r="E119" s="0" t="n">
        <v>84.636</v>
      </c>
      <c r="F119" s="0" t="n">
        <v>100</v>
      </c>
    </row>
    <row r="120" customFormat="false" ht="15" hidden="false" customHeight="false" outlineLevel="0" collapsed="false">
      <c r="A120" s="371" t="s">
        <v>1371</v>
      </c>
      <c r="B120" s="0" t="n">
        <v>179</v>
      </c>
      <c r="C120" s="0" t="n">
        <v>371550</v>
      </c>
      <c r="D120" s="0" t="n">
        <v>94.62</v>
      </c>
      <c r="E120" s="0" t="n">
        <v>80.76</v>
      </c>
      <c r="F120" s="0" t="n">
        <v>92</v>
      </c>
    </row>
    <row r="121" customFormat="false" ht="15" hidden="false" customHeight="false" outlineLevel="0" collapsed="false">
      <c r="A121" s="371" t="s">
        <v>1372</v>
      </c>
      <c r="B121" s="0" t="n">
        <v>180</v>
      </c>
      <c r="C121" s="0" t="n">
        <v>344154</v>
      </c>
      <c r="D121" s="0" t="n">
        <v>84.67</v>
      </c>
      <c r="E121" s="0" t="n">
        <v>82.598</v>
      </c>
      <c r="F121" s="0" t="n">
        <v>76</v>
      </c>
    </row>
    <row r="122" customFormat="false" ht="15" hidden="false" customHeight="false" outlineLevel="0" collapsed="false">
      <c r="A122" s="371" t="s">
        <v>1373</v>
      </c>
      <c r="B122" s="0" t="n">
        <v>180</v>
      </c>
      <c r="C122" s="0" t="n">
        <v>201820</v>
      </c>
      <c r="D122" s="0" t="n">
        <v>48.6</v>
      </c>
      <c r="E122" s="0" t="n">
        <v>76.832</v>
      </c>
      <c r="F122" s="0" t="n">
        <v>69</v>
      </c>
    </row>
    <row r="123" customFormat="false" ht="15" hidden="false" customHeight="false" outlineLevel="0" collapsed="false">
      <c r="A123" s="371" t="s">
        <v>1374</v>
      </c>
      <c r="B123" s="0" t="n">
        <v>180</v>
      </c>
      <c r="C123" s="0" t="n">
        <v>322640</v>
      </c>
      <c r="D123" s="0" t="n">
        <v>78.15</v>
      </c>
      <c r="E123" s="0" t="n">
        <v>81.206</v>
      </c>
      <c r="F123" s="0" t="n">
        <v>72</v>
      </c>
    </row>
    <row r="124" customFormat="false" ht="15" hidden="false" customHeight="false" outlineLevel="0" collapsed="false">
      <c r="A124" s="371" t="s">
        <v>1375</v>
      </c>
      <c r="B124" s="0" t="n">
        <v>183</v>
      </c>
      <c r="C124" s="0" t="n">
        <v>376160</v>
      </c>
      <c r="D124" s="0" t="n">
        <v>88.99</v>
      </c>
      <c r="E124" s="0" t="n">
        <v>79.006</v>
      </c>
      <c r="F124" s="0" t="n">
        <v>96</v>
      </c>
    </row>
    <row r="125" customFormat="false" ht="15" hidden="false" customHeight="false" outlineLevel="0" collapsed="false">
      <c r="A125" s="371" t="s">
        <v>1376</v>
      </c>
      <c r="B125" s="0" t="n">
        <v>180</v>
      </c>
      <c r="C125" s="0" t="n">
        <v>353750</v>
      </c>
      <c r="D125" s="0" t="n">
        <v>85.74</v>
      </c>
      <c r="E125" s="0" t="n">
        <v>77.23</v>
      </c>
      <c r="F125" s="0" t="n">
        <v>85</v>
      </c>
      <c r="H125" s="364" t="s">
        <v>184</v>
      </c>
      <c r="I125" s="364" t="s">
        <v>184</v>
      </c>
    </row>
    <row r="126" customFormat="false" ht="15" hidden="false" customHeight="false" outlineLevel="0" collapsed="false">
      <c r="A126" s="371" t="s">
        <v>1377</v>
      </c>
      <c r="B126" s="0" t="n">
        <v>184</v>
      </c>
      <c r="C126" s="0" t="n">
        <v>326480</v>
      </c>
      <c r="D126" s="0" t="n">
        <v>75.814</v>
      </c>
      <c r="E126" s="0" t="n">
        <v>75.458</v>
      </c>
      <c r="F126" s="0" t="n">
        <v>87</v>
      </c>
      <c r="H126" s="0" t="s">
        <v>184</v>
      </c>
    </row>
    <row r="127" customFormat="false" ht="15" hidden="false" customHeight="false" outlineLevel="0" collapsed="false">
      <c r="A127" s="371" t="s">
        <v>1378</v>
      </c>
      <c r="B127" s="0" t="n">
        <v>187</v>
      </c>
      <c r="C127" s="0" t="n">
        <v>317380</v>
      </c>
      <c r="D127" s="0" t="n">
        <v>73.06</v>
      </c>
      <c r="E127" s="0" t="n">
        <v>80.3508</v>
      </c>
      <c r="F127" s="0" t="n">
        <v>75</v>
      </c>
    </row>
    <row r="128" customFormat="false" ht="15" hidden="false" customHeight="false" outlineLevel="0" collapsed="false">
      <c r="A128" s="371" t="s">
        <v>1379</v>
      </c>
      <c r="B128" s="0" t="n">
        <v>187</v>
      </c>
      <c r="C128" s="0" t="n">
        <v>373720</v>
      </c>
      <c r="D128" s="0" t="n">
        <v>85.92</v>
      </c>
      <c r="E128" s="0" t="n">
        <v>81.9048</v>
      </c>
      <c r="F128" s="0" t="n">
        <v>93</v>
      </c>
    </row>
    <row r="129" customFormat="false" ht="15" hidden="false" customHeight="false" outlineLevel="0" collapsed="false">
      <c r="A129" s="371" t="s">
        <v>1380</v>
      </c>
      <c r="B129" s="0" t="n">
        <v>184</v>
      </c>
      <c r="C129" s="0" t="n">
        <v>458840</v>
      </c>
      <c r="D129" s="0" t="n">
        <v>105.2</v>
      </c>
      <c r="E129" s="0" t="n">
        <v>85.1468</v>
      </c>
      <c r="F129" s="0" t="n">
        <v>94</v>
      </c>
      <c r="G129" s="0" t="s">
        <v>184</v>
      </c>
    </row>
    <row r="130" customFormat="false" ht="15" hidden="false" customHeight="false" outlineLevel="0" collapsed="false">
      <c r="A130" s="371" t="s">
        <v>1381</v>
      </c>
      <c r="B130" s="0" t="n">
        <v>183</v>
      </c>
      <c r="C130" s="0" t="n">
        <v>324310</v>
      </c>
      <c r="D130" s="0" t="n">
        <v>72.46</v>
      </c>
      <c r="E130" s="0" t="n">
        <f aca="false">AVERAGE(D126:D130)</f>
        <v>82.4908</v>
      </c>
      <c r="F130" s="0" t="n">
        <v>88</v>
      </c>
    </row>
    <row r="131" customFormat="false" ht="15" hidden="false" customHeight="false" outlineLevel="0" collapsed="false">
      <c r="A131" s="371" t="s">
        <v>1382</v>
      </c>
      <c r="B131" s="0" t="n">
        <v>186</v>
      </c>
      <c r="C131" s="0" t="n">
        <v>282190</v>
      </c>
      <c r="D131" s="0" t="n">
        <v>62.12</v>
      </c>
      <c r="E131" s="0" t="n">
        <f aca="false">AVERAGE(D127:D131)</f>
        <v>79.752</v>
      </c>
      <c r="F131" s="0" t="n">
        <v>73</v>
      </c>
    </row>
    <row r="132" customFormat="false" ht="15" hidden="false" customHeight="false" outlineLevel="0" collapsed="false">
      <c r="A132" s="371" t="s">
        <v>13</v>
      </c>
      <c r="B132" s="0" t="n">
        <v>189</v>
      </c>
      <c r="C132" s="0" t="n">
        <v>425950</v>
      </c>
      <c r="D132" s="0" t="n">
        <v>92.38</v>
      </c>
      <c r="E132" s="0" t="n">
        <v>85.92</v>
      </c>
      <c r="F132" s="0" t="n">
        <v>91</v>
      </c>
    </row>
    <row r="133" customFormat="false" ht="15" hidden="false" customHeight="false" outlineLevel="0" collapsed="false">
      <c r="A133" s="371" t="s">
        <v>14</v>
      </c>
      <c r="B133" s="0" t="n">
        <v>189</v>
      </c>
      <c r="C133" s="0" t="n">
        <v>545710</v>
      </c>
      <c r="D133" s="0" t="n">
        <v>117</v>
      </c>
      <c r="E133" s="0" t="n">
        <v>89.832</v>
      </c>
      <c r="F133" s="0" t="n">
        <v>115</v>
      </c>
    </row>
    <row r="134" customFormat="false" ht="15" hidden="false" customHeight="false" outlineLevel="0" collapsed="false">
      <c r="A134" s="371" t="s">
        <v>15</v>
      </c>
      <c r="B134" s="0" t="n">
        <v>193</v>
      </c>
      <c r="C134" s="0" t="n">
        <v>320440</v>
      </c>
      <c r="D134" s="0" t="n">
        <v>65.56</v>
      </c>
      <c r="E134" s="0" t="n">
        <v>81.904</v>
      </c>
      <c r="F134" s="0" t="n">
        <v>83</v>
      </c>
    </row>
    <row r="135" customFormat="false" ht="15" hidden="false" customHeight="false" outlineLevel="0" collapsed="false">
      <c r="A135" s="371" t="s">
        <v>16</v>
      </c>
      <c r="B135" s="0" t="n">
        <v>194</v>
      </c>
      <c r="C135" s="0" t="n">
        <v>267300</v>
      </c>
      <c r="D135" s="0" t="n">
        <v>53.53</v>
      </c>
      <c r="E135" s="0" t="n">
        <v>78.118</v>
      </c>
      <c r="F135" s="0" t="n">
        <v>70</v>
      </c>
    </row>
    <row r="136" customFormat="false" ht="15" hidden="false" customHeight="false" outlineLevel="0" collapsed="false">
      <c r="A136" s="371" t="s">
        <v>17</v>
      </c>
      <c r="B136" s="0" t="n">
        <v>201</v>
      </c>
      <c r="C136" s="0" t="n">
        <v>437990</v>
      </c>
      <c r="D136" s="0" t="n">
        <v>85.77</v>
      </c>
      <c r="E136" s="0" t="n">
        <v>82.848</v>
      </c>
      <c r="F136" s="0" t="n">
        <v>72</v>
      </c>
    </row>
    <row r="137" customFormat="false" ht="15" hidden="false" customHeight="false" outlineLevel="0" collapsed="false">
      <c r="A137" s="371" t="s">
        <v>18</v>
      </c>
      <c r="B137" s="0" t="n">
        <v>193</v>
      </c>
      <c r="C137" s="0" t="n">
        <v>555160</v>
      </c>
      <c r="D137" s="0" t="n">
        <v>114.59</v>
      </c>
      <c r="E137" s="0" t="n">
        <v>87.29</v>
      </c>
      <c r="F137" s="0" t="n">
        <v>105</v>
      </c>
    </row>
    <row r="138" customFormat="false" ht="15" hidden="false" customHeight="false" outlineLevel="0" collapsed="false">
      <c r="A138" s="371" t="s">
        <v>19</v>
      </c>
      <c r="B138" s="0" t="n">
        <v>193</v>
      </c>
      <c r="C138" s="0" t="n">
        <v>381170</v>
      </c>
      <c r="D138" s="0" t="n">
        <v>77.348</v>
      </c>
      <c r="E138" s="0" t="n">
        <v>79.3596</v>
      </c>
      <c r="F138" s="0" t="n">
        <v>93</v>
      </c>
    </row>
    <row r="139" customFormat="false" ht="15" hidden="false" customHeight="false" outlineLevel="0" collapsed="false">
      <c r="A139" s="371" t="s">
        <v>20</v>
      </c>
      <c r="B139" s="0" t="n">
        <v>195</v>
      </c>
      <c r="C139" s="0" t="n">
        <v>348150</v>
      </c>
      <c r="D139" s="369" t="n">
        <v>72.1975</v>
      </c>
      <c r="E139" s="0" t="n">
        <v>80.6871</v>
      </c>
      <c r="F139" s="0" t="n">
        <v>81</v>
      </c>
    </row>
    <row r="140" customFormat="false" ht="15" hidden="false" customHeight="false" outlineLevel="0" collapsed="false">
      <c r="A140" s="371" t="s">
        <v>21</v>
      </c>
      <c r="B140" s="0" t="n">
        <v>191</v>
      </c>
      <c r="C140" s="0" t="n">
        <v>273210</v>
      </c>
      <c r="D140" s="0" t="n">
        <v>55.43</v>
      </c>
      <c r="E140" s="0" t="n">
        <v>81.0671</v>
      </c>
      <c r="F140" s="0" t="n">
        <v>56</v>
      </c>
    </row>
    <row r="141" customFormat="false" ht="15" hidden="false" customHeight="false" outlineLevel="0" collapsed="false">
      <c r="A141" s="373" t="s">
        <v>22</v>
      </c>
      <c r="B141" s="0" t="n">
        <v>194</v>
      </c>
      <c r="C141" s="0" t="n">
        <v>501185</v>
      </c>
      <c r="D141" s="0" t="n">
        <v>99.9</v>
      </c>
      <c r="E141" s="0" t="n">
        <v>83.8931</v>
      </c>
      <c r="F141" s="0" t="n">
        <v>101</v>
      </c>
    </row>
    <row r="142" customFormat="false" ht="15" hidden="false" customHeight="false" outlineLevel="0" collapsed="false">
      <c r="A142" s="373" t="s">
        <v>1383</v>
      </c>
      <c r="B142" s="0" t="n">
        <v>191</v>
      </c>
      <c r="C142" s="0" t="n">
        <v>451740</v>
      </c>
      <c r="D142" s="0" t="n">
        <v>86.47</v>
      </c>
      <c r="E142" s="0" t="n">
        <v>78.2691</v>
      </c>
      <c r="F142" s="0" t="n">
        <v>86</v>
      </c>
    </row>
    <row r="143" customFormat="false" ht="15" hidden="false" customHeight="false" outlineLevel="0" collapsed="false">
      <c r="A143" s="373" t="s">
        <v>24</v>
      </c>
      <c r="B143" s="0" t="n">
        <v>190</v>
      </c>
      <c r="C143" s="0" t="n">
        <v>383280</v>
      </c>
      <c r="D143" s="0" t="n">
        <v>72.82</v>
      </c>
      <c r="E143" s="0" t="n">
        <v>77</v>
      </c>
      <c r="F143" s="0" t="n">
        <v>86</v>
      </c>
    </row>
    <row r="144" customFormat="false" ht="15" hidden="false" customHeight="false" outlineLevel="0" collapsed="false">
      <c r="A144" s="373" t="s">
        <v>25</v>
      </c>
      <c r="B144" s="0" t="n">
        <v>192</v>
      </c>
      <c r="C144" s="0" t="n">
        <v>246145</v>
      </c>
      <c r="D144" s="0" t="n">
        <v>45.37</v>
      </c>
      <c r="E144" s="0" t="n">
        <v>71.998</v>
      </c>
      <c r="F144" s="0" t="n">
        <v>57</v>
      </c>
    </row>
    <row r="145" customFormat="false" ht="15" hidden="false" customHeight="false" outlineLevel="0" collapsed="false">
      <c r="A145" s="373" t="s">
        <v>26</v>
      </c>
      <c r="B145" s="0" t="n">
        <v>195</v>
      </c>
      <c r="C145" s="0" t="n">
        <v>221170</v>
      </c>
      <c r="D145" s="0" t="n">
        <v>41.67</v>
      </c>
      <c r="E145" s="0" t="n">
        <v>69.246</v>
      </c>
      <c r="F145" s="0" t="n">
        <v>45</v>
      </c>
      <c r="G145" s="0" t="s">
        <v>1384</v>
      </c>
    </row>
    <row r="146" customFormat="false" ht="15" hidden="false" customHeight="false" outlineLevel="0" collapsed="false">
      <c r="A146" s="373" t="s">
        <v>1385</v>
      </c>
      <c r="B146" s="0" t="n">
        <v>194</v>
      </c>
      <c r="C146" s="0" t="n">
        <v>310360</v>
      </c>
      <c r="D146" s="0" t="n">
        <v>57.21</v>
      </c>
      <c r="E146" s="0" t="n">
        <v>60.708</v>
      </c>
      <c r="F146" s="0" t="n">
        <v>47</v>
      </c>
    </row>
    <row r="147" customFormat="false" ht="15" hidden="false" customHeight="false" outlineLevel="0" collapsed="false">
      <c r="A147" s="373" t="s">
        <v>28</v>
      </c>
      <c r="B147" s="0" t="n">
        <v>193</v>
      </c>
      <c r="C147" s="0" t="n">
        <v>526940</v>
      </c>
      <c r="D147" s="0" t="n">
        <v>95.88</v>
      </c>
      <c r="E147" s="0" t="n">
        <v>62.59</v>
      </c>
      <c r="F147" s="0" t="n">
        <v>96</v>
      </c>
    </row>
    <row r="148" customFormat="false" ht="15" hidden="false" customHeight="false" outlineLevel="0" collapsed="false">
      <c r="A148" s="373" t="s">
        <v>29</v>
      </c>
      <c r="B148" s="0" t="n">
        <v>201</v>
      </c>
      <c r="C148" s="0" t="n">
        <v>261080</v>
      </c>
      <c r="D148" s="0" t="n">
        <v>46.03</v>
      </c>
      <c r="E148" s="0" t="n">
        <v>57.232</v>
      </c>
      <c r="F148" s="0" t="n">
        <v>69</v>
      </c>
    </row>
    <row r="149" customFormat="false" ht="15" hidden="false" customHeight="false" outlineLevel="0" collapsed="false">
      <c r="A149" s="373" t="s">
        <v>30</v>
      </c>
      <c r="B149" s="0" t="n">
        <v>200</v>
      </c>
      <c r="C149" s="0" t="n">
        <v>425380</v>
      </c>
      <c r="D149" s="0" t="n">
        <v>73.76</v>
      </c>
      <c r="E149" s="0" t="n">
        <v>62.91</v>
      </c>
      <c r="F149" s="0" t="n">
        <v>77</v>
      </c>
    </row>
    <row r="150" customFormat="false" ht="15" hidden="false" customHeight="false" outlineLevel="0" collapsed="false">
      <c r="A150" s="373" t="s">
        <v>31</v>
      </c>
      <c r="B150" s="0" t="n">
        <v>201</v>
      </c>
      <c r="C150" s="0" t="n">
        <v>527880</v>
      </c>
      <c r="D150" s="0" t="n">
        <v>90.24</v>
      </c>
      <c r="E150" s="0" t="n">
        <v>72.624</v>
      </c>
      <c r="F150" s="0" t="n">
        <v>89</v>
      </c>
    </row>
    <row r="151" customFormat="false" ht="15" hidden="false" customHeight="false" outlineLevel="0" collapsed="false">
      <c r="A151" s="373" t="s">
        <v>32</v>
      </c>
      <c r="B151" s="0" t="n">
        <v>196</v>
      </c>
      <c r="C151" s="0" t="n">
        <v>501830</v>
      </c>
      <c r="D151" s="0" t="n">
        <v>88.49</v>
      </c>
      <c r="E151" s="0" t="n">
        <v>78.88</v>
      </c>
      <c r="F151" s="0" t="n">
        <v>86</v>
      </c>
    </row>
    <row r="152" customFormat="false" ht="15" hidden="false" customHeight="false" outlineLevel="0" collapsed="false">
      <c r="A152" s="373" t="s">
        <v>33</v>
      </c>
      <c r="B152" s="0" t="n">
        <v>200</v>
      </c>
      <c r="C152" s="0" t="n">
        <v>254800</v>
      </c>
      <c r="D152" s="0" t="n">
        <v>44.08</v>
      </c>
      <c r="E152" s="0" t="n">
        <v>68.52</v>
      </c>
      <c r="F152" s="0" t="n">
        <v>63</v>
      </c>
    </row>
    <row r="153" customFormat="false" ht="15" hidden="false" customHeight="false" outlineLevel="0" collapsed="false">
      <c r="A153" s="373" t="s">
        <v>34</v>
      </c>
      <c r="B153" s="0" t="n">
        <v>205</v>
      </c>
      <c r="C153" s="0" t="n">
        <v>290210</v>
      </c>
      <c r="D153" s="0" t="n">
        <v>48.69</v>
      </c>
      <c r="E153" s="0" t="n">
        <v>69.052</v>
      </c>
      <c r="F153" s="0" t="n">
        <v>67</v>
      </c>
    </row>
    <row r="154" customFormat="false" ht="15" hidden="false" customHeight="false" outlineLevel="0" collapsed="false">
      <c r="A154" s="373" t="s">
        <v>35</v>
      </c>
      <c r="B154" s="0" t="n">
        <v>200</v>
      </c>
      <c r="C154" s="0" t="n">
        <v>335770</v>
      </c>
      <c r="D154" s="0" t="n">
        <v>57.67</v>
      </c>
      <c r="E154" s="0" t="n">
        <v>65.834</v>
      </c>
      <c r="F154" s="0" t="n">
        <v>82</v>
      </c>
    </row>
    <row r="155" customFormat="false" ht="15" hidden="false" customHeight="false" outlineLevel="0" collapsed="false">
      <c r="A155" s="373" t="s">
        <v>36</v>
      </c>
      <c r="B155" s="0" t="n">
        <v>202</v>
      </c>
      <c r="C155" s="0" t="n">
        <v>646770</v>
      </c>
      <c r="D155" s="0" t="n">
        <v>105.73</v>
      </c>
      <c r="E155" s="0" t="n">
        <f aca="false">AVERAGE(D151:D155)</f>
        <v>68.932</v>
      </c>
      <c r="F155" s="0" t="n">
        <v>99</v>
      </c>
      <c r="G155" s="0" t="s">
        <v>184</v>
      </c>
    </row>
    <row r="156" customFormat="false" ht="15" hidden="false" customHeight="false" outlineLevel="0" collapsed="false">
      <c r="A156" s="373" t="s">
        <v>37</v>
      </c>
      <c r="B156" s="0" t="n">
        <v>202</v>
      </c>
      <c r="C156" s="0" t="n">
        <v>343530</v>
      </c>
      <c r="D156" s="0" t="n">
        <v>54.9</v>
      </c>
      <c r="E156" s="0" t="n">
        <f aca="false">AVERAGE(D152:D156)</f>
        <v>62.214</v>
      </c>
      <c r="F156" s="0" t="n">
        <v>72</v>
      </c>
    </row>
    <row r="157" customFormat="false" ht="15" hidden="false" customHeight="false" outlineLevel="0" collapsed="false">
      <c r="A157" s="373" t="s">
        <v>38</v>
      </c>
      <c r="B157" s="0" t="n">
        <v>201</v>
      </c>
      <c r="C157" s="0" t="n">
        <v>356890</v>
      </c>
      <c r="D157" s="0" t="n">
        <v>55.93</v>
      </c>
      <c r="E157" s="0" t="n">
        <f aca="false">AVERAGE(D153:D157)</f>
        <v>64.584</v>
      </c>
      <c r="F157" s="0" t="n">
        <v>64</v>
      </c>
    </row>
    <row r="158" customFormat="false" ht="15" hidden="false" customHeight="false" outlineLevel="0" collapsed="false">
      <c r="A158" s="373" t="s">
        <v>39</v>
      </c>
      <c r="B158" s="0" t="n">
        <v>197</v>
      </c>
      <c r="C158" s="0" t="n">
        <v>450350</v>
      </c>
      <c r="D158" s="0" t="n">
        <v>73.6515</v>
      </c>
      <c r="E158" s="0" t="n">
        <f aca="false">AVERAGE(D154:D158)</f>
        <v>69.5763</v>
      </c>
      <c r="F158" s="0" t="n">
        <v>67</v>
      </c>
    </row>
    <row r="159" customFormat="false" ht="15" hidden="false" customHeight="false" outlineLevel="0" collapsed="false">
      <c r="A159" s="373" t="s">
        <v>40</v>
      </c>
      <c r="B159" s="0" t="n">
        <v>202</v>
      </c>
      <c r="C159" s="0" t="n">
        <v>514920</v>
      </c>
      <c r="D159" s="0" t="n">
        <v>78.66</v>
      </c>
      <c r="E159" s="0" t="n">
        <f aca="false">AVERAGE(D155:D159)</f>
        <v>73.7743</v>
      </c>
      <c r="F159" s="0" t="n">
        <v>87</v>
      </c>
    </row>
    <row r="160" customFormat="false" ht="15" hidden="false" customHeight="false" outlineLevel="0" collapsed="false">
      <c r="A160" s="373" t="s">
        <v>1386</v>
      </c>
      <c r="B160" s="0" t="n">
        <v>198</v>
      </c>
      <c r="C160" s="0" t="n">
        <v>450150</v>
      </c>
      <c r="D160" s="0" t="n">
        <v>68.17</v>
      </c>
      <c r="E160" s="0" t="n">
        <f aca="false">AVERAGE(D156:D160)</f>
        <v>66.2623</v>
      </c>
      <c r="F160" s="0" t="n">
        <v>70</v>
      </c>
    </row>
    <row r="161" customFormat="false" ht="15" hidden="false" customHeight="false" outlineLevel="0" collapsed="false">
      <c r="A161" s="373" t="s">
        <v>42</v>
      </c>
      <c r="B161" s="0" t="n">
        <v>200</v>
      </c>
      <c r="C161" s="0" t="n">
        <v>238860</v>
      </c>
      <c r="D161" s="0" t="n">
        <v>35.52</v>
      </c>
      <c r="E161" s="0" t="n">
        <f aca="false">AVERAGE(D157:D161)</f>
        <v>62.3863</v>
      </c>
      <c r="F161" s="0" t="n">
        <v>48</v>
      </c>
    </row>
    <row r="162" customFormat="false" ht="15" hidden="false" customHeight="false" outlineLevel="0" collapsed="false">
      <c r="A162" s="373" t="s">
        <v>43</v>
      </c>
      <c r="B162" s="0" t="n">
        <v>203</v>
      </c>
      <c r="C162" s="0" t="n">
        <v>473650</v>
      </c>
      <c r="D162" s="0" t="n">
        <v>70.34</v>
      </c>
      <c r="E162" s="0" t="n">
        <f aca="false">AVERAGE(D158:D162)</f>
        <v>65.2683</v>
      </c>
      <c r="F162" s="0" t="n">
        <v>74</v>
      </c>
    </row>
    <row r="163" customFormat="false" ht="15" hidden="false" customHeight="false" outlineLevel="0" collapsed="false">
      <c r="A163" s="373" t="s">
        <v>1387</v>
      </c>
      <c r="B163" s="0" t="n">
        <v>204</v>
      </c>
      <c r="C163" s="0" t="n">
        <v>729367</v>
      </c>
      <c r="D163" s="0" t="n">
        <v>105.74</v>
      </c>
      <c r="E163" s="0" t="n">
        <f aca="false">AVERAGE(D159:D163)</f>
        <v>71.686</v>
      </c>
      <c r="F163" s="0" t="n">
        <v>99</v>
      </c>
    </row>
    <row r="164" customFormat="false" ht="15" hidden="false" customHeight="false" outlineLevel="0" collapsed="false">
      <c r="A164" s="373" t="s">
        <v>45</v>
      </c>
      <c r="B164" s="0" t="n">
        <v>202</v>
      </c>
      <c r="C164" s="0" t="n">
        <v>440310</v>
      </c>
      <c r="D164" s="0" t="n">
        <v>63.1</v>
      </c>
      <c r="E164" s="0" t="n">
        <f aca="false">AVERAGE(D160:D164)</f>
        <v>68.574</v>
      </c>
      <c r="F164" s="0" t="n">
        <v>78</v>
      </c>
    </row>
    <row r="165" customFormat="false" ht="15" hidden="false" customHeight="false" outlineLevel="0" collapsed="false">
      <c r="A165" s="373" t="s">
        <v>46</v>
      </c>
      <c r="B165" s="0" t="n">
        <v>200</v>
      </c>
      <c r="C165" s="0" t="n">
        <v>445260</v>
      </c>
      <c r="D165" s="0" t="n">
        <v>64.009</v>
      </c>
      <c r="E165" s="0" t="n">
        <f aca="false">AVERAGE(D161:D165)</f>
        <v>67.7418</v>
      </c>
      <c r="F165" s="0" t="n">
        <v>67</v>
      </c>
    </row>
    <row r="166" customFormat="false" ht="15" hidden="false" customHeight="false" outlineLevel="0" collapsed="false">
      <c r="A166" s="373" t="s">
        <v>47</v>
      </c>
      <c r="B166" s="0" t="n">
        <v>197</v>
      </c>
      <c r="C166" s="0" t="n">
        <v>393510</v>
      </c>
      <c r="D166" s="0" t="n">
        <v>55.81</v>
      </c>
      <c r="E166" s="0" t="n">
        <f aca="false">AVERAGE(D162:D166)</f>
        <v>71.7998</v>
      </c>
      <c r="F166" s="0" t="n">
        <v>72</v>
      </c>
    </row>
    <row r="167" customFormat="false" ht="15" hidden="false" customHeight="false" outlineLevel="0" collapsed="false">
      <c r="A167" s="373" t="s">
        <v>48</v>
      </c>
      <c r="B167" s="0" t="n">
        <v>200</v>
      </c>
      <c r="C167" s="0" t="n">
        <v>489837</v>
      </c>
      <c r="D167" s="0" t="n">
        <v>67.91</v>
      </c>
      <c r="E167" s="0" t="n">
        <f aca="false">AVERAGE(D163:D167)</f>
        <v>71.3138</v>
      </c>
      <c r="F167" s="0" t="n">
        <v>69</v>
      </c>
      <c r="G167" s="374" t="s">
        <v>1388</v>
      </c>
      <c r="H167" s="374"/>
      <c r="I167" s="374"/>
      <c r="J167" s="374"/>
      <c r="K167" s="374"/>
      <c r="L167" s="374"/>
    </row>
    <row r="168" customFormat="false" ht="15" hidden="false" customHeight="false" outlineLevel="0" collapsed="false">
      <c r="A168" s="373" t="s">
        <v>49</v>
      </c>
      <c r="B168" s="0" t="n">
        <v>199</v>
      </c>
      <c r="C168" s="0" t="n">
        <v>790393</v>
      </c>
      <c r="D168" s="0" t="n">
        <v>107.45</v>
      </c>
      <c r="E168" s="0" t="n">
        <f aca="false">AVERAGE(D164:D168)</f>
        <v>71.6558</v>
      </c>
      <c r="F168" s="0" t="n">
        <v>102</v>
      </c>
    </row>
    <row r="169" customFormat="false" ht="15" hidden="false" customHeight="false" outlineLevel="0" collapsed="false">
      <c r="A169" s="373" t="s">
        <v>50</v>
      </c>
      <c r="B169" s="0" t="n">
        <v>197</v>
      </c>
      <c r="C169" s="0" t="n">
        <v>505860</v>
      </c>
      <c r="D169" s="0" t="n">
        <v>68.9</v>
      </c>
      <c r="E169" s="0" t="n">
        <f aca="false">AVERAGE(D165:D169)</f>
        <v>72.8158</v>
      </c>
      <c r="F169" s="0" t="n">
        <v>82</v>
      </c>
    </row>
    <row r="170" customFormat="false" ht="15" hidden="false" customHeight="false" outlineLevel="0" collapsed="false">
      <c r="A170" s="373" t="s">
        <v>51</v>
      </c>
      <c r="B170" s="0" t="n">
        <v>195</v>
      </c>
      <c r="C170" s="0" t="n">
        <v>332905</v>
      </c>
      <c r="D170" s="0" t="n">
        <v>46.55</v>
      </c>
      <c r="E170" s="0" t="n">
        <f aca="false">AVERAGE(D166:D170)</f>
        <v>69.324</v>
      </c>
      <c r="F170" s="0" t="n">
        <v>64</v>
      </c>
    </row>
    <row r="171" customFormat="false" ht="15" hidden="false" customHeight="false" outlineLevel="0" collapsed="false">
      <c r="A171" s="373" t="s">
        <v>52</v>
      </c>
      <c r="B171" s="0" t="n">
        <v>198</v>
      </c>
      <c r="C171" s="0" t="n">
        <v>723260</v>
      </c>
      <c r="D171" s="0" t="n">
        <v>99.555</v>
      </c>
      <c r="E171" s="0" t="n">
        <f aca="false">AVERAGE(D167:D171)</f>
        <v>78.073</v>
      </c>
      <c r="F171" s="0" t="n">
        <v>96</v>
      </c>
    </row>
    <row r="172" customFormat="false" ht="15" hidden="false" customHeight="false" outlineLevel="0" collapsed="false">
      <c r="A172" s="373" t="s">
        <v>53</v>
      </c>
      <c r="B172" s="0" t="n">
        <v>197</v>
      </c>
      <c r="C172" s="0" t="n">
        <v>815156</v>
      </c>
      <c r="D172" s="0" t="n">
        <v>108.91</v>
      </c>
      <c r="E172" s="0" t="n">
        <f aca="false">AVERAGE(D168:D172)</f>
        <v>86.273</v>
      </c>
      <c r="F172" s="0" t="n">
        <v>95</v>
      </c>
    </row>
    <row r="173" customFormat="false" ht="15" hidden="false" customHeight="false" outlineLevel="0" collapsed="false">
      <c r="A173" s="373" t="s">
        <v>54</v>
      </c>
      <c r="B173" s="0" t="n">
        <v>196</v>
      </c>
      <c r="C173" s="0" t="n">
        <v>801660</v>
      </c>
      <c r="D173" s="0" t="n">
        <v>103.19</v>
      </c>
      <c r="E173" s="0" t="n">
        <f aca="false">AVERAGE(D169:D173)</f>
        <v>85.421</v>
      </c>
      <c r="F173" s="0" t="n">
        <v>81</v>
      </c>
    </row>
    <row r="174" customFormat="false" ht="15" hidden="false" customHeight="false" outlineLevel="0" collapsed="false">
      <c r="A174" s="373" t="s">
        <v>55</v>
      </c>
      <c r="B174" s="0" t="n">
        <v>202</v>
      </c>
      <c r="C174" s="0" t="n">
        <v>457995</v>
      </c>
      <c r="D174" s="0" t="n">
        <v>56.93</v>
      </c>
      <c r="E174" s="0" t="n">
        <f aca="false">AVERAGE(D170:D174)</f>
        <v>83.027</v>
      </c>
      <c r="F174" s="0" t="n">
        <v>69</v>
      </c>
    </row>
    <row r="175" customFormat="false" ht="15" hidden="false" customHeight="false" outlineLevel="0" collapsed="false">
      <c r="A175" s="373" t="s">
        <v>56</v>
      </c>
      <c r="B175" s="0" t="n">
        <v>201</v>
      </c>
      <c r="C175" s="0" t="n">
        <v>448750</v>
      </c>
      <c r="D175" s="0" t="n">
        <v>54.03</v>
      </c>
      <c r="E175" s="0" t="n">
        <f aca="false">AVERAGE(D171:D175)</f>
        <v>84.523</v>
      </c>
      <c r="F175" s="0" t="n">
        <v>75</v>
      </c>
    </row>
    <row r="176" customFormat="false" ht="15" hidden="false" customHeight="false" outlineLevel="0" collapsed="false">
      <c r="A176" s="373" t="s">
        <v>57</v>
      </c>
      <c r="B176" s="0" t="n">
        <v>200</v>
      </c>
      <c r="C176" s="0" t="n">
        <v>893345</v>
      </c>
      <c r="D176" s="0" t="n">
        <v>108.19</v>
      </c>
      <c r="E176" s="0" t="n">
        <f aca="false">AVERAGE(D172:D176)</f>
        <v>86.25</v>
      </c>
      <c r="F176" s="0" t="n">
        <v>95</v>
      </c>
    </row>
    <row r="177" customFormat="false" ht="15" hidden="false" customHeight="false" outlineLevel="0" collapsed="false">
      <c r="A177" s="373" t="s">
        <v>58</v>
      </c>
      <c r="B177" s="0" t="n">
        <v>200</v>
      </c>
      <c r="C177" s="0" t="n">
        <v>712720</v>
      </c>
      <c r="D177" s="0" t="n">
        <v>82.75</v>
      </c>
      <c r="E177" s="0" t="n">
        <f aca="false">AVERAGE(D173:D177)</f>
        <v>81.018</v>
      </c>
      <c r="F177" s="0" t="n">
        <v>83</v>
      </c>
    </row>
    <row r="178" customFormat="false" ht="15" hidden="false" customHeight="false" outlineLevel="0" collapsed="false">
      <c r="A178" s="373" t="s">
        <v>59</v>
      </c>
      <c r="B178" s="0" t="n">
        <v>194</v>
      </c>
      <c r="C178" s="0" t="n">
        <v>776030</v>
      </c>
      <c r="D178" s="0" t="n">
        <v>91.52</v>
      </c>
      <c r="E178" s="0" t="n">
        <f aca="false">AVERAGE(D174:D178)</f>
        <v>78.684</v>
      </c>
      <c r="F178" s="0" t="n">
        <v>79</v>
      </c>
    </row>
    <row r="179" customFormat="false" ht="15" hidden="false" customHeight="false" outlineLevel="0" collapsed="false">
      <c r="A179" s="373" t="s">
        <v>60</v>
      </c>
      <c r="B179" s="0" t="n">
        <v>202</v>
      </c>
      <c r="C179" s="0" t="n">
        <v>526754</v>
      </c>
      <c r="D179" s="0" t="n">
        <v>60.09</v>
      </c>
      <c r="E179" s="0" t="n">
        <f aca="false">AVERAGE(D175:D179)</f>
        <v>79.316</v>
      </c>
      <c r="F179" s="0" t="n">
        <v>80</v>
      </c>
    </row>
    <row r="180" customFormat="false" ht="15" hidden="false" customHeight="false" outlineLevel="0" collapsed="false">
      <c r="A180" s="373" t="s">
        <v>61</v>
      </c>
      <c r="B180" s="0" t="n">
        <v>188</v>
      </c>
      <c r="C180" s="0" t="n">
        <v>931235</v>
      </c>
      <c r="D180" s="0" t="n">
        <v>108.84</v>
      </c>
      <c r="E180" s="0" t="n">
        <f aca="false">AVERAGE(D176:D180)</f>
        <v>90.278</v>
      </c>
      <c r="F180" s="0" t="n">
        <v>94</v>
      </c>
    </row>
    <row r="181" customFormat="false" ht="15" hidden="false" customHeight="false" outlineLevel="0" collapsed="false">
      <c r="A181" s="373" t="s">
        <v>62</v>
      </c>
      <c r="B181" s="0" t="n">
        <v>188</v>
      </c>
      <c r="C181" s="0" t="n">
        <v>922915</v>
      </c>
      <c r="D181" s="0" t="n">
        <v>106.34</v>
      </c>
      <c r="E181" s="0" t="n">
        <f aca="false">AVERAGE(D177:D181)</f>
        <v>89.908</v>
      </c>
      <c r="F181" s="0" t="n">
        <v>91</v>
      </c>
    </row>
    <row r="182" customFormat="false" ht="15" hidden="false" customHeight="false" outlineLevel="0" collapsed="false">
      <c r="A182" s="373" t="s">
        <v>63</v>
      </c>
      <c r="B182" s="0" t="n">
        <v>183</v>
      </c>
      <c r="C182" s="0" t="n">
        <v>653885</v>
      </c>
      <c r="D182" s="0" t="n">
        <v>75.37</v>
      </c>
      <c r="E182" s="0" t="n">
        <f aca="false">AVERAGE(D178:D182)</f>
        <v>88.432</v>
      </c>
      <c r="F182" s="0" t="n">
        <v>68</v>
      </c>
      <c r="G182" s="375" t="n">
        <v>495000</v>
      </c>
      <c r="H182" s="376" t="n">
        <f aca="false">SUM(C182-G182)</f>
        <v>158885</v>
      </c>
    </row>
    <row r="183" customFormat="false" ht="15" hidden="false" customHeight="false" outlineLevel="0" collapsed="false">
      <c r="A183" s="373" t="s">
        <v>64</v>
      </c>
      <c r="B183" s="0" t="n">
        <v>189</v>
      </c>
      <c r="C183" s="0" t="n">
        <v>611315</v>
      </c>
      <c r="D183" s="0" t="n">
        <v>63.34</v>
      </c>
      <c r="E183" s="0" t="n">
        <f aca="false">AVERAGE(D179:D183)</f>
        <v>82.796</v>
      </c>
      <c r="F183" s="0" t="n">
        <v>62</v>
      </c>
      <c r="G183" s="375" t="n">
        <v>550000</v>
      </c>
      <c r="H183" s="376" t="n">
        <f aca="false">SUM(C183-G183)</f>
        <v>61315</v>
      </c>
    </row>
    <row r="184" customFormat="false" ht="15" hidden="false" customHeight="false" outlineLevel="0" collapsed="false">
      <c r="A184" s="373" t="s">
        <v>65</v>
      </c>
      <c r="B184" s="0" t="n">
        <v>190</v>
      </c>
      <c r="C184" s="0" t="n">
        <v>824285</v>
      </c>
      <c r="D184" s="0" t="n">
        <v>83.04</v>
      </c>
      <c r="E184" s="0" t="n">
        <f aca="false">AVERAGE(D180:D184)</f>
        <v>87.386</v>
      </c>
      <c r="F184" s="0" t="n">
        <v>103</v>
      </c>
      <c r="G184" s="375" t="n">
        <v>435000</v>
      </c>
      <c r="H184" s="376" t="n">
        <f aca="false">SUM(C184-G184)</f>
        <v>389285</v>
      </c>
    </row>
    <row r="185" customFormat="false" ht="15" hidden="false" customHeight="false" outlineLevel="0" collapsed="false">
      <c r="A185" s="373" t="s">
        <v>66</v>
      </c>
      <c r="B185" s="0" t="n">
        <v>194</v>
      </c>
      <c r="C185" s="0" t="n">
        <v>1085815</v>
      </c>
      <c r="D185" s="0" t="n">
        <v>109.87</v>
      </c>
      <c r="E185" s="0" t="n">
        <f aca="false">AVERAGE(D181:D185)</f>
        <v>87.592</v>
      </c>
      <c r="F185" s="0" t="n">
        <v>100</v>
      </c>
      <c r="G185" s="375" t="n">
        <v>183000</v>
      </c>
      <c r="H185" s="376" t="n">
        <f aca="false">SUM(C185-G185)</f>
        <v>902815</v>
      </c>
    </row>
    <row r="186" customFormat="false" ht="15" hidden="false" customHeight="false" outlineLevel="0" collapsed="false">
      <c r="A186" s="373" t="s">
        <v>67</v>
      </c>
      <c r="B186" s="0" t="n">
        <v>189</v>
      </c>
      <c r="C186" s="0" t="n">
        <v>750200</v>
      </c>
      <c r="D186" s="0" t="n">
        <v>72.13</v>
      </c>
      <c r="E186" s="0" t="n">
        <f aca="false">AVERAGE(D182:D186)</f>
        <v>80.75</v>
      </c>
      <c r="F186" s="0" t="n">
        <v>82</v>
      </c>
      <c r="G186" s="375" t="n">
        <v>570000</v>
      </c>
      <c r="H186" s="376" t="n">
        <f aca="false">SUM(C186-G186)</f>
        <v>180200</v>
      </c>
      <c r="J186" s="0" t="s">
        <v>184</v>
      </c>
    </row>
    <row r="187" customFormat="false" ht="15" hidden="false" customHeight="false" outlineLevel="0" collapsed="false">
      <c r="A187" s="373" t="s">
        <v>68</v>
      </c>
      <c r="B187" s="0" t="n">
        <v>195</v>
      </c>
      <c r="C187" s="0" t="n">
        <v>762705</v>
      </c>
      <c r="D187" s="0" t="n">
        <v>68.122</v>
      </c>
      <c r="E187" s="0" t="n">
        <f aca="false">AVERAGE(D183:D187)</f>
        <v>79.3004</v>
      </c>
      <c r="F187" s="0" t="n">
        <v>84</v>
      </c>
      <c r="G187" s="375" t="n">
        <v>680000</v>
      </c>
      <c r="H187" s="376" t="n">
        <f aca="false">SUM(C187-G187)</f>
        <v>82705</v>
      </c>
      <c r="J187" s="0" t="s">
        <v>184</v>
      </c>
    </row>
    <row r="188" customFormat="false" ht="15" hidden="false" customHeight="false" outlineLevel="0" collapsed="false">
      <c r="A188" s="373" t="s">
        <v>69</v>
      </c>
      <c r="B188" s="0" t="n">
        <v>198</v>
      </c>
      <c r="C188" s="0" t="n">
        <v>732750</v>
      </c>
      <c r="D188" s="0" t="n">
        <v>64.11</v>
      </c>
      <c r="E188" s="0" t="n">
        <f aca="false">AVERAGE(D184:D188)</f>
        <v>79.4544</v>
      </c>
      <c r="F188" s="0" t="n">
        <v>62</v>
      </c>
      <c r="G188" s="375" t="n">
        <v>536530</v>
      </c>
      <c r="H188" s="376" t="n">
        <f aca="false">SUM(C188-G188)</f>
        <v>196220</v>
      </c>
    </row>
    <row r="189" customFormat="false" ht="15" hidden="false" customHeight="false" outlineLevel="0" collapsed="false">
      <c r="A189" s="373" t="s">
        <v>70</v>
      </c>
      <c r="B189" s="0" t="n">
        <v>202</v>
      </c>
      <c r="C189" s="0" t="n">
        <v>1231500</v>
      </c>
      <c r="D189" s="0" t="n">
        <v>103.89</v>
      </c>
      <c r="E189" s="0" t="n">
        <f aca="false">AVERAGE(D185:D189)</f>
        <v>83.6244</v>
      </c>
      <c r="F189" s="0" t="n">
        <v>110</v>
      </c>
      <c r="G189" s="375" t="n">
        <v>600000</v>
      </c>
      <c r="H189" s="376" t="n">
        <f aca="false">SUM(C189-G189)</f>
        <v>631500</v>
      </c>
      <c r="J189" s="0" t="s">
        <v>184</v>
      </c>
    </row>
    <row r="190" customFormat="false" ht="15" hidden="false" customHeight="false" outlineLevel="0" collapsed="false">
      <c r="A190" s="373" t="s">
        <v>71</v>
      </c>
      <c r="B190" s="0" t="n">
        <v>187</v>
      </c>
      <c r="C190" s="0" t="n">
        <v>929425</v>
      </c>
      <c r="D190" s="0" t="n">
        <v>79.645</v>
      </c>
      <c r="E190" s="0" t="n">
        <f aca="false">AVERAGE(D186:D190)</f>
        <v>77.5794</v>
      </c>
      <c r="F190" s="0" t="n">
        <v>81</v>
      </c>
      <c r="G190" s="375" t="n">
        <v>635000</v>
      </c>
      <c r="H190" s="376" t="n">
        <f aca="false">SUM(C190-G190)</f>
        <v>294425</v>
      </c>
    </row>
    <row r="191" customFormat="false" ht="15" hidden="false" customHeight="false" outlineLevel="0" collapsed="false">
      <c r="A191" s="373" t="s">
        <v>72</v>
      </c>
      <c r="B191" s="0" t="n">
        <v>187</v>
      </c>
      <c r="C191" s="0" t="n">
        <v>840040</v>
      </c>
      <c r="D191" s="0" t="n">
        <v>72.45</v>
      </c>
      <c r="E191" s="0" t="n">
        <f aca="false">AVERAGE(D187:D191)</f>
        <v>77.6434</v>
      </c>
      <c r="F191" s="0" t="n">
        <v>78</v>
      </c>
      <c r="G191" s="375" t="n">
        <v>655000</v>
      </c>
      <c r="H191" s="376" t="n">
        <f aca="false">SUM(C191-G191)</f>
        <v>185040</v>
      </c>
    </row>
    <row r="192" customFormat="false" ht="15" hidden="false" customHeight="false" outlineLevel="0" collapsed="false">
      <c r="A192" s="373" t="s">
        <v>73</v>
      </c>
      <c r="B192" s="0" t="n">
        <v>185</v>
      </c>
      <c r="C192" s="0" t="n">
        <v>476945</v>
      </c>
      <c r="D192" s="0" t="n">
        <v>41.12</v>
      </c>
      <c r="E192" s="0" t="n">
        <f aca="false">AVERAGE(D188:D192)</f>
        <v>72.243</v>
      </c>
      <c r="F192" s="0" t="n">
        <v>56</v>
      </c>
      <c r="G192" s="375" t="n">
        <v>340000</v>
      </c>
      <c r="H192" s="376" t="n">
        <f aca="false">SUM(C192-G192)</f>
        <v>136945</v>
      </c>
    </row>
    <row r="193" customFormat="false" ht="15" hidden="false" customHeight="false" outlineLevel="0" collapsed="false">
      <c r="A193" s="377" t="s">
        <v>74</v>
      </c>
      <c r="B193" s="0" t="n">
        <v>190</v>
      </c>
      <c r="C193" s="0" t="n">
        <v>1341115</v>
      </c>
      <c r="D193" s="0" t="n">
        <v>112.08</v>
      </c>
      <c r="E193" s="0" t="n">
        <f aca="false">AVERAGE(D189:D193)</f>
        <v>81.837</v>
      </c>
      <c r="F193" s="0" t="n">
        <v>85</v>
      </c>
      <c r="G193" s="375" t="n">
        <v>485000</v>
      </c>
      <c r="H193" s="376" t="n">
        <f aca="false">SUM(C193-G193)</f>
        <v>856115</v>
      </c>
    </row>
    <row r="194" customFormat="false" ht="15" hidden="false" customHeight="false" outlineLevel="0" collapsed="false">
      <c r="A194" s="377" t="s">
        <v>75</v>
      </c>
      <c r="B194" s="0" t="n">
        <v>196</v>
      </c>
      <c r="C194" s="0" t="n">
        <v>1153025</v>
      </c>
      <c r="D194" s="0" t="n">
        <v>93.97</v>
      </c>
      <c r="E194" s="0" t="n">
        <f aca="false">AVERAGE(D190:D194)</f>
        <v>79.853</v>
      </c>
      <c r="F194" s="0" t="n">
        <v>85</v>
      </c>
      <c r="G194" s="375" t="n">
        <v>505000</v>
      </c>
      <c r="H194" s="376" t="n">
        <f aca="false">SUM(C194-G194)</f>
        <v>648025</v>
      </c>
    </row>
    <row r="195" customFormat="false" ht="15" hidden="false" customHeight="false" outlineLevel="0" collapsed="false">
      <c r="A195" s="377" t="s">
        <v>76</v>
      </c>
      <c r="B195" s="0" t="n">
        <v>198</v>
      </c>
      <c r="C195" s="0" t="n">
        <v>1002030</v>
      </c>
      <c r="D195" s="0" t="n">
        <v>76.72</v>
      </c>
      <c r="E195" s="0" t="n">
        <f aca="false">AVERAGE(D191:D195)</f>
        <v>79.268</v>
      </c>
      <c r="F195" s="0" t="n">
        <v>75</v>
      </c>
      <c r="G195" s="375" t="n">
        <v>805000</v>
      </c>
      <c r="H195" s="376" t="n">
        <f aca="false">SUM(C195-G195)</f>
        <v>197030</v>
      </c>
    </row>
    <row r="196" customFormat="false" ht="15" hidden="false" customHeight="false" outlineLevel="0" collapsed="false">
      <c r="A196" s="377" t="s">
        <v>77</v>
      </c>
      <c r="B196" s="0" t="n">
        <v>201</v>
      </c>
      <c r="C196" s="0" t="n">
        <v>1098025</v>
      </c>
      <c r="D196" s="0" t="n">
        <v>81.89</v>
      </c>
      <c r="E196" s="0" t="n">
        <f aca="false">AVERAGE(D192:D196)</f>
        <v>81.156</v>
      </c>
      <c r="F196" s="0" t="n">
        <v>64</v>
      </c>
      <c r="G196" s="375" t="n">
        <v>920000</v>
      </c>
      <c r="H196" s="376" t="n">
        <f aca="false">SUM(C196-G196)</f>
        <v>178025</v>
      </c>
      <c r="I196" s="0" t="s">
        <v>184</v>
      </c>
      <c r="J196" s="0" t="s">
        <v>184</v>
      </c>
    </row>
    <row r="197" customFormat="false" ht="15" hidden="false" customHeight="false" outlineLevel="0" collapsed="false">
      <c r="A197" s="377" t="s">
        <v>78</v>
      </c>
      <c r="B197" s="0" t="n">
        <v>200</v>
      </c>
      <c r="C197" s="0" t="n">
        <v>993200</v>
      </c>
      <c r="D197" s="0" t="n">
        <v>72.01</v>
      </c>
      <c r="E197" s="0" t="n">
        <f aca="false">AVERAGE(D193:D197)</f>
        <v>87.334</v>
      </c>
      <c r="F197" s="378" t="n">
        <v>69</v>
      </c>
      <c r="G197" s="375" t="n">
        <v>520000</v>
      </c>
      <c r="H197" s="376" t="n">
        <f aca="false">SUM(C197-G197)</f>
        <v>473200</v>
      </c>
    </row>
    <row r="198" customFormat="false" ht="15" hidden="false" customHeight="false" outlineLevel="0" collapsed="false">
      <c r="A198" s="377" t="s">
        <v>79</v>
      </c>
      <c r="B198" s="0" t="n">
        <v>205</v>
      </c>
      <c r="C198" s="379" t="n">
        <f aca="false">[1]pag!$CG$219</f>
        <v>1298310</v>
      </c>
      <c r="D198" s="0" t="n">
        <v>138.04</v>
      </c>
      <c r="E198" s="0" t="n">
        <f aca="false">AVERAGE(D194:D198)</f>
        <v>92.526</v>
      </c>
      <c r="F198" s="379" t="n">
        <f aca="false">[1]pag!$L$225</f>
        <v>27</v>
      </c>
      <c r="G198" s="375" t="n">
        <v>935000</v>
      </c>
      <c r="H198" s="376" t="n">
        <f aca="false">SUM(C198-G198)</f>
        <v>363310</v>
      </c>
    </row>
    <row r="199" customFormat="false" ht="15" hidden="false" customHeight="false" outlineLevel="0" collapsed="false">
      <c r="A199" s="377" t="s">
        <v>80</v>
      </c>
      <c r="B199" s="0" t="n">
        <v>201</v>
      </c>
      <c r="C199" s="0" t="n">
        <v>965650</v>
      </c>
      <c r="D199" s="0" t="n">
        <v>62.72</v>
      </c>
      <c r="E199" s="0" t="n">
        <f aca="false">AVERAGE(D195:D199)</f>
        <v>86.276</v>
      </c>
      <c r="F199" s="0" t="n">
        <v>63</v>
      </c>
      <c r="G199" s="375" t="n">
        <v>1145000</v>
      </c>
      <c r="H199" s="376" t="n">
        <f aca="false">SUM(C199-G199)</f>
        <v>-179350</v>
      </c>
    </row>
    <row r="200" customFormat="false" ht="15" hidden="false" customHeight="false" outlineLevel="0" collapsed="false">
      <c r="A200" s="377" t="s">
        <v>81</v>
      </c>
      <c r="B200" s="0" t="n">
        <v>203</v>
      </c>
      <c r="C200" s="0" t="n">
        <v>1100906</v>
      </c>
      <c r="D200" s="0" t="n">
        <v>71.2</v>
      </c>
      <c r="E200" s="0" t="n">
        <f aca="false">AVERAGE(D196:D200)</f>
        <v>85.172</v>
      </c>
      <c r="F200" s="0" t="n">
        <v>72</v>
      </c>
      <c r="G200" s="375" t="n">
        <v>555000</v>
      </c>
      <c r="H200" s="376" t="n">
        <f aca="false">SUM(C200-G200)</f>
        <v>545906</v>
      </c>
    </row>
    <row r="201" customFormat="false" ht="15" hidden="false" customHeight="false" outlineLevel="0" collapsed="false">
      <c r="A201" s="377" t="s">
        <v>82</v>
      </c>
      <c r="B201" s="0" t="n">
        <v>206</v>
      </c>
      <c r="C201" s="0" t="n">
        <v>920790</v>
      </c>
      <c r="D201" s="0" t="n">
        <v>57.72</v>
      </c>
      <c r="E201" s="0" t="n">
        <f aca="false">AVERAGE(D197:D201)</f>
        <v>80.338</v>
      </c>
      <c r="F201" s="0" t="n">
        <v>55</v>
      </c>
      <c r="G201" s="375" t="n">
        <v>560000</v>
      </c>
      <c r="H201" s="376" t="n">
        <f aca="false">SUM(C201-G201)</f>
        <v>360790</v>
      </c>
    </row>
    <row r="202" customFormat="false" ht="15" hidden="false" customHeight="false" outlineLevel="0" collapsed="false">
      <c r="A202" s="377" t="s">
        <v>83</v>
      </c>
      <c r="B202" s="0" t="n">
        <v>207</v>
      </c>
      <c r="C202" s="0" t="n">
        <v>2066280</v>
      </c>
      <c r="D202" s="0" t="n">
        <v>127.43</v>
      </c>
      <c r="E202" s="0" t="n">
        <f aca="false">AVERAGE(D198:D202)</f>
        <v>91.422</v>
      </c>
      <c r="F202" s="0" t="n">
        <v>119</v>
      </c>
      <c r="G202" s="375" t="n">
        <v>550000</v>
      </c>
      <c r="H202" s="376" t="n">
        <f aca="false">SUM(C202-G202)</f>
        <v>1516280</v>
      </c>
    </row>
    <row r="203" customFormat="false" ht="15" hidden="false" customHeight="false" outlineLevel="0" collapsed="false">
      <c r="A203" s="377" t="s">
        <v>84</v>
      </c>
      <c r="B203" s="0" t="n">
        <v>199</v>
      </c>
      <c r="C203" s="379" t="n">
        <f aca="false">[1]pag!$CL$219</f>
        <v>1253040</v>
      </c>
      <c r="D203" s="0" t="n">
        <v>89.72</v>
      </c>
      <c r="E203" s="0" t="n">
        <f aca="false">AVERAGE(D199:D203)</f>
        <v>81.758</v>
      </c>
      <c r="F203" s="379" t="n">
        <f aca="false">[1]pag!$L$225</f>
        <v>27</v>
      </c>
      <c r="G203" s="375" t="n">
        <v>620000</v>
      </c>
      <c r="H203" s="376" t="n">
        <f aca="false">SUM(C203-G203)</f>
        <v>633040</v>
      </c>
    </row>
    <row r="204" customFormat="false" ht="15" hidden="false" customHeight="false" outlineLevel="0" collapsed="false">
      <c r="A204" s="377" t="s">
        <v>85</v>
      </c>
      <c r="B204" s="0" t="n">
        <v>205</v>
      </c>
      <c r="C204" s="379" t="n">
        <v>1413566</v>
      </c>
      <c r="D204" s="0" t="n">
        <v>80.24</v>
      </c>
      <c r="E204" s="0" t="n">
        <f aca="false">AVERAGE(D200:D204)</f>
        <v>85.262</v>
      </c>
      <c r="F204" s="0" t="n">
        <v>79</v>
      </c>
      <c r="G204" s="375" t="n">
        <v>1295000</v>
      </c>
      <c r="H204" s="376" t="n">
        <f aca="false">SUM(C204-G204)</f>
        <v>118566</v>
      </c>
    </row>
    <row r="205" customFormat="false" ht="15" hidden="false" customHeight="false" outlineLevel="0" collapsed="false">
      <c r="A205" s="377" t="s">
        <v>86</v>
      </c>
      <c r="B205" s="0" t="n">
        <v>207</v>
      </c>
      <c r="C205" s="0" t="n">
        <v>974940</v>
      </c>
      <c r="D205" s="0" t="n">
        <v>54.67</v>
      </c>
      <c r="E205" s="0" t="n">
        <f aca="false">AVERAGE(D201:D205)</f>
        <v>81.956</v>
      </c>
      <c r="F205" s="0" t="n">
        <v>55</v>
      </c>
      <c r="G205" s="375" t="n">
        <v>375000</v>
      </c>
      <c r="H205" s="376" t="n">
        <f aca="false">SUM(C205-G205)</f>
        <v>599940</v>
      </c>
    </row>
    <row r="206" customFormat="false" ht="15" hidden="false" customHeight="false" outlineLevel="0" collapsed="false">
      <c r="A206" s="377" t="s">
        <v>87</v>
      </c>
      <c r="B206" s="0" t="n">
        <v>211</v>
      </c>
      <c r="C206" s="0" t="n">
        <v>1001170</v>
      </c>
      <c r="D206" s="0" t="n">
        <v>56.61</v>
      </c>
      <c r="E206" s="0" t="n">
        <f aca="false">AVERAGE(D202:D206)</f>
        <v>81.734</v>
      </c>
      <c r="F206" s="0" t="n">
        <v>63</v>
      </c>
      <c r="G206" s="375" t="n">
        <v>321000</v>
      </c>
      <c r="H206" s="376" t="n">
        <f aca="false">SUM(C206-G206)</f>
        <v>680170</v>
      </c>
    </row>
    <row r="207" customFormat="false" ht="15" hidden="false" customHeight="false" outlineLevel="0" collapsed="false">
      <c r="A207" s="377" t="s">
        <v>88</v>
      </c>
      <c r="B207" s="0" t="n">
        <v>211</v>
      </c>
      <c r="C207" s="379" t="n">
        <v>2855155</v>
      </c>
      <c r="D207" s="0" t="n">
        <v>148.85</v>
      </c>
      <c r="E207" s="0" t="n">
        <f aca="false">AVERAGE(D203:D207)</f>
        <v>86.018</v>
      </c>
      <c r="F207" s="379" t="n">
        <v>134</v>
      </c>
      <c r="G207" s="380" t="n">
        <v>1266000</v>
      </c>
      <c r="H207" s="376" t="n">
        <f aca="false">SUM(C207-G207)</f>
        <v>1589155</v>
      </c>
    </row>
    <row r="208" customFormat="false" ht="15" hidden="false" customHeight="false" outlineLevel="0" collapsed="false">
      <c r="A208" s="377" t="s">
        <v>89</v>
      </c>
      <c r="B208" s="0" t="n">
        <v>206</v>
      </c>
      <c r="C208" s="379" t="n">
        <v>1059405</v>
      </c>
      <c r="D208" s="0" t="n">
        <v>55.8</v>
      </c>
      <c r="E208" s="0" t="n">
        <f aca="false">AVERAGE(D204:D208)</f>
        <v>79.234</v>
      </c>
      <c r="F208" s="0" t="n">
        <v>68</v>
      </c>
      <c r="G208" s="375" t="n">
        <v>1210000</v>
      </c>
      <c r="H208" s="376" t="n">
        <f aca="false">SUM(C208-G208)</f>
        <v>-150595</v>
      </c>
    </row>
    <row r="209" customFormat="false" ht="15" hidden="false" customHeight="false" outlineLevel="0" collapsed="false">
      <c r="A209" s="377" t="s">
        <v>90</v>
      </c>
      <c r="B209" s="0" t="n">
        <v>210</v>
      </c>
      <c r="C209" s="379" t="n">
        <v>1400160</v>
      </c>
      <c r="D209" s="0" t="n">
        <v>72.21</v>
      </c>
      <c r="E209" s="0" t="n">
        <f aca="false">AVERAGE(D205:D209)</f>
        <v>77.628</v>
      </c>
      <c r="F209" s="0" t="n">
        <v>76</v>
      </c>
      <c r="G209" s="375" t="n">
        <v>670000</v>
      </c>
      <c r="H209" s="376" t="n">
        <f aca="false">SUM(C209-G209)</f>
        <v>730160</v>
      </c>
    </row>
    <row r="210" customFormat="false" ht="15" hidden="false" customHeight="false" outlineLevel="0" collapsed="false">
      <c r="A210" s="377" t="s">
        <v>91</v>
      </c>
      <c r="B210" s="0" t="n">
        <v>211</v>
      </c>
      <c r="C210" s="0" t="n">
        <v>1268690</v>
      </c>
      <c r="D210" s="0" t="n">
        <v>64.28</v>
      </c>
      <c r="E210" s="0" t="n">
        <f aca="false">AVERAGE(D206:D210)</f>
        <v>79.55</v>
      </c>
      <c r="F210" s="0" t="n">
        <v>59</v>
      </c>
      <c r="G210" s="375" t="n">
        <v>560000</v>
      </c>
      <c r="H210" s="376" t="n">
        <f aca="false">SUM(C210-G210)</f>
        <v>708690</v>
      </c>
    </row>
    <row r="211" customFormat="false" ht="15" hidden="false" customHeight="false" outlineLevel="0" collapsed="false">
      <c r="A211" s="377" t="s">
        <v>92</v>
      </c>
      <c r="B211" s="0" t="n">
        <v>212</v>
      </c>
      <c r="C211" s="379" t="n">
        <v>2551860</v>
      </c>
      <c r="D211" s="0" t="n">
        <v>120.95</v>
      </c>
      <c r="E211" s="0" t="n">
        <f aca="false">AVERAGE(D207:D211)</f>
        <v>92.418</v>
      </c>
      <c r="F211" s="0" t="n">
        <v>119</v>
      </c>
      <c r="G211" s="375" t="n">
        <v>1670000</v>
      </c>
      <c r="H211" s="376" t="n">
        <f aca="false">SUM(C211-G211)</f>
        <v>881860</v>
      </c>
    </row>
    <row r="212" customFormat="false" ht="15" hidden="false" customHeight="false" outlineLevel="0" collapsed="false">
      <c r="A212" s="377" t="s">
        <v>93</v>
      </c>
      <c r="B212" s="0" t="n">
        <v>204</v>
      </c>
      <c r="C212" s="379" t="n">
        <v>1238490</v>
      </c>
      <c r="D212" s="0" t="n">
        <v>58.55</v>
      </c>
      <c r="E212" s="0" t="n">
        <f aca="false">AVERAGE(D208:D212)</f>
        <v>74.358</v>
      </c>
      <c r="F212" s="0" t="n">
        <v>66</v>
      </c>
      <c r="G212" s="375" t="n">
        <v>750000</v>
      </c>
      <c r="H212" s="376" t="n">
        <f aca="false">SUM(C212-G212)</f>
        <v>488490</v>
      </c>
    </row>
    <row r="213" customFormat="false" ht="15" hidden="false" customHeight="false" outlineLevel="0" collapsed="false">
      <c r="A213" s="377" t="s">
        <v>94</v>
      </c>
      <c r="B213" s="0" t="n">
        <v>200</v>
      </c>
      <c r="C213" s="379" t="n">
        <v>1516180</v>
      </c>
      <c r="D213" s="0" t="n">
        <v>70</v>
      </c>
      <c r="E213" s="0" t="n">
        <f aca="false">AVERAGE(D209:D213)</f>
        <v>77.198</v>
      </c>
      <c r="F213" s="0" t="n">
        <v>79</v>
      </c>
      <c r="G213" s="375" t="n">
        <v>1101000</v>
      </c>
      <c r="H213" s="376" t="n">
        <f aca="false">SUM(C213-G213)</f>
        <v>415180</v>
      </c>
    </row>
    <row r="214" customFormat="false" ht="15" hidden="false" customHeight="false" outlineLevel="0" collapsed="false">
      <c r="A214" s="377" t="s">
        <v>95</v>
      </c>
      <c r="B214" s="0" t="n">
        <v>206</v>
      </c>
      <c r="C214" s="379" t="n">
        <v>1054120</v>
      </c>
      <c r="D214" s="0" t="n">
        <v>48.69</v>
      </c>
      <c r="E214" s="0" t="n">
        <f aca="false">AVERAGE(D210:D214)</f>
        <v>72.494</v>
      </c>
      <c r="F214" s="0" t="n">
        <v>64</v>
      </c>
      <c r="G214" s="375" t="n">
        <v>500000</v>
      </c>
      <c r="H214" s="376" t="n">
        <f aca="false">SUM(C214-G214)</f>
        <v>554120</v>
      </c>
    </row>
    <row r="215" customFormat="false" ht="15" hidden="false" customHeight="false" outlineLevel="0" collapsed="false">
      <c r="A215" s="377" t="s">
        <v>96</v>
      </c>
      <c r="B215" s="0" t="n">
        <v>209</v>
      </c>
      <c r="C215" s="379" t="n">
        <v>2031720</v>
      </c>
      <c r="D215" s="0" t="n">
        <v>92.58</v>
      </c>
      <c r="E215" s="0" t="n">
        <f aca="false">AVERAGE(D211:D215)</f>
        <v>78.154</v>
      </c>
      <c r="F215" s="0" t="n">
        <v>103</v>
      </c>
      <c r="G215" s="375" t="n">
        <v>445000</v>
      </c>
      <c r="H215" s="376" t="n">
        <f aca="false">SUM(C215-G215)</f>
        <v>1586720</v>
      </c>
    </row>
    <row r="216" customFormat="false" ht="15" hidden="false" customHeight="false" outlineLevel="0" collapsed="false">
      <c r="A216" s="377" t="s">
        <v>97</v>
      </c>
      <c r="B216" s="0" t="n">
        <v>208</v>
      </c>
      <c r="C216" s="379" t="n">
        <v>2010090</v>
      </c>
      <c r="D216" s="0" t="n">
        <v>89.46</v>
      </c>
      <c r="E216" s="0" t="n">
        <f aca="false">AVERAGE(D212:D216)</f>
        <v>71.856</v>
      </c>
      <c r="F216" s="0" t="n">
        <v>87</v>
      </c>
      <c r="G216" s="375" t="n">
        <v>665000</v>
      </c>
      <c r="H216" s="376" t="n">
        <f aca="false">SUM(C216-G216)</f>
        <v>1345090</v>
      </c>
    </row>
    <row r="217" customFormat="false" ht="15" hidden="false" customHeight="false" outlineLevel="0" collapsed="false">
      <c r="A217" s="377" t="s">
        <v>98</v>
      </c>
      <c r="B217" s="0" t="n">
        <v>210</v>
      </c>
      <c r="C217" s="379" t="n">
        <v>1511720</v>
      </c>
      <c r="D217" s="0" t="n">
        <v>66.41</v>
      </c>
      <c r="E217" s="0" t="n">
        <f aca="false">AVERAGE(D213:D217)</f>
        <v>73.428</v>
      </c>
      <c r="F217" s="0" t="n">
        <v>66</v>
      </c>
      <c r="G217" s="375" t="n">
        <v>1210000</v>
      </c>
      <c r="H217" s="376" t="n">
        <f aca="false">SUM(C217-G217)</f>
        <v>301720</v>
      </c>
    </row>
    <row r="218" customFormat="false" ht="15" hidden="false" customHeight="false" outlineLevel="0" collapsed="false">
      <c r="A218" s="377" t="s">
        <v>99</v>
      </c>
      <c r="B218" s="0" t="n">
        <v>205</v>
      </c>
      <c r="C218" s="379" t="n">
        <v>1631910</v>
      </c>
      <c r="D218" s="0" t="n">
        <v>73.67</v>
      </c>
      <c r="E218" s="0" t="n">
        <f aca="false">AVERAGE(D214:D218)</f>
        <v>74.162</v>
      </c>
      <c r="F218" s="0" t="n">
        <v>70</v>
      </c>
      <c r="G218" s="375" t="n">
        <v>460000</v>
      </c>
      <c r="H218" s="376" t="n">
        <f aca="false">SUM(C218-G218)</f>
        <v>1171910</v>
      </c>
    </row>
    <row r="219" customFormat="false" ht="15" hidden="false" customHeight="false" outlineLevel="0" collapsed="false">
      <c r="A219" s="377" t="s">
        <v>100</v>
      </c>
      <c r="B219" s="0" t="n">
        <v>203</v>
      </c>
      <c r="C219" s="379" t="n">
        <v>1764785</v>
      </c>
      <c r="D219" s="0" t="n">
        <v>75.52</v>
      </c>
      <c r="E219" s="381" t="n">
        <f aca="false">AVERAGE(D215:D219)</f>
        <v>79.528</v>
      </c>
      <c r="F219" s="379" t="n">
        <v>88</v>
      </c>
      <c r="G219" s="375" t="n">
        <v>1045000</v>
      </c>
      <c r="H219" s="376" t="n">
        <f aca="false">SUM(C219-G219)</f>
        <v>719785</v>
      </c>
    </row>
    <row r="220" customFormat="false" ht="15" hidden="false" customHeight="false" outlineLevel="0" collapsed="false">
      <c r="A220" s="377" t="s">
        <v>101</v>
      </c>
      <c r="B220" s="0" t="n">
        <v>202</v>
      </c>
      <c r="C220" s="379" t="n">
        <v>2142210</v>
      </c>
      <c r="D220" s="0" t="n">
        <v>98.28</v>
      </c>
      <c r="E220" s="381" t="n">
        <f aca="false">AVERAGE(D216:D220)</f>
        <v>80.668</v>
      </c>
      <c r="F220" s="379" t="n">
        <v>83</v>
      </c>
      <c r="G220" s="375" t="n">
        <v>970000</v>
      </c>
      <c r="H220" s="376" t="n">
        <f aca="false">SUM(C220-G220)</f>
        <v>1172210</v>
      </c>
    </row>
    <row r="221" customFormat="false" ht="15" hidden="false" customHeight="false" outlineLevel="0" collapsed="false">
      <c r="A221" s="377" t="s">
        <v>102</v>
      </c>
      <c r="B221" s="0" t="n">
        <v>202</v>
      </c>
      <c r="C221" s="379" t="n">
        <v>1788970</v>
      </c>
      <c r="D221" s="0" t="n">
        <v>77.71</v>
      </c>
      <c r="E221" s="381" t="n">
        <f aca="false">AVERAGE(D217:D221)</f>
        <v>78.318</v>
      </c>
      <c r="F221" s="0" t="n">
        <v>72</v>
      </c>
      <c r="G221" s="375" t="n">
        <v>1320000</v>
      </c>
      <c r="H221" s="376" t="n">
        <f aca="false">SUM(C221-G221)</f>
        <v>468970</v>
      </c>
    </row>
    <row r="222" customFormat="false" ht="15" hidden="false" customHeight="false" outlineLevel="0" collapsed="false">
      <c r="A222" s="377" t="s">
        <v>103</v>
      </c>
      <c r="B222" s="0" t="n">
        <v>204</v>
      </c>
      <c r="C222" s="379" t="n">
        <v>1055840</v>
      </c>
      <c r="D222" s="0" t="n">
        <v>42.38</v>
      </c>
      <c r="E222" s="381" t="n">
        <f aca="false">AVERAGE(D218:D222)</f>
        <v>73.512</v>
      </c>
      <c r="F222" s="0" t="n">
        <v>56</v>
      </c>
      <c r="G222" s="375" t="n">
        <v>1940000</v>
      </c>
      <c r="H222" s="376" t="n">
        <f aca="false">SUM(C222-G222)</f>
        <v>-884160</v>
      </c>
      <c r="I222" s="0" t="s">
        <v>184</v>
      </c>
    </row>
    <row r="223" customFormat="false" ht="15" hidden="false" customHeight="false" outlineLevel="0" collapsed="false">
      <c r="A223" s="377" t="s">
        <v>104</v>
      </c>
      <c r="B223" s="0" t="n">
        <v>211</v>
      </c>
      <c r="C223" s="379" t="n">
        <v>1437833</v>
      </c>
      <c r="D223" s="0" t="n">
        <v>56.27</v>
      </c>
      <c r="E223" s="381" t="n">
        <f aca="false">AVERAGE(D219:D223)</f>
        <v>70.032</v>
      </c>
      <c r="F223" s="0" t="n">
        <v>62</v>
      </c>
      <c r="G223" s="375" t="n">
        <v>1145000</v>
      </c>
      <c r="H223" s="376" t="n">
        <f aca="false">SUM(C223-G223)</f>
        <v>292833</v>
      </c>
      <c r="I223" s="0" t="s">
        <v>184</v>
      </c>
    </row>
    <row r="224" customFormat="false" ht="15" hidden="false" customHeight="false" outlineLevel="0" collapsed="false">
      <c r="A224" s="377" t="s">
        <v>105</v>
      </c>
      <c r="B224" s="0" t="n">
        <v>214</v>
      </c>
      <c r="C224" s="379" t="n">
        <v>2620675</v>
      </c>
      <c r="D224" s="0" t="n">
        <v>100.36</v>
      </c>
      <c r="E224" s="381" t="n">
        <f aca="false">AVERAGE(D220:D224)</f>
        <v>75</v>
      </c>
      <c r="F224" s="0" t="n">
        <v>105</v>
      </c>
      <c r="G224" s="375" t="n">
        <v>610000</v>
      </c>
      <c r="H224" s="376" t="n">
        <f aca="false">SUM(C224-G224)</f>
        <v>2010675</v>
      </c>
    </row>
    <row r="225" customFormat="false" ht="15" hidden="false" customHeight="false" outlineLevel="0" collapsed="false">
      <c r="A225" s="377" t="s">
        <v>106</v>
      </c>
      <c r="B225" s="0" t="n">
        <v>208</v>
      </c>
      <c r="C225" s="379" t="n">
        <v>2164810</v>
      </c>
      <c r="D225" s="0" t="n">
        <v>81.23</v>
      </c>
      <c r="E225" s="381" t="n">
        <f aca="false">AVERAGE(D221:D225)</f>
        <v>71.59</v>
      </c>
      <c r="F225" s="0" t="n">
        <v>79</v>
      </c>
      <c r="G225" s="375" t="n">
        <v>1145000</v>
      </c>
      <c r="H225" s="376" t="n">
        <f aca="false">SUM(C225-G225)</f>
        <v>1019810</v>
      </c>
      <c r="I225" s="382" t="n">
        <f aca="false">SUM(H221:H225)</f>
        <v>2908128</v>
      </c>
    </row>
    <row r="226" customFormat="false" ht="15" hidden="false" customHeight="false" outlineLevel="0" collapsed="false">
      <c r="A226" s="377" t="s">
        <v>107</v>
      </c>
      <c r="B226" s="0" t="n">
        <v>196</v>
      </c>
      <c r="C226" s="379" t="n">
        <v>1926480</v>
      </c>
      <c r="D226" s="0" t="n">
        <v>74.71</v>
      </c>
      <c r="E226" s="381" t="n">
        <f aca="false">AVERAGE(D222:D226)</f>
        <v>70.99</v>
      </c>
      <c r="F226" s="0" t="n">
        <v>56</v>
      </c>
      <c r="G226" s="375" t="n">
        <v>1175000</v>
      </c>
      <c r="H226" s="376" t="n">
        <f aca="false">SUM(C226-G226)</f>
        <v>751480</v>
      </c>
      <c r="I226" s="382" t="n">
        <f aca="false">SUM(H222:H226)</f>
        <v>3190638</v>
      </c>
    </row>
    <row r="227" customFormat="false" ht="15" hidden="false" customHeight="false" outlineLevel="0" collapsed="false">
      <c r="A227" s="377" t="s">
        <v>108</v>
      </c>
      <c r="B227" s="0" t="n">
        <v>201</v>
      </c>
      <c r="C227" s="379" t="n">
        <v>1377150</v>
      </c>
      <c r="D227" s="0" t="n">
        <v>52.15</v>
      </c>
      <c r="E227" s="381" t="n">
        <f aca="false">AVERAGE(D223:D227)</f>
        <v>72.944</v>
      </c>
      <c r="F227" s="0" t="n">
        <v>56</v>
      </c>
      <c r="G227" s="375" t="n">
        <v>830000</v>
      </c>
      <c r="H227" s="376" t="n">
        <f aca="false">SUM(C227-G227)</f>
        <v>547150</v>
      </c>
      <c r="I227" s="382" t="n">
        <f aca="false">SUM(H223:H227)</f>
        <v>4621948</v>
      </c>
    </row>
    <row r="228" customFormat="false" ht="15" hidden="false" customHeight="false" outlineLevel="0" collapsed="false">
      <c r="A228" s="377" t="s">
        <v>109</v>
      </c>
      <c r="B228" s="0" t="n">
        <v>203</v>
      </c>
      <c r="C228" s="379" t="n">
        <v>2320117</v>
      </c>
      <c r="D228" s="0" t="n">
        <v>86.14</v>
      </c>
      <c r="E228" s="381" t="n">
        <f aca="false">AVERAGE(D224:D228)</f>
        <v>78.918</v>
      </c>
      <c r="F228" s="0" t="n">
        <v>92</v>
      </c>
      <c r="G228" s="375" t="n">
        <v>990000</v>
      </c>
      <c r="H228" s="376" t="n">
        <f aca="false">SUM(C228-G228)</f>
        <v>1330117</v>
      </c>
      <c r="I228" s="382" t="n">
        <f aca="false">SUM(H224:H228)</f>
        <v>5659232</v>
      </c>
    </row>
    <row r="229" customFormat="false" ht="15" hidden="false" customHeight="false" outlineLevel="0" collapsed="false">
      <c r="A229" s="377" t="s">
        <v>110</v>
      </c>
      <c r="B229" s="0" t="n">
        <v>207</v>
      </c>
      <c r="C229" s="379" t="n">
        <v>2346870</v>
      </c>
      <c r="D229" s="0" t="n">
        <v>84.03</v>
      </c>
      <c r="E229" s="381" t="n">
        <f aca="false">AVERAGE(D225:D229)</f>
        <v>75.652</v>
      </c>
      <c r="F229" s="0" t="n">
        <v>88</v>
      </c>
      <c r="G229" s="375" t="n">
        <v>1200000</v>
      </c>
      <c r="H229" s="376" t="n">
        <f aca="false">SUM(C229-G229)</f>
        <v>1146870</v>
      </c>
      <c r="I229" s="382" t="n">
        <f aca="false">SUM(H225:H229)</f>
        <v>4795427</v>
      </c>
    </row>
    <row r="230" customFormat="false" ht="15" hidden="false" customHeight="false" outlineLevel="0" collapsed="false">
      <c r="A230" s="377" t="s">
        <v>111</v>
      </c>
      <c r="B230" s="0" t="n">
        <v>199</v>
      </c>
      <c r="C230" s="379" t="n">
        <v>2339280</v>
      </c>
      <c r="D230" s="0" t="n">
        <v>83.04</v>
      </c>
      <c r="E230" s="381" t="n">
        <f aca="false">AVERAGE(D226:D230)</f>
        <v>76.014</v>
      </c>
      <c r="F230" s="0" t="n">
        <v>73</v>
      </c>
      <c r="G230" s="375" t="n">
        <v>950000</v>
      </c>
      <c r="H230" s="376" t="n">
        <f aca="false">SUM(C230-G230)</f>
        <v>1389280</v>
      </c>
      <c r="I230" s="382" t="n">
        <f aca="false">SUM(H226:H230)</f>
        <v>5164897</v>
      </c>
    </row>
    <row r="231" customFormat="false" ht="15" hidden="false" customHeight="false" outlineLevel="0" collapsed="false">
      <c r="A231" s="377" t="s">
        <v>112</v>
      </c>
      <c r="B231" s="0" t="n">
        <v>210</v>
      </c>
      <c r="C231" s="379" t="n">
        <v>2261330</v>
      </c>
      <c r="D231" s="0" t="n">
        <v>75.31</v>
      </c>
      <c r="E231" s="381" t="n">
        <f aca="false">AVERAGE(D227:D231)</f>
        <v>76.134</v>
      </c>
      <c r="F231" s="0" t="n">
        <v>56</v>
      </c>
      <c r="G231" s="375" t="n">
        <v>2240000</v>
      </c>
      <c r="H231" s="376" t="n">
        <f aca="false">SUM(C231-G231)</f>
        <v>21330</v>
      </c>
      <c r="I231" s="382" t="n">
        <f aca="false">SUM(H227:H231)</f>
        <v>4434747</v>
      </c>
    </row>
    <row r="232" customFormat="false" ht="15" hidden="false" customHeight="false" outlineLevel="0" collapsed="false">
      <c r="A232" s="377" t="s">
        <v>113</v>
      </c>
      <c r="B232" s="0" t="n">
        <v>204</v>
      </c>
      <c r="C232" s="379" t="n">
        <v>2882280</v>
      </c>
      <c r="D232" s="0" t="n">
        <v>94.7</v>
      </c>
      <c r="E232" s="381" t="n">
        <f aca="false">AVERAGE(D228:D232)</f>
        <v>84.644</v>
      </c>
      <c r="F232" s="0" t="n">
        <v>92</v>
      </c>
      <c r="G232" s="375" t="n">
        <v>1750000</v>
      </c>
      <c r="H232" s="376" t="n">
        <f aca="false">SUM(C232-G232)</f>
        <v>1132280</v>
      </c>
      <c r="I232" s="382" t="n">
        <f aca="false">SUM(H228:H232)</f>
        <v>5019877</v>
      </c>
    </row>
    <row r="233" customFormat="false" ht="15" hidden="false" customHeight="false" outlineLevel="0" collapsed="false">
      <c r="A233" s="377" t="s">
        <v>114</v>
      </c>
      <c r="B233" s="0" t="n">
        <v>198</v>
      </c>
      <c r="C233" s="379" t="n">
        <v>2097387</v>
      </c>
      <c r="D233" s="0" t="n">
        <v>66.92</v>
      </c>
      <c r="E233" s="381" t="n">
        <f aca="false">AVERAGE(D229:D233)</f>
        <v>80.8</v>
      </c>
      <c r="F233" s="0" t="n">
        <v>70</v>
      </c>
      <c r="G233" s="375" t="n">
        <v>3265000</v>
      </c>
      <c r="H233" s="376" t="n">
        <f aca="false">SUM(C233-G233)</f>
        <v>-1167613</v>
      </c>
      <c r="I233" s="382" t="n">
        <f aca="false">SUM(H229:H233)</f>
        <v>2522147</v>
      </c>
    </row>
    <row r="234" customFormat="false" ht="15" hidden="false" customHeight="false" outlineLevel="0" collapsed="false">
      <c r="A234" s="377" t="s">
        <v>115</v>
      </c>
      <c r="B234" s="0" t="n">
        <v>204</v>
      </c>
      <c r="C234" s="379" t="n">
        <v>2270650</v>
      </c>
      <c r="D234" s="0" t="n">
        <v>70.85</v>
      </c>
      <c r="E234" s="381" t="n">
        <f aca="false">AVERAGE(D230:D234)</f>
        <v>78.164</v>
      </c>
      <c r="F234" s="0" t="n">
        <v>78</v>
      </c>
      <c r="G234" s="375" t="n">
        <v>1360000</v>
      </c>
      <c r="H234" s="376" t="n">
        <f aca="false">SUM(C234-G234)</f>
        <v>910650</v>
      </c>
      <c r="I234" s="382" t="n">
        <f aca="false">SUM(H230:H234)</f>
        <v>2285927</v>
      </c>
    </row>
    <row r="235" customFormat="false" ht="15" hidden="false" customHeight="false" outlineLevel="0" collapsed="false">
      <c r="A235" s="377" t="s">
        <v>116</v>
      </c>
      <c r="B235" s="0" t="n">
        <v>208</v>
      </c>
      <c r="C235" s="379" t="n">
        <v>2169480</v>
      </c>
      <c r="D235" s="0" t="n">
        <v>66.51</v>
      </c>
      <c r="E235" s="381" t="n">
        <f aca="false">AVERAGE(D231:D235)</f>
        <v>74.858</v>
      </c>
      <c r="F235" s="0" t="n">
        <v>67</v>
      </c>
      <c r="G235" s="375" t="n">
        <v>785000</v>
      </c>
      <c r="H235" s="376" t="n">
        <f aca="false">SUM(C235-G235)</f>
        <v>1384480</v>
      </c>
      <c r="I235" s="382" t="n">
        <f aca="false">SUM(H231:H235)</f>
        <v>2281127</v>
      </c>
    </row>
    <row r="236" customFormat="false" ht="15" hidden="false" customHeight="false" outlineLevel="0" collapsed="false">
      <c r="A236" s="377" t="s">
        <v>117</v>
      </c>
      <c r="B236" s="0" t="n">
        <v>215</v>
      </c>
      <c r="C236" s="379" t="n">
        <v>1465050</v>
      </c>
      <c r="D236" s="0" t="n">
        <v>44.02</v>
      </c>
      <c r="E236" s="381" t="n">
        <f aca="false">AVERAGE(D232:D236)</f>
        <v>68.6</v>
      </c>
      <c r="F236" s="0" t="n">
        <v>53</v>
      </c>
      <c r="G236" s="375" t="n">
        <v>780000</v>
      </c>
      <c r="H236" s="376" t="n">
        <f aca="false">SUM(C236-G236)</f>
        <v>685050</v>
      </c>
      <c r="I236" s="382" t="n">
        <f aca="false">SUM(H232:H236)</f>
        <v>2944847</v>
      </c>
    </row>
    <row r="237" customFormat="false" ht="15" hidden="false" customHeight="false" outlineLevel="0" collapsed="false">
      <c r="A237" s="377" t="s">
        <v>118</v>
      </c>
      <c r="B237" s="0" t="n">
        <v>219</v>
      </c>
      <c r="C237" s="379" t="n">
        <v>5133097</v>
      </c>
      <c r="D237" s="0" t="n">
        <v>151.24</v>
      </c>
      <c r="E237" s="381" t="n">
        <f aca="false">AVERAGE(D233:D237)</f>
        <v>79.908</v>
      </c>
      <c r="F237" s="0" t="n">
        <v>113</v>
      </c>
      <c r="G237" s="375" t="n">
        <v>1941000</v>
      </c>
      <c r="H237" s="376" t="n">
        <f aca="false">SUM(C237-G237)</f>
        <v>3192097</v>
      </c>
      <c r="I237" s="382" t="n">
        <f aca="false">SUM(H233:H237)</f>
        <v>5004664</v>
      </c>
    </row>
    <row r="238" customFormat="false" ht="15" hidden="false" customHeight="false" outlineLevel="0" collapsed="false">
      <c r="A238" s="377" t="s">
        <v>119</v>
      </c>
      <c r="B238" s="0" t="n">
        <v>217</v>
      </c>
      <c r="C238" s="379" t="n">
        <v>1829800</v>
      </c>
      <c r="D238" s="0" t="n">
        <v>52.41</v>
      </c>
      <c r="E238" s="381" t="n">
        <f aca="false">AVERAGE(D234:D238)</f>
        <v>77.006</v>
      </c>
      <c r="F238" s="379" t="n">
        <v>66</v>
      </c>
      <c r="G238" s="375" t="n">
        <v>1960000</v>
      </c>
      <c r="H238" s="376" t="n">
        <f aca="false">SUM(C238-G238)</f>
        <v>-130200</v>
      </c>
      <c r="I238" s="382" t="n">
        <f aca="false">SUM(H234:H238)</f>
        <v>6042077</v>
      </c>
    </row>
    <row r="239" customFormat="false" ht="15" hidden="false" customHeight="false" outlineLevel="0" collapsed="false">
      <c r="A239" s="377" t="s">
        <v>120</v>
      </c>
      <c r="B239" s="0" t="n">
        <v>217</v>
      </c>
      <c r="C239" s="379" t="n">
        <v>2679625</v>
      </c>
      <c r="D239" s="0" t="n">
        <v>76.1</v>
      </c>
      <c r="E239" s="381" t="n">
        <f aca="false">AVERAGE(D235:D239)</f>
        <v>78.056</v>
      </c>
      <c r="F239" s="0" t="n">
        <v>82</v>
      </c>
      <c r="G239" s="375" t="n">
        <v>1030000</v>
      </c>
      <c r="H239" s="376" t="n">
        <f aca="false">SUM(C239-G239)</f>
        <v>1649625</v>
      </c>
      <c r="I239" s="382" t="n">
        <f aca="false">SUM(H235:H239)</f>
        <v>6781052</v>
      </c>
    </row>
    <row r="240" customFormat="false" ht="15" hidden="false" customHeight="false" outlineLevel="0" collapsed="false">
      <c r="A240" s="377" t="s">
        <v>121</v>
      </c>
      <c r="B240" s="0" t="n">
        <v>214</v>
      </c>
      <c r="C240" s="379" t="n">
        <v>1235620</v>
      </c>
      <c r="D240" s="0" t="n">
        <v>35.89</v>
      </c>
      <c r="E240" s="381" t="n">
        <f aca="false">AVERAGE(D236:D240)</f>
        <v>71.932</v>
      </c>
      <c r="F240" s="0" t="n">
        <v>61</v>
      </c>
      <c r="G240" s="375" t="n">
        <v>1330000</v>
      </c>
      <c r="H240" s="376" t="n">
        <f aca="false">SUM(C240-G240)</f>
        <v>-94380</v>
      </c>
      <c r="I240" s="382" t="n">
        <f aca="false">SUM(H236:H240)</f>
        <v>5302192</v>
      </c>
    </row>
    <row r="241" customFormat="false" ht="15" hidden="false" customHeight="false" outlineLevel="0" collapsed="false">
      <c r="A241" s="377" t="s">
        <v>122</v>
      </c>
      <c r="B241" s="0" t="n">
        <v>218</v>
      </c>
      <c r="C241" s="379" t="n">
        <v>2881000</v>
      </c>
      <c r="D241" s="0" t="n">
        <v>83.01</v>
      </c>
      <c r="E241" s="381" t="n">
        <f aca="false">AVERAGE(D237:D241)</f>
        <v>79.73</v>
      </c>
      <c r="F241" s="0" t="n">
        <v>87</v>
      </c>
      <c r="G241" s="375" t="n">
        <v>850000</v>
      </c>
      <c r="H241" s="376" t="n">
        <f aca="false">SUM(C241-G241)</f>
        <v>2031000</v>
      </c>
      <c r="I241" s="382" t="n">
        <f aca="false">SUM(H237:H241)</f>
        <v>6648142</v>
      </c>
    </row>
    <row r="242" customFormat="false" ht="15" hidden="false" customHeight="false" outlineLevel="0" collapsed="false">
      <c r="A242" s="377" t="s">
        <v>123</v>
      </c>
      <c r="B242" s="0" t="n">
        <v>210</v>
      </c>
      <c r="C242" s="379" t="n">
        <v>4031572</v>
      </c>
      <c r="D242" s="0" t="n">
        <v>115.99</v>
      </c>
      <c r="E242" s="381" t="n">
        <f aca="false">AVERAGE(D238:D242)</f>
        <v>72.68</v>
      </c>
      <c r="F242" s="0" t="n">
        <v>79</v>
      </c>
      <c r="G242" s="375" t="n">
        <v>700000</v>
      </c>
      <c r="H242" s="376" t="n">
        <f aca="false">SUM(C242-G242)</f>
        <v>3331572</v>
      </c>
      <c r="I242" s="382" t="n">
        <f aca="false">SUM(H238:H242)</f>
        <v>6787617</v>
      </c>
    </row>
    <row r="243" customFormat="false" ht="15" hidden="false" customHeight="false" outlineLevel="0" collapsed="false">
      <c r="A243" s="377" t="s">
        <v>124</v>
      </c>
      <c r="B243" s="0" t="n">
        <v>211</v>
      </c>
      <c r="C243" s="379" t="n">
        <v>3139212</v>
      </c>
      <c r="D243" s="0" t="n">
        <v>89.38</v>
      </c>
      <c r="E243" s="381" t="n">
        <f aca="false">AVERAGE(D239:D243)</f>
        <v>80.074</v>
      </c>
      <c r="F243" s="0" t="n">
        <v>101</v>
      </c>
      <c r="G243" s="375" t="n">
        <v>1640000</v>
      </c>
      <c r="H243" s="376" t="n">
        <f aca="false">SUM(C243-G243)</f>
        <v>1499212</v>
      </c>
      <c r="I243" s="382" t="n">
        <f aca="false">SUM(H239:H243)</f>
        <v>8417029</v>
      </c>
    </row>
    <row r="244" customFormat="false" ht="15" hidden="false" customHeight="false" outlineLevel="0" collapsed="false">
      <c r="A244" s="377" t="s">
        <v>125</v>
      </c>
      <c r="B244" s="0" t="n">
        <v>211</v>
      </c>
      <c r="C244" s="379" t="n">
        <v>1647320</v>
      </c>
      <c r="D244" s="0" t="n">
        <v>45.84</v>
      </c>
      <c r="E244" s="381" t="n">
        <f aca="false">AVERAGE(D240:D244)</f>
        <v>74.022</v>
      </c>
      <c r="F244" s="0" t="n">
        <v>45</v>
      </c>
      <c r="G244" s="375" t="n">
        <v>1690000</v>
      </c>
      <c r="H244" s="376" t="n">
        <f aca="false">SUM(C244-G244)</f>
        <v>-42680</v>
      </c>
      <c r="I244" s="382" t="n">
        <f aca="false">SUM(H240:H244)</f>
        <v>6724724</v>
      </c>
    </row>
    <row r="245" customFormat="false" ht="15" hidden="false" customHeight="false" outlineLevel="0" collapsed="false">
      <c r="A245" s="377" t="s">
        <v>126</v>
      </c>
      <c r="B245" s="0" t="n">
        <v>216</v>
      </c>
      <c r="C245" s="379" t="n">
        <v>1753320</v>
      </c>
      <c r="D245" s="0" t="n">
        <v>46.8</v>
      </c>
      <c r="E245" s="381" t="n">
        <f aca="false">AVERAGE(D241:D245)</f>
        <v>76.204</v>
      </c>
      <c r="F245" s="0" t="n">
        <v>60</v>
      </c>
      <c r="G245" s="375" t="n">
        <v>785000</v>
      </c>
      <c r="H245" s="376" t="n">
        <f aca="false">SUM(C245-G245)</f>
        <v>968320</v>
      </c>
      <c r="I245" s="382" t="n">
        <f aca="false">SUM(H241:H245)</f>
        <v>7787424</v>
      </c>
    </row>
    <row r="246" customFormat="false" ht="15" hidden="false" customHeight="false" outlineLevel="0" collapsed="false">
      <c r="A246" s="383" t="s">
        <v>127</v>
      </c>
      <c r="B246" s="0" t="n">
        <v>221</v>
      </c>
      <c r="C246" s="379" t="n">
        <v>4543147</v>
      </c>
      <c r="D246" s="0" t="n">
        <v>118.11</v>
      </c>
      <c r="E246" s="381" t="n">
        <f aca="false">AVERAGE(D242:D246)</f>
        <v>83.224</v>
      </c>
      <c r="F246" s="0" t="n">
        <v>101</v>
      </c>
      <c r="G246" s="375" t="n">
        <v>1660000</v>
      </c>
      <c r="H246" s="376" t="n">
        <f aca="false">SUM(C246-G246)</f>
        <v>2883147</v>
      </c>
      <c r="I246" s="382" t="n">
        <f aca="false">SUM(H242:H246)</f>
        <v>8639571</v>
      </c>
    </row>
    <row r="247" customFormat="false" ht="15" hidden="false" customHeight="false" outlineLevel="0" collapsed="false">
      <c r="A247" s="383" t="s">
        <v>128</v>
      </c>
      <c r="B247" s="0" t="n">
        <v>217</v>
      </c>
      <c r="C247" s="379" t="n">
        <v>4261342</v>
      </c>
      <c r="D247" s="0" t="n">
        <v>111.28</v>
      </c>
      <c r="E247" s="381" t="n">
        <f aca="false">AVERAGE(D243:D247)</f>
        <v>82.282</v>
      </c>
      <c r="F247" s="0" t="n">
        <v>83</v>
      </c>
      <c r="G247" s="375" t="n">
        <v>1940000</v>
      </c>
      <c r="H247" s="376" t="n">
        <f aca="false">SUM(C247-G247)</f>
        <v>2321342</v>
      </c>
      <c r="I247" s="382" t="n">
        <f aca="false">SUM(H243:H247)</f>
        <v>7629341</v>
      </c>
    </row>
    <row r="248" customFormat="false" ht="15" hidden="false" customHeight="false" outlineLevel="0" collapsed="false">
      <c r="A248" s="383" t="s">
        <v>129</v>
      </c>
      <c r="B248" s="0" t="n">
        <v>218</v>
      </c>
      <c r="C248" s="379" t="n">
        <v>2128377</v>
      </c>
      <c r="D248" s="0" t="n">
        <v>51.95</v>
      </c>
      <c r="E248" s="381" t="n">
        <f aca="false">AVERAGE(D244:D248)</f>
        <v>74.796</v>
      </c>
      <c r="F248" s="0" t="n">
        <v>69</v>
      </c>
      <c r="G248" s="375" t="n">
        <v>3300000</v>
      </c>
      <c r="H248" s="376" t="n">
        <f aca="false">SUM(C248-G248)</f>
        <v>-1171623</v>
      </c>
      <c r="I248" s="382" t="n">
        <f aca="false">SUM(H244:H248)</f>
        <v>4958506</v>
      </c>
    </row>
    <row r="249" customFormat="false" ht="15" hidden="false" customHeight="false" outlineLevel="0" collapsed="false">
      <c r="A249" s="383" t="s">
        <v>130</v>
      </c>
      <c r="B249" s="0" t="n">
        <v>217</v>
      </c>
      <c r="C249" s="379" t="n">
        <v>1369420</v>
      </c>
      <c r="D249" s="0" t="n">
        <v>33.7</v>
      </c>
      <c r="E249" s="381" t="n">
        <f aca="false">AVERAGE(D245:D249)</f>
        <v>72.368</v>
      </c>
      <c r="F249" s="0" t="n">
        <v>52</v>
      </c>
      <c r="G249" s="375" t="n">
        <v>1480000</v>
      </c>
      <c r="H249" s="376" t="n">
        <f aca="false">SUM(C249-G249)</f>
        <v>-110580</v>
      </c>
      <c r="I249" s="382" t="n">
        <f aca="false">SUM(H245:H249)</f>
        <v>4890606</v>
      </c>
      <c r="J249" s="384" t="s">
        <v>1384</v>
      </c>
    </row>
    <row r="250" customFormat="false" ht="15" hidden="false" customHeight="false" outlineLevel="0" collapsed="false">
      <c r="A250" s="383" t="s">
        <v>131</v>
      </c>
      <c r="B250" s="0" t="n">
        <v>219</v>
      </c>
      <c r="C250" s="379" t="n">
        <v>2931697</v>
      </c>
      <c r="D250" s="0" t="n">
        <v>70.76</v>
      </c>
      <c r="E250" s="381" t="n">
        <f aca="false">AVERAGE(D246:D250)</f>
        <v>77.16</v>
      </c>
      <c r="F250" s="0" t="n">
        <v>76</v>
      </c>
      <c r="G250" s="375" t="n">
        <v>1195000</v>
      </c>
      <c r="H250" s="376" t="n">
        <f aca="false">SUM(C250-G250)</f>
        <v>1736697</v>
      </c>
      <c r="I250" s="382" t="n">
        <f aca="false">SUM(H246:H250)</f>
        <v>5658983</v>
      </c>
    </row>
    <row r="251" customFormat="false" ht="15" hidden="false" customHeight="false" outlineLevel="0" collapsed="false">
      <c r="A251" s="383" t="s">
        <v>132</v>
      </c>
      <c r="B251" s="0" t="n">
        <v>226</v>
      </c>
      <c r="C251" s="379" t="n">
        <v>3960350</v>
      </c>
      <c r="D251" s="0" t="n">
        <v>94.18</v>
      </c>
      <c r="E251" s="381" t="n">
        <f aca="false">AVERAGE(D247:D251)</f>
        <v>72.374</v>
      </c>
      <c r="F251" s="0" t="n">
        <v>82</v>
      </c>
      <c r="G251" s="375" t="n">
        <v>2025000</v>
      </c>
      <c r="H251" s="376" t="n">
        <f aca="false">SUM(C251-G251)</f>
        <v>1935350</v>
      </c>
      <c r="I251" s="382" t="n">
        <f aca="false">SUM(H247:H251)</f>
        <v>4711186</v>
      </c>
    </row>
    <row r="252" customFormat="false" ht="15" hidden="false" customHeight="false" outlineLevel="0" collapsed="false">
      <c r="A252" s="383" t="s">
        <v>133</v>
      </c>
      <c r="B252" s="0" t="n">
        <v>222</v>
      </c>
      <c r="C252" s="379" t="n">
        <v>2383829</v>
      </c>
      <c r="D252" s="0" t="n">
        <v>55.9</v>
      </c>
      <c r="E252" s="381" t="n">
        <f aca="false">AVERAGE(D248:D252)</f>
        <v>61.298</v>
      </c>
      <c r="F252" s="0" t="n">
        <v>62</v>
      </c>
      <c r="G252" s="375" t="n">
        <v>1380000</v>
      </c>
      <c r="H252" s="376" t="n">
        <f aca="false">SUM(C252-G252)</f>
        <v>1003829</v>
      </c>
      <c r="I252" s="382" t="n">
        <f aca="false">SUM(H248:H252)</f>
        <v>3393673</v>
      </c>
    </row>
    <row r="253" customFormat="false" ht="15" hidden="false" customHeight="false" outlineLevel="0" collapsed="false">
      <c r="A253" s="383" t="s">
        <v>134</v>
      </c>
      <c r="B253" s="0" t="n">
        <v>226</v>
      </c>
      <c r="C253" s="379" t="n">
        <v>2348280</v>
      </c>
      <c r="D253" s="0" t="n">
        <v>54.19</v>
      </c>
      <c r="E253" s="381" t="n">
        <f aca="false">AVERAGE(D249:D253)</f>
        <v>61.746</v>
      </c>
      <c r="F253" s="0" t="n">
        <v>75</v>
      </c>
      <c r="G253" s="375" t="n">
        <v>840000</v>
      </c>
      <c r="H253" s="376" t="n">
        <f aca="false">SUM(C253-G253)</f>
        <v>1508280</v>
      </c>
      <c r="I253" s="382" t="n">
        <f aca="false">SUM(H249:H253)</f>
        <v>6073576</v>
      </c>
    </row>
    <row r="254" customFormat="false" ht="15" hidden="false" customHeight="false" outlineLevel="0" collapsed="false">
      <c r="A254" s="383" t="s">
        <v>135</v>
      </c>
      <c r="B254" s="0" t="n">
        <v>226</v>
      </c>
      <c r="C254" s="379" t="n">
        <v>1593700</v>
      </c>
      <c r="D254" s="0" t="n">
        <v>36.21</v>
      </c>
      <c r="E254" s="381" t="n">
        <f aca="false">AVERAGE(D250:D254)</f>
        <v>62.248</v>
      </c>
      <c r="F254" s="0" t="n">
        <v>66</v>
      </c>
      <c r="G254" s="375" t="n">
        <v>995000</v>
      </c>
      <c r="H254" s="376" t="n">
        <f aca="false">SUM(C254-G254)</f>
        <v>598700</v>
      </c>
      <c r="I254" s="382" t="n">
        <f aca="false">SUM(H250:H254)</f>
        <v>6782856</v>
      </c>
    </row>
    <row r="255" customFormat="false" ht="15" hidden="false" customHeight="false" outlineLevel="0" collapsed="false">
      <c r="A255" s="383" t="s">
        <v>136</v>
      </c>
      <c r="B255" s="0" t="n">
        <v>227</v>
      </c>
      <c r="C255" s="379" t="n">
        <v>4435800</v>
      </c>
      <c r="D255" s="0" t="n">
        <v>99.95</v>
      </c>
      <c r="E255" s="381" t="n">
        <f aca="false">AVERAGE(D251:D255)</f>
        <v>68.086</v>
      </c>
      <c r="F255" s="0" t="n">
        <v>89</v>
      </c>
      <c r="G255" s="375" t="n">
        <v>900000</v>
      </c>
      <c r="H255" s="376" t="n">
        <f aca="false">SUM(C255-G255)</f>
        <v>3535800</v>
      </c>
      <c r="I255" s="382" t="n">
        <f aca="false">SUM(H251:H255)</f>
        <v>8581959</v>
      </c>
    </row>
    <row r="256" customFormat="false" ht="15" hidden="false" customHeight="false" outlineLevel="0" collapsed="false">
      <c r="A256" s="383" t="s">
        <v>137</v>
      </c>
      <c r="B256" s="0" t="n">
        <v>221</v>
      </c>
      <c r="C256" s="379" t="n">
        <v>3417155</v>
      </c>
      <c r="D256" s="0" t="n">
        <v>75.61</v>
      </c>
      <c r="E256" s="381" t="n">
        <f aca="false">AVERAGE(D252:D256)</f>
        <v>64.372</v>
      </c>
      <c r="F256" s="0" t="n">
        <v>94</v>
      </c>
      <c r="G256" s="375" t="n">
        <v>3050000</v>
      </c>
      <c r="H256" s="376" t="n">
        <f aca="false">SUM(C256-G256)</f>
        <v>367155</v>
      </c>
      <c r="I256" s="382" t="n">
        <f aca="false">SUM(H252:H256)</f>
        <v>7013764</v>
      </c>
    </row>
    <row r="257" customFormat="false" ht="15" hidden="false" customHeight="false" outlineLevel="0" collapsed="false">
      <c r="A257" s="383" t="s">
        <v>138</v>
      </c>
      <c r="B257" s="0" t="n">
        <v>216</v>
      </c>
      <c r="C257" s="379" t="n">
        <v>2094980</v>
      </c>
      <c r="D257" s="0" t="n">
        <v>45.87</v>
      </c>
      <c r="E257" s="381" t="n">
        <f aca="false">AVERAGE(D253:D257)</f>
        <v>62.366</v>
      </c>
      <c r="F257" s="0" t="n">
        <v>51</v>
      </c>
      <c r="G257" s="375" t="n">
        <v>2080000</v>
      </c>
      <c r="H257" s="376" t="n">
        <f aca="false">SUM(C257-G257)</f>
        <v>14980</v>
      </c>
      <c r="I257" s="382" t="n">
        <f aca="false">SUM(H253:H257)</f>
        <v>6024915</v>
      </c>
    </row>
    <row r="258" customFormat="false" ht="15" hidden="false" customHeight="false" outlineLevel="0" collapsed="false">
      <c r="A258" s="383" t="s">
        <v>139</v>
      </c>
      <c r="B258" s="0" t="n">
        <v>221</v>
      </c>
      <c r="C258" s="379" t="n">
        <v>1885050</v>
      </c>
      <c r="D258" s="0" t="n">
        <v>40.43</v>
      </c>
      <c r="E258" s="381" t="n">
        <f aca="false">AVERAGE(D254:D258)</f>
        <v>59.614</v>
      </c>
      <c r="F258" s="0" t="n">
        <v>56</v>
      </c>
      <c r="G258" s="375" t="n">
        <v>1620000</v>
      </c>
      <c r="H258" s="376" t="n">
        <f aca="false">SUM(C258-G258)</f>
        <v>265050</v>
      </c>
      <c r="I258" s="382" t="n">
        <f aca="false">SUM(H254:H258)</f>
        <v>4781685</v>
      </c>
    </row>
    <row r="259" customFormat="false" ht="15" hidden="false" customHeight="false" outlineLevel="0" collapsed="false">
      <c r="A259" s="383" t="s">
        <v>140</v>
      </c>
      <c r="B259" s="0" t="n">
        <v>223</v>
      </c>
      <c r="C259" s="379" t="n">
        <v>4703622</v>
      </c>
      <c r="D259" s="0" t="n">
        <v>101.6</v>
      </c>
      <c r="E259" s="381" t="n">
        <f aca="false">AVERAGE(D255:D259)</f>
        <v>72.692</v>
      </c>
      <c r="F259" s="0" t="n">
        <v>98</v>
      </c>
      <c r="G259" s="375" t="n">
        <v>1510000</v>
      </c>
      <c r="H259" s="376" t="n">
        <f aca="false">SUM(C259-G259)</f>
        <v>3193622</v>
      </c>
      <c r="I259" s="382" t="n">
        <f aca="false">SUM(H255:H259)</f>
        <v>7376607</v>
      </c>
    </row>
    <row r="260" customFormat="false" ht="15" hidden="false" customHeight="false" outlineLevel="0" collapsed="false">
      <c r="A260" s="383" t="s">
        <v>141</v>
      </c>
      <c r="B260" s="0" t="n">
        <v>217</v>
      </c>
      <c r="C260" s="379" t="n">
        <v>2726405</v>
      </c>
      <c r="D260" s="0" t="n">
        <v>59.36</v>
      </c>
      <c r="E260" s="381" t="n">
        <f aca="false">AVERAGE(D256:D260)</f>
        <v>64.574</v>
      </c>
      <c r="F260" s="0" t="n">
        <v>57</v>
      </c>
      <c r="G260" s="375" t="n">
        <v>200000</v>
      </c>
      <c r="H260" s="376" t="n">
        <f aca="false">SUM(C260-G260)</f>
        <v>2526405</v>
      </c>
      <c r="I260" s="382" t="n">
        <f aca="false">SUM(H256:H260)</f>
        <v>6367212</v>
      </c>
    </row>
    <row r="261" customFormat="false" ht="15" hidden="false" customHeight="false" outlineLevel="0" collapsed="false">
      <c r="A261" s="383" t="s">
        <v>142</v>
      </c>
      <c r="B261" s="0" t="n">
        <v>225</v>
      </c>
      <c r="C261" s="379" t="n">
        <v>2414601</v>
      </c>
      <c r="D261" s="0" t="n">
        <v>51.95</v>
      </c>
      <c r="E261" s="381" t="n">
        <f aca="false">AVERAGE(D257:D261)</f>
        <v>59.842</v>
      </c>
      <c r="F261" s="0" t="n">
        <v>68</v>
      </c>
      <c r="G261" s="375" t="n">
        <v>1870000</v>
      </c>
      <c r="H261" s="376" t="n">
        <f aca="false">SUM(C261-G261)</f>
        <v>544601</v>
      </c>
      <c r="I261" s="382" t="n">
        <f aca="false">SUM(H257:H261)</f>
        <v>6544658</v>
      </c>
    </row>
    <row r="262" customFormat="false" ht="15" hidden="false" customHeight="false" outlineLevel="0" collapsed="false">
      <c r="A262" s="383" t="s">
        <v>143</v>
      </c>
      <c r="B262" s="0" t="n">
        <v>228</v>
      </c>
      <c r="C262" s="379" t="n">
        <v>2828300</v>
      </c>
      <c r="D262" s="0" t="n">
        <v>60.36</v>
      </c>
      <c r="E262" s="381" t="n">
        <f aca="false">AVERAGE(D258:D262)</f>
        <v>62.74</v>
      </c>
      <c r="F262" s="0" t="n">
        <v>56</v>
      </c>
      <c r="G262" s="375" t="n">
        <v>1170000</v>
      </c>
      <c r="H262" s="376" t="n">
        <f aca="false">SUM(C262-G262)</f>
        <v>1658300</v>
      </c>
      <c r="I262" s="382" t="n">
        <f aca="false">SUM(H258:H262)</f>
        <v>8187978</v>
      </c>
    </row>
    <row r="263" customFormat="false" ht="15" hidden="false" customHeight="false" outlineLevel="0" collapsed="false">
      <c r="A263" s="383" t="s">
        <v>144</v>
      </c>
      <c r="B263" s="0" t="n">
        <v>229</v>
      </c>
      <c r="C263" s="379" t="n">
        <v>3311021</v>
      </c>
      <c r="D263" s="0" t="n">
        <v>76.05</v>
      </c>
      <c r="E263" s="381" t="n">
        <f aca="false">AVERAGE(D259:D263)</f>
        <v>69.864</v>
      </c>
      <c r="F263" s="0" t="n">
        <v>93</v>
      </c>
      <c r="G263" s="375" t="n">
        <v>1200000</v>
      </c>
      <c r="H263" s="376" t="n">
        <v>2111021</v>
      </c>
      <c r="I263" s="382" t="n">
        <f aca="false">SUM(H259:H263)</f>
        <v>10033949</v>
      </c>
    </row>
    <row r="264" customFormat="false" ht="15" hidden="false" customHeight="false" outlineLevel="0" collapsed="false">
      <c r="A264" s="383" t="s">
        <v>145</v>
      </c>
      <c r="B264" s="0" t="n">
        <v>234</v>
      </c>
      <c r="C264" s="0" t="n">
        <v>4785500</v>
      </c>
      <c r="D264" s="0" t="n">
        <v>97.14</v>
      </c>
      <c r="E264" s="381" t="n">
        <f aca="false">AVERAGE(D260:D264)</f>
        <v>68.972</v>
      </c>
      <c r="F264" s="110" t="n">
        <v>92</v>
      </c>
      <c r="G264" s="380" t="n">
        <v>2315000</v>
      </c>
      <c r="H264" s="376" t="n">
        <f aca="false">SUM(C264-G264)</f>
        <v>2470500</v>
      </c>
      <c r="I264" s="382" t="n">
        <f aca="false">SUM(H260:H264)</f>
        <v>9310827</v>
      </c>
    </row>
    <row r="265" customFormat="false" ht="15" hidden="false" customHeight="false" outlineLevel="0" collapsed="false">
      <c r="A265" s="383" t="s">
        <v>146</v>
      </c>
      <c r="B265" s="0" t="n">
        <v>224</v>
      </c>
      <c r="C265" s="379" t="n">
        <v>2484300</v>
      </c>
      <c r="D265" s="0" t="n">
        <v>50.94</v>
      </c>
      <c r="E265" s="381" t="n">
        <f aca="false">AVERAGE(D261:D265)</f>
        <v>67.288</v>
      </c>
      <c r="F265" s="385" t="n">
        <v>61</v>
      </c>
      <c r="G265" s="386" t="n">
        <v>1710000</v>
      </c>
      <c r="H265" s="376" t="n">
        <f aca="false">SUM(C265-G265)</f>
        <v>774300</v>
      </c>
      <c r="I265" s="382" t="n">
        <f aca="false">SUM(H261:H265)</f>
        <v>7558722</v>
      </c>
    </row>
    <row r="266" customFormat="false" ht="15" hidden="false" customHeight="false" outlineLevel="0" collapsed="false">
      <c r="A266" s="383" t="s">
        <v>147</v>
      </c>
      <c r="B266" s="0" t="n">
        <v>231</v>
      </c>
      <c r="C266" s="379" t="n">
        <v>2897330</v>
      </c>
      <c r="D266" s="0" t="n">
        <v>59.03</v>
      </c>
      <c r="E266" s="381" t="n">
        <f aca="false">AVERAGE(D262:D266)</f>
        <v>68.704</v>
      </c>
      <c r="F266" s="385" t="n">
        <v>66</v>
      </c>
      <c r="G266" s="386" t="n">
        <v>1900000</v>
      </c>
      <c r="H266" s="376" t="n">
        <f aca="false">SUM(C266-G266)</f>
        <v>997330</v>
      </c>
      <c r="I266" s="382" t="n">
        <f aca="false">SUM(H262:H266)</f>
        <v>8011451</v>
      </c>
    </row>
    <row r="267" customFormat="false" ht="15" hidden="false" customHeight="false" outlineLevel="0" collapsed="false">
      <c r="A267" s="383" t="s">
        <v>148</v>
      </c>
      <c r="B267" s="0" t="n">
        <v>230</v>
      </c>
      <c r="C267" s="379" t="n">
        <v>4181680</v>
      </c>
      <c r="D267" s="0" t="n">
        <v>84.21</v>
      </c>
      <c r="E267" s="381" t="n">
        <f aca="false">AVERAGE(D263:D267)</f>
        <v>73.474</v>
      </c>
      <c r="F267" s="385" t="n">
        <v>80</v>
      </c>
      <c r="G267" s="386" t="n">
        <v>1510000</v>
      </c>
      <c r="H267" s="376" t="n">
        <f aca="false">SUM(C267-G267)</f>
        <v>2671680</v>
      </c>
      <c r="I267" s="382" t="n">
        <f aca="false">SUM(H263:H267)</f>
        <v>9024831</v>
      </c>
    </row>
    <row r="268" customFormat="false" ht="15" hidden="false" customHeight="false" outlineLevel="0" collapsed="false">
      <c r="A268" s="383" t="s">
        <v>149</v>
      </c>
      <c r="B268" s="0" t="n">
        <v>233</v>
      </c>
      <c r="C268" s="379" t="n">
        <v>3913080</v>
      </c>
      <c r="D268" s="0" t="n">
        <v>75.16</v>
      </c>
      <c r="E268" s="381" t="n">
        <f aca="false">AVERAGE(D264:D268)</f>
        <v>73.296</v>
      </c>
      <c r="F268" s="385" t="n">
        <v>93</v>
      </c>
      <c r="G268" s="386" t="n">
        <v>2970000</v>
      </c>
      <c r="H268" s="376" t="n">
        <f aca="false">SUM(C268-G268)</f>
        <v>943080</v>
      </c>
      <c r="I268" s="382" t="n">
        <f aca="false">SUM(H264:H268)</f>
        <v>7856890</v>
      </c>
    </row>
    <row r="269" customFormat="false" ht="15" hidden="false" customHeight="false" outlineLevel="0" collapsed="false">
      <c r="A269" s="383" t="s">
        <v>1389</v>
      </c>
      <c r="B269" s="0" t="n">
        <v>231</v>
      </c>
      <c r="C269" s="379" t="n">
        <v>2284850</v>
      </c>
      <c r="D269" s="0" t="n">
        <v>43.87</v>
      </c>
      <c r="E269" s="381" t="n">
        <f aca="false">AVERAGE(D265:D269)</f>
        <v>62.642</v>
      </c>
      <c r="F269" s="385" t="n">
        <v>58</v>
      </c>
      <c r="G269" s="386" t="n">
        <v>1690000</v>
      </c>
      <c r="H269" s="376" t="n">
        <f aca="false">SUM(C269-G269)</f>
        <v>594850</v>
      </c>
      <c r="I269" s="382" t="n">
        <f aca="false">SUM(H265:H269)</f>
        <v>5981240</v>
      </c>
    </row>
    <row r="270" customFormat="false" ht="15" hidden="false" customHeight="false" outlineLevel="0" collapsed="false">
      <c r="A270" s="383" t="s">
        <v>151</v>
      </c>
      <c r="B270" s="0" t="n">
        <v>241</v>
      </c>
      <c r="C270" s="379" t="n">
        <v>3762350</v>
      </c>
      <c r="D270" s="0" t="n">
        <v>68.18</v>
      </c>
      <c r="E270" s="381" t="n">
        <f aca="false">AVERAGE(D266:D270)</f>
        <v>66.09</v>
      </c>
      <c r="F270" s="385" t="n">
        <v>85</v>
      </c>
      <c r="G270" s="386" t="n">
        <v>3090000</v>
      </c>
      <c r="H270" s="376" t="n">
        <f aca="false">SUM(C270-G270)</f>
        <v>672350</v>
      </c>
      <c r="I270" s="382" t="n">
        <f aca="false">SUM(H266:H270)</f>
        <v>5879290</v>
      </c>
    </row>
    <row r="271" customFormat="false" ht="15" hidden="false" customHeight="false" outlineLevel="0" collapsed="false">
      <c r="A271" s="383" t="s">
        <v>152</v>
      </c>
      <c r="B271" s="0" t="n">
        <v>235</v>
      </c>
      <c r="C271" s="379" t="n">
        <v>3940150</v>
      </c>
      <c r="D271" s="0" t="n">
        <v>72.94</v>
      </c>
      <c r="E271" s="381" t="n">
        <f aca="false">AVERAGE(D267:D271)</f>
        <v>68.872</v>
      </c>
      <c r="F271" s="385" t="n">
        <v>80</v>
      </c>
      <c r="G271" s="386" t="n">
        <v>1370000</v>
      </c>
      <c r="H271" s="376" t="n">
        <f aca="false">SUM(C271-G271)</f>
        <v>2570150</v>
      </c>
      <c r="I271" s="382" t="n">
        <f aca="false">SUM(H267:H271)</f>
        <v>7452110</v>
      </c>
    </row>
    <row r="272" customFormat="false" ht="15" hidden="false" customHeight="false" outlineLevel="0" collapsed="false">
      <c r="A272" s="383" t="s">
        <v>153</v>
      </c>
      <c r="B272" s="0" t="n">
        <v>235</v>
      </c>
      <c r="C272" s="379" t="n">
        <v>4683250</v>
      </c>
      <c r="D272" s="0" t="n">
        <v>86.17</v>
      </c>
      <c r="E272" s="381" t="n">
        <f aca="false">AVERAGE(D268:D272)</f>
        <v>69.264</v>
      </c>
      <c r="F272" s="385" t="n">
        <v>93</v>
      </c>
      <c r="G272" s="386" t="n">
        <v>1035000</v>
      </c>
      <c r="H272" s="376" t="n">
        <f aca="false">SUM(C272-G272)</f>
        <v>3648250</v>
      </c>
      <c r="I272" s="382" t="n">
        <f aca="false">SUM(H268:H272)</f>
        <v>8428680</v>
      </c>
    </row>
    <row r="273" customFormat="false" ht="15" hidden="false" customHeight="false" outlineLevel="0" collapsed="false">
      <c r="A273" s="383" t="s">
        <v>154</v>
      </c>
      <c r="B273" s="0" t="n">
        <v>234</v>
      </c>
      <c r="C273" s="379" t="n">
        <v>3351700</v>
      </c>
      <c r="D273" s="0" t="n">
        <v>63.94</v>
      </c>
      <c r="E273" s="381" t="n">
        <f aca="false">AVERAGE(D269:D273)</f>
        <v>67.02</v>
      </c>
      <c r="F273" s="385" t="n">
        <v>84</v>
      </c>
      <c r="G273" s="386" t="n">
        <v>1870000</v>
      </c>
      <c r="H273" s="376" t="n">
        <f aca="false">SUM(C273-G273)</f>
        <v>1481700</v>
      </c>
      <c r="I273" s="382" t="n">
        <f aca="false">SUM(H269:H273)</f>
        <v>8967300</v>
      </c>
    </row>
    <row r="274" customFormat="false" ht="15" hidden="false" customHeight="false" outlineLevel="0" collapsed="false">
      <c r="A274" s="383" t="s">
        <v>155</v>
      </c>
      <c r="B274" s="0" t="n">
        <v>240</v>
      </c>
      <c r="C274" s="379" t="n">
        <v>3126950</v>
      </c>
      <c r="D274" s="0" t="n">
        <v>56.63</v>
      </c>
      <c r="E274" s="381" t="n">
        <f aca="false">AVERAGE(D270:D274)</f>
        <v>69.572</v>
      </c>
      <c r="F274" s="385" t="n">
        <v>71</v>
      </c>
      <c r="G274" s="386" t="n">
        <v>2900000</v>
      </c>
      <c r="H274" s="376" t="n">
        <f aca="false">SUM(C274-G274)</f>
        <v>226950</v>
      </c>
      <c r="I274" s="382" t="n">
        <f aca="false">SUM(H270:H274)</f>
        <v>8599400</v>
      </c>
    </row>
    <row r="275" customFormat="false" ht="15" hidden="false" customHeight="false" outlineLevel="0" collapsed="false">
      <c r="A275" s="383" t="s">
        <v>156</v>
      </c>
      <c r="B275" s="0" t="n">
        <v>234</v>
      </c>
      <c r="C275" s="379" t="n">
        <v>2511600</v>
      </c>
      <c r="D275" s="0" t="n">
        <v>46.19</v>
      </c>
      <c r="E275" s="381" t="n">
        <f aca="false">AVERAGE(D271:D275)</f>
        <v>65.174</v>
      </c>
      <c r="F275" s="385" t="n">
        <v>50</v>
      </c>
      <c r="G275" s="386" t="n">
        <v>1525000</v>
      </c>
      <c r="H275" s="376" t="n">
        <f aca="false">SUM(C275-G275)</f>
        <v>986600</v>
      </c>
      <c r="I275" s="382" t="n">
        <f aca="false">SUM(H271:H275)</f>
        <v>8913650</v>
      </c>
    </row>
    <row r="276" customFormat="false" ht="15" hidden="false" customHeight="false" outlineLevel="0" collapsed="false">
      <c r="A276" s="383" t="s">
        <v>157</v>
      </c>
      <c r="B276" s="0" t="n">
        <v>239</v>
      </c>
      <c r="C276" s="379" t="n">
        <v>6996050</v>
      </c>
      <c r="D276" s="0" t="n">
        <v>122.32</v>
      </c>
      <c r="E276" s="381" t="n">
        <f aca="false">AVERAGE(D272:D276)</f>
        <v>75.05</v>
      </c>
      <c r="F276" s="385" t="n">
        <v>105</v>
      </c>
      <c r="G276" s="386" t="n">
        <v>3900000</v>
      </c>
      <c r="H276" s="376" t="n">
        <f aca="false">SUM(C276-G276)</f>
        <v>3096050</v>
      </c>
      <c r="I276" s="382" t="n">
        <f aca="false">SUM(H272:H276)</f>
        <v>9439550</v>
      </c>
    </row>
    <row r="277" customFormat="false" ht="15" hidden="false" customHeight="false" outlineLevel="0" collapsed="false">
      <c r="A277" s="383" t="s">
        <v>158</v>
      </c>
      <c r="B277" s="0" t="n">
        <v>234</v>
      </c>
      <c r="C277" s="379" t="n">
        <v>2600700</v>
      </c>
      <c r="D277" s="0" t="n">
        <v>47.53</v>
      </c>
      <c r="E277" s="381" t="n">
        <f aca="false">AVERAGE(D273:D277)</f>
        <v>67.322</v>
      </c>
      <c r="F277" s="0" t="n">
        <v>65</v>
      </c>
      <c r="G277" s="386" t="n">
        <v>2640000</v>
      </c>
      <c r="H277" s="376" t="n">
        <f aca="false">SUM(C277-G277)</f>
        <v>-39300</v>
      </c>
      <c r="I277" s="382" t="n">
        <f aca="false">SUM(H273:H277)</f>
        <v>5752000</v>
      </c>
    </row>
    <row r="278" customFormat="false" ht="15" hidden="false" customHeight="false" outlineLevel="0" collapsed="false">
      <c r="A278" s="383" t="s">
        <v>159</v>
      </c>
      <c r="B278" s="0" t="n">
        <v>234</v>
      </c>
      <c r="C278" s="379" t="n">
        <v>3675820</v>
      </c>
      <c r="D278" s="0" t="n">
        <v>65.65</v>
      </c>
      <c r="E278" s="381" t="n">
        <f aca="false">AVERAGE(D274:D278)</f>
        <v>67.664</v>
      </c>
      <c r="F278" s="0" t="n">
        <v>78</v>
      </c>
      <c r="G278" s="386" t="n">
        <v>1850000</v>
      </c>
      <c r="H278" s="376" t="n">
        <f aca="false">SUM(C278-G278)</f>
        <v>1825820</v>
      </c>
      <c r="I278" s="382" t="n">
        <f aca="false">SUM(H274:H278)</f>
        <v>6096120</v>
      </c>
    </row>
    <row r="279" customFormat="false" ht="15" hidden="false" customHeight="false" outlineLevel="0" collapsed="false">
      <c r="A279" s="383" t="s">
        <v>160</v>
      </c>
      <c r="B279" s="0" t="n">
        <v>231</v>
      </c>
      <c r="C279" s="379" t="n">
        <v>2058930</v>
      </c>
      <c r="D279" s="0" t="n">
        <v>36.83</v>
      </c>
      <c r="E279" s="381" t="n">
        <f aca="false">AVERAGE(D275:D279)</f>
        <v>63.704</v>
      </c>
      <c r="F279" s="0" t="n">
        <v>49</v>
      </c>
      <c r="G279" s="386" t="n">
        <v>1904000</v>
      </c>
      <c r="H279" s="376" t="n">
        <f aca="false">SUM(C279-G279)</f>
        <v>154930</v>
      </c>
      <c r="I279" s="382" t="n">
        <f aca="false">SUM(H275:H279)</f>
        <v>6024100</v>
      </c>
    </row>
    <row r="280" customFormat="false" ht="15" hidden="false" customHeight="false" outlineLevel="0" collapsed="false">
      <c r="A280" s="383" t="s">
        <v>161</v>
      </c>
      <c r="B280" s="0" t="n">
        <v>230</v>
      </c>
      <c r="C280" s="379" t="n">
        <v>4681079</v>
      </c>
      <c r="D280" s="0" t="n">
        <v>84.2</v>
      </c>
      <c r="E280" s="381" t="n">
        <f aca="false">AVERAGE(D276:D280)</f>
        <v>71.306</v>
      </c>
      <c r="F280" s="0" t="n">
        <v>75</v>
      </c>
      <c r="G280" s="386" t="n">
        <v>520000</v>
      </c>
      <c r="H280" s="376" t="n">
        <f aca="false">SUM(C280-G280)</f>
        <v>4161079</v>
      </c>
      <c r="I280" s="382" t="n">
        <f aca="false">SUM(H276:H280)</f>
        <v>9198579</v>
      </c>
    </row>
    <row r="281" customFormat="false" ht="15" hidden="false" customHeight="false" outlineLevel="0" collapsed="false">
      <c r="A281" s="383" t="s">
        <v>162</v>
      </c>
      <c r="B281" s="0" t="n">
        <v>242</v>
      </c>
      <c r="C281" s="379" t="n">
        <v>4545630</v>
      </c>
      <c r="D281" s="0" t="n">
        <v>76.27</v>
      </c>
      <c r="E281" s="381" t="n">
        <f aca="false">AVERAGE(D277:D281)</f>
        <v>62.096</v>
      </c>
      <c r="F281" s="0" t="n">
        <v>87</v>
      </c>
      <c r="G281" s="386" t="n">
        <v>3595000</v>
      </c>
      <c r="H281" s="376" t="n">
        <f aca="false">SUM(C281-G281)</f>
        <v>950630</v>
      </c>
      <c r="I281" s="382" t="n">
        <f aca="false">SUM(H277:H281)</f>
        <v>7053159</v>
      </c>
    </row>
    <row r="282" customFormat="false" ht="15" hidden="false" customHeight="false" outlineLevel="0" collapsed="false">
      <c r="A282" s="383" t="s">
        <v>163</v>
      </c>
      <c r="B282" s="0" t="n">
        <v>230</v>
      </c>
      <c r="C282" s="379" t="n">
        <v>5460568</v>
      </c>
      <c r="D282" s="0" t="n">
        <v>94.01</v>
      </c>
      <c r="E282" s="381" t="n">
        <f aca="false">AVERAGE(D278:D282)</f>
        <v>71.392</v>
      </c>
      <c r="F282" s="0" t="n">
        <v>73</v>
      </c>
      <c r="G282" s="386" t="n">
        <v>1910000</v>
      </c>
      <c r="H282" s="376" t="n">
        <f aca="false">SUM(C282-G282)</f>
        <v>3550568</v>
      </c>
      <c r="I282" s="382" t="n">
        <f aca="false">SUM(H278:H282)</f>
        <v>10643027</v>
      </c>
    </row>
    <row r="283" customFormat="false" ht="15" hidden="false" customHeight="false" outlineLevel="0" collapsed="false">
      <c r="A283" s="383" t="s">
        <v>164</v>
      </c>
      <c r="B283" s="0" t="n">
        <v>231</v>
      </c>
      <c r="C283" s="379" t="n">
        <v>2593910</v>
      </c>
      <c r="D283" s="0" t="n">
        <v>41.81</v>
      </c>
      <c r="E283" s="381" t="n">
        <f aca="false">AVERAGE(D279:D283)</f>
        <v>66.624</v>
      </c>
      <c r="F283" s="0" t="n">
        <v>56</v>
      </c>
      <c r="G283" s="386" t="n">
        <v>3200000</v>
      </c>
      <c r="H283" s="376" t="n">
        <f aca="false">SUM(C283-G283)</f>
        <v>-606090</v>
      </c>
      <c r="I283" s="382" t="n">
        <f aca="false">SUM(H279:H283)</f>
        <v>8211117</v>
      </c>
    </row>
    <row r="284" customFormat="false" ht="15" hidden="false" customHeight="false" outlineLevel="0" collapsed="false">
      <c r="A284" s="383" t="s">
        <v>165</v>
      </c>
      <c r="B284" s="0" t="n">
        <v>232</v>
      </c>
      <c r="C284" s="0" t="n">
        <v>3289230</v>
      </c>
      <c r="D284" s="0" t="n">
        <v>52.61</v>
      </c>
      <c r="E284" s="381" t="n">
        <f aca="false">AVERAGE(D280:D284)</f>
        <v>69.78</v>
      </c>
      <c r="F284" s="0" t="n">
        <v>54</v>
      </c>
      <c r="G284" s="386" t="n">
        <v>885000</v>
      </c>
      <c r="H284" s="376" t="n">
        <f aca="false">SUM(C284-G284)</f>
        <v>2404230</v>
      </c>
      <c r="I284" s="382" t="n">
        <f aca="false">SUM(H280:H284)</f>
        <v>10460417</v>
      </c>
    </row>
    <row r="285" customFormat="false" ht="15" hidden="false" customHeight="false" outlineLevel="0" collapsed="false">
      <c r="A285" s="383" t="s">
        <v>166</v>
      </c>
      <c r="B285" s="0" t="n">
        <v>240</v>
      </c>
      <c r="C285" s="379" t="n">
        <v>5939880</v>
      </c>
      <c r="D285" s="0" t="n">
        <v>92.45</v>
      </c>
      <c r="E285" s="381" t="n">
        <f aca="false">AVERAGE(D281:D285)</f>
        <v>71.43</v>
      </c>
      <c r="F285" s="0" t="n">
        <v>90</v>
      </c>
      <c r="G285" s="386" t="n">
        <v>2430000</v>
      </c>
      <c r="H285" s="376" t="n">
        <f aca="false">SUM(C285-G285)</f>
        <v>3509880</v>
      </c>
      <c r="I285" s="382" t="n">
        <f aca="false">SUM(H281:H285)</f>
        <v>9809218</v>
      </c>
    </row>
    <row r="286" customFormat="false" ht="15" hidden="false" customHeight="false" outlineLevel="0" collapsed="false">
      <c r="A286" s="383" t="s">
        <v>167</v>
      </c>
      <c r="B286" s="0" t="n">
        <v>233</v>
      </c>
      <c r="C286" s="379" t="n">
        <v>3754800</v>
      </c>
      <c r="D286" s="0" t="n">
        <v>58.73</v>
      </c>
      <c r="E286" s="381" t="n">
        <f aca="false">AVERAGE(D282:D286)</f>
        <v>67.922</v>
      </c>
      <c r="F286" s="0" t="n">
        <v>65</v>
      </c>
      <c r="G286" s="386" t="n">
        <v>3920000</v>
      </c>
      <c r="H286" s="376" t="n">
        <f aca="false">SUM(C286-G286)</f>
        <v>-165200</v>
      </c>
      <c r="I286" s="382" t="n">
        <f aca="false">SUM(H282:H286)</f>
        <v>8693388</v>
      </c>
    </row>
    <row r="287" customFormat="false" ht="15" hidden="false" customHeight="false" outlineLevel="0" collapsed="false">
      <c r="A287" s="383" t="s">
        <v>168</v>
      </c>
      <c r="B287" s="0" t="n">
        <v>230</v>
      </c>
      <c r="C287" s="379" t="n">
        <v>3232100</v>
      </c>
      <c r="D287" s="0" t="n">
        <v>50.72</v>
      </c>
      <c r="E287" s="381" t="n">
        <f aca="false">AVERAGE(D283:D287)</f>
        <v>59.264</v>
      </c>
      <c r="F287" s="0" t="n">
        <v>70</v>
      </c>
      <c r="G287" s="386" t="n">
        <v>1801200</v>
      </c>
      <c r="H287" s="376" t="n">
        <f aca="false">SUM(C287-G287)</f>
        <v>1430900</v>
      </c>
      <c r="I287" s="382" t="n">
        <f aca="false">SUM(H283:H287)</f>
        <v>6573720</v>
      </c>
    </row>
    <row r="288" customFormat="false" ht="15" hidden="false" customHeight="false" outlineLevel="0" collapsed="false">
      <c r="A288" s="383" t="s">
        <v>169</v>
      </c>
      <c r="B288" s="0" t="n">
        <v>237</v>
      </c>
      <c r="C288" s="379" t="n">
        <v>3440800</v>
      </c>
      <c r="D288" s="0" t="n">
        <v>52.91</v>
      </c>
      <c r="E288" s="381" t="n">
        <f aca="false">AVERAGE(D284:D288)</f>
        <v>61.484</v>
      </c>
      <c r="F288" s="0" t="n">
        <v>57</v>
      </c>
      <c r="G288" s="386" t="n">
        <v>1755000</v>
      </c>
      <c r="H288" s="376" t="n">
        <f aca="false">SUM(C288-G288)</f>
        <v>1685800</v>
      </c>
      <c r="I288" s="382" t="n">
        <f aca="false">SUM(H284:H288)</f>
        <v>8865610</v>
      </c>
    </row>
    <row r="289" customFormat="false" ht="15" hidden="false" customHeight="false" outlineLevel="0" collapsed="false">
      <c r="A289" s="383" t="s">
        <v>170</v>
      </c>
      <c r="B289" s="0" t="n">
        <v>240</v>
      </c>
      <c r="C289" s="379" t="n">
        <v>5852250</v>
      </c>
      <c r="D289" s="0" t="n">
        <v>89.08</v>
      </c>
      <c r="E289" s="381" t="n">
        <f aca="false">AVERAGE(D285:D289)</f>
        <v>68.778</v>
      </c>
      <c r="F289" s="0" t="n">
        <v>81</v>
      </c>
      <c r="G289" s="386" t="n">
        <v>750000</v>
      </c>
      <c r="H289" s="376" t="n">
        <f aca="false">SUM(C289-G289)</f>
        <v>5102250</v>
      </c>
      <c r="I289" s="382" t="n">
        <f aca="false">SUM(H285:H289)</f>
        <v>11563630</v>
      </c>
    </row>
    <row r="290" customFormat="false" ht="15" hidden="false" customHeight="false" outlineLevel="0" collapsed="false">
      <c r="A290" s="383" t="s">
        <v>171</v>
      </c>
      <c r="B290" s="0" t="n">
        <v>248</v>
      </c>
      <c r="C290" s="379" t="n">
        <v>6204050</v>
      </c>
      <c r="D290" s="0" t="n">
        <v>94.96</v>
      </c>
      <c r="E290" s="381" t="n">
        <f aca="false">AVERAGE(D286:D290)</f>
        <v>69.28</v>
      </c>
      <c r="F290" s="0" t="n">
        <v>92</v>
      </c>
      <c r="G290" s="386" t="n">
        <v>4250000</v>
      </c>
      <c r="H290" s="376" t="n">
        <f aca="false">SUM(C290-G290)</f>
        <v>1954050</v>
      </c>
      <c r="I290" s="382" t="n">
        <f aca="false">SUM(H286:H290)</f>
        <v>10007800</v>
      </c>
    </row>
    <row r="291" customFormat="false" ht="15" hidden="false" customHeight="false" outlineLevel="0" collapsed="false">
      <c r="A291" s="383" t="s">
        <v>172</v>
      </c>
      <c r="B291" s="0" t="n">
        <v>247</v>
      </c>
      <c r="C291" s="379" t="n">
        <v>2904000</v>
      </c>
      <c r="D291" s="0" t="n">
        <v>44.66</v>
      </c>
      <c r="E291" s="381" t="n">
        <f aca="false">AVERAGE(D287:D291)</f>
        <v>66.466</v>
      </c>
      <c r="F291" s="0" t="n">
        <v>65</v>
      </c>
      <c r="G291" s="386" t="n">
        <v>1280000</v>
      </c>
      <c r="H291" s="376" t="n">
        <f aca="false">SUM(C291-G291)</f>
        <v>1624000</v>
      </c>
      <c r="I291" s="382" t="n">
        <f aca="false">SUM(H287:H291)</f>
        <v>11797000</v>
      </c>
    </row>
    <row r="292" customFormat="false" ht="15" hidden="false" customHeight="false" outlineLevel="0" collapsed="false">
      <c r="A292" s="383" t="s">
        <v>173</v>
      </c>
      <c r="B292" s="0" t="n">
        <v>251</v>
      </c>
      <c r="C292" s="379" t="n">
        <v>3179550</v>
      </c>
      <c r="D292" s="0" t="n">
        <v>47.75</v>
      </c>
      <c r="E292" s="381" t="n">
        <f aca="false">AVERAGE(D288:D292)</f>
        <v>65.872</v>
      </c>
      <c r="F292" s="0" t="n">
        <v>53</v>
      </c>
      <c r="G292" s="386" t="n">
        <v>1390000</v>
      </c>
      <c r="H292" s="376" t="n">
        <f aca="false">SUM(C292-G292)</f>
        <v>1789550</v>
      </c>
      <c r="I292" s="382" t="n">
        <f aca="false">SUM(H288:H292)</f>
        <v>12155650</v>
      </c>
    </row>
  </sheetData>
  <autoFilter ref="A1:L270"/>
  <conditionalFormatting sqref="I1:I1048576">
    <cfRule type="top10" priority="2" aboveAverage="0" equalAverage="0" bottom="0" percent="0" rank="1" text="" dxfId="341"/>
  </conditionalFormatting>
  <conditionalFormatting sqref="G182:G292">
    <cfRule type="colorScale" priority="3">
      <colorScale>
        <cfvo type="num" val="0"/>
        <cfvo type="num" val="0"/>
        <color rgb="FFFF7128"/>
        <color rgb="FF92D050"/>
      </colorScale>
    </cfRule>
  </conditionalFormatting>
  <conditionalFormatting sqref="G230:G292">
    <cfRule type="top10" priority="4" aboveAverage="0" equalAverage="0" bottom="0" percent="0" rank="1" text="" dxfId="342"/>
  </conditionalFormatting>
  <conditionalFormatting sqref="C155">
    <cfRule type="top10" priority="5" aboveAverage="0" equalAverage="0" bottom="0" percent="0" rank="1" text="" dxfId="342"/>
  </conditionalFormatting>
  <conditionalFormatting sqref="H125">
    <cfRule type="colorScale" priority="6">
      <colorScale>
        <cfvo type="min" val="0"/>
        <cfvo type="max" val="0"/>
        <color rgb="FFFF7128"/>
        <color rgb="FFFFEF9C"/>
      </colorScale>
    </cfRule>
    <cfRule type="top10" priority="7" aboveAverage="0" equalAverage="0" bottom="0" percent="0" rank="1" text="" dxfId="343"/>
  </conditionalFormatting>
  <conditionalFormatting sqref="I125">
    <cfRule type="colorScale" priority="8">
      <colorScale>
        <cfvo type="min" val="0"/>
        <cfvo type="max" val="0"/>
        <color rgb="FFFF7128"/>
        <color rgb="FFFFEF9C"/>
      </colorScale>
    </cfRule>
  </conditionalFormatting>
  <conditionalFormatting sqref="E29:E115">
    <cfRule type="colorScale" priority="9">
      <colorScale>
        <cfvo type="min" val="0"/>
        <cfvo type="max" val="0"/>
        <color rgb="FFFF7128"/>
        <color rgb="FFFFEF9C"/>
      </colorScale>
    </cfRule>
  </conditionalFormatting>
  <conditionalFormatting sqref="F100:F115">
    <cfRule type="colorScale" priority="10">
      <colorScale>
        <cfvo type="min" val="0"/>
        <cfvo type="max" val="0"/>
        <color rgb="FFFF0000"/>
        <color rgb="FF70AD47"/>
      </colorScale>
    </cfRule>
  </conditionalFormatting>
  <conditionalFormatting sqref="F1:F1048576">
    <cfRule type="colorScale" priority="11">
      <colorScale>
        <cfvo type="min" val="0"/>
        <cfvo type="max" val="0"/>
        <color rgb="FFFF0000"/>
        <color rgb="FF70AD47"/>
      </colorScale>
    </cfRule>
  </conditionalFormatting>
  <conditionalFormatting sqref="C1:C1048576">
    <cfRule type="colorScale" priority="12">
      <colorScale>
        <cfvo type="min" val="0"/>
        <cfvo type="max" val="0"/>
        <color rgb="FFFF7128"/>
        <color rgb="FFFFEF9C"/>
      </colorScale>
    </cfRule>
    <cfRule type="top10" priority="13" aboveAverage="0" equalAverage="0" bottom="0" percent="0" rank="1" text="" dxfId="344"/>
  </conditionalFormatting>
  <conditionalFormatting sqref="G63">
    <cfRule type="colorScale" priority="14">
      <colorScale>
        <cfvo type="min" val="0"/>
        <cfvo type="max" val="0"/>
        <color rgb="FFFF7128"/>
        <color rgb="FFFFEF9C"/>
      </colorScale>
    </cfRule>
  </conditionalFormatting>
  <conditionalFormatting sqref="E1:E1048576">
    <cfRule type="colorScale" priority="15">
      <colorScale>
        <cfvo type="min" val="0"/>
        <cfvo type="max" val="0"/>
        <color rgb="FFFF7128"/>
        <color rgb="FFFFEF9C"/>
      </colorScale>
    </cfRule>
  </conditionalFormatting>
  <conditionalFormatting sqref="D1:D1048576">
    <cfRule type="colorScale" priority="16">
      <colorScale>
        <cfvo type="min" val="0"/>
        <cfvo type="max" val="0"/>
        <color rgb="FFFF7128"/>
        <color rgb="FFFFEF9C"/>
      </colorScale>
    </cfRule>
  </conditionalFormatting>
  <conditionalFormatting sqref="C2:C59">
    <cfRule type="colorScale" priority="17">
      <colorScale>
        <cfvo type="min" val="0"/>
        <cfvo type="max" val="0"/>
        <color rgb="FFFF7128"/>
        <color rgb="FFFFEF9C"/>
      </colorScale>
    </cfRule>
  </conditionalFormatting>
  <conditionalFormatting sqref="B1:B1048576">
    <cfRule type="colorScale" priority="18">
      <colorScale>
        <cfvo type="min" val="0"/>
        <cfvo type="max" val="0"/>
        <color rgb="FFFF0000"/>
        <color rgb="FF70AD47"/>
      </colorScale>
    </cfRule>
  </conditionalFormatting>
  <conditionalFormatting sqref="D8:D59">
    <cfRule type="top10" priority="19" aboveAverage="0" equalAverage="0" bottom="1" percent="0" rank="1" text="" dxfId="345"/>
    <cfRule type="top10" priority="20" aboveAverage="0" equalAverage="0" bottom="0" percent="0" rank="1" text="" dxfId="346"/>
  </conditionalFormatting>
  <conditionalFormatting sqref="E29:E59">
    <cfRule type="top10" priority="21" aboveAverage="0" equalAverage="0" bottom="1" percent="0" rank="1" text="" dxfId="347"/>
    <cfRule type="top10" priority="22" aboveAverage="0" equalAverage="0" bottom="0" percent="0" rank="1" text="" dxfId="348"/>
  </conditionalFormatting>
  <conditionalFormatting sqref="C54">
    <cfRule type="top10" priority="23" aboveAverage="0" equalAverage="0" bottom="0" percent="0" rank="1" text="" dxfId="349"/>
  </conditionalFormatting>
  <conditionalFormatting sqref="C1:C55">
    <cfRule type="top10" priority="24" aboveAverage="0" equalAverage="0" bottom="1" percent="0" rank="1" text="" dxfId="35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1" sqref="A1:FY1 D16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3.57"/>
    <col collapsed="false" customWidth="true" hidden="false" outlineLevel="0" max="4" min="4" style="0" width="11.57"/>
    <col collapsed="false" customWidth="true" hidden="false" outlineLevel="0" max="5" min="5" style="0" width="17.24"/>
    <col collapsed="false" customWidth="true" hidden="false" outlineLevel="0" max="8" min="6" style="0" width="13.57"/>
    <col collapsed="false" customWidth="true" hidden="false" outlineLevel="0" max="9" min="9" style="0" width="11"/>
    <col collapsed="false" customWidth="true" hidden="false" outlineLevel="0" max="10" min="10" style="0" width="1.42"/>
  </cols>
  <sheetData>
    <row r="1" customFormat="false" ht="8.25" hidden="false" customHeight="true" outlineLevel="0" collapsed="false">
      <c r="A1" s="367"/>
      <c r="B1" s="367"/>
      <c r="C1" s="367"/>
      <c r="D1" s="367"/>
      <c r="E1" s="367"/>
      <c r="F1" s="367"/>
      <c r="G1" s="367"/>
      <c r="H1" s="367"/>
      <c r="I1" s="367"/>
    </row>
    <row r="2" customFormat="false" ht="15" hidden="false" customHeight="false" outlineLevel="0" collapsed="false">
      <c r="A2" s="387" t="s">
        <v>1390</v>
      </c>
      <c r="B2" s="387"/>
      <c r="C2" s="388"/>
      <c r="D2" s="2"/>
      <c r="E2" s="4"/>
    </row>
    <row r="3" customFormat="false" ht="15" hidden="false" customHeight="false" outlineLevel="0" collapsed="false">
      <c r="A3" s="389" t="s">
        <v>1391</v>
      </c>
      <c r="B3" s="390" t="s">
        <v>1392</v>
      </c>
      <c r="C3" s="391" t="n">
        <v>150000</v>
      </c>
      <c r="D3" s="392" t="s">
        <v>1393</v>
      </c>
      <c r="E3" s="393" t="s">
        <v>1394</v>
      </c>
      <c r="F3" s="394" t="s">
        <v>1395</v>
      </c>
    </row>
    <row r="4" customFormat="false" ht="15" hidden="false" customHeight="false" outlineLevel="0" collapsed="false">
      <c r="A4" s="395" t="n">
        <v>11</v>
      </c>
      <c r="B4" s="390" t="n">
        <v>55</v>
      </c>
      <c r="C4" s="396" t="n">
        <v>1.92</v>
      </c>
      <c r="D4" s="397" t="n">
        <f aca="false">SUM($C$3*C4)/B4</f>
        <v>5236.36363636364</v>
      </c>
      <c r="E4" s="397" t="n">
        <f aca="false">SUM(D4)*5</f>
        <v>26181.8181818182</v>
      </c>
      <c r="F4" s="398" t="n">
        <f aca="false">B4*D4</f>
        <v>288000</v>
      </c>
    </row>
    <row r="5" customFormat="false" ht="15" hidden="false" customHeight="false" outlineLevel="0" collapsed="false">
      <c r="A5" s="399" t="s">
        <v>1396</v>
      </c>
      <c r="B5" s="393" t="n">
        <v>72</v>
      </c>
      <c r="C5" s="396" t="n">
        <v>2.16</v>
      </c>
      <c r="D5" s="397" t="n">
        <f aca="false">SUM($C$3*C5)/B5</f>
        <v>4500</v>
      </c>
      <c r="E5" s="397" t="n">
        <f aca="false">SUM(D5)*5</f>
        <v>22500</v>
      </c>
      <c r="F5" s="398" t="n">
        <f aca="false">B5*D5</f>
        <v>324000</v>
      </c>
    </row>
    <row r="6" customFormat="false" ht="15" hidden="false" customHeight="false" outlineLevel="0" collapsed="false">
      <c r="A6" s="399" t="n">
        <v>22</v>
      </c>
      <c r="B6" s="393" t="n">
        <v>110</v>
      </c>
      <c r="C6" s="389" t="n">
        <v>2.64</v>
      </c>
      <c r="D6" s="397" t="n">
        <f aca="false">SUM($C$3*C6)/B6</f>
        <v>3600</v>
      </c>
      <c r="E6" s="397" t="n">
        <f aca="false">SUM(D6)*5</f>
        <v>18000</v>
      </c>
      <c r="F6" s="398" t="n">
        <f aca="false">B6*D6</f>
        <v>396000</v>
      </c>
    </row>
    <row r="7" customFormat="false" ht="15" hidden="false" customHeight="false" outlineLevel="0" collapsed="false">
      <c r="A7" s="399" t="n">
        <v>32</v>
      </c>
      <c r="B7" s="393" t="n">
        <v>160</v>
      </c>
      <c r="C7" s="389" t="n">
        <v>2.88</v>
      </c>
      <c r="D7" s="397" t="n">
        <f aca="false">SUM($C$3*C7)/B7</f>
        <v>2700</v>
      </c>
      <c r="E7" s="397" t="n">
        <f aca="false">SUM(D7)*5</f>
        <v>13500</v>
      </c>
      <c r="F7" s="398" t="n">
        <f aca="false">B7*D7</f>
        <v>432000</v>
      </c>
    </row>
    <row r="8" customFormat="false" ht="15" hidden="false" customHeight="false" outlineLevel="0" collapsed="false">
      <c r="A8" s="400" t="n">
        <v>40</v>
      </c>
      <c r="B8" s="393" t="n">
        <v>210</v>
      </c>
      <c r="C8" s="389" t="n">
        <v>3.12</v>
      </c>
      <c r="D8" s="397" t="n">
        <f aca="false">SUM($C$3*C8)/B8</f>
        <v>2228.57142857143</v>
      </c>
      <c r="E8" s="397" t="n">
        <f aca="false">SUM(D8)*5</f>
        <v>11142.8571428571</v>
      </c>
      <c r="F8" s="398" t="n">
        <f aca="false">B8*D8</f>
        <v>468000</v>
      </c>
    </row>
    <row r="9" customFormat="false" ht="15" hidden="false" customHeight="false" outlineLevel="0" collapsed="false">
      <c r="A9" s="400" t="n">
        <v>48</v>
      </c>
      <c r="B9" s="393" t="n">
        <v>240</v>
      </c>
      <c r="C9" s="389" t="n">
        <v>3.375</v>
      </c>
      <c r="D9" s="397" t="n">
        <f aca="false">SUM($C$3*C9)/B9</f>
        <v>2109.375</v>
      </c>
      <c r="E9" s="397" t="n">
        <f aca="false">SUM(D9)*5</f>
        <v>10546.875</v>
      </c>
      <c r="F9" s="398" t="n">
        <f aca="false">B9*D9</f>
        <v>506250</v>
      </c>
    </row>
    <row r="10" customFormat="false" ht="8.25" hidden="false" customHeight="true" outlineLevel="0" collapsed="false">
      <c r="A10" s="401"/>
      <c r="B10" s="402"/>
      <c r="C10" s="403"/>
      <c r="D10" s="404"/>
      <c r="E10" s="404"/>
      <c r="F10" s="405"/>
      <c r="G10" s="367"/>
      <c r="H10" s="367"/>
      <c r="I10" s="367"/>
    </row>
    <row r="11" customFormat="false" ht="15" hidden="false" customHeight="false" outlineLevel="0" collapsed="false">
      <c r="A11" s="406" t="n">
        <f aca="false">$C$3</f>
        <v>150000</v>
      </c>
      <c r="F11" s="407" t="n">
        <f aca="false">$C$3</f>
        <v>150000</v>
      </c>
    </row>
    <row r="12" customFormat="false" ht="15" hidden="false" customHeight="false" outlineLevel="0" collapsed="false">
      <c r="A12" s="408" t="s">
        <v>1397</v>
      </c>
      <c r="B12" s="409" t="s">
        <v>1398</v>
      </c>
      <c r="C12" s="394" t="s">
        <v>1395</v>
      </c>
      <c r="D12" s="409" t="s">
        <v>1399</v>
      </c>
      <c r="E12" s="410"/>
      <c r="F12" s="411" t="s">
        <v>1400</v>
      </c>
      <c r="G12" s="409" t="s">
        <v>1398</v>
      </c>
      <c r="H12" s="394" t="s">
        <v>1395</v>
      </c>
      <c r="I12" s="409" t="s">
        <v>1399</v>
      </c>
      <c r="K12" s="0" t="s">
        <v>184</v>
      </c>
      <c r="L12" s="0" t="s">
        <v>184</v>
      </c>
      <c r="M12" s="0" t="s">
        <v>184</v>
      </c>
    </row>
    <row r="13" customFormat="false" ht="15.75" hidden="false" customHeight="true" outlineLevel="0" collapsed="false">
      <c r="A13" s="412" t="s">
        <v>1401</v>
      </c>
      <c r="B13" s="413" t="n">
        <f aca="false">F4/6</f>
        <v>48000</v>
      </c>
      <c r="C13" s="398" t="n">
        <f aca="false">B13*6</f>
        <v>288000</v>
      </c>
      <c r="D13" s="414" t="n">
        <f aca="false">B13/10</f>
        <v>4800</v>
      </c>
      <c r="E13" s="415"/>
      <c r="F13" s="400" t="s">
        <v>1402</v>
      </c>
      <c r="G13" s="413" t="n">
        <f aca="false">F5/4</f>
        <v>81000</v>
      </c>
      <c r="H13" s="398" t="n">
        <f aca="false">G13*4</f>
        <v>324000</v>
      </c>
      <c r="I13" s="414" t="n">
        <f aca="false">G13/20</f>
        <v>4050</v>
      </c>
      <c r="K13" s="0" t="s">
        <v>184</v>
      </c>
      <c r="L13" s="0" t="s">
        <v>184</v>
      </c>
      <c r="M13" s="0" t="s">
        <v>184</v>
      </c>
      <c r="N13" s="0" t="s">
        <v>184</v>
      </c>
    </row>
    <row r="14" customFormat="false" ht="15.75" hidden="false" customHeight="true" outlineLevel="0" collapsed="false">
      <c r="A14" s="412" t="s">
        <v>1403</v>
      </c>
      <c r="B14" s="413" t="n">
        <f aca="false">F5/7</f>
        <v>46285.7142857143</v>
      </c>
      <c r="C14" s="398" t="n">
        <f aca="false">B14*7</f>
        <v>324000</v>
      </c>
      <c r="D14" s="414" t="n">
        <f aca="false">B14/10</f>
        <v>4628.57142857143</v>
      </c>
      <c r="E14" s="416"/>
      <c r="F14" s="400" t="s">
        <v>1404</v>
      </c>
      <c r="G14" s="413" t="n">
        <f aca="false">F6/6</f>
        <v>66000</v>
      </c>
      <c r="H14" s="398" t="n">
        <f aca="false">G14*6</f>
        <v>396000</v>
      </c>
      <c r="I14" s="414" t="n">
        <f aca="false">G14/20</f>
        <v>3300</v>
      </c>
      <c r="K14" s="0" t="s">
        <v>184</v>
      </c>
      <c r="L14" s="0" t="s">
        <v>184</v>
      </c>
    </row>
    <row r="15" customFormat="false" ht="15.75" hidden="false" customHeight="true" outlineLevel="0" collapsed="false">
      <c r="A15" s="412" t="s">
        <v>1405</v>
      </c>
      <c r="B15" s="413" t="n">
        <f aca="false">F6/11</f>
        <v>36000</v>
      </c>
      <c r="C15" s="398" t="n">
        <f aca="false">B15*11</f>
        <v>396000</v>
      </c>
      <c r="D15" s="414" t="n">
        <f aca="false">B15/10</f>
        <v>3600</v>
      </c>
      <c r="E15" s="416"/>
      <c r="F15" s="400" t="s">
        <v>1406</v>
      </c>
      <c r="G15" s="413" t="n">
        <f aca="false">F7/8</f>
        <v>54000</v>
      </c>
      <c r="H15" s="398" t="n">
        <f aca="false">G15*8</f>
        <v>432000</v>
      </c>
      <c r="I15" s="414" t="n">
        <f aca="false">G15/20</f>
        <v>2700</v>
      </c>
      <c r="K15" s="0" t="s">
        <v>184</v>
      </c>
      <c r="L15" s="0" t="s">
        <v>184</v>
      </c>
    </row>
    <row r="16" customFormat="false" ht="15.75" hidden="false" customHeight="true" outlineLevel="0" collapsed="false">
      <c r="A16" s="412" t="s">
        <v>1407</v>
      </c>
      <c r="B16" s="413" t="n">
        <f aca="false">F7/16</f>
        <v>27000</v>
      </c>
      <c r="C16" s="398" t="n">
        <f aca="false">B16*16</f>
        <v>432000</v>
      </c>
      <c r="D16" s="414" t="n">
        <f aca="false">B16/10</f>
        <v>2700</v>
      </c>
      <c r="E16" s="416"/>
      <c r="F16" s="400" t="s">
        <v>1408</v>
      </c>
      <c r="G16" s="413" t="n">
        <f aca="false">F8/10</f>
        <v>46800</v>
      </c>
      <c r="H16" s="398" t="n">
        <f aca="false">G16*10</f>
        <v>468000</v>
      </c>
      <c r="I16" s="414" t="n">
        <f aca="false">G16/20</f>
        <v>2340</v>
      </c>
      <c r="J16" s="0" t="s">
        <v>184</v>
      </c>
      <c r="K16" s="0" t="s">
        <v>184</v>
      </c>
      <c r="L16" s="0" t="s">
        <v>184</v>
      </c>
    </row>
    <row r="17" customFormat="false" ht="15.75" hidden="false" customHeight="true" outlineLevel="0" collapsed="false">
      <c r="A17" s="412" t="s">
        <v>1409</v>
      </c>
      <c r="B17" s="413" t="n">
        <f aca="false">F8/20</f>
        <v>23400</v>
      </c>
      <c r="C17" s="398" t="n">
        <f aca="false">B17*20</f>
        <v>468000</v>
      </c>
      <c r="D17" s="414" t="n">
        <f aca="false">B17/10</f>
        <v>2340</v>
      </c>
      <c r="E17" s="416"/>
      <c r="F17" s="417" t="s">
        <v>1410</v>
      </c>
      <c r="G17" s="413" t="n">
        <f aca="false">F9/12</f>
        <v>42187.5</v>
      </c>
      <c r="H17" s="398" t="n">
        <f aca="false">G17*12</f>
        <v>506250</v>
      </c>
      <c r="I17" s="418" t="n">
        <f aca="false">G17/20</f>
        <v>2109.375</v>
      </c>
      <c r="J17" s="0" t="s">
        <v>184</v>
      </c>
      <c r="K17" s="0" t="s">
        <v>184</v>
      </c>
      <c r="L17" s="0" t="s">
        <v>184</v>
      </c>
    </row>
    <row r="18" s="154" customFormat="true" ht="15.75" hidden="false" customHeight="true" outlineLevel="0" collapsed="false">
      <c r="A18" s="419" t="s">
        <v>1411</v>
      </c>
      <c r="B18" s="413" t="n">
        <f aca="false">F9/24</f>
        <v>21093.75</v>
      </c>
      <c r="C18" s="398" t="n">
        <f aca="false">B18*24</f>
        <v>506250</v>
      </c>
      <c r="D18" s="414" t="n">
        <f aca="false">B18/10</f>
        <v>2109.375</v>
      </c>
      <c r="E18" s="420"/>
      <c r="F18" s="421"/>
      <c r="G18" s="422"/>
    </row>
    <row r="19" customFormat="false" ht="8.25" hidden="false" customHeight="true" outlineLevel="0" collapsed="false">
      <c r="A19" s="423"/>
      <c r="B19" s="424"/>
      <c r="C19" s="405"/>
      <c r="D19" s="367"/>
      <c r="E19" s="423"/>
      <c r="F19" s="424"/>
      <c r="G19" s="405"/>
      <c r="H19" s="367"/>
      <c r="I19" s="367"/>
    </row>
    <row r="20" customFormat="false" ht="15" hidden="false" customHeight="false" outlineLevel="0" collapsed="false">
      <c r="E20" s="407" t="n">
        <f aca="false">$C$3</f>
        <v>150000</v>
      </c>
    </row>
    <row r="21" customFormat="false" ht="15" hidden="false" customHeight="false" outlineLevel="0" collapsed="false">
      <c r="D21" s="425" t="s">
        <v>1412</v>
      </c>
      <c r="E21" s="411" t="s">
        <v>1400</v>
      </c>
      <c r="F21" s="409" t="s">
        <v>1398</v>
      </c>
      <c r="G21" s="394" t="s">
        <v>1395</v>
      </c>
      <c r="H21" s="409" t="s">
        <v>1399</v>
      </c>
    </row>
    <row r="22" customFormat="false" ht="15" hidden="false" customHeight="false" outlineLevel="0" collapsed="false">
      <c r="D22" s="425"/>
      <c r="E22" s="412" t="s">
        <v>1413</v>
      </c>
      <c r="F22" s="426" t="n">
        <f aca="false">G22/3</f>
        <v>96000</v>
      </c>
      <c r="G22" s="427" t="n">
        <f aca="false">C3*1.92</f>
        <v>288000</v>
      </c>
      <c r="H22" s="414" t="n">
        <f aca="false">F22/20</f>
        <v>4800</v>
      </c>
    </row>
    <row r="23" customFormat="false" ht="15" hidden="false" customHeight="false" outlineLevel="0" collapsed="false">
      <c r="D23" s="425"/>
      <c r="E23" s="412" t="s">
        <v>1414</v>
      </c>
      <c r="F23" s="426" t="n">
        <f aca="false">G23/5</f>
        <v>67500</v>
      </c>
      <c r="G23" s="427" t="n">
        <f aca="false">C3*2.25</f>
        <v>337500</v>
      </c>
      <c r="H23" s="414" t="n">
        <f aca="false">F23/20</f>
        <v>3375</v>
      </c>
      <c r="J23" s="0" t="s">
        <v>184</v>
      </c>
    </row>
    <row r="24" customFormat="false" ht="15" hidden="false" customHeight="false" outlineLevel="0" collapsed="false">
      <c r="D24" s="425"/>
      <c r="E24" s="412" t="s">
        <v>1415</v>
      </c>
      <c r="F24" s="426" t="n">
        <f aca="false">G24/7</f>
        <v>58928.5714285714</v>
      </c>
      <c r="G24" s="427" t="n">
        <f aca="false">C3*2.75</f>
        <v>412500</v>
      </c>
      <c r="H24" s="414" t="n">
        <f aca="false">F24/20</f>
        <v>2946.42857142857</v>
      </c>
    </row>
    <row r="27" customFormat="false" ht="15" hidden="false" customHeight="false" outlineLevel="0" collapsed="false">
      <c r="J27" s="0" t="s">
        <v>184</v>
      </c>
    </row>
  </sheetData>
  <mergeCells count="1">
    <mergeCell ref="D21:D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FY1"/>
    </sheetView>
  </sheetViews>
  <sheetFormatPr defaultColWidth="11.2890625" defaultRowHeight="12" customHeight="true" zeroHeight="false" outlineLevelRow="0" outlineLevelCol="0"/>
  <cols>
    <col collapsed="false" customWidth="false" hidden="false" outlineLevel="0" max="16384" min="1" style="428" width="11.29"/>
  </cols>
  <sheetData>
    <row r="1" customFormat="false" ht="26.25" hidden="false" customHeight="true" outlineLevel="0" collapsed="false">
      <c r="A1" s="117" t="s">
        <v>603</v>
      </c>
      <c r="B1" s="429" t="s">
        <v>522</v>
      </c>
      <c r="C1" s="429"/>
      <c r="D1" s="120" t="s">
        <v>1416</v>
      </c>
      <c r="E1" s="120"/>
      <c r="F1" s="428" t="s">
        <v>184</v>
      </c>
      <c r="I1" s="430" t="s">
        <v>1417</v>
      </c>
    </row>
    <row r="2" customFormat="false" ht="15" hidden="false" customHeight="true" outlineLevel="0" collapsed="false">
      <c r="A2" s="117" t="s">
        <v>606</v>
      </c>
      <c r="B2" s="126" t="n">
        <v>3049</v>
      </c>
      <c r="C2" s="431" t="s">
        <v>184</v>
      </c>
      <c r="D2" s="117" t="s">
        <v>607</v>
      </c>
      <c r="E2" s="432" t="n">
        <v>45618</v>
      </c>
      <c r="H2" s="433"/>
      <c r="I2" s="430"/>
    </row>
    <row r="3" customFormat="false" ht="15" hidden="false" customHeight="true" outlineLevel="0" collapsed="false">
      <c r="A3" s="117" t="s">
        <v>609</v>
      </c>
      <c r="B3" s="126" t="s">
        <v>1418</v>
      </c>
      <c r="C3" s="434" t="s">
        <v>184</v>
      </c>
      <c r="D3" s="428" t="s">
        <v>1419</v>
      </c>
      <c r="E3" s="435" t="n">
        <v>45779</v>
      </c>
      <c r="G3" s="156" t="s">
        <v>1420</v>
      </c>
      <c r="H3" s="436" t="s">
        <v>611</v>
      </c>
      <c r="I3" s="436"/>
    </row>
    <row r="4" customFormat="false" ht="15" hidden="false" customHeight="true" outlineLevel="0" collapsed="false">
      <c r="A4" s="437" t="s">
        <v>612</v>
      </c>
      <c r="B4" s="438" t="s">
        <v>613</v>
      </c>
      <c r="C4" s="439" t="s">
        <v>614</v>
      </c>
      <c r="D4" s="437" t="s">
        <v>612</v>
      </c>
      <c r="E4" s="438" t="s">
        <v>613</v>
      </c>
      <c r="F4" s="439" t="s">
        <v>614</v>
      </c>
      <c r="G4" s="440" t="s">
        <v>612</v>
      </c>
      <c r="H4" s="441" t="s">
        <v>613</v>
      </c>
      <c r="I4" s="442" t="s">
        <v>614</v>
      </c>
    </row>
    <row r="5" customFormat="false" ht="15" hidden="false" customHeight="true" outlineLevel="0" collapsed="false">
      <c r="A5" s="134" t="s">
        <v>184</v>
      </c>
      <c r="B5" s="443"/>
      <c r="C5" s="444" t="n">
        <v>1</v>
      </c>
      <c r="D5" s="134" t="s">
        <v>184</v>
      </c>
      <c r="E5" s="445"/>
      <c r="F5" s="444" t="n">
        <v>51</v>
      </c>
      <c r="G5" s="446"/>
      <c r="H5" s="443"/>
      <c r="I5" s="444" t="n">
        <v>101</v>
      </c>
    </row>
    <row r="6" customFormat="false" ht="15" hidden="false" customHeight="true" outlineLevel="0" collapsed="false">
      <c r="A6" s="139"/>
      <c r="B6" s="447"/>
      <c r="C6" s="448" t="n">
        <v>2</v>
      </c>
      <c r="D6" s="139"/>
      <c r="E6" s="449"/>
      <c r="F6" s="448" t="n">
        <v>52</v>
      </c>
      <c r="G6" s="450"/>
      <c r="H6" s="447"/>
      <c r="I6" s="448" t="n">
        <v>102</v>
      </c>
    </row>
    <row r="7" customFormat="false" ht="15" hidden="false" customHeight="true" outlineLevel="0" collapsed="false">
      <c r="A7" s="139"/>
      <c r="B7" s="447"/>
      <c r="C7" s="448" t="n">
        <v>3</v>
      </c>
      <c r="D7" s="139"/>
      <c r="E7" s="449"/>
      <c r="F7" s="448" t="n">
        <v>53</v>
      </c>
      <c r="G7" s="450"/>
      <c r="H7" s="447"/>
      <c r="I7" s="448" t="n">
        <v>103</v>
      </c>
    </row>
    <row r="8" customFormat="false" ht="15" hidden="false" customHeight="true" outlineLevel="0" collapsed="false">
      <c r="A8" s="139"/>
      <c r="B8" s="447"/>
      <c r="C8" s="448" t="n">
        <v>4</v>
      </c>
      <c r="D8" s="139"/>
      <c r="E8" s="449"/>
      <c r="F8" s="448" t="n">
        <v>54</v>
      </c>
      <c r="G8" s="450"/>
      <c r="H8" s="447"/>
      <c r="I8" s="448" t="n">
        <v>104</v>
      </c>
    </row>
    <row r="9" customFormat="false" ht="15" hidden="false" customHeight="true" outlineLevel="0" collapsed="false">
      <c r="A9" s="139" t="s">
        <v>184</v>
      </c>
      <c r="B9" s="451"/>
      <c r="C9" s="448" t="n">
        <v>5</v>
      </c>
      <c r="D9" s="139"/>
      <c r="E9" s="449"/>
      <c r="F9" s="448" t="n">
        <v>55</v>
      </c>
      <c r="G9" s="450"/>
      <c r="H9" s="447"/>
      <c r="I9" s="448" t="n">
        <v>105</v>
      </c>
    </row>
    <row r="10" customFormat="false" ht="15" hidden="false" customHeight="true" outlineLevel="0" collapsed="false">
      <c r="A10" s="139" t="s">
        <v>184</v>
      </c>
      <c r="B10" s="447"/>
      <c r="C10" s="448" t="n">
        <v>6</v>
      </c>
      <c r="D10" s="139"/>
      <c r="E10" s="449"/>
      <c r="F10" s="448" t="n">
        <v>56</v>
      </c>
      <c r="G10" s="450"/>
      <c r="H10" s="447"/>
      <c r="I10" s="448" t="n">
        <v>106</v>
      </c>
    </row>
    <row r="11" customFormat="false" ht="15" hidden="false" customHeight="true" outlineLevel="0" collapsed="false">
      <c r="A11" s="139" t="s">
        <v>184</v>
      </c>
      <c r="B11" s="447"/>
      <c r="C11" s="448" t="n">
        <v>7</v>
      </c>
      <c r="D11" s="139"/>
      <c r="E11" s="449"/>
      <c r="F11" s="448" t="n">
        <v>57</v>
      </c>
      <c r="G11" s="450"/>
      <c r="H11" s="447"/>
      <c r="I11" s="448" t="n">
        <v>107</v>
      </c>
    </row>
    <row r="12" customFormat="false" ht="15" hidden="false" customHeight="true" outlineLevel="0" collapsed="false">
      <c r="A12" s="139" t="s">
        <v>184</v>
      </c>
      <c r="B12" s="447" t="s">
        <v>184</v>
      </c>
      <c r="C12" s="448" t="n">
        <v>8</v>
      </c>
      <c r="D12" s="139"/>
      <c r="E12" s="449"/>
      <c r="F12" s="448" t="n">
        <v>58</v>
      </c>
      <c r="G12" s="450"/>
      <c r="H12" s="447"/>
      <c r="I12" s="448" t="n">
        <v>108</v>
      </c>
    </row>
    <row r="13" customFormat="false" ht="15" hidden="false" customHeight="true" outlineLevel="0" collapsed="false">
      <c r="A13" s="139" t="s">
        <v>184</v>
      </c>
      <c r="B13" s="447"/>
      <c r="C13" s="448" t="n">
        <v>9</v>
      </c>
      <c r="D13" s="139"/>
      <c r="E13" s="449"/>
      <c r="F13" s="448" t="n">
        <v>59</v>
      </c>
      <c r="G13" s="450"/>
      <c r="H13" s="447"/>
      <c r="I13" s="448" t="n">
        <v>109</v>
      </c>
    </row>
    <row r="14" customFormat="false" ht="15" hidden="false" customHeight="true" outlineLevel="0" collapsed="false">
      <c r="A14" s="139" t="s">
        <v>184</v>
      </c>
      <c r="B14" s="447"/>
      <c r="C14" s="448" t="n">
        <v>10</v>
      </c>
      <c r="D14" s="139"/>
      <c r="E14" s="449"/>
      <c r="F14" s="448" t="n">
        <v>60</v>
      </c>
      <c r="G14" s="450"/>
      <c r="H14" s="447"/>
      <c r="I14" s="448" t="n">
        <v>110</v>
      </c>
    </row>
    <row r="15" customFormat="false" ht="15" hidden="false" customHeight="true" outlineLevel="0" collapsed="false">
      <c r="A15" s="139" t="s">
        <v>184</v>
      </c>
      <c r="B15" s="447"/>
      <c r="C15" s="448" t="n">
        <v>11</v>
      </c>
      <c r="D15" s="139"/>
      <c r="E15" s="449"/>
      <c r="F15" s="448" t="n">
        <v>61</v>
      </c>
      <c r="G15" s="450"/>
      <c r="H15" s="447"/>
      <c r="I15" s="448" t="n">
        <v>111</v>
      </c>
    </row>
    <row r="16" customFormat="false" ht="15" hidden="false" customHeight="true" outlineLevel="0" collapsed="false">
      <c r="A16" s="139" t="s">
        <v>184</v>
      </c>
      <c r="B16" s="447" t="s">
        <v>184</v>
      </c>
      <c r="C16" s="448" t="n">
        <v>12</v>
      </c>
      <c r="D16" s="139"/>
      <c r="E16" s="449"/>
      <c r="F16" s="448" t="n">
        <v>62</v>
      </c>
      <c r="G16" s="450"/>
      <c r="H16" s="447"/>
      <c r="I16" s="448" t="n">
        <v>112</v>
      </c>
    </row>
    <row r="17" customFormat="false" ht="15" hidden="false" customHeight="true" outlineLevel="0" collapsed="false">
      <c r="A17" s="139" t="s">
        <v>184</v>
      </c>
      <c r="B17" s="447"/>
      <c r="C17" s="448" t="n">
        <v>13</v>
      </c>
      <c r="D17" s="139"/>
      <c r="E17" s="449"/>
      <c r="F17" s="448" t="n">
        <v>63</v>
      </c>
      <c r="G17" s="450"/>
      <c r="H17" s="447"/>
      <c r="I17" s="448" t="n">
        <v>113</v>
      </c>
    </row>
    <row r="18" customFormat="false" ht="15" hidden="false" customHeight="true" outlineLevel="0" collapsed="false">
      <c r="A18" s="139" t="s">
        <v>184</v>
      </c>
      <c r="B18" s="447"/>
      <c r="C18" s="448" t="n">
        <v>14</v>
      </c>
      <c r="D18" s="139"/>
      <c r="E18" s="449"/>
      <c r="F18" s="448" t="n">
        <v>64</v>
      </c>
      <c r="G18" s="450"/>
      <c r="H18" s="447"/>
      <c r="I18" s="448" t="n">
        <v>114</v>
      </c>
    </row>
    <row r="19" customFormat="false" ht="15" hidden="false" customHeight="true" outlineLevel="0" collapsed="false">
      <c r="A19" s="139" t="s">
        <v>184</v>
      </c>
      <c r="B19" s="447"/>
      <c r="C19" s="448" t="n">
        <v>15</v>
      </c>
      <c r="D19" s="139"/>
      <c r="E19" s="449"/>
      <c r="F19" s="448" t="n">
        <v>65</v>
      </c>
      <c r="G19" s="452"/>
      <c r="H19" s="453"/>
      <c r="I19" s="454" t="n">
        <v>115</v>
      </c>
    </row>
    <row r="20" customFormat="false" ht="15" hidden="false" customHeight="true" outlineLevel="0" collapsed="false">
      <c r="A20" s="139" t="s">
        <v>184</v>
      </c>
      <c r="B20" s="447"/>
      <c r="C20" s="448" t="n">
        <v>16</v>
      </c>
      <c r="D20" s="139"/>
      <c r="E20" s="449"/>
      <c r="F20" s="448" t="n">
        <v>66</v>
      </c>
      <c r="G20" s="455"/>
      <c r="H20" s="456"/>
      <c r="I20" s="457" t="n">
        <v>116</v>
      </c>
    </row>
    <row r="21" customFormat="false" ht="15" hidden="false" customHeight="true" outlineLevel="0" collapsed="false">
      <c r="A21" s="139" t="s">
        <v>184</v>
      </c>
      <c r="B21" s="447"/>
      <c r="C21" s="448" t="n">
        <v>17</v>
      </c>
      <c r="D21" s="139"/>
      <c r="E21" s="449"/>
      <c r="F21" s="448" t="n">
        <v>67</v>
      </c>
      <c r="G21" s="455"/>
      <c r="H21" s="456"/>
      <c r="I21" s="457" t="n">
        <v>117</v>
      </c>
    </row>
    <row r="22" customFormat="false" ht="15" hidden="false" customHeight="true" outlineLevel="0" collapsed="false">
      <c r="A22" s="139" t="s">
        <v>184</v>
      </c>
      <c r="B22" s="447"/>
      <c r="C22" s="448" t="n">
        <v>18</v>
      </c>
      <c r="D22" s="139"/>
      <c r="E22" s="449"/>
      <c r="F22" s="448" t="n">
        <v>68</v>
      </c>
      <c r="G22" s="455"/>
      <c r="H22" s="456"/>
      <c r="I22" s="457" t="n">
        <v>118</v>
      </c>
    </row>
    <row r="23" customFormat="false" ht="15" hidden="false" customHeight="true" outlineLevel="0" collapsed="false">
      <c r="A23" s="139" t="s">
        <v>184</v>
      </c>
      <c r="B23" s="447"/>
      <c r="C23" s="448" t="n">
        <v>19</v>
      </c>
      <c r="D23" s="139"/>
      <c r="E23" s="449"/>
      <c r="F23" s="448" t="n">
        <v>69</v>
      </c>
      <c r="G23" s="455"/>
      <c r="H23" s="456"/>
      <c r="I23" s="457" t="n">
        <v>119</v>
      </c>
    </row>
    <row r="24" customFormat="false" ht="15" hidden="false" customHeight="true" outlineLevel="0" collapsed="false">
      <c r="A24" s="139" t="s">
        <v>184</v>
      </c>
      <c r="B24" s="447"/>
      <c r="C24" s="448" t="n">
        <v>20</v>
      </c>
      <c r="D24" s="139"/>
      <c r="E24" s="449"/>
      <c r="F24" s="448" t="n">
        <v>70</v>
      </c>
      <c r="G24" s="455"/>
      <c r="H24" s="456"/>
      <c r="I24" s="457" t="n">
        <v>120</v>
      </c>
    </row>
    <row r="25" customFormat="false" ht="15" hidden="false" customHeight="true" outlineLevel="0" collapsed="false">
      <c r="A25" s="139" t="s">
        <v>184</v>
      </c>
      <c r="B25" s="447"/>
      <c r="C25" s="448" t="n">
        <v>21</v>
      </c>
      <c r="D25" s="139"/>
      <c r="E25" s="449"/>
      <c r="F25" s="448" t="n">
        <v>71</v>
      </c>
      <c r="G25" s="156" t="s">
        <v>1420</v>
      </c>
      <c r="H25" s="458" t="s">
        <v>611</v>
      </c>
      <c r="I25" s="458"/>
    </row>
    <row r="26" customFormat="false" ht="15" hidden="false" customHeight="true" outlineLevel="0" collapsed="false">
      <c r="A26" s="139" t="s">
        <v>184</v>
      </c>
      <c r="B26" s="447"/>
      <c r="C26" s="448" t="n">
        <v>22</v>
      </c>
      <c r="D26" s="139"/>
      <c r="E26" s="449"/>
      <c r="F26" s="448" t="n">
        <v>72</v>
      </c>
    </row>
    <row r="27" customFormat="false" ht="15" hidden="false" customHeight="true" outlineLevel="0" collapsed="false">
      <c r="A27" s="139" t="s">
        <v>184</v>
      </c>
      <c r="B27" s="447"/>
      <c r="C27" s="448" t="n">
        <v>23</v>
      </c>
      <c r="D27" s="139"/>
      <c r="E27" s="449"/>
      <c r="F27" s="448" t="n">
        <v>73</v>
      </c>
    </row>
    <row r="28" customFormat="false" ht="15" hidden="false" customHeight="true" outlineLevel="0" collapsed="false">
      <c r="A28" s="139" t="s">
        <v>184</v>
      </c>
      <c r="B28" s="447"/>
      <c r="C28" s="448" t="n">
        <v>24</v>
      </c>
      <c r="D28" s="139"/>
      <c r="E28" s="449"/>
      <c r="F28" s="448" t="n">
        <v>74</v>
      </c>
    </row>
    <row r="29" customFormat="false" ht="15" hidden="false" customHeight="true" outlineLevel="0" collapsed="false">
      <c r="A29" s="139" t="s">
        <v>184</v>
      </c>
      <c r="B29" s="447"/>
      <c r="C29" s="448" t="n">
        <v>25</v>
      </c>
      <c r="D29" s="139"/>
      <c r="E29" s="449"/>
      <c r="F29" s="448" t="n">
        <v>75</v>
      </c>
    </row>
    <row r="30" customFormat="false" ht="15" hidden="false" customHeight="true" outlineLevel="0" collapsed="false">
      <c r="A30" s="139" t="s">
        <v>184</v>
      </c>
      <c r="B30" s="447"/>
      <c r="C30" s="448" t="n">
        <v>26</v>
      </c>
      <c r="D30" s="139"/>
      <c r="E30" s="449"/>
      <c r="F30" s="448" t="n">
        <v>76</v>
      </c>
    </row>
    <row r="31" customFormat="false" ht="15" hidden="false" customHeight="true" outlineLevel="0" collapsed="false">
      <c r="A31" s="139" t="s">
        <v>184</v>
      </c>
      <c r="B31" s="447"/>
      <c r="C31" s="448" t="n">
        <v>27</v>
      </c>
      <c r="D31" s="139"/>
      <c r="E31" s="449"/>
      <c r="F31" s="448" t="n">
        <v>77</v>
      </c>
    </row>
    <row r="32" customFormat="false" ht="15" hidden="false" customHeight="true" outlineLevel="0" collapsed="false">
      <c r="A32" s="139" t="s">
        <v>184</v>
      </c>
      <c r="B32" s="447"/>
      <c r="C32" s="448" t="n">
        <v>28</v>
      </c>
      <c r="D32" s="139"/>
      <c r="E32" s="449"/>
      <c r="F32" s="448" t="n">
        <v>78</v>
      </c>
    </row>
    <row r="33" customFormat="false" ht="15" hidden="false" customHeight="true" outlineLevel="0" collapsed="false">
      <c r="A33" s="139" t="s">
        <v>184</v>
      </c>
      <c r="B33" s="447"/>
      <c r="C33" s="448" t="n">
        <v>29</v>
      </c>
      <c r="D33" s="139"/>
      <c r="E33" s="449"/>
      <c r="F33" s="448" t="n">
        <v>79</v>
      </c>
    </row>
    <row r="34" customFormat="false" ht="15" hidden="false" customHeight="true" outlineLevel="0" collapsed="false">
      <c r="A34" s="139" t="s">
        <v>184</v>
      </c>
      <c r="B34" s="447" t="s">
        <v>184</v>
      </c>
      <c r="C34" s="448" t="n">
        <v>30</v>
      </c>
      <c r="D34" s="139"/>
      <c r="E34" s="449"/>
      <c r="F34" s="448" t="n">
        <v>80</v>
      </c>
    </row>
    <row r="35" customFormat="false" ht="15" hidden="false" customHeight="true" outlineLevel="0" collapsed="false">
      <c r="A35" s="139" t="s">
        <v>184</v>
      </c>
      <c r="B35" s="447"/>
      <c r="C35" s="448" t="n">
        <v>31</v>
      </c>
      <c r="D35" s="139"/>
      <c r="E35" s="449"/>
      <c r="F35" s="448" t="n">
        <v>81</v>
      </c>
    </row>
    <row r="36" customFormat="false" ht="15" hidden="false" customHeight="true" outlineLevel="0" collapsed="false">
      <c r="A36" s="139" t="s">
        <v>184</v>
      </c>
      <c r="B36" s="447"/>
      <c r="C36" s="448" t="n">
        <v>32</v>
      </c>
      <c r="D36" s="139"/>
      <c r="E36" s="449"/>
      <c r="F36" s="448" t="n">
        <v>82</v>
      </c>
    </row>
    <row r="37" customFormat="false" ht="15" hidden="false" customHeight="true" outlineLevel="0" collapsed="false">
      <c r="A37" s="139" t="s">
        <v>184</v>
      </c>
      <c r="B37" s="447"/>
      <c r="C37" s="448" t="n">
        <v>33</v>
      </c>
      <c r="D37" s="139"/>
      <c r="E37" s="449"/>
      <c r="F37" s="448" t="n">
        <v>83</v>
      </c>
    </row>
    <row r="38" customFormat="false" ht="15" hidden="false" customHeight="true" outlineLevel="0" collapsed="false">
      <c r="A38" s="139" t="s">
        <v>184</v>
      </c>
      <c r="B38" s="447"/>
      <c r="C38" s="448" t="n">
        <v>34</v>
      </c>
      <c r="D38" s="139"/>
      <c r="E38" s="449"/>
      <c r="F38" s="448" t="n">
        <v>84</v>
      </c>
    </row>
    <row r="39" customFormat="false" ht="15" hidden="false" customHeight="true" outlineLevel="0" collapsed="false">
      <c r="A39" s="139" t="s">
        <v>184</v>
      </c>
      <c r="B39" s="447"/>
      <c r="C39" s="448" t="n">
        <v>35</v>
      </c>
      <c r="D39" s="139"/>
      <c r="E39" s="449"/>
      <c r="F39" s="448" t="n">
        <v>85</v>
      </c>
    </row>
    <row r="40" customFormat="false" ht="15" hidden="false" customHeight="true" outlineLevel="0" collapsed="false">
      <c r="A40" s="139" t="s">
        <v>184</v>
      </c>
      <c r="B40" s="447"/>
      <c r="C40" s="448" t="n">
        <v>36</v>
      </c>
      <c r="D40" s="139"/>
      <c r="E40" s="449"/>
      <c r="F40" s="448" t="n">
        <v>86</v>
      </c>
    </row>
    <row r="41" customFormat="false" ht="15" hidden="false" customHeight="true" outlineLevel="0" collapsed="false">
      <c r="A41" s="139"/>
      <c r="B41" s="447"/>
      <c r="C41" s="448" t="n">
        <v>37</v>
      </c>
      <c r="D41" s="139"/>
      <c r="E41" s="449"/>
      <c r="F41" s="448" t="n">
        <v>87</v>
      </c>
    </row>
    <row r="42" customFormat="false" ht="15" hidden="false" customHeight="true" outlineLevel="0" collapsed="false">
      <c r="A42" s="139"/>
      <c r="B42" s="447"/>
      <c r="C42" s="448" t="n">
        <v>38</v>
      </c>
      <c r="D42" s="139"/>
      <c r="E42" s="449"/>
      <c r="F42" s="448" t="n">
        <v>88</v>
      </c>
    </row>
    <row r="43" customFormat="false" ht="15" hidden="false" customHeight="true" outlineLevel="0" collapsed="false">
      <c r="A43" s="139" t="s">
        <v>184</v>
      </c>
      <c r="B43" s="447"/>
      <c r="C43" s="448" t="n">
        <v>39</v>
      </c>
      <c r="D43" s="139"/>
      <c r="E43" s="449"/>
      <c r="F43" s="448" t="n">
        <v>89</v>
      </c>
    </row>
    <row r="44" customFormat="false" ht="15" hidden="false" customHeight="true" outlineLevel="0" collapsed="false">
      <c r="A44" s="139" t="s">
        <v>184</v>
      </c>
      <c r="B44" s="447"/>
      <c r="C44" s="448" t="n">
        <v>40</v>
      </c>
      <c r="D44" s="139"/>
      <c r="E44" s="449"/>
      <c r="F44" s="448" t="n">
        <v>90</v>
      </c>
    </row>
    <row r="45" customFormat="false" ht="15" hidden="false" customHeight="true" outlineLevel="0" collapsed="false">
      <c r="A45" s="139" t="s">
        <v>184</v>
      </c>
      <c r="B45" s="447"/>
      <c r="C45" s="448" t="n">
        <v>41</v>
      </c>
      <c r="D45" s="139"/>
      <c r="E45" s="449"/>
      <c r="F45" s="448" t="n">
        <v>91</v>
      </c>
    </row>
    <row r="46" customFormat="false" ht="15" hidden="false" customHeight="true" outlineLevel="0" collapsed="false">
      <c r="A46" s="139" t="s">
        <v>184</v>
      </c>
      <c r="B46" s="447"/>
      <c r="C46" s="448" t="n">
        <v>42</v>
      </c>
      <c r="D46" s="139"/>
      <c r="E46" s="449"/>
      <c r="F46" s="448" t="n">
        <v>92</v>
      </c>
    </row>
    <row r="47" customFormat="false" ht="15" hidden="false" customHeight="true" outlineLevel="0" collapsed="false">
      <c r="A47" s="139" t="s">
        <v>184</v>
      </c>
      <c r="B47" s="447"/>
      <c r="C47" s="448" t="n">
        <v>43</v>
      </c>
      <c r="D47" s="139"/>
      <c r="E47" s="449"/>
      <c r="F47" s="448" t="n">
        <v>93</v>
      </c>
    </row>
    <row r="48" customFormat="false" ht="15" hidden="false" customHeight="true" outlineLevel="0" collapsed="false">
      <c r="A48" s="139" t="s">
        <v>184</v>
      </c>
      <c r="B48" s="447"/>
      <c r="C48" s="448" t="n">
        <v>44</v>
      </c>
      <c r="D48" s="139"/>
      <c r="E48" s="449"/>
      <c r="F48" s="448" t="n">
        <v>94</v>
      </c>
    </row>
    <row r="49" customFormat="false" ht="15" hidden="false" customHeight="true" outlineLevel="0" collapsed="false">
      <c r="A49" s="139" t="s">
        <v>184</v>
      </c>
      <c r="B49" s="447"/>
      <c r="C49" s="448" t="n">
        <v>45</v>
      </c>
      <c r="D49" s="139"/>
      <c r="E49" s="449"/>
      <c r="F49" s="448" t="n">
        <v>95</v>
      </c>
    </row>
    <row r="50" customFormat="false" ht="15" hidden="false" customHeight="true" outlineLevel="0" collapsed="false">
      <c r="A50" s="139" t="s">
        <v>184</v>
      </c>
      <c r="B50" s="447"/>
      <c r="C50" s="448" t="n">
        <v>46</v>
      </c>
      <c r="D50" s="139"/>
      <c r="E50" s="449"/>
      <c r="F50" s="448" t="n">
        <v>96</v>
      </c>
    </row>
    <row r="51" customFormat="false" ht="15" hidden="false" customHeight="true" outlineLevel="0" collapsed="false">
      <c r="A51" s="139" t="s">
        <v>184</v>
      </c>
      <c r="B51" s="447"/>
      <c r="C51" s="448" t="n">
        <v>47</v>
      </c>
      <c r="D51" s="139"/>
      <c r="E51" s="449"/>
      <c r="F51" s="448" t="n">
        <v>97</v>
      </c>
    </row>
    <row r="52" customFormat="false" ht="15" hidden="false" customHeight="true" outlineLevel="0" collapsed="false">
      <c r="A52" s="139" t="s">
        <v>184</v>
      </c>
      <c r="B52" s="447"/>
      <c r="C52" s="448" t="n">
        <v>48</v>
      </c>
      <c r="D52" s="139"/>
      <c r="E52" s="449"/>
      <c r="F52" s="448" t="n">
        <v>98</v>
      </c>
    </row>
    <row r="53" customFormat="false" ht="15" hidden="false" customHeight="true" outlineLevel="0" collapsed="false">
      <c r="A53" s="139" t="s">
        <v>184</v>
      </c>
      <c r="B53" s="447"/>
      <c r="C53" s="448" t="n">
        <v>49</v>
      </c>
      <c r="D53" s="139"/>
      <c r="E53" s="449"/>
      <c r="F53" s="448" t="n">
        <v>99</v>
      </c>
    </row>
    <row r="54" customFormat="false" ht="15" hidden="false" customHeight="true" outlineLevel="0" collapsed="false">
      <c r="A54" s="147" t="s">
        <v>184</v>
      </c>
      <c r="B54" s="459"/>
      <c r="C54" s="460" t="n">
        <v>50</v>
      </c>
      <c r="D54" s="147"/>
      <c r="E54" s="461"/>
      <c r="F54" s="460" t="n">
        <v>100</v>
      </c>
    </row>
  </sheetData>
  <mergeCells count="4">
    <mergeCell ref="B1:C1"/>
    <mergeCell ref="I1:I2"/>
    <mergeCell ref="H3:I3"/>
    <mergeCell ref="H25:I25"/>
  </mergeCells>
  <printOptions headings="false" gridLines="false" gridLinesSet="true" horizontalCentered="false" verticalCentered="false"/>
  <pageMargins left="0.118055555555556" right="0.118055555555556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1" sqref="A1:FY1 A14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0" width="46.29"/>
  </cols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1" sqref="A1:FY1 H9"/>
    </sheetView>
  </sheetViews>
  <sheetFormatPr defaultColWidth="11.42578125" defaultRowHeight="15" customHeight="true" zeroHeight="false" outlineLevelRow="0" outlineLevelCol="0"/>
  <cols>
    <col collapsed="false" customWidth="false" hidden="false" outlineLevel="0" max="16384" min="1" style="196" width="11.43"/>
  </cols>
  <sheetData>
    <row r="1" customFormat="false" ht="19.5" hidden="false" customHeight="true" outlineLevel="0" collapsed="false">
      <c r="A1" s="117" t="s">
        <v>603</v>
      </c>
      <c r="B1" s="462" t="s">
        <v>1421</v>
      </c>
      <c r="C1" s="462"/>
      <c r="D1" s="463" t="s">
        <v>1422</v>
      </c>
      <c r="E1" s="117"/>
      <c r="G1" s="196" t="s">
        <v>184</v>
      </c>
      <c r="I1" s="464" t="s">
        <v>1423</v>
      </c>
    </row>
    <row r="2" customFormat="false" ht="19.5" hidden="false" customHeight="true" outlineLevel="0" collapsed="false">
      <c r="A2" s="117" t="s">
        <v>606</v>
      </c>
      <c r="B2" s="122" t="n">
        <v>2078</v>
      </c>
      <c r="C2" s="123" t="s">
        <v>184</v>
      </c>
      <c r="D2" s="117" t="s">
        <v>607</v>
      </c>
      <c r="E2" s="465" t="n">
        <v>45045</v>
      </c>
      <c r="I2" s="466" t="s">
        <v>1424</v>
      </c>
    </row>
    <row r="3" customFormat="false" ht="19.5" hidden="false" customHeight="true" outlineLevel="0" collapsed="false">
      <c r="A3" s="117" t="s">
        <v>609</v>
      </c>
      <c r="B3" s="126" t="n">
        <v>1823</v>
      </c>
      <c r="C3" s="127" t="s">
        <v>184</v>
      </c>
      <c r="D3" s="205" t="s">
        <v>1425</v>
      </c>
      <c r="E3" s="465" t="n">
        <v>45149</v>
      </c>
      <c r="G3" s="156" t="s">
        <v>1420</v>
      </c>
      <c r="H3" s="467" t="s">
        <v>611</v>
      </c>
      <c r="I3" s="468"/>
    </row>
    <row r="4" customFormat="false" ht="19.5" hidden="false" customHeight="true" outlineLevel="0" collapsed="false">
      <c r="A4" s="131" t="s">
        <v>612</v>
      </c>
      <c r="B4" s="132" t="s">
        <v>613</v>
      </c>
      <c r="C4" s="133" t="s">
        <v>614</v>
      </c>
      <c r="D4" s="131" t="s">
        <v>612</v>
      </c>
      <c r="E4" s="132" t="s">
        <v>613</v>
      </c>
      <c r="F4" s="133" t="s">
        <v>614</v>
      </c>
      <c r="G4" s="131" t="s">
        <v>612</v>
      </c>
      <c r="H4" s="132" t="s">
        <v>613</v>
      </c>
      <c r="I4" s="133" t="s">
        <v>614</v>
      </c>
    </row>
    <row r="5" customFormat="false" ht="19.5" hidden="false" customHeight="true" outlineLevel="0" collapsed="false">
      <c r="A5" s="168" t="s">
        <v>184</v>
      </c>
      <c r="B5" s="169"/>
      <c r="C5" s="170" t="n">
        <v>1</v>
      </c>
      <c r="D5" s="134" t="s">
        <v>184</v>
      </c>
      <c r="E5" s="171"/>
      <c r="F5" s="136" t="n">
        <v>37</v>
      </c>
      <c r="G5" s="134" t="s">
        <v>184</v>
      </c>
      <c r="H5" s="171"/>
      <c r="I5" s="136" t="n">
        <v>73</v>
      </c>
    </row>
    <row r="6" customFormat="false" ht="19.5" hidden="false" customHeight="true" outlineLevel="0" collapsed="false">
      <c r="A6" s="139" t="s">
        <v>184</v>
      </c>
      <c r="B6" s="140"/>
      <c r="C6" s="141" t="n">
        <v>2</v>
      </c>
      <c r="D6" s="139" t="s">
        <v>184</v>
      </c>
      <c r="E6" s="172"/>
      <c r="F6" s="141" t="n">
        <v>38</v>
      </c>
      <c r="G6" s="139" t="s">
        <v>184</v>
      </c>
      <c r="H6" s="172"/>
      <c r="I6" s="141" t="n">
        <v>74</v>
      </c>
    </row>
    <row r="7" customFormat="false" ht="19.5" hidden="false" customHeight="true" outlineLevel="0" collapsed="false">
      <c r="A7" s="139" t="s">
        <v>184</v>
      </c>
      <c r="B7" s="144"/>
      <c r="C7" s="141" t="n">
        <v>3</v>
      </c>
      <c r="D7" s="139" t="s">
        <v>184</v>
      </c>
      <c r="E7" s="172"/>
      <c r="F7" s="141" t="n">
        <v>39</v>
      </c>
      <c r="G7" s="147" t="s">
        <v>184</v>
      </c>
      <c r="H7" s="469"/>
      <c r="I7" s="149" t="n">
        <v>75</v>
      </c>
    </row>
    <row r="8" customFormat="false" ht="19.5" hidden="false" customHeight="true" outlineLevel="0" collapsed="false">
      <c r="A8" s="139" t="s">
        <v>184</v>
      </c>
      <c r="B8" s="144"/>
      <c r="C8" s="141" t="n">
        <v>4</v>
      </c>
      <c r="D8" s="139" t="s">
        <v>184</v>
      </c>
      <c r="E8" s="172"/>
      <c r="F8" s="141" t="n">
        <v>40</v>
      </c>
    </row>
    <row r="9" customFormat="false" ht="19.5" hidden="false" customHeight="true" outlineLevel="0" collapsed="false">
      <c r="A9" s="139" t="s">
        <v>184</v>
      </c>
      <c r="B9" s="144" t="s">
        <v>184</v>
      </c>
      <c r="C9" s="141" t="n">
        <v>5</v>
      </c>
      <c r="D9" s="139" t="s">
        <v>184</v>
      </c>
      <c r="E9" s="172"/>
      <c r="F9" s="141" t="n">
        <v>41</v>
      </c>
    </row>
    <row r="10" customFormat="false" ht="19.5" hidden="false" customHeight="true" outlineLevel="0" collapsed="false">
      <c r="A10" s="139" t="s">
        <v>184</v>
      </c>
      <c r="B10" s="144"/>
      <c r="C10" s="141" t="n">
        <v>6</v>
      </c>
      <c r="D10" s="139" t="s">
        <v>184</v>
      </c>
      <c r="E10" s="172"/>
      <c r="F10" s="141" t="n">
        <v>42</v>
      </c>
    </row>
    <row r="11" customFormat="false" ht="19.5" hidden="false" customHeight="true" outlineLevel="0" collapsed="false">
      <c r="A11" s="139" t="s">
        <v>184</v>
      </c>
      <c r="B11" s="144"/>
      <c r="C11" s="141" t="n">
        <v>7</v>
      </c>
      <c r="D11" s="139" t="s">
        <v>184</v>
      </c>
      <c r="E11" s="172"/>
      <c r="F11" s="141" t="n">
        <v>43</v>
      </c>
      <c r="J11" s="470"/>
    </row>
    <row r="12" customFormat="false" ht="19.5" hidden="false" customHeight="true" outlineLevel="0" collapsed="false">
      <c r="A12" s="139" t="s">
        <v>184</v>
      </c>
      <c r="B12" s="144"/>
      <c r="C12" s="141" t="n">
        <v>8</v>
      </c>
      <c r="D12" s="139"/>
      <c r="E12" s="144"/>
      <c r="F12" s="141" t="n">
        <v>44</v>
      </c>
    </row>
    <row r="13" customFormat="false" ht="19.5" hidden="false" customHeight="true" outlineLevel="0" collapsed="false">
      <c r="A13" s="139" t="s">
        <v>184</v>
      </c>
      <c r="B13" s="144" t="s">
        <v>184</v>
      </c>
      <c r="C13" s="141" t="n">
        <v>9</v>
      </c>
      <c r="D13" s="139" t="s">
        <v>184</v>
      </c>
      <c r="E13" s="144"/>
      <c r="F13" s="141" t="n">
        <v>45</v>
      </c>
    </row>
    <row r="14" customFormat="false" ht="19.5" hidden="false" customHeight="true" outlineLevel="0" collapsed="false">
      <c r="A14" s="139" t="s">
        <v>184</v>
      </c>
      <c r="B14" s="144"/>
      <c r="C14" s="141" t="n">
        <v>10</v>
      </c>
      <c r="D14" s="139"/>
      <c r="E14" s="144"/>
      <c r="F14" s="141" t="n">
        <v>46</v>
      </c>
    </row>
    <row r="15" customFormat="false" ht="19.5" hidden="false" customHeight="true" outlineLevel="0" collapsed="false">
      <c r="A15" s="139" t="s">
        <v>184</v>
      </c>
      <c r="B15" s="144"/>
      <c r="C15" s="141" t="n">
        <v>11</v>
      </c>
      <c r="D15" s="139" t="s">
        <v>184</v>
      </c>
      <c r="E15" s="144"/>
      <c r="F15" s="141" t="n">
        <v>47</v>
      </c>
    </row>
    <row r="16" customFormat="false" ht="19.5" hidden="false" customHeight="true" outlineLevel="0" collapsed="false">
      <c r="A16" s="139" t="s">
        <v>184</v>
      </c>
      <c r="B16" s="144"/>
      <c r="C16" s="141" t="n">
        <v>12</v>
      </c>
      <c r="D16" s="139" t="s">
        <v>184</v>
      </c>
      <c r="E16" s="144"/>
      <c r="F16" s="141" t="n">
        <v>48</v>
      </c>
    </row>
    <row r="17" customFormat="false" ht="19.5" hidden="false" customHeight="true" outlineLevel="0" collapsed="false">
      <c r="A17" s="139" t="s">
        <v>184</v>
      </c>
      <c r="B17" s="144"/>
      <c r="C17" s="141" t="n">
        <v>13</v>
      </c>
      <c r="D17" s="139" t="s">
        <v>184</v>
      </c>
      <c r="E17" s="144"/>
      <c r="F17" s="141" t="n">
        <v>49</v>
      </c>
    </row>
    <row r="18" customFormat="false" ht="19.5" hidden="false" customHeight="true" outlineLevel="0" collapsed="false">
      <c r="A18" s="139" t="s">
        <v>184</v>
      </c>
      <c r="B18" s="144"/>
      <c r="C18" s="141" t="n">
        <v>14</v>
      </c>
      <c r="D18" s="139" t="s">
        <v>184</v>
      </c>
      <c r="E18" s="144"/>
      <c r="F18" s="141" t="n">
        <v>50</v>
      </c>
    </row>
    <row r="19" customFormat="false" ht="19.5" hidden="false" customHeight="true" outlineLevel="0" collapsed="false">
      <c r="A19" s="139" t="s">
        <v>184</v>
      </c>
      <c r="B19" s="144"/>
      <c r="C19" s="141" t="n">
        <v>15</v>
      </c>
      <c r="D19" s="139" t="s">
        <v>184</v>
      </c>
      <c r="E19" s="172"/>
      <c r="F19" s="141" t="n">
        <v>51</v>
      </c>
    </row>
    <row r="20" customFormat="false" ht="19.5" hidden="false" customHeight="true" outlineLevel="0" collapsed="false">
      <c r="A20" s="139" t="s">
        <v>184</v>
      </c>
      <c r="B20" s="144"/>
      <c r="C20" s="141" t="n">
        <v>16</v>
      </c>
      <c r="D20" s="139" t="s">
        <v>184</v>
      </c>
      <c r="E20" s="172"/>
      <c r="F20" s="141" t="n">
        <v>52</v>
      </c>
    </row>
    <row r="21" customFormat="false" ht="19.5" hidden="false" customHeight="true" outlineLevel="0" collapsed="false">
      <c r="A21" s="139" t="s">
        <v>184</v>
      </c>
      <c r="B21" s="144"/>
      <c r="C21" s="141" t="n">
        <v>17</v>
      </c>
      <c r="D21" s="139" t="s">
        <v>184</v>
      </c>
      <c r="E21" s="172"/>
      <c r="F21" s="141" t="n">
        <v>53</v>
      </c>
    </row>
    <row r="22" customFormat="false" ht="19.5" hidden="false" customHeight="true" outlineLevel="0" collapsed="false">
      <c r="A22" s="139" t="s">
        <v>184</v>
      </c>
      <c r="B22" s="144"/>
      <c r="C22" s="141" t="n">
        <v>18</v>
      </c>
      <c r="D22" s="139" t="s">
        <v>184</v>
      </c>
      <c r="E22" s="172"/>
      <c r="F22" s="141" t="n">
        <v>54</v>
      </c>
    </row>
    <row r="23" customFormat="false" ht="19.5" hidden="false" customHeight="true" outlineLevel="0" collapsed="false">
      <c r="A23" s="139" t="s">
        <v>184</v>
      </c>
      <c r="B23" s="144"/>
      <c r="C23" s="141" t="n">
        <v>19</v>
      </c>
      <c r="D23" s="139" t="s">
        <v>184</v>
      </c>
      <c r="E23" s="172"/>
      <c r="F23" s="141" t="n">
        <v>55</v>
      </c>
    </row>
    <row r="24" customFormat="false" ht="19.5" hidden="false" customHeight="true" outlineLevel="0" collapsed="false">
      <c r="A24" s="139" t="s">
        <v>184</v>
      </c>
      <c r="B24" s="144"/>
      <c r="C24" s="141" t="n">
        <v>20</v>
      </c>
      <c r="D24" s="139" t="s">
        <v>184</v>
      </c>
      <c r="E24" s="172"/>
      <c r="F24" s="141" t="n">
        <v>56</v>
      </c>
    </row>
    <row r="25" customFormat="false" ht="19.5" hidden="false" customHeight="true" outlineLevel="0" collapsed="false">
      <c r="A25" s="139" t="s">
        <v>184</v>
      </c>
      <c r="B25" s="144"/>
      <c r="C25" s="141" t="n">
        <v>21</v>
      </c>
      <c r="D25" s="139" t="s">
        <v>184</v>
      </c>
      <c r="E25" s="172"/>
      <c r="F25" s="141" t="n">
        <v>57</v>
      </c>
    </row>
    <row r="26" customFormat="false" ht="19.5" hidden="false" customHeight="true" outlineLevel="0" collapsed="false">
      <c r="A26" s="139" t="s">
        <v>184</v>
      </c>
      <c r="B26" s="144"/>
      <c r="C26" s="141" t="n">
        <v>22</v>
      </c>
      <c r="D26" s="139"/>
      <c r="E26" s="144"/>
      <c r="F26" s="141" t="n">
        <v>58</v>
      </c>
    </row>
    <row r="27" customFormat="false" ht="19.5" hidden="false" customHeight="true" outlineLevel="0" collapsed="false">
      <c r="A27" s="139" t="s">
        <v>184</v>
      </c>
      <c r="B27" s="144"/>
      <c r="C27" s="141" t="n">
        <v>23</v>
      </c>
      <c r="D27" s="139" t="s">
        <v>184</v>
      </c>
      <c r="E27" s="144"/>
      <c r="F27" s="141" t="n">
        <v>59</v>
      </c>
    </row>
    <row r="28" customFormat="false" ht="19.5" hidden="false" customHeight="true" outlineLevel="0" collapsed="false">
      <c r="A28" s="139" t="s">
        <v>184</v>
      </c>
      <c r="B28" s="144"/>
      <c r="C28" s="141" t="n">
        <v>24</v>
      </c>
      <c r="D28" s="139"/>
      <c r="E28" s="144"/>
      <c r="F28" s="141" t="n">
        <v>60</v>
      </c>
    </row>
    <row r="29" customFormat="false" ht="19.5" hidden="false" customHeight="true" outlineLevel="0" collapsed="false">
      <c r="A29" s="139" t="s">
        <v>184</v>
      </c>
      <c r="B29" s="144"/>
      <c r="C29" s="141" t="n">
        <v>25</v>
      </c>
      <c r="D29" s="139" t="s">
        <v>184</v>
      </c>
      <c r="E29" s="144"/>
      <c r="F29" s="141" t="n">
        <v>61</v>
      </c>
    </row>
    <row r="30" customFormat="false" ht="19.5" hidden="false" customHeight="true" outlineLevel="0" collapsed="false">
      <c r="A30" s="139" t="s">
        <v>184</v>
      </c>
      <c r="B30" s="144"/>
      <c r="C30" s="141" t="n">
        <v>26</v>
      </c>
      <c r="D30" s="139" t="s">
        <v>184</v>
      </c>
      <c r="E30" s="144"/>
      <c r="F30" s="141" t="n">
        <v>62</v>
      </c>
    </row>
    <row r="31" customFormat="false" ht="19.5" hidden="false" customHeight="true" outlineLevel="0" collapsed="false">
      <c r="A31" s="139" t="s">
        <v>184</v>
      </c>
      <c r="B31" s="144" t="s">
        <v>184</v>
      </c>
      <c r="C31" s="141" t="n">
        <v>27</v>
      </c>
      <c r="D31" s="139" t="s">
        <v>184</v>
      </c>
      <c r="E31" s="144"/>
      <c r="F31" s="141" t="n">
        <v>63</v>
      </c>
    </row>
    <row r="32" customFormat="false" ht="19.5" hidden="false" customHeight="true" outlineLevel="0" collapsed="false">
      <c r="A32" s="139" t="s">
        <v>184</v>
      </c>
      <c r="B32" s="144"/>
      <c r="C32" s="141" t="n">
        <v>28</v>
      </c>
      <c r="D32" s="139" t="s">
        <v>184</v>
      </c>
      <c r="E32" s="144"/>
      <c r="F32" s="141" t="n">
        <v>64</v>
      </c>
    </row>
    <row r="33" customFormat="false" ht="19.5" hidden="false" customHeight="true" outlineLevel="0" collapsed="false">
      <c r="A33" s="139" t="s">
        <v>184</v>
      </c>
      <c r="B33" s="144"/>
      <c r="C33" s="141" t="n">
        <v>29</v>
      </c>
      <c r="D33" s="139"/>
      <c r="E33" s="144"/>
      <c r="F33" s="141" t="n">
        <v>65</v>
      </c>
    </row>
    <row r="34" customFormat="false" ht="19.5" hidden="false" customHeight="true" outlineLevel="0" collapsed="false">
      <c r="A34" s="139" t="s">
        <v>184</v>
      </c>
      <c r="B34" s="144"/>
      <c r="C34" s="141" t="n">
        <v>30</v>
      </c>
      <c r="D34" s="139" t="s">
        <v>184</v>
      </c>
      <c r="E34" s="144"/>
      <c r="F34" s="141" t="n">
        <v>66</v>
      </c>
    </row>
    <row r="35" customFormat="false" ht="19.5" hidden="false" customHeight="true" outlineLevel="0" collapsed="false">
      <c r="A35" s="139" t="s">
        <v>184</v>
      </c>
      <c r="B35" s="144"/>
      <c r="C35" s="141" t="n">
        <v>31</v>
      </c>
      <c r="D35" s="139"/>
      <c r="E35" s="144"/>
      <c r="F35" s="141" t="n">
        <v>67</v>
      </c>
    </row>
    <row r="36" customFormat="false" ht="19.5" hidden="false" customHeight="true" outlineLevel="0" collapsed="false">
      <c r="A36" s="139" t="s">
        <v>184</v>
      </c>
      <c r="B36" s="144"/>
      <c r="C36" s="141" t="n">
        <v>32</v>
      </c>
      <c r="D36" s="139" t="s">
        <v>184</v>
      </c>
      <c r="E36" s="144"/>
      <c r="F36" s="141" t="n">
        <v>68</v>
      </c>
    </row>
    <row r="37" customFormat="false" ht="19.5" hidden="false" customHeight="true" outlineLevel="0" collapsed="false">
      <c r="A37" s="139" t="s">
        <v>184</v>
      </c>
      <c r="B37" s="144"/>
      <c r="C37" s="141" t="n">
        <v>33</v>
      </c>
      <c r="D37" s="139" t="s">
        <v>184</v>
      </c>
      <c r="E37" s="144"/>
      <c r="F37" s="141" t="n">
        <v>69</v>
      </c>
    </row>
    <row r="38" customFormat="false" ht="19.5" hidden="false" customHeight="true" outlineLevel="0" collapsed="false">
      <c r="A38" s="139" t="s">
        <v>184</v>
      </c>
      <c r="B38" s="144"/>
      <c r="C38" s="141" t="n">
        <v>34</v>
      </c>
      <c r="D38" s="139" t="s">
        <v>184</v>
      </c>
      <c r="E38" s="144"/>
      <c r="F38" s="141" t="n">
        <v>70</v>
      </c>
    </row>
    <row r="39" customFormat="false" ht="19.5" hidden="false" customHeight="true" outlineLevel="0" collapsed="false">
      <c r="A39" s="139" t="s">
        <v>184</v>
      </c>
      <c r="B39" s="144"/>
      <c r="C39" s="141" t="n">
        <v>35</v>
      </c>
      <c r="D39" s="139" t="s">
        <v>184</v>
      </c>
      <c r="E39" s="144"/>
      <c r="F39" s="141" t="n">
        <v>71</v>
      </c>
      <c r="G39" s="156" t="s">
        <v>1420</v>
      </c>
      <c r="H39" s="467" t="s">
        <v>611</v>
      </c>
      <c r="I39" s="471"/>
    </row>
    <row r="40" customFormat="false" ht="19.5" hidden="false" customHeight="true" outlineLevel="0" collapsed="false">
      <c r="A40" s="147" t="s">
        <v>184</v>
      </c>
      <c r="B40" s="148"/>
      <c r="C40" s="149" t="n">
        <v>36</v>
      </c>
      <c r="D40" s="147" t="s">
        <v>184</v>
      </c>
      <c r="E40" s="148"/>
      <c r="F40" s="149" t="n">
        <v>72</v>
      </c>
    </row>
    <row r="41" customFormat="false" ht="19.5" hidden="false" customHeight="true" outlineLevel="0" collapsed="false">
      <c r="B41" s="194"/>
      <c r="C41" s="194"/>
      <c r="D41" s="194" t="s">
        <v>184</v>
      </c>
    </row>
  </sheetData>
  <mergeCells count="1">
    <mergeCell ref="B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1" sqref="A1:FY1 B14"/>
    </sheetView>
  </sheetViews>
  <sheetFormatPr defaultColWidth="11.42578125" defaultRowHeight="15" customHeight="true" zeroHeight="false" outlineLevelRow="0" outlineLevelCol="0"/>
  <sheetData>
    <row r="1" customFormat="false" ht="18.75" hidden="false" customHeight="true" outlineLevel="0" collapsed="false">
      <c r="A1" s="117" t="s">
        <v>603</v>
      </c>
      <c r="B1" s="472" t="s">
        <v>234</v>
      </c>
      <c r="C1" s="472"/>
      <c r="D1" s="119" t="s">
        <v>1426</v>
      </c>
      <c r="E1" s="120"/>
      <c r="F1" s="199" t="s">
        <v>184</v>
      </c>
      <c r="G1" s="199"/>
      <c r="I1" s="464" t="s">
        <v>1423</v>
      </c>
    </row>
    <row r="2" customFormat="false" ht="18.75" hidden="false" customHeight="true" outlineLevel="0" collapsed="false">
      <c r="A2" s="117" t="s">
        <v>606</v>
      </c>
      <c r="B2" s="122" t="n">
        <v>1326</v>
      </c>
      <c r="C2" s="123" t="s">
        <v>184</v>
      </c>
      <c r="D2" s="117" t="s">
        <v>607</v>
      </c>
      <c r="E2" s="124" t="s">
        <v>1427</v>
      </c>
      <c r="F2" s="196"/>
      <c r="G2" s="196"/>
      <c r="I2" s="466" t="s">
        <v>1424</v>
      </c>
    </row>
    <row r="3" customFormat="false" ht="18.75" hidden="false" customHeight="true" outlineLevel="0" collapsed="false">
      <c r="A3" s="117" t="s">
        <v>609</v>
      </c>
      <c r="B3" s="126" t="n">
        <v>4523</v>
      </c>
      <c r="C3" s="127" t="s">
        <v>184</v>
      </c>
      <c r="D3" s="196"/>
      <c r="E3" s="196"/>
      <c r="F3" s="196"/>
      <c r="G3" s="128" t="s">
        <v>1428</v>
      </c>
      <c r="H3" s="153" t="s">
        <v>611</v>
      </c>
      <c r="I3" s="153"/>
    </row>
    <row r="4" s="196" customFormat="true" ht="18.75" hidden="false" customHeight="true" outlineLevel="0" collapsed="false">
      <c r="A4" s="131" t="s">
        <v>612</v>
      </c>
      <c r="B4" s="132" t="s">
        <v>613</v>
      </c>
      <c r="C4" s="133" t="s">
        <v>614</v>
      </c>
      <c r="D4" s="131" t="s">
        <v>612</v>
      </c>
      <c r="E4" s="132" t="s">
        <v>613</v>
      </c>
      <c r="F4" s="133" t="s">
        <v>614</v>
      </c>
      <c r="G4" s="208" t="s">
        <v>612</v>
      </c>
      <c r="H4" s="209" t="s">
        <v>613</v>
      </c>
      <c r="I4" s="210" t="s">
        <v>614</v>
      </c>
    </row>
    <row r="5" customFormat="false" ht="18.75" hidden="false" customHeight="true" outlineLevel="0" collapsed="false">
      <c r="A5" s="473" t="s">
        <v>184</v>
      </c>
      <c r="B5" s="474"/>
      <c r="C5" s="136" t="n">
        <v>1</v>
      </c>
      <c r="D5" s="475"/>
      <c r="E5" s="476"/>
      <c r="F5" s="136" t="n">
        <v>40</v>
      </c>
      <c r="G5" s="475"/>
      <c r="H5" s="476"/>
      <c r="I5" s="136" t="n">
        <v>79</v>
      </c>
    </row>
    <row r="6" customFormat="false" ht="18.75" hidden="false" customHeight="true" outlineLevel="0" collapsed="false">
      <c r="A6" s="477" t="s">
        <v>184</v>
      </c>
      <c r="B6" s="478"/>
      <c r="C6" s="141" t="n">
        <v>2</v>
      </c>
      <c r="D6" s="217"/>
      <c r="E6" s="218"/>
      <c r="F6" s="141" t="n">
        <v>41</v>
      </c>
      <c r="G6" s="225"/>
      <c r="H6" s="226"/>
      <c r="I6" s="149" t="n">
        <v>80</v>
      </c>
    </row>
    <row r="7" customFormat="false" ht="18.75" hidden="false" customHeight="true" outlineLevel="0" collapsed="false">
      <c r="A7" s="477" t="s">
        <v>184</v>
      </c>
      <c r="B7" s="479"/>
      <c r="C7" s="141" t="n">
        <v>3</v>
      </c>
      <c r="D7" s="139" t="s">
        <v>184</v>
      </c>
      <c r="E7" s="172"/>
      <c r="F7" s="141" t="n">
        <v>42</v>
      </c>
      <c r="G7" s="196"/>
      <c r="H7" s="196"/>
      <c r="I7" s="196"/>
    </row>
    <row r="8" customFormat="false" ht="18.75" hidden="false" customHeight="true" outlineLevel="0" collapsed="false">
      <c r="A8" s="477" t="s">
        <v>184</v>
      </c>
      <c r="B8" s="479"/>
      <c r="C8" s="141" t="n">
        <v>4</v>
      </c>
      <c r="D8" s="139" t="s">
        <v>184</v>
      </c>
      <c r="E8" s="172"/>
      <c r="F8" s="141" t="n">
        <v>43</v>
      </c>
      <c r="G8" s="196"/>
      <c r="H8" s="196"/>
      <c r="I8" s="196"/>
    </row>
    <row r="9" customFormat="false" ht="18.75" hidden="false" customHeight="true" outlineLevel="0" collapsed="false">
      <c r="A9" s="477" t="s">
        <v>184</v>
      </c>
      <c r="B9" s="479" t="s">
        <v>184</v>
      </c>
      <c r="C9" s="141" t="n">
        <v>5</v>
      </c>
      <c r="D9" s="139" t="s">
        <v>184</v>
      </c>
      <c r="E9" s="172"/>
      <c r="F9" s="141" t="n">
        <v>44</v>
      </c>
      <c r="G9" s="196"/>
      <c r="H9" s="196"/>
      <c r="I9" s="196"/>
    </row>
    <row r="10" customFormat="false" ht="18.75" hidden="false" customHeight="true" outlineLevel="0" collapsed="false">
      <c r="A10" s="477" t="s">
        <v>184</v>
      </c>
      <c r="B10" s="479"/>
      <c r="C10" s="141" t="n">
        <v>6</v>
      </c>
      <c r="D10" s="139" t="s">
        <v>184</v>
      </c>
      <c r="E10" s="172"/>
      <c r="F10" s="141" t="n">
        <v>45</v>
      </c>
      <c r="G10" s="196"/>
      <c r="H10" s="196"/>
      <c r="I10" s="196"/>
    </row>
    <row r="11" customFormat="false" ht="18.75" hidden="false" customHeight="true" outlineLevel="0" collapsed="false">
      <c r="A11" s="477" t="s">
        <v>184</v>
      </c>
      <c r="B11" s="479"/>
      <c r="C11" s="141" t="n">
        <v>7</v>
      </c>
      <c r="D11" s="139" t="s">
        <v>184</v>
      </c>
      <c r="E11" s="172"/>
      <c r="F11" s="141" t="n">
        <v>46</v>
      </c>
      <c r="G11" s="196"/>
      <c r="H11" s="196"/>
      <c r="I11" s="196"/>
    </row>
    <row r="12" customFormat="false" ht="18.75" hidden="false" customHeight="true" outlineLevel="0" collapsed="false">
      <c r="A12" s="477" t="s">
        <v>184</v>
      </c>
      <c r="B12" s="479"/>
      <c r="C12" s="141" t="n">
        <v>8</v>
      </c>
      <c r="D12" s="139" t="s">
        <v>184</v>
      </c>
      <c r="E12" s="172"/>
      <c r="F12" s="141" t="n">
        <v>47</v>
      </c>
      <c r="G12" s="196"/>
      <c r="H12" s="196"/>
      <c r="I12" s="196"/>
    </row>
    <row r="13" customFormat="false" ht="18.75" hidden="false" customHeight="true" outlineLevel="0" collapsed="false">
      <c r="A13" s="477" t="s">
        <v>184</v>
      </c>
      <c r="B13" s="479" t="s">
        <v>184</v>
      </c>
      <c r="C13" s="141" t="n">
        <v>9</v>
      </c>
      <c r="D13" s="139" t="s">
        <v>184</v>
      </c>
      <c r="E13" s="172"/>
      <c r="F13" s="141" t="n">
        <v>48</v>
      </c>
      <c r="G13" s="196"/>
      <c r="H13" s="196"/>
      <c r="I13" s="196"/>
    </row>
    <row r="14" customFormat="false" ht="18.75" hidden="false" customHeight="true" outlineLevel="0" collapsed="false">
      <c r="A14" s="477" t="s">
        <v>184</v>
      </c>
      <c r="B14" s="479"/>
      <c r="C14" s="146" t="n">
        <v>10</v>
      </c>
      <c r="D14" s="139"/>
      <c r="E14" s="144"/>
      <c r="F14" s="141" t="n">
        <v>49</v>
      </c>
      <c r="G14" s="196"/>
      <c r="H14" s="196"/>
      <c r="I14" s="196"/>
    </row>
    <row r="15" customFormat="false" ht="18.75" hidden="false" customHeight="true" outlineLevel="0" collapsed="false">
      <c r="A15" s="477" t="s">
        <v>184</v>
      </c>
      <c r="B15" s="479"/>
      <c r="C15" s="141" t="n">
        <v>11</v>
      </c>
      <c r="D15" s="139" t="s">
        <v>184</v>
      </c>
      <c r="E15" s="172"/>
      <c r="F15" s="141" t="n">
        <v>50</v>
      </c>
      <c r="G15" s="196"/>
      <c r="H15" s="196"/>
      <c r="I15" s="196"/>
    </row>
    <row r="16" customFormat="false" ht="18.75" hidden="false" customHeight="true" outlineLevel="0" collapsed="false">
      <c r="A16" s="477" t="s">
        <v>184</v>
      </c>
      <c r="B16" s="479"/>
      <c r="C16" s="141" t="n">
        <v>12</v>
      </c>
      <c r="D16" s="139" t="s">
        <v>184</v>
      </c>
      <c r="E16" s="172"/>
      <c r="F16" s="141" t="n">
        <v>51</v>
      </c>
      <c r="G16" s="196"/>
      <c r="H16" s="196"/>
      <c r="I16" s="196"/>
    </row>
    <row r="17" customFormat="false" ht="18.75" hidden="false" customHeight="true" outlineLevel="0" collapsed="false">
      <c r="A17" s="477" t="s">
        <v>184</v>
      </c>
      <c r="B17" s="479"/>
      <c r="C17" s="141" t="n">
        <v>13</v>
      </c>
      <c r="D17" s="139" t="s">
        <v>184</v>
      </c>
      <c r="E17" s="172"/>
      <c r="F17" s="141" t="n">
        <v>52</v>
      </c>
      <c r="G17" s="196"/>
      <c r="H17" s="196"/>
      <c r="I17" s="196"/>
    </row>
    <row r="18" customFormat="false" ht="18.75" hidden="false" customHeight="true" outlineLevel="0" collapsed="false">
      <c r="A18" s="477" t="s">
        <v>184</v>
      </c>
      <c r="B18" s="479"/>
      <c r="C18" s="141" t="n">
        <v>14</v>
      </c>
      <c r="D18" s="139" t="s">
        <v>184</v>
      </c>
      <c r="E18" s="172"/>
      <c r="F18" s="141" t="n">
        <v>53</v>
      </c>
      <c r="G18" s="196"/>
      <c r="H18" s="196"/>
      <c r="I18" s="196"/>
    </row>
    <row r="19" customFormat="false" ht="18.75" hidden="false" customHeight="true" outlineLevel="0" collapsed="false">
      <c r="A19" s="477" t="s">
        <v>184</v>
      </c>
      <c r="B19" s="479"/>
      <c r="C19" s="141" t="n">
        <v>15</v>
      </c>
      <c r="D19" s="139" t="s">
        <v>184</v>
      </c>
      <c r="E19" s="172"/>
      <c r="F19" s="141" t="n">
        <v>54</v>
      </c>
      <c r="G19" s="196"/>
      <c r="H19" s="196"/>
      <c r="I19" s="196"/>
    </row>
    <row r="20" customFormat="false" ht="18.75" hidden="false" customHeight="true" outlineLevel="0" collapsed="false">
      <c r="A20" s="477" t="s">
        <v>184</v>
      </c>
      <c r="B20" s="479"/>
      <c r="C20" s="141" t="n">
        <v>16</v>
      </c>
      <c r="D20" s="139" t="s">
        <v>184</v>
      </c>
      <c r="E20" s="172"/>
      <c r="F20" s="141" t="n">
        <v>55</v>
      </c>
      <c r="G20" s="196"/>
      <c r="H20" s="196"/>
      <c r="I20" s="196"/>
    </row>
    <row r="21" customFormat="false" ht="18.75" hidden="false" customHeight="true" outlineLevel="0" collapsed="false">
      <c r="A21" s="477" t="s">
        <v>184</v>
      </c>
      <c r="B21" s="479"/>
      <c r="C21" s="141" t="n">
        <v>17</v>
      </c>
      <c r="D21" s="139" t="s">
        <v>184</v>
      </c>
      <c r="E21" s="172"/>
      <c r="F21" s="141" t="n">
        <v>56</v>
      </c>
      <c r="G21" s="196"/>
      <c r="H21" s="196"/>
      <c r="I21" s="196"/>
    </row>
    <row r="22" customFormat="false" ht="18.75" hidden="false" customHeight="true" outlineLevel="0" collapsed="false">
      <c r="A22" s="477" t="s">
        <v>184</v>
      </c>
      <c r="B22" s="479"/>
      <c r="C22" s="141" t="n">
        <v>18</v>
      </c>
      <c r="D22" s="139"/>
      <c r="E22" s="144"/>
      <c r="F22" s="141" t="n">
        <v>57</v>
      </c>
      <c r="G22" s="196"/>
      <c r="H22" s="196"/>
      <c r="I22" s="196"/>
    </row>
    <row r="23" customFormat="false" ht="18.75" hidden="false" customHeight="true" outlineLevel="0" collapsed="false">
      <c r="A23" s="477" t="s">
        <v>184</v>
      </c>
      <c r="B23" s="479"/>
      <c r="C23" s="141" t="n">
        <v>19</v>
      </c>
      <c r="D23" s="139" t="s">
        <v>184</v>
      </c>
      <c r="E23" s="172"/>
      <c r="F23" s="141" t="n">
        <v>58</v>
      </c>
      <c r="G23" s="196"/>
      <c r="H23" s="196"/>
      <c r="I23" s="196"/>
    </row>
    <row r="24" customFormat="false" ht="18.75" hidden="false" customHeight="true" outlineLevel="0" collapsed="false">
      <c r="A24" s="477" t="s">
        <v>184</v>
      </c>
      <c r="B24" s="479"/>
      <c r="C24" s="146" t="n">
        <v>20</v>
      </c>
      <c r="D24" s="139" t="s">
        <v>184</v>
      </c>
      <c r="E24" s="172"/>
      <c r="F24" s="141" t="n">
        <v>59</v>
      </c>
      <c r="G24" s="196"/>
      <c r="H24" s="196"/>
      <c r="I24" s="196"/>
    </row>
    <row r="25" customFormat="false" ht="18.75" hidden="false" customHeight="true" outlineLevel="0" collapsed="false">
      <c r="A25" s="477" t="s">
        <v>184</v>
      </c>
      <c r="B25" s="479"/>
      <c r="C25" s="141" t="n">
        <v>21</v>
      </c>
      <c r="D25" s="139" t="s">
        <v>184</v>
      </c>
      <c r="E25" s="172"/>
      <c r="F25" s="141" t="n">
        <v>60</v>
      </c>
      <c r="G25" s="196"/>
      <c r="H25" s="196"/>
      <c r="I25" s="196"/>
    </row>
    <row r="26" customFormat="false" ht="18.75" hidden="false" customHeight="true" outlineLevel="0" collapsed="false">
      <c r="A26" s="477" t="s">
        <v>184</v>
      </c>
      <c r="B26" s="479"/>
      <c r="C26" s="141" t="n">
        <v>22</v>
      </c>
      <c r="D26" s="139" t="s">
        <v>184</v>
      </c>
      <c r="E26" s="172"/>
      <c r="F26" s="141" t="n">
        <v>61</v>
      </c>
      <c r="G26" s="196"/>
      <c r="H26" s="196"/>
      <c r="I26" s="196"/>
    </row>
    <row r="27" customFormat="false" ht="18.75" hidden="false" customHeight="true" outlineLevel="0" collapsed="false">
      <c r="A27" s="477" t="s">
        <v>184</v>
      </c>
      <c r="B27" s="479"/>
      <c r="C27" s="141" t="n">
        <v>23</v>
      </c>
      <c r="D27" s="139" t="s">
        <v>184</v>
      </c>
      <c r="E27" s="172"/>
      <c r="F27" s="141" t="n">
        <v>62</v>
      </c>
      <c r="G27" s="196"/>
      <c r="H27" s="196"/>
      <c r="I27" s="196"/>
    </row>
    <row r="28" customFormat="false" ht="18.75" hidden="false" customHeight="true" outlineLevel="0" collapsed="false">
      <c r="A28" s="477" t="s">
        <v>184</v>
      </c>
      <c r="B28" s="479"/>
      <c r="C28" s="141" t="n">
        <v>24</v>
      </c>
      <c r="D28" s="139" t="s">
        <v>184</v>
      </c>
      <c r="E28" s="172"/>
      <c r="F28" s="141" t="n">
        <v>63</v>
      </c>
      <c r="G28" s="196"/>
      <c r="H28" s="196"/>
      <c r="I28" s="196"/>
    </row>
    <row r="29" customFormat="false" ht="18.75" hidden="false" customHeight="true" outlineLevel="0" collapsed="false">
      <c r="A29" s="477" t="s">
        <v>184</v>
      </c>
      <c r="B29" s="479"/>
      <c r="C29" s="141" t="n">
        <v>25</v>
      </c>
      <c r="D29" s="139" t="s">
        <v>184</v>
      </c>
      <c r="E29" s="172"/>
      <c r="F29" s="141" t="n">
        <v>64</v>
      </c>
      <c r="G29" s="196"/>
      <c r="H29" s="196"/>
      <c r="I29" s="196"/>
    </row>
    <row r="30" customFormat="false" ht="18.75" hidden="false" customHeight="true" outlineLevel="0" collapsed="false">
      <c r="A30" s="477" t="s">
        <v>184</v>
      </c>
      <c r="B30" s="479"/>
      <c r="C30" s="141" t="n">
        <v>26</v>
      </c>
      <c r="D30" s="139"/>
      <c r="E30" s="144"/>
      <c r="F30" s="141" t="n">
        <v>65</v>
      </c>
      <c r="G30" s="196"/>
      <c r="H30" s="196"/>
      <c r="I30" s="196"/>
    </row>
    <row r="31" customFormat="false" ht="18.75" hidden="false" customHeight="true" outlineLevel="0" collapsed="false">
      <c r="A31" s="477" t="s">
        <v>184</v>
      </c>
      <c r="B31" s="479" t="s">
        <v>184</v>
      </c>
      <c r="C31" s="141" t="n">
        <v>27</v>
      </c>
      <c r="D31" s="139" t="s">
        <v>184</v>
      </c>
      <c r="E31" s="172"/>
      <c r="F31" s="141" t="n">
        <v>66</v>
      </c>
      <c r="G31" s="196"/>
      <c r="H31" s="196"/>
      <c r="I31" s="196"/>
    </row>
    <row r="32" customFormat="false" ht="18.75" hidden="false" customHeight="true" outlineLevel="0" collapsed="false">
      <c r="A32" s="477" t="s">
        <v>184</v>
      </c>
      <c r="B32" s="479"/>
      <c r="C32" s="141" t="n">
        <v>28</v>
      </c>
      <c r="D32" s="139" t="s">
        <v>184</v>
      </c>
      <c r="E32" s="172"/>
      <c r="F32" s="141" t="n">
        <v>67</v>
      </c>
      <c r="G32" s="196"/>
      <c r="H32" s="196"/>
      <c r="I32" s="196"/>
    </row>
    <row r="33" customFormat="false" ht="18.75" hidden="false" customHeight="true" outlineLevel="0" collapsed="false">
      <c r="A33" s="477" t="s">
        <v>184</v>
      </c>
      <c r="B33" s="479"/>
      <c r="C33" s="141" t="n">
        <v>29</v>
      </c>
      <c r="D33" s="139" t="s">
        <v>184</v>
      </c>
      <c r="E33" s="172"/>
      <c r="F33" s="141" t="n">
        <v>68</v>
      </c>
      <c r="G33" s="196"/>
      <c r="H33" s="196"/>
      <c r="I33" s="196"/>
    </row>
    <row r="34" customFormat="false" ht="18.75" hidden="false" customHeight="true" outlineLevel="0" collapsed="false">
      <c r="A34" s="477" t="s">
        <v>184</v>
      </c>
      <c r="B34" s="479"/>
      <c r="C34" s="146" t="n">
        <v>30</v>
      </c>
      <c r="D34" s="139" t="s">
        <v>184</v>
      </c>
      <c r="E34" s="172"/>
      <c r="F34" s="141" t="n">
        <v>69</v>
      </c>
      <c r="G34" s="196"/>
      <c r="H34" s="196"/>
      <c r="I34" s="196"/>
    </row>
    <row r="35" customFormat="false" ht="18.75" hidden="false" customHeight="true" outlineLevel="0" collapsed="false">
      <c r="A35" s="477" t="s">
        <v>184</v>
      </c>
      <c r="B35" s="479"/>
      <c r="C35" s="141" t="n">
        <v>31</v>
      </c>
      <c r="D35" s="139" t="s">
        <v>184</v>
      </c>
      <c r="E35" s="172"/>
      <c r="F35" s="141" t="n">
        <v>70</v>
      </c>
      <c r="G35" s="196"/>
      <c r="H35" s="196"/>
      <c r="I35" s="196"/>
    </row>
    <row r="36" customFormat="false" ht="18.75" hidden="false" customHeight="true" outlineLevel="0" collapsed="false">
      <c r="A36" s="477" t="s">
        <v>184</v>
      </c>
      <c r="B36" s="479"/>
      <c r="C36" s="141" t="n">
        <v>32</v>
      </c>
      <c r="D36" s="139" t="s">
        <v>184</v>
      </c>
      <c r="E36" s="172"/>
      <c r="F36" s="141" t="n">
        <v>71</v>
      </c>
      <c r="G36" s="196"/>
      <c r="H36" s="196"/>
      <c r="I36" s="196"/>
    </row>
    <row r="37" customFormat="false" ht="18.75" hidden="false" customHeight="true" outlineLevel="0" collapsed="false">
      <c r="A37" s="477" t="s">
        <v>184</v>
      </c>
      <c r="B37" s="479"/>
      <c r="C37" s="141" t="n">
        <v>33</v>
      </c>
      <c r="D37" s="139" t="s">
        <v>184</v>
      </c>
      <c r="E37" s="172"/>
      <c r="F37" s="141" t="n">
        <v>72</v>
      </c>
      <c r="G37" s="196"/>
      <c r="H37" s="196"/>
      <c r="I37" s="196"/>
    </row>
    <row r="38" customFormat="false" ht="18.75" hidden="false" customHeight="true" outlineLevel="0" collapsed="false">
      <c r="A38" s="477"/>
      <c r="B38" s="479"/>
      <c r="C38" s="141" t="n">
        <v>34</v>
      </c>
      <c r="D38" s="139"/>
      <c r="E38" s="144"/>
      <c r="F38" s="141" t="n">
        <v>73</v>
      </c>
      <c r="G38" s="196"/>
      <c r="H38" s="196"/>
      <c r="I38" s="196"/>
    </row>
    <row r="39" customFormat="false" ht="18.75" hidden="false" customHeight="true" outlineLevel="0" collapsed="false">
      <c r="A39" s="477"/>
      <c r="B39" s="479"/>
      <c r="C39" s="141" t="n">
        <v>35</v>
      </c>
      <c r="D39" s="139" t="s">
        <v>184</v>
      </c>
      <c r="E39" s="172"/>
      <c r="F39" s="141" t="n">
        <v>74</v>
      </c>
      <c r="G39" s="196"/>
      <c r="H39" s="196"/>
      <c r="I39" s="196"/>
    </row>
    <row r="40" customFormat="false" ht="18.75" hidden="false" customHeight="true" outlineLevel="0" collapsed="false">
      <c r="A40" s="477" t="s">
        <v>184</v>
      </c>
      <c r="B40" s="479"/>
      <c r="C40" s="141" t="n">
        <v>36</v>
      </c>
      <c r="D40" s="139" t="s">
        <v>184</v>
      </c>
      <c r="E40" s="172"/>
      <c r="F40" s="141" t="n">
        <v>75</v>
      </c>
      <c r="G40" s="196"/>
      <c r="H40" s="196"/>
      <c r="I40" s="196"/>
    </row>
    <row r="41" customFormat="false" ht="18.75" hidden="false" customHeight="true" outlineLevel="0" collapsed="false">
      <c r="A41" s="477" t="s">
        <v>184</v>
      </c>
      <c r="B41" s="479"/>
      <c r="C41" s="141" t="n">
        <v>37</v>
      </c>
      <c r="D41" s="139" t="s">
        <v>184</v>
      </c>
      <c r="E41" s="172"/>
      <c r="F41" s="141" t="n">
        <v>76</v>
      </c>
      <c r="G41" s="480"/>
      <c r="H41" s="470"/>
      <c r="I41" s="464" t="s">
        <v>1423</v>
      </c>
    </row>
    <row r="42" customFormat="false" ht="18.75" hidden="false" customHeight="true" outlineLevel="0" collapsed="false">
      <c r="A42" s="481" t="s">
        <v>184</v>
      </c>
      <c r="B42" s="482"/>
      <c r="C42" s="141" t="n">
        <v>38</v>
      </c>
      <c r="D42" s="139" t="s">
        <v>184</v>
      </c>
      <c r="E42" s="172"/>
      <c r="F42" s="141" t="n">
        <v>77</v>
      </c>
      <c r="G42" s="470"/>
      <c r="H42" s="470"/>
      <c r="I42" s="466" t="s">
        <v>1424</v>
      </c>
    </row>
    <row r="43" customFormat="false" ht="18.75" hidden="false" customHeight="true" outlineLevel="0" collapsed="false">
      <c r="A43" s="483" t="s">
        <v>184</v>
      </c>
      <c r="B43" s="484"/>
      <c r="C43" s="149" t="n">
        <v>39</v>
      </c>
      <c r="D43" s="147" t="s">
        <v>184</v>
      </c>
      <c r="E43" s="469"/>
      <c r="F43" s="149" t="n">
        <v>78</v>
      </c>
      <c r="G43" s="128" t="s">
        <v>1428</v>
      </c>
      <c r="H43" s="485" t="s">
        <v>611</v>
      </c>
      <c r="I43" s="485"/>
    </row>
  </sheetData>
  <mergeCells count="3">
    <mergeCell ref="B1:C1"/>
    <mergeCell ref="H3:I3"/>
    <mergeCell ref="H43:I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0" activeCellId="1" sqref="A1:FY1 K10"/>
    </sheetView>
  </sheetViews>
  <sheetFormatPr defaultColWidth="11.00390625" defaultRowHeight="15" customHeight="true" zeroHeight="false" outlineLevelRow="0" outlineLevelCol="0"/>
  <sheetData>
    <row r="1" customFormat="false" ht="19.5" hidden="false" customHeight="true" outlineLevel="0" collapsed="false">
      <c r="A1" s="486" t="s">
        <v>603</v>
      </c>
      <c r="B1" s="487" t="s">
        <v>529</v>
      </c>
      <c r="C1" s="487"/>
      <c r="D1" s="488" t="s">
        <v>1429</v>
      </c>
      <c r="E1" s="489"/>
      <c r="F1" s="490" t="s">
        <v>184</v>
      </c>
      <c r="G1" s="490"/>
      <c r="I1" s="464" t="s">
        <v>1423</v>
      </c>
    </row>
    <row r="2" customFormat="false" ht="19.5" hidden="false" customHeight="true" outlineLevel="0" collapsed="false">
      <c r="A2" s="486" t="s">
        <v>606</v>
      </c>
      <c r="B2" s="491" t="n">
        <v>838</v>
      </c>
      <c r="C2" s="492" t="s">
        <v>184</v>
      </c>
      <c r="D2" s="486" t="s">
        <v>607</v>
      </c>
      <c r="E2" s="493" t="n">
        <v>43742</v>
      </c>
      <c r="I2" s="466" t="s">
        <v>1424</v>
      </c>
    </row>
    <row r="3" customFormat="false" ht="19.5" hidden="false" customHeight="true" outlineLevel="0" collapsed="false">
      <c r="A3" s="486" t="s">
        <v>609</v>
      </c>
      <c r="B3" s="494" t="n">
        <v>1856</v>
      </c>
      <c r="C3" s="495" t="s">
        <v>184</v>
      </c>
      <c r="G3" s="496" t="s">
        <v>1430</v>
      </c>
      <c r="H3" s="497" t="s">
        <v>611</v>
      </c>
      <c r="I3" s="497"/>
    </row>
    <row r="4" customFormat="false" ht="19.5" hidden="false" customHeight="true" outlineLevel="0" collapsed="false">
      <c r="A4" s="498" t="s">
        <v>612</v>
      </c>
      <c r="B4" s="499" t="s">
        <v>613</v>
      </c>
      <c r="C4" s="500" t="s">
        <v>614</v>
      </c>
      <c r="D4" s="498" t="s">
        <v>612</v>
      </c>
      <c r="E4" s="499" t="s">
        <v>613</v>
      </c>
      <c r="F4" s="500" t="s">
        <v>614</v>
      </c>
      <c r="G4" s="501" t="s">
        <v>612</v>
      </c>
      <c r="H4" s="502" t="s">
        <v>613</v>
      </c>
      <c r="I4" s="503" t="s">
        <v>614</v>
      </c>
    </row>
    <row r="5" customFormat="false" ht="19.5" hidden="false" customHeight="true" outlineLevel="0" collapsed="false">
      <c r="A5" s="473" t="s">
        <v>184</v>
      </c>
      <c r="B5" s="474"/>
      <c r="C5" s="504" t="n">
        <v>1</v>
      </c>
      <c r="D5" s="473" t="s">
        <v>184</v>
      </c>
      <c r="E5" s="505"/>
      <c r="F5" s="504" t="n">
        <v>38</v>
      </c>
      <c r="G5" s="506"/>
      <c r="H5" s="507"/>
      <c r="I5" s="504" t="n">
        <v>75</v>
      </c>
    </row>
    <row r="6" customFormat="false" ht="19.5" hidden="false" customHeight="true" outlineLevel="0" collapsed="false">
      <c r="A6" s="477" t="s">
        <v>184</v>
      </c>
      <c r="B6" s="478"/>
      <c r="C6" s="508" t="n">
        <v>2</v>
      </c>
      <c r="D6" s="477" t="s">
        <v>184</v>
      </c>
      <c r="E6" s="509"/>
      <c r="F6" s="508" t="n">
        <v>39</v>
      </c>
      <c r="G6" s="510"/>
      <c r="H6" s="511"/>
      <c r="I6" s="508" t="n">
        <v>76</v>
      </c>
    </row>
    <row r="7" customFormat="false" ht="19.5" hidden="false" customHeight="true" outlineLevel="0" collapsed="false">
      <c r="A7" s="477" t="s">
        <v>184</v>
      </c>
      <c r="B7" s="479"/>
      <c r="C7" s="508" t="n">
        <v>3</v>
      </c>
      <c r="D7" s="477" t="s">
        <v>184</v>
      </c>
      <c r="E7" s="509"/>
      <c r="F7" s="508" t="n">
        <v>40</v>
      </c>
      <c r="G7" s="510"/>
      <c r="H7" s="511"/>
      <c r="I7" s="508" t="n">
        <v>77</v>
      </c>
    </row>
    <row r="8" customFormat="false" ht="19.5" hidden="false" customHeight="true" outlineLevel="0" collapsed="false">
      <c r="A8" s="477" t="s">
        <v>184</v>
      </c>
      <c r="B8" s="479"/>
      <c r="C8" s="508" t="n">
        <v>4</v>
      </c>
      <c r="D8" s="477" t="s">
        <v>184</v>
      </c>
      <c r="E8" s="509"/>
      <c r="F8" s="508" t="n">
        <v>41</v>
      </c>
      <c r="G8" s="510"/>
      <c r="H8" s="511"/>
      <c r="I8" s="508" t="n">
        <v>78</v>
      </c>
    </row>
    <row r="9" customFormat="false" ht="19.5" hidden="false" customHeight="true" outlineLevel="0" collapsed="false">
      <c r="A9" s="477" t="s">
        <v>184</v>
      </c>
      <c r="B9" s="479" t="s">
        <v>184</v>
      </c>
      <c r="C9" s="508" t="n">
        <v>5</v>
      </c>
      <c r="D9" s="477" t="s">
        <v>184</v>
      </c>
      <c r="E9" s="509"/>
      <c r="F9" s="508" t="n">
        <v>42</v>
      </c>
      <c r="G9" s="510"/>
      <c r="H9" s="511"/>
      <c r="I9" s="508" t="n">
        <v>79</v>
      </c>
    </row>
    <row r="10" customFormat="false" ht="19.5" hidden="false" customHeight="true" outlineLevel="0" collapsed="false">
      <c r="A10" s="477" t="s">
        <v>184</v>
      </c>
      <c r="B10" s="479"/>
      <c r="C10" s="508" t="n">
        <v>6</v>
      </c>
      <c r="D10" s="477" t="s">
        <v>184</v>
      </c>
      <c r="E10" s="509"/>
      <c r="F10" s="508" t="n">
        <v>43</v>
      </c>
      <c r="G10" s="510"/>
      <c r="H10" s="511"/>
      <c r="I10" s="508" t="n">
        <v>80</v>
      </c>
    </row>
    <row r="11" customFormat="false" ht="19.5" hidden="false" customHeight="true" outlineLevel="0" collapsed="false">
      <c r="A11" s="477" t="s">
        <v>184</v>
      </c>
      <c r="B11" s="479"/>
      <c r="C11" s="508" t="n">
        <v>7</v>
      </c>
      <c r="D11" s="477" t="s">
        <v>184</v>
      </c>
      <c r="E11" s="509"/>
      <c r="F11" s="508" t="n">
        <v>44</v>
      </c>
      <c r="G11" s="510"/>
      <c r="H11" s="511"/>
      <c r="I11" s="508" t="n">
        <v>81</v>
      </c>
    </row>
    <row r="12" customFormat="false" ht="19.5" hidden="false" customHeight="true" outlineLevel="0" collapsed="false">
      <c r="A12" s="477" t="s">
        <v>184</v>
      </c>
      <c r="B12" s="479"/>
      <c r="C12" s="508" t="n">
        <v>8</v>
      </c>
      <c r="D12" s="477" t="s">
        <v>184</v>
      </c>
      <c r="E12" s="509"/>
      <c r="F12" s="508" t="n">
        <v>45</v>
      </c>
      <c r="G12" s="510"/>
      <c r="H12" s="511"/>
      <c r="I12" s="508" t="n">
        <v>82</v>
      </c>
    </row>
    <row r="13" customFormat="false" ht="19.5" hidden="false" customHeight="true" outlineLevel="0" collapsed="false">
      <c r="A13" s="477" t="s">
        <v>184</v>
      </c>
      <c r="B13" s="479" t="s">
        <v>184</v>
      </c>
      <c r="C13" s="508" t="n">
        <v>9</v>
      </c>
      <c r="D13" s="477" t="s">
        <v>184</v>
      </c>
      <c r="E13" s="509"/>
      <c r="F13" s="508" t="n">
        <v>46</v>
      </c>
      <c r="G13" s="510"/>
      <c r="H13" s="511"/>
      <c r="I13" s="508" t="n">
        <v>83</v>
      </c>
    </row>
    <row r="14" customFormat="false" ht="19.5" hidden="false" customHeight="true" outlineLevel="0" collapsed="false">
      <c r="A14" s="477" t="s">
        <v>184</v>
      </c>
      <c r="B14" s="479"/>
      <c r="C14" s="508" t="n">
        <v>10</v>
      </c>
      <c r="D14" s="477"/>
      <c r="E14" s="479"/>
      <c r="F14" s="508" t="n">
        <v>47</v>
      </c>
      <c r="G14" s="510"/>
      <c r="H14" s="511"/>
      <c r="I14" s="508" t="n">
        <v>84</v>
      </c>
    </row>
    <row r="15" customFormat="false" ht="19.5" hidden="false" customHeight="true" outlineLevel="0" collapsed="false">
      <c r="A15" s="477" t="s">
        <v>184</v>
      </c>
      <c r="B15" s="479"/>
      <c r="C15" s="508" t="n">
        <v>11</v>
      </c>
      <c r="D15" s="477" t="s">
        <v>184</v>
      </c>
      <c r="E15" s="509"/>
      <c r="F15" s="508" t="n">
        <v>48</v>
      </c>
      <c r="G15" s="510"/>
      <c r="H15" s="511"/>
      <c r="I15" s="508" t="n">
        <v>85</v>
      </c>
    </row>
    <row r="16" customFormat="false" ht="19.5" hidden="false" customHeight="true" outlineLevel="0" collapsed="false">
      <c r="A16" s="477" t="s">
        <v>184</v>
      </c>
      <c r="B16" s="479"/>
      <c r="C16" s="508" t="n">
        <v>12</v>
      </c>
      <c r="D16" s="477" t="s">
        <v>184</v>
      </c>
      <c r="E16" s="509"/>
      <c r="F16" s="508" t="n">
        <v>49</v>
      </c>
      <c r="G16" s="510"/>
      <c r="H16" s="511"/>
      <c r="I16" s="508" t="n">
        <v>86</v>
      </c>
    </row>
    <row r="17" customFormat="false" ht="19.5" hidden="false" customHeight="true" outlineLevel="0" collapsed="false">
      <c r="A17" s="477" t="s">
        <v>184</v>
      </c>
      <c r="B17" s="479"/>
      <c r="C17" s="508" t="n">
        <v>13</v>
      </c>
      <c r="D17" s="477" t="s">
        <v>184</v>
      </c>
      <c r="E17" s="509"/>
      <c r="F17" s="508" t="n">
        <v>50</v>
      </c>
      <c r="G17" s="510"/>
      <c r="H17" s="511"/>
      <c r="I17" s="508" t="n">
        <v>87</v>
      </c>
    </row>
    <row r="18" customFormat="false" ht="19.5" hidden="false" customHeight="true" outlineLevel="0" collapsed="false">
      <c r="A18" s="477" t="s">
        <v>184</v>
      </c>
      <c r="B18" s="479"/>
      <c r="C18" s="508" t="n">
        <v>14</v>
      </c>
      <c r="D18" s="477" t="s">
        <v>184</v>
      </c>
      <c r="E18" s="509"/>
      <c r="F18" s="508" t="n">
        <v>51</v>
      </c>
      <c r="G18" s="510"/>
      <c r="H18" s="511"/>
      <c r="I18" s="508" t="n">
        <v>88</v>
      </c>
    </row>
    <row r="19" customFormat="false" ht="19.5" hidden="false" customHeight="true" outlineLevel="0" collapsed="false">
      <c r="A19" s="477" t="s">
        <v>184</v>
      </c>
      <c r="B19" s="479"/>
      <c r="C19" s="508" t="n">
        <v>15</v>
      </c>
      <c r="D19" s="477" t="s">
        <v>184</v>
      </c>
      <c r="E19" s="509"/>
      <c r="F19" s="508" t="n">
        <v>52</v>
      </c>
      <c r="G19" s="510"/>
      <c r="H19" s="511"/>
      <c r="I19" s="508" t="n">
        <v>89</v>
      </c>
    </row>
    <row r="20" customFormat="false" ht="19.5" hidden="false" customHeight="true" outlineLevel="0" collapsed="false">
      <c r="A20" s="477" t="s">
        <v>184</v>
      </c>
      <c r="B20" s="479"/>
      <c r="C20" s="508" t="n">
        <v>16</v>
      </c>
      <c r="D20" s="477" t="s">
        <v>184</v>
      </c>
      <c r="E20" s="509"/>
      <c r="F20" s="508" t="n">
        <v>53</v>
      </c>
      <c r="G20" s="510"/>
      <c r="H20" s="511"/>
      <c r="I20" s="508" t="n">
        <v>90</v>
      </c>
    </row>
    <row r="21" customFormat="false" ht="19.5" hidden="false" customHeight="true" outlineLevel="0" collapsed="false">
      <c r="A21" s="477" t="s">
        <v>184</v>
      </c>
      <c r="B21" s="479"/>
      <c r="C21" s="508" t="n">
        <v>17</v>
      </c>
      <c r="D21" s="477" t="s">
        <v>184</v>
      </c>
      <c r="E21" s="509"/>
      <c r="F21" s="508" t="n">
        <v>54</v>
      </c>
      <c r="G21" s="512"/>
      <c r="H21" s="513"/>
      <c r="I21" s="514" t="n">
        <v>91</v>
      </c>
    </row>
    <row r="22" customFormat="false" ht="19.5" hidden="false" customHeight="true" outlineLevel="0" collapsed="false">
      <c r="A22" s="477" t="s">
        <v>184</v>
      </c>
      <c r="B22" s="479"/>
      <c r="C22" s="508" t="n">
        <v>18</v>
      </c>
      <c r="D22" s="477"/>
      <c r="E22" s="479"/>
      <c r="F22" s="508" t="n">
        <v>55</v>
      </c>
      <c r="G22" s="512"/>
      <c r="H22" s="513"/>
      <c r="I22" s="514" t="n">
        <v>92</v>
      </c>
    </row>
    <row r="23" customFormat="false" ht="19.5" hidden="false" customHeight="true" outlineLevel="0" collapsed="false">
      <c r="A23" s="477" t="s">
        <v>184</v>
      </c>
      <c r="B23" s="479"/>
      <c r="C23" s="508" t="n">
        <v>19</v>
      </c>
      <c r="D23" s="477" t="s">
        <v>184</v>
      </c>
      <c r="E23" s="509"/>
      <c r="F23" s="508" t="n">
        <v>56</v>
      </c>
      <c r="G23" s="512"/>
      <c r="H23" s="513"/>
      <c r="I23" s="514" t="n">
        <v>93</v>
      </c>
    </row>
    <row r="24" customFormat="false" ht="19.5" hidden="false" customHeight="true" outlineLevel="0" collapsed="false">
      <c r="A24" s="477" t="s">
        <v>184</v>
      </c>
      <c r="B24" s="479"/>
      <c r="C24" s="508" t="n">
        <v>20</v>
      </c>
      <c r="D24" s="477" t="s">
        <v>184</v>
      </c>
      <c r="E24" s="509"/>
      <c r="F24" s="508" t="n">
        <v>57</v>
      </c>
      <c r="G24" s="512"/>
      <c r="H24" s="513"/>
      <c r="I24" s="514" t="n">
        <v>94</v>
      </c>
    </row>
    <row r="25" customFormat="false" ht="19.5" hidden="false" customHeight="true" outlineLevel="0" collapsed="false">
      <c r="A25" s="477" t="s">
        <v>184</v>
      </c>
      <c r="B25" s="479"/>
      <c r="C25" s="508" t="n">
        <v>21</v>
      </c>
      <c r="D25" s="477" t="s">
        <v>184</v>
      </c>
      <c r="E25" s="509"/>
      <c r="F25" s="508" t="n">
        <v>58</v>
      </c>
      <c r="G25" s="515"/>
      <c r="H25" s="516"/>
      <c r="I25" s="517" t="n">
        <v>95</v>
      </c>
    </row>
    <row r="26" customFormat="false" ht="19.5" hidden="false" customHeight="true" outlineLevel="0" collapsed="false">
      <c r="A26" s="477" t="s">
        <v>184</v>
      </c>
      <c r="B26" s="479"/>
      <c r="C26" s="508" t="n">
        <v>22</v>
      </c>
      <c r="D26" s="477" t="s">
        <v>184</v>
      </c>
      <c r="E26" s="509"/>
      <c r="F26" s="508" t="n">
        <v>59</v>
      </c>
    </row>
    <row r="27" customFormat="false" ht="19.5" hidden="false" customHeight="true" outlineLevel="0" collapsed="false">
      <c r="A27" s="477" t="s">
        <v>184</v>
      </c>
      <c r="B27" s="479"/>
      <c r="C27" s="508" t="n">
        <v>23</v>
      </c>
      <c r="D27" s="477" t="s">
        <v>184</v>
      </c>
      <c r="E27" s="509"/>
      <c r="F27" s="508" t="n">
        <v>60</v>
      </c>
    </row>
    <row r="28" customFormat="false" ht="19.5" hidden="false" customHeight="true" outlineLevel="0" collapsed="false">
      <c r="A28" s="477" t="s">
        <v>184</v>
      </c>
      <c r="B28" s="479"/>
      <c r="C28" s="508" t="n">
        <v>24</v>
      </c>
      <c r="D28" s="477" t="s">
        <v>184</v>
      </c>
      <c r="E28" s="509"/>
      <c r="F28" s="508" t="n">
        <v>61</v>
      </c>
    </row>
    <row r="29" customFormat="false" ht="19.5" hidden="false" customHeight="true" outlineLevel="0" collapsed="false">
      <c r="A29" s="477" t="s">
        <v>184</v>
      </c>
      <c r="B29" s="479"/>
      <c r="C29" s="508" t="n">
        <v>25</v>
      </c>
      <c r="D29" s="477" t="s">
        <v>184</v>
      </c>
      <c r="E29" s="509"/>
      <c r="F29" s="508" t="n">
        <v>62</v>
      </c>
    </row>
    <row r="30" customFormat="false" ht="19.5" hidden="false" customHeight="true" outlineLevel="0" collapsed="false">
      <c r="A30" s="477" t="s">
        <v>184</v>
      </c>
      <c r="B30" s="479"/>
      <c r="C30" s="508" t="n">
        <v>26</v>
      </c>
      <c r="D30" s="477"/>
      <c r="E30" s="479"/>
      <c r="F30" s="508" t="n">
        <v>63</v>
      </c>
    </row>
    <row r="31" customFormat="false" ht="19.5" hidden="false" customHeight="true" outlineLevel="0" collapsed="false">
      <c r="A31" s="477" t="s">
        <v>184</v>
      </c>
      <c r="B31" s="479" t="s">
        <v>184</v>
      </c>
      <c r="C31" s="508" t="n">
        <v>27</v>
      </c>
      <c r="D31" s="477" t="s">
        <v>184</v>
      </c>
      <c r="E31" s="509"/>
      <c r="F31" s="508" t="n">
        <v>64</v>
      </c>
    </row>
    <row r="32" customFormat="false" ht="19.5" hidden="false" customHeight="true" outlineLevel="0" collapsed="false">
      <c r="A32" s="477" t="s">
        <v>184</v>
      </c>
      <c r="B32" s="479"/>
      <c r="C32" s="508" t="n">
        <v>28</v>
      </c>
      <c r="D32" s="477" t="s">
        <v>184</v>
      </c>
      <c r="E32" s="509"/>
      <c r="F32" s="508" t="n">
        <v>65</v>
      </c>
    </row>
    <row r="33" customFormat="false" ht="19.5" hidden="false" customHeight="true" outlineLevel="0" collapsed="false">
      <c r="A33" s="477" t="s">
        <v>184</v>
      </c>
      <c r="B33" s="479"/>
      <c r="C33" s="508" t="n">
        <v>29</v>
      </c>
      <c r="D33" s="477" t="s">
        <v>184</v>
      </c>
      <c r="E33" s="509"/>
      <c r="F33" s="508" t="n">
        <v>66</v>
      </c>
    </row>
    <row r="34" customFormat="false" ht="19.5" hidden="false" customHeight="true" outlineLevel="0" collapsed="false">
      <c r="A34" s="477" t="s">
        <v>184</v>
      </c>
      <c r="B34" s="479"/>
      <c r="C34" s="508" t="n">
        <v>30</v>
      </c>
      <c r="D34" s="477" t="s">
        <v>184</v>
      </c>
      <c r="E34" s="509"/>
      <c r="F34" s="508" t="n">
        <v>67</v>
      </c>
    </row>
    <row r="35" customFormat="false" ht="19.5" hidden="false" customHeight="true" outlineLevel="0" collapsed="false">
      <c r="A35" s="477" t="s">
        <v>184</v>
      </c>
      <c r="B35" s="479"/>
      <c r="C35" s="508" t="n">
        <v>31</v>
      </c>
      <c r="D35" s="477" t="s">
        <v>184</v>
      </c>
      <c r="E35" s="509"/>
      <c r="F35" s="508" t="n">
        <v>68</v>
      </c>
    </row>
    <row r="36" customFormat="false" ht="19.5" hidden="false" customHeight="true" outlineLevel="0" collapsed="false">
      <c r="A36" s="477" t="s">
        <v>184</v>
      </c>
      <c r="B36" s="479"/>
      <c r="C36" s="508" t="n">
        <v>32</v>
      </c>
      <c r="D36" s="477" t="s">
        <v>184</v>
      </c>
      <c r="E36" s="509"/>
      <c r="F36" s="508" t="n">
        <v>69</v>
      </c>
    </row>
    <row r="37" customFormat="false" ht="19.5" hidden="false" customHeight="true" outlineLevel="0" collapsed="false">
      <c r="A37" s="477" t="s">
        <v>184</v>
      </c>
      <c r="B37" s="479"/>
      <c r="C37" s="508" t="n">
        <v>33</v>
      </c>
      <c r="D37" s="477" t="s">
        <v>184</v>
      </c>
      <c r="E37" s="509"/>
      <c r="F37" s="508" t="n">
        <v>70</v>
      </c>
    </row>
    <row r="38" customFormat="false" ht="19.5" hidden="false" customHeight="true" outlineLevel="0" collapsed="false">
      <c r="A38" s="477"/>
      <c r="B38" s="479"/>
      <c r="C38" s="508" t="n">
        <v>34</v>
      </c>
      <c r="D38" s="477"/>
      <c r="E38" s="479"/>
      <c r="F38" s="508" t="n">
        <v>71</v>
      </c>
    </row>
    <row r="39" customFormat="false" ht="19.5" hidden="false" customHeight="true" outlineLevel="0" collapsed="false">
      <c r="A39" s="477"/>
      <c r="B39" s="479"/>
      <c r="C39" s="508" t="n">
        <v>35</v>
      </c>
      <c r="D39" s="477" t="s">
        <v>184</v>
      </c>
      <c r="E39" s="509"/>
      <c r="F39" s="508" t="n">
        <v>72</v>
      </c>
      <c r="G39" s="490"/>
      <c r="I39" s="464" t="s">
        <v>1423</v>
      </c>
    </row>
    <row r="40" customFormat="false" ht="19.5" hidden="false" customHeight="true" outlineLevel="0" collapsed="false">
      <c r="A40" s="477" t="s">
        <v>184</v>
      </c>
      <c r="B40" s="479"/>
      <c r="C40" s="508" t="n">
        <v>36</v>
      </c>
      <c r="D40" s="477" t="s">
        <v>184</v>
      </c>
      <c r="E40" s="509"/>
      <c r="F40" s="508" t="n">
        <v>73</v>
      </c>
      <c r="I40" s="466" t="s">
        <v>1424</v>
      </c>
    </row>
    <row r="41" customFormat="false" ht="19.5" hidden="false" customHeight="true" outlineLevel="0" collapsed="false">
      <c r="A41" s="483" t="s">
        <v>184</v>
      </c>
      <c r="B41" s="484"/>
      <c r="C41" s="518" t="n">
        <v>37</v>
      </c>
      <c r="D41" s="483" t="s">
        <v>184</v>
      </c>
      <c r="E41" s="519"/>
      <c r="F41" s="518" t="n">
        <v>74</v>
      </c>
      <c r="G41" s="496" t="s">
        <v>1430</v>
      </c>
      <c r="H41" s="497" t="s">
        <v>611</v>
      </c>
      <c r="I41" s="497"/>
    </row>
  </sheetData>
  <mergeCells count="3">
    <mergeCell ref="B1:C1"/>
    <mergeCell ref="H3:I3"/>
    <mergeCell ref="H41:I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2025-04-06T20:06:05Z</dcterms:created>
  <dc:creator>Eduardo</dc:creator>
  <dc:description/>
  <dc:language>es-AR</dc:language>
  <cp:lastModifiedBy/>
  <cp:lastPrinted>2025-11-22T00:55:29Z</cp:lastPrinted>
  <dcterms:modified xsi:type="dcterms:W3CDTF">2025-12-03T20:36:40Z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